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A\Documents\Zulaman-WE\dev\"/>
    </mc:Choice>
  </mc:AlternateContent>
  <bookViews>
    <workbookView xWindow="0" yWindow="0" windowWidth="21600" windowHeight="973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52511"/>
</workbook>
</file>

<file path=xl/calcChain.xml><?xml version="1.0" encoding="utf-8"?>
<calcChain xmlns="http://schemas.openxmlformats.org/spreadsheetml/2006/main">
  <c r="R42" i="3" l="1"/>
  <c r="W2" i="3"/>
  <c r="W3" i="11" l="1"/>
  <c r="W4" i="11"/>
  <c r="W5" i="11"/>
  <c r="W6" i="11"/>
  <c r="W7" i="11"/>
  <c r="W8" i="11"/>
  <c r="W9" i="11"/>
  <c r="W10" i="11"/>
  <c r="W11" i="11"/>
  <c r="W12" i="11"/>
  <c r="W13" i="11"/>
  <c r="W14" i="11"/>
  <c r="W15" i="11"/>
  <c r="W16" i="11"/>
  <c r="W17" i="11"/>
  <c r="W18" i="11"/>
  <c r="W19" i="11"/>
  <c r="W20" i="11"/>
  <c r="W21" i="11"/>
  <c r="W22" i="11"/>
  <c r="W23" i="11"/>
  <c r="W24" i="11"/>
  <c r="W25" i="11"/>
  <c r="W26" i="11"/>
  <c r="W27" i="11"/>
  <c r="W28" i="11"/>
  <c r="W29" i="11"/>
  <c r="W30" i="11"/>
  <c r="W31" i="11"/>
  <c r="W32" i="11"/>
  <c r="W33" i="11"/>
  <c r="W34" i="11"/>
  <c r="W35" i="11"/>
  <c r="W36" i="11"/>
  <c r="W37" i="11"/>
  <c r="W38" i="11"/>
  <c r="W39" i="11"/>
  <c r="W40" i="11"/>
  <c r="W41" i="11"/>
  <c r="W42" i="11"/>
  <c r="W43" i="11"/>
  <c r="W44" i="11"/>
  <c r="W45" i="11"/>
  <c r="W46" i="11"/>
  <c r="W47" i="11"/>
  <c r="W48" i="11"/>
  <c r="W49" i="11"/>
  <c r="W50" i="11"/>
  <c r="W51" i="11"/>
  <c r="W52" i="11"/>
  <c r="W53" i="11"/>
  <c r="W54" i="11"/>
  <c r="W55" i="11"/>
  <c r="W56" i="11"/>
  <c r="W57" i="11"/>
  <c r="W58" i="11"/>
  <c r="W59" i="11"/>
  <c r="W2" i="11"/>
  <c r="T4" i="11" l="1"/>
  <c r="T5" i="11"/>
  <c r="T6" i="11"/>
  <c r="T7" i="11"/>
  <c r="T8" i="11"/>
  <c r="T9" i="11"/>
  <c r="T10" i="11"/>
  <c r="T11" i="11"/>
  <c r="T12" i="11"/>
  <c r="T13" i="11"/>
  <c r="T14" i="11"/>
  <c r="T15" i="11"/>
  <c r="T16" i="11"/>
  <c r="T20" i="11"/>
  <c r="T21" i="11"/>
  <c r="T22" i="11"/>
  <c r="T23" i="11"/>
  <c r="T24" i="11"/>
  <c r="T25" i="11"/>
  <c r="T26" i="11"/>
  <c r="T27" i="11"/>
  <c r="T28" i="11"/>
  <c r="T29" i="11"/>
  <c r="T30" i="11"/>
  <c r="T31" i="11"/>
  <c r="T32" i="11"/>
  <c r="T34" i="11"/>
  <c r="T35" i="11"/>
  <c r="T36" i="11"/>
  <c r="T37" i="11"/>
  <c r="T39" i="11"/>
  <c r="T40" i="11"/>
  <c r="T41" i="11"/>
  <c r="T42" i="11"/>
  <c r="T45" i="11"/>
  <c r="T46" i="11"/>
  <c r="T48" i="11"/>
  <c r="T49" i="11"/>
  <c r="T50" i="11"/>
  <c r="T51" i="11"/>
  <c r="T52" i="11"/>
  <c r="T53" i="11"/>
  <c r="T54" i="11"/>
  <c r="T55" i="11"/>
  <c r="T56" i="11"/>
  <c r="T57" i="11"/>
  <c r="T58" i="11"/>
  <c r="T59" i="11"/>
  <c r="S4" i="11"/>
  <c r="S5" i="11"/>
  <c r="S6" i="11"/>
  <c r="S7" i="11"/>
  <c r="S8" i="11"/>
  <c r="S9" i="11"/>
  <c r="S10" i="11"/>
  <c r="S11" i="11"/>
  <c r="S12" i="11"/>
  <c r="S13" i="11"/>
  <c r="S14" i="11"/>
  <c r="S15" i="11"/>
  <c r="S16" i="11"/>
  <c r="S17" i="11"/>
  <c r="S20" i="11"/>
  <c r="S21" i="11"/>
  <c r="S22" i="11"/>
  <c r="S23" i="11"/>
  <c r="S24" i="11"/>
  <c r="S25" i="11"/>
  <c r="S26" i="11"/>
  <c r="S27" i="11"/>
  <c r="S28" i="11"/>
  <c r="S29" i="11"/>
  <c r="S30" i="11"/>
  <c r="S31" i="11"/>
  <c r="S32" i="11"/>
  <c r="S34" i="11"/>
  <c r="S35" i="11"/>
  <c r="S36" i="11"/>
  <c r="S37" i="11"/>
  <c r="S39" i="11"/>
  <c r="S40" i="11"/>
  <c r="S41" i="11"/>
  <c r="S42" i="11"/>
  <c r="S45" i="11"/>
  <c r="S46" i="11"/>
  <c r="S48" i="11"/>
  <c r="S49" i="11"/>
  <c r="S50" i="11"/>
  <c r="S51" i="11"/>
  <c r="S52" i="11"/>
  <c r="S53" i="11"/>
  <c r="S54" i="11"/>
  <c r="S55" i="11"/>
  <c r="S56" i="11"/>
  <c r="S57" i="11"/>
  <c r="S58" i="11"/>
  <c r="S59" i="11"/>
  <c r="P2" i="11"/>
  <c r="Q2" i="11"/>
  <c r="S2" i="11" s="1"/>
  <c r="R2" i="11"/>
  <c r="T2" i="11" s="1"/>
  <c r="P3" i="11"/>
  <c r="Q3" i="11"/>
  <c r="S3" i="11" s="1"/>
  <c r="R3" i="11"/>
  <c r="T3" i="11" s="1"/>
  <c r="P4" i="11"/>
  <c r="Q4" i="11"/>
  <c r="R4" i="11"/>
  <c r="P5" i="11"/>
  <c r="Q5" i="11"/>
  <c r="R5" i="11"/>
  <c r="P36" i="11"/>
  <c r="Q36" i="11"/>
  <c r="R36" i="11"/>
  <c r="P37" i="11"/>
  <c r="Q37" i="11"/>
  <c r="R37" i="11"/>
  <c r="P38" i="11"/>
  <c r="Q38" i="11"/>
  <c r="S38" i="11" s="1"/>
  <c r="R38" i="11"/>
  <c r="T38" i="11" s="1"/>
  <c r="P39" i="11"/>
  <c r="Q39" i="11"/>
  <c r="R39" i="11"/>
  <c r="P40" i="11"/>
  <c r="Q40" i="11"/>
  <c r="R40" i="11"/>
  <c r="P41" i="11"/>
  <c r="Q41" i="11"/>
  <c r="R41" i="11"/>
  <c r="P42" i="11"/>
  <c r="Q42" i="11"/>
  <c r="R42" i="11"/>
  <c r="P43" i="11"/>
  <c r="Q43" i="11"/>
  <c r="S43" i="11" s="1"/>
  <c r="R43" i="11"/>
  <c r="T43" i="11" s="1"/>
  <c r="P44" i="11"/>
  <c r="Q44" i="11"/>
  <c r="R44" i="11"/>
  <c r="T44" i="11" s="1"/>
  <c r="P45" i="11"/>
  <c r="Q45" i="11"/>
  <c r="R45" i="11"/>
  <c r="P46" i="11"/>
  <c r="Q46" i="11"/>
  <c r="R46" i="11"/>
  <c r="P47" i="11"/>
  <c r="Q47" i="11"/>
  <c r="S47" i="11" s="1"/>
  <c r="R47" i="11"/>
  <c r="T47" i="11" s="1"/>
  <c r="P48" i="11"/>
  <c r="Q48" i="11"/>
  <c r="R48" i="11"/>
  <c r="P49" i="11"/>
  <c r="Q49" i="11"/>
  <c r="R49" i="11"/>
  <c r="P50" i="11"/>
  <c r="Q50" i="11"/>
  <c r="R50" i="11"/>
  <c r="P51" i="11"/>
  <c r="Q51" i="11"/>
  <c r="R51" i="11"/>
  <c r="P52" i="11"/>
  <c r="Q52" i="11"/>
  <c r="R52" i="11"/>
  <c r="P53" i="11"/>
  <c r="Q53" i="11"/>
  <c r="R53" i="11"/>
  <c r="P54" i="11"/>
  <c r="Q54" i="11"/>
  <c r="R54" i="11"/>
  <c r="P55" i="11"/>
  <c r="Q55" i="11"/>
  <c r="R55" i="11"/>
  <c r="P56" i="11"/>
  <c r="Q56" i="11"/>
  <c r="R56" i="11"/>
  <c r="P57" i="11"/>
  <c r="Q57" i="11"/>
  <c r="R57" i="11"/>
  <c r="P58" i="11"/>
  <c r="Q58" i="11"/>
  <c r="R58" i="11"/>
  <c r="P59" i="11"/>
  <c r="Q59" i="11"/>
  <c r="R59" i="11"/>
  <c r="P33" i="11"/>
  <c r="Q33" i="11"/>
  <c r="S33" i="11" s="1"/>
  <c r="R33" i="11"/>
  <c r="T33" i="11" s="1"/>
  <c r="P34" i="11"/>
  <c r="Q34" i="11"/>
  <c r="R34" i="11"/>
  <c r="P35" i="11"/>
  <c r="Q35" i="11"/>
  <c r="R35" i="11"/>
  <c r="P31" i="11"/>
  <c r="Q31" i="11"/>
  <c r="R31" i="11"/>
  <c r="P32" i="11"/>
  <c r="Q32" i="11"/>
  <c r="R32" i="11"/>
  <c r="P30" i="11"/>
  <c r="Q30" i="11"/>
  <c r="R30" i="11"/>
  <c r="P28" i="11"/>
  <c r="Q28" i="11"/>
  <c r="R28" i="11"/>
  <c r="P29" i="11"/>
  <c r="Q29" i="11"/>
  <c r="R29" i="11"/>
  <c r="P27" i="11"/>
  <c r="Q27" i="11"/>
  <c r="R27" i="11"/>
  <c r="P26" i="11"/>
  <c r="Q26" i="11"/>
  <c r="R26" i="11"/>
  <c r="P24" i="11"/>
  <c r="Q24" i="11"/>
  <c r="R24" i="11"/>
  <c r="P25" i="11"/>
  <c r="Q25" i="11"/>
  <c r="R25" i="11"/>
  <c r="P22" i="11"/>
  <c r="Q22" i="11"/>
  <c r="R22" i="11"/>
  <c r="P23" i="11"/>
  <c r="Q23" i="11"/>
  <c r="R23" i="11"/>
  <c r="P20" i="11"/>
  <c r="Q20" i="11"/>
  <c r="R20" i="11"/>
  <c r="P21" i="11"/>
  <c r="Q21" i="11"/>
  <c r="R21" i="11"/>
  <c r="P17" i="11"/>
  <c r="Q17" i="11"/>
  <c r="R17" i="11"/>
  <c r="T17" i="11" s="1"/>
  <c r="P18" i="11"/>
  <c r="Q18" i="11"/>
  <c r="S18" i="11" s="1"/>
  <c r="R18" i="11"/>
  <c r="T18" i="11" s="1"/>
  <c r="P19" i="11"/>
  <c r="Q19" i="11"/>
  <c r="R19" i="11"/>
  <c r="T19" i="11" s="1"/>
  <c r="P16" i="11"/>
  <c r="Q16" i="11"/>
  <c r="R16" i="11"/>
  <c r="P15" i="11"/>
  <c r="Q15" i="11"/>
  <c r="R15" i="11"/>
  <c r="P14" i="11"/>
  <c r="Q14" i="11"/>
  <c r="R14" i="11"/>
  <c r="P13" i="11"/>
  <c r="Q13" i="11"/>
  <c r="R13" i="11"/>
  <c r="Q12" i="11"/>
  <c r="R12" i="11"/>
  <c r="P11" i="11"/>
  <c r="Q11" i="11"/>
  <c r="R11" i="11"/>
  <c r="Q7" i="11"/>
  <c r="R7" i="11"/>
  <c r="Q8" i="11"/>
  <c r="R8" i="11"/>
  <c r="Q9" i="11"/>
  <c r="R9" i="11"/>
  <c r="Q10" i="11"/>
  <c r="R10" i="11"/>
  <c r="R6" i="11"/>
  <c r="Q6" i="11"/>
  <c r="P7" i="11"/>
  <c r="P8" i="11"/>
  <c r="P9" i="11"/>
  <c r="P10" i="11"/>
  <c r="P12" i="11"/>
  <c r="P6" i="11"/>
  <c r="S44" i="11" l="1"/>
  <c r="S19" i="11"/>
  <c r="Q171" i="1"/>
  <c r="Q166" i="1"/>
  <c r="Q161" i="1"/>
  <c r="Q205" i="1"/>
  <c r="Q200" i="1"/>
  <c r="Q195" i="1"/>
  <c r="Q188" i="1"/>
  <c r="Q183" i="1"/>
  <c r="Q178" i="1"/>
  <c r="Q162" i="1"/>
  <c r="Q201" i="1"/>
  <c r="Q179" i="1"/>
  <c r="Q170" i="1"/>
  <c r="Q165" i="1"/>
  <c r="Q159" i="1"/>
  <c r="Q204" i="1"/>
  <c r="Q199" i="1"/>
  <c r="Q192" i="1"/>
  <c r="Q187" i="1"/>
  <c r="Q182" i="1"/>
  <c r="Q176" i="1"/>
  <c r="Q157" i="1"/>
  <c r="Q190" i="1"/>
  <c r="Q174" i="1"/>
  <c r="Q169" i="1"/>
  <c r="Q163" i="1"/>
  <c r="Q158" i="1"/>
  <c r="Q203" i="1"/>
  <c r="Q197" i="1"/>
  <c r="Q191" i="1"/>
  <c r="Q186" i="1"/>
  <c r="Q180" i="1"/>
  <c r="Q175" i="1"/>
  <c r="Q167" i="1"/>
  <c r="Q196" i="1"/>
  <c r="Q184" i="1"/>
  <c r="Q155" i="1"/>
  <c r="Q154" i="1"/>
  <c r="Q153" i="1"/>
  <c r="Q84" i="1"/>
  <c r="Q79" i="1"/>
  <c r="Q74" i="1"/>
  <c r="Q68" i="1"/>
  <c r="Q149" i="1"/>
  <c r="Q144" i="1"/>
  <c r="Q138" i="1"/>
  <c r="Q133" i="1"/>
  <c r="Q132" i="1"/>
  <c r="Q150" i="1"/>
  <c r="Q134" i="1"/>
  <c r="Q83" i="1"/>
  <c r="Q78" i="1"/>
  <c r="Q72" i="1"/>
  <c r="Q67" i="1"/>
  <c r="Q148" i="1"/>
  <c r="Q142" i="1"/>
  <c r="Q137" i="1"/>
  <c r="Q75" i="1"/>
  <c r="Q146" i="1"/>
  <c r="Q82" i="1"/>
  <c r="Q76" i="1"/>
  <c r="Q71" i="1"/>
  <c r="Q66" i="1"/>
  <c r="Q145" i="1"/>
  <c r="Q141" i="1"/>
  <c r="Q136" i="1"/>
  <c r="Q80" i="1"/>
  <c r="Q70" i="1"/>
  <c r="Q140" i="1"/>
  <c r="Q61" i="1"/>
  <c r="Q38" i="1"/>
  <c r="Q54" i="1"/>
  <c r="Q51" i="1"/>
  <c r="Q53" i="1"/>
  <c r="Q62" i="1"/>
  <c r="Q124" i="1"/>
  <c r="Q114" i="1"/>
  <c r="Q109" i="1"/>
  <c r="Q103" i="1"/>
  <c r="Q95" i="1"/>
  <c r="Q91" i="1"/>
  <c r="Q87" i="1"/>
  <c r="Q59" i="1"/>
  <c r="Q58" i="1"/>
  <c r="Q125" i="1"/>
  <c r="Q104" i="1"/>
  <c r="Q55" i="1"/>
  <c r="Q57" i="1"/>
  <c r="Q49" i="1"/>
  <c r="Q34" i="1"/>
  <c r="Q47" i="1"/>
  <c r="Q46" i="1"/>
  <c r="Q116" i="1"/>
  <c r="Q113" i="1"/>
  <c r="Q108" i="1"/>
  <c r="Q101" i="1"/>
  <c r="Q97" i="1"/>
  <c r="Q93" i="1"/>
  <c r="Q37" i="1"/>
  <c r="Q117" i="1"/>
  <c r="Q99" i="1"/>
  <c r="Q89" i="1"/>
  <c r="Q50" i="1"/>
  <c r="Q40" i="1"/>
  <c r="Q42" i="1"/>
  <c r="Q63" i="1"/>
  <c r="Q41" i="1"/>
  <c r="Q126" i="1"/>
  <c r="Q118" i="1"/>
  <c r="Q112" i="1"/>
  <c r="Q105" i="1"/>
  <c r="Q100" i="1"/>
  <c r="Q96" i="1"/>
  <c r="Q88" i="1"/>
  <c r="Q45" i="1"/>
  <c r="Q36" i="1"/>
  <c r="Q110" i="1"/>
  <c r="Q92" i="1"/>
  <c r="Q33" i="1"/>
  <c r="Q11" i="1"/>
  <c r="Q32" i="1"/>
  <c r="Q8" i="1"/>
  <c r="Q30" i="1"/>
  <c r="Q9" i="1"/>
  <c r="Q5" i="1"/>
  <c r="Q3" i="1"/>
  <c r="Q15" i="1"/>
  <c r="Q28" i="1"/>
  <c r="Q4" i="1"/>
  <c r="Q26" i="1"/>
  <c r="Q25" i="1"/>
  <c r="Q16" i="1"/>
  <c r="Q13" i="1"/>
  <c r="Q21" i="1"/>
  <c r="Q29" i="1"/>
  <c r="Q20" i="1"/>
  <c r="Q24" i="1"/>
  <c r="Q19" i="1"/>
  <c r="Q17" i="1"/>
  <c r="Q12" i="1"/>
  <c r="Q7" i="1"/>
  <c r="R2" i="3" l="1"/>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W8" i="3"/>
  <c r="W18" i="3"/>
  <c r="W16" i="3"/>
  <c r="W52" i="3"/>
  <c r="W46" i="3"/>
  <c r="W41" i="3"/>
  <c r="W21" i="3"/>
  <c r="W22" i="3"/>
  <c r="W29" i="3"/>
  <c r="W33" i="3"/>
  <c r="W40" i="3"/>
  <c r="W45" i="3"/>
  <c r="W27" i="3"/>
  <c r="W12" i="3"/>
  <c r="W44" i="3"/>
  <c r="W38" i="3"/>
  <c r="W20" i="3"/>
  <c r="W26" i="3"/>
  <c r="W37" i="3"/>
  <c r="W13" i="3"/>
  <c r="W25" i="3"/>
  <c r="W17" i="3"/>
  <c r="W19" i="3"/>
  <c r="W5" i="3"/>
  <c r="W3" i="3"/>
  <c r="W36" i="3"/>
  <c r="W35" i="3"/>
  <c r="W14" i="3"/>
  <c r="W9" i="3"/>
  <c r="W39" i="3"/>
  <c r="W49" i="3"/>
  <c r="W34" i="3"/>
  <c r="W50" i="3"/>
  <c r="W51" i="3"/>
  <c r="W47" i="3"/>
  <c r="W24" i="3"/>
  <c r="W42" i="3"/>
  <c r="W10" i="3"/>
  <c r="W30" i="3"/>
  <c r="W15" i="3"/>
  <c r="W7" i="3"/>
  <c r="W23" i="3"/>
  <c r="W4" i="3"/>
  <c r="W11" i="3"/>
  <c r="W32" i="3"/>
  <c r="W28" i="3"/>
  <c r="W48" i="3"/>
  <c r="W6" i="3"/>
  <c r="W53" i="3"/>
  <c r="W43" i="3"/>
  <c r="W31" i="3"/>
  <c r="C164" i="10"/>
  <c r="E164" i="10"/>
  <c r="F164" i="10"/>
  <c r="G164" i="10"/>
  <c r="D164" i="10"/>
  <c r="L3" i="10" l="1"/>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240" i="1"/>
  <c r="Q252" i="1"/>
  <c r="Q81" i="1"/>
  <c r="Q65" i="1"/>
  <c r="Q14" i="1"/>
  <c r="Q248" i="1"/>
  <c r="Q152" i="1"/>
  <c r="Q173" i="1"/>
  <c r="Q223" i="1"/>
  <c r="Q77" i="1"/>
  <c r="Q10" i="1"/>
  <c r="Q6" i="1"/>
  <c r="Q48" i="1"/>
  <c r="Q52" i="1"/>
  <c r="Q35" i="1"/>
  <c r="Q231" i="1"/>
  <c r="Q18" i="1"/>
  <c r="Q111" i="1"/>
  <c r="Q94" i="1"/>
  <c r="Q164" i="1"/>
  <c r="Q147" i="1"/>
  <c r="Q2" i="1"/>
  <c r="Q189" i="1"/>
  <c r="Q160" i="1"/>
  <c r="Q143" i="1"/>
  <c r="Q181" i="1"/>
  <c r="Q98" i="1"/>
  <c r="Q135" i="1"/>
  <c r="Q236" i="1"/>
  <c r="Q119" i="1"/>
  <c r="Q185" i="1"/>
  <c r="Q23" i="1"/>
  <c r="Q227" i="1"/>
  <c r="Q210" i="1"/>
  <c r="Q244" i="1"/>
  <c r="Q44" i="1"/>
  <c r="Q69" i="1"/>
  <c r="Q107" i="1"/>
  <c r="Q90" i="1"/>
  <c r="Q202" i="1"/>
  <c r="Q168" i="1"/>
  <c r="Q31" i="1"/>
  <c r="Q39" i="1"/>
  <c r="Q27" i="1"/>
  <c r="Q131" i="1"/>
  <c r="Q60" i="1"/>
  <c r="Q215" i="1"/>
  <c r="Q73" i="1"/>
  <c r="Q56" i="1"/>
  <c r="Q123" i="1"/>
  <c r="Q102" i="1"/>
  <c r="Q86" i="1"/>
  <c r="Q156" i="1"/>
  <c r="Q139" i="1"/>
  <c r="Q198" i="1"/>
  <c r="Q177" i="1"/>
  <c r="Q206" i="1"/>
  <c r="Q219" i="1"/>
  <c r="Q115" i="1"/>
  <c r="Q194" i="1"/>
  <c r="X19" i="3"/>
  <c r="X38" i="3"/>
  <c r="V10" i="3"/>
  <c r="V41" i="3"/>
  <c r="V31" i="3"/>
  <c r="V22" i="3"/>
  <c r="X32" i="3"/>
  <c r="X18" i="3"/>
  <c r="V40" i="3"/>
  <c r="V49" i="3"/>
  <c r="X7" i="3"/>
  <c r="X14" i="3"/>
  <c r="V20" i="3"/>
  <c r="V15" i="3"/>
  <c r="V32" i="3"/>
  <c r="V21" i="3"/>
  <c r="V51" i="3"/>
  <c r="V28" i="3"/>
  <c r="V3" i="3"/>
  <c r="V11" i="3"/>
  <c r="V34" i="3"/>
  <c r="X8" i="3"/>
  <c r="X41" i="3"/>
  <c r="V29" i="3"/>
  <c r="V37" i="3"/>
  <c r="V12" i="3"/>
  <c r="V24" i="3"/>
  <c r="X44" i="3"/>
  <c r="V6" i="3"/>
  <c r="X42" i="3"/>
  <c r="X43" i="3"/>
  <c r="X10" i="3"/>
  <c r="X17" i="3"/>
  <c r="V42" i="3"/>
  <c r="X34" i="3"/>
  <c r="V18" i="3"/>
  <c r="V26" i="3"/>
  <c r="V5" i="3"/>
  <c r="V35" i="3"/>
  <c r="V13" i="3"/>
  <c r="V36" i="3"/>
  <c r="V45" i="3"/>
  <c r="X25" i="3"/>
  <c r="X35" i="3"/>
  <c r="X11" i="3"/>
  <c r="V47" i="3"/>
  <c r="X49" i="3"/>
  <c r="V23" i="3"/>
  <c r="X45" i="3"/>
  <c r="X31" i="3"/>
  <c r="X20" i="3"/>
  <c r="X15" i="3"/>
  <c r="X48" i="3"/>
  <c r="V48" i="3"/>
  <c r="X3" i="3"/>
  <c r="X4" i="3"/>
  <c r="X51" i="3"/>
  <c r="V43" i="3"/>
  <c r="X37" i="3"/>
  <c r="V14" i="3"/>
  <c r="X52" i="3"/>
  <c r="V39" i="3"/>
  <c r="V33" i="3"/>
  <c r="X9" i="3"/>
  <c r="X6" i="3"/>
  <c r="X47" i="3"/>
  <c r="X2" i="3"/>
  <c r="X50" i="3"/>
  <c r="V7" i="3"/>
  <c r="X28" i="3"/>
  <c r="V4" i="3"/>
  <c r="X46" i="3"/>
  <c r="V25" i="3"/>
  <c r="V30" i="3"/>
  <c r="X23" i="3"/>
  <c r="V17" i="3"/>
  <c r="X21" i="3"/>
  <c r="V52" i="3"/>
  <c r="X24" i="3"/>
  <c r="X39" i="3"/>
  <c r="X27" i="3"/>
  <c r="X40" i="3"/>
  <c r="X29" i="3"/>
  <c r="X36" i="3"/>
  <c r="V50" i="3"/>
  <c r="V19" i="3"/>
  <c r="V27" i="3"/>
  <c r="X33" i="3"/>
  <c r="V38" i="3"/>
  <c r="V9" i="3"/>
  <c r="X13" i="3"/>
  <c r="X16" i="3"/>
  <c r="V8" i="3"/>
  <c r="V46" i="3"/>
  <c r="V53" i="3"/>
  <c r="X30" i="3"/>
  <c r="V16" i="3"/>
  <c r="X22" i="3"/>
  <c r="X5" i="3"/>
  <c r="V2" i="3"/>
  <c r="V44" i="3"/>
  <c r="X12" i="3"/>
  <c r="X53" i="3"/>
  <c r="X26" i="3"/>
  <c r="H164" i="10"/>
  <c r="C158" i="10"/>
  <c r="H78" i="5"/>
  <c r="I7" i="5"/>
  <c r="I23" i="5"/>
  <c r="K51" i="5"/>
  <c r="I43" i="5"/>
  <c r="F165" i="10"/>
  <c r="J43" i="5"/>
  <c r="G144" i="10"/>
  <c r="L60" i="5"/>
  <c r="K15" i="5"/>
  <c r="I52" i="5"/>
  <c r="E156" i="10"/>
  <c r="E140" i="10"/>
  <c r="E154" i="10"/>
  <c r="K30" i="5"/>
  <c r="C148" i="10"/>
  <c r="I88" i="5"/>
  <c r="K40" i="5"/>
  <c r="K32" i="5"/>
  <c r="G143" i="10"/>
  <c r="E143" i="10"/>
  <c r="K48" i="5"/>
  <c r="I86" i="5"/>
  <c r="J51" i="5"/>
  <c r="J13" i="5"/>
  <c r="H94" i="5"/>
  <c r="C153" i="10"/>
  <c r="G154" i="10"/>
  <c r="J85" i="5"/>
  <c r="H161" i="10"/>
  <c r="E159" i="10"/>
  <c r="J12" i="5"/>
  <c r="H77" i="5"/>
  <c r="J76" i="5"/>
  <c r="H142" i="10"/>
  <c r="K94" i="5"/>
  <c r="I14" i="5"/>
  <c r="K59" i="5"/>
  <c r="H93" i="5"/>
  <c r="D156" i="10"/>
  <c r="K16" i="5"/>
  <c r="L25" i="5"/>
  <c r="H34" i="5"/>
  <c r="G165" i="10"/>
  <c r="H76" i="5"/>
  <c r="G157" i="10"/>
  <c r="G163" i="10"/>
  <c r="L77" i="5"/>
  <c r="C159" i="10"/>
  <c r="H48" i="5"/>
  <c r="H31" i="5"/>
  <c r="E158" i="10"/>
  <c r="H5" i="5"/>
  <c r="H7" i="5"/>
  <c r="K95" i="5"/>
  <c r="L86" i="5"/>
  <c r="L21" i="5"/>
  <c r="I22" i="5"/>
  <c r="I31" i="5"/>
  <c r="F142" i="10"/>
  <c r="H159" i="10"/>
  <c r="K70" i="5"/>
  <c r="H149" i="10"/>
  <c r="G145" i="10"/>
  <c r="I32" i="5"/>
  <c r="L41" i="5"/>
  <c r="K97" i="5"/>
  <c r="I59" i="5"/>
  <c r="H140" i="10"/>
  <c r="G156" i="10"/>
  <c r="E145" i="10"/>
  <c r="J70" i="5"/>
  <c r="J34" i="5"/>
  <c r="G161" i="10"/>
  <c r="I79" i="5"/>
  <c r="K79" i="5"/>
  <c r="C142" i="10"/>
  <c r="I69" i="5"/>
  <c r="L51" i="5"/>
  <c r="J30" i="5"/>
  <c r="G140" i="10"/>
  <c r="J22" i="5"/>
  <c r="H15" i="5"/>
  <c r="K93" i="5"/>
  <c r="L12" i="5"/>
  <c r="D151" i="10"/>
  <c r="E148" i="10"/>
  <c r="C147" i="10"/>
  <c r="I13" i="5"/>
  <c r="I6" i="5"/>
  <c r="L70" i="5"/>
  <c r="K12" i="5"/>
  <c r="J84" i="5"/>
  <c r="I61" i="5"/>
  <c r="L5" i="5"/>
  <c r="I12" i="5"/>
  <c r="H41" i="5"/>
  <c r="G152" i="10"/>
  <c r="J96" i="5"/>
  <c r="I84" i="5"/>
  <c r="L4" i="5"/>
  <c r="E152" i="10"/>
  <c r="K3" i="5"/>
  <c r="H24" i="5"/>
  <c r="J88" i="5"/>
  <c r="K66" i="5"/>
  <c r="J68" i="5"/>
  <c r="J61" i="5"/>
  <c r="K96" i="5"/>
  <c r="F159" i="10"/>
  <c r="H3" i="5"/>
  <c r="I5" i="5"/>
  <c r="E142" i="10"/>
  <c r="J87" i="5"/>
  <c r="L50" i="5"/>
  <c r="C161" i="10"/>
  <c r="E153" i="10"/>
  <c r="J58" i="5"/>
  <c r="L76" i="5"/>
  <c r="D147" i="10"/>
  <c r="H145" i="10"/>
  <c r="F149" i="10"/>
  <c r="E150" i="10"/>
  <c r="L42" i="5"/>
  <c r="L43" i="5"/>
  <c r="F152" i="10"/>
  <c r="D161" i="10"/>
  <c r="K50" i="5"/>
  <c r="K68" i="5"/>
  <c r="H42" i="5"/>
  <c r="D142" i="10"/>
  <c r="L24" i="5"/>
  <c r="J52" i="5"/>
  <c r="I75" i="5"/>
  <c r="D163" i="10"/>
  <c r="K31" i="5"/>
  <c r="H23" i="5"/>
  <c r="G160" i="10"/>
  <c r="L39" i="5"/>
  <c r="L58" i="5"/>
  <c r="H165" i="10"/>
  <c r="C157" i="10"/>
  <c r="H87" i="5"/>
  <c r="K14" i="5"/>
  <c r="L75" i="5"/>
  <c r="F162" i="10"/>
  <c r="H95" i="5"/>
  <c r="D143" i="10"/>
  <c r="F141" i="10"/>
  <c r="G150" i="10"/>
  <c r="I41" i="5"/>
  <c r="J39" i="5"/>
  <c r="I48" i="5"/>
  <c r="L30" i="5"/>
  <c r="H152" i="10"/>
  <c r="G149" i="10"/>
  <c r="I77" i="5"/>
  <c r="J59" i="5"/>
  <c r="J57" i="5"/>
  <c r="I3" i="5"/>
  <c r="I58" i="5"/>
  <c r="H16" i="5"/>
  <c r="C152" i="10"/>
  <c r="E163" i="10"/>
  <c r="I87" i="5"/>
  <c r="J93" i="5"/>
  <c r="J16" i="5"/>
  <c r="F148" i="10"/>
  <c r="J69" i="5"/>
  <c r="K39" i="5"/>
  <c r="L40" i="5"/>
  <c r="J97" i="5"/>
  <c r="K42" i="5"/>
  <c r="L48" i="5"/>
  <c r="J7" i="5"/>
  <c r="H84" i="5"/>
  <c r="I40" i="5"/>
  <c r="C150" i="10"/>
  <c r="E147" i="10"/>
  <c r="H160" i="10"/>
  <c r="G155" i="10"/>
  <c r="H22" i="5"/>
  <c r="H43" i="5"/>
  <c r="D160" i="10"/>
  <c r="G159" i="10"/>
  <c r="I67" i="5"/>
  <c r="K5" i="5"/>
  <c r="I96" i="5"/>
  <c r="L85" i="5"/>
  <c r="H143" i="10"/>
  <c r="E160" i="10"/>
  <c r="F156" i="10"/>
  <c r="D159" i="10"/>
  <c r="D145" i="10"/>
  <c r="I51" i="5"/>
  <c r="F157" i="10"/>
  <c r="H146" i="10"/>
  <c r="K13" i="5"/>
  <c r="E151" i="10"/>
  <c r="J94" i="5"/>
  <c r="I57" i="5"/>
  <c r="K33" i="5"/>
  <c r="H148" i="10"/>
  <c r="H163" i="10"/>
  <c r="D153" i="10"/>
  <c r="L52" i="5"/>
  <c r="L97" i="5"/>
  <c r="H4" i="5"/>
  <c r="H52" i="5"/>
  <c r="H162" i="10"/>
  <c r="F140" i="10"/>
  <c r="K21" i="5"/>
  <c r="G162" i="10"/>
  <c r="H157" i="10"/>
  <c r="F153" i="10"/>
  <c r="J66" i="5"/>
  <c r="C149" i="10"/>
  <c r="I30" i="5"/>
  <c r="L95" i="5"/>
  <c r="I4" i="5"/>
  <c r="L7" i="5"/>
  <c r="J49" i="5"/>
  <c r="J79" i="5"/>
  <c r="F158" i="10"/>
  <c r="L32" i="5"/>
  <c r="J23" i="5"/>
  <c r="K77" i="5"/>
  <c r="I15" i="5"/>
  <c r="D148" i="10"/>
  <c r="L94" i="5"/>
  <c r="F144" i="10"/>
  <c r="L84" i="5"/>
  <c r="H39" i="5"/>
  <c r="I21" i="5"/>
  <c r="D157" i="10"/>
  <c r="J15" i="5"/>
  <c r="K69" i="5"/>
  <c r="L13" i="5"/>
  <c r="K88" i="5"/>
  <c r="L6" i="5"/>
  <c r="G151" i="10"/>
  <c r="L16" i="5"/>
  <c r="J86" i="5"/>
  <c r="K25" i="5"/>
  <c r="F161" i="10"/>
  <c r="I16" i="5"/>
  <c r="K52" i="5"/>
  <c r="J77" i="5"/>
  <c r="K75" i="5"/>
  <c r="I42" i="5"/>
  <c r="H75" i="5"/>
  <c r="I49" i="5"/>
  <c r="H57" i="5"/>
  <c r="C140" i="10"/>
  <c r="F145" i="10"/>
  <c r="C156" i="10"/>
  <c r="I94" i="5"/>
  <c r="D155" i="10"/>
  <c r="I39" i="5"/>
  <c r="L57" i="5"/>
  <c r="H51" i="5"/>
  <c r="H97" i="5"/>
  <c r="K57" i="5"/>
  <c r="J33" i="5"/>
  <c r="F155" i="10"/>
  <c r="C162" i="10"/>
  <c r="H155" i="10"/>
  <c r="H79" i="5"/>
  <c r="K41" i="5"/>
  <c r="L31" i="5"/>
  <c r="J25" i="5"/>
  <c r="I25" i="5"/>
  <c r="D165" i="10"/>
  <c r="L79" i="5"/>
  <c r="H58" i="5"/>
  <c r="J48" i="5"/>
  <c r="C151" i="10"/>
  <c r="H147" i="10"/>
  <c r="H32" i="5"/>
  <c r="E149" i="10"/>
  <c r="H33" i="5"/>
  <c r="C141" i="10"/>
  <c r="D146" i="10"/>
  <c r="K34" i="5"/>
  <c r="H86" i="5"/>
  <c r="J42" i="5"/>
  <c r="L34" i="5"/>
  <c r="G147" i="10"/>
  <c r="I68" i="5"/>
  <c r="H151" i="10"/>
  <c r="I78" i="5"/>
  <c r="J78" i="5"/>
  <c r="I60" i="5"/>
  <c r="H88" i="5"/>
  <c r="L88" i="5"/>
  <c r="E146" i="10"/>
  <c r="F163" i="10"/>
  <c r="L22" i="5"/>
  <c r="D154" i="10"/>
  <c r="J41" i="5"/>
  <c r="H154" i="10"/>
  <c r="I24" i="5"/>
  <c r="E144" i="10"/>
  <c r="K76" i="5"/>
  <c r="E161" i="10"/>
  <c r="H85" i="5"/>
  <c r="J95" i="5"/>
  <c r="J24" i="5"/>
  <c r="J75" i="5"/>
  <c r="K86" i="5"/>
  <c r="H150" i="10"/>
  <c r="K7" i="5"/>
  <c r="J14" i="5"/>
  <c r="G141" i="10"/>
  <c r="L49" i="5"/>
  <c r="H96" i="5"/>
  <c r="L61" i="5"/>
  <c r="G142" i="10"/>
  <c r="E155" i="10"/>
  <c r="H69" i="5"/>
  <c r="C143" i="10"/>
  <c r="C144" i="10"/>
  <c r="G146" i="10"/>
  <c r="F160" i="10"/>
  <c r="H144" i="10"/>
  <c r="D152" i="10"/>
  <c r="J67" i="5"/>
  <c r="K61" i="5"/>
  <c r="I97" i="5"/>
  <c r="L15" i="5"/>
  <c r="K60" i="5"/>
  <c r="F151" i="10"/>
  <c r="F143" i="10"/>
  <c r="K67" i="5"/>
  <c r="K22" i="5"/>
  <c r="H60" i="5"/>
  <c r="L93" i="5"/>
  <c r="G158" i="10"/>
  <c r="H14" i="5"/>
  <c r="H25" i="5"/>
  <c r="L23" i="5"/>
  <c r="H13" i="5"/>
  <c r="E162" i="10"/>
  <c r="J40" i="5"/>
  <c r="K6" i="5"/>
  <c r="H153" i="10"/>
  <c r="I76" i="5"/>
  <c r="K58" i="5"/>
  <c r="H49" i="5"/>
  <c r="L96" i="5"/>
  <c r="I70" i="5"/>
  <c r="J31" i="5"/>
  <c r="L69" i="5"/>
  <c r="F147" i="10"/>
  <c r="H30" i="5"/>
  <c r="H21" i="5"/>
  <c r="H67" i="5"/>
  <c r="G148" i="10"/>
  <c r="D141" i="10"/>
  <c r="J32" i="5"/>
  <c r="H70" i="5"/>
  <c r="L33" i="5"/>
  <c r="H59" i="5"/>
  <c r="K87" i="5"/>
  <c r="L3" i="5"/>
  <c r="K84" i="5"/>
  <c r="H68" i="5"/>
  <c r="D140" i="10"/>
  <c r="D158" i="10"/>
  <c r="D150" i="10"/>
  <c r="J50" i="5"/>
  <c r="H61" i="5"/>
  <c r="L78" i="5"/>
  <c r="C145" i="10"/>
  <c r="J5" i="5"/>
  <c r="H12" i="5"/>
  <c r="H66" i="5"/>
  <c r="H141" i="10"/>
  <c r="G153" i="10"/>
  <c r="H40" i="5"/>
  <c r="F154" i="10"/>
  <c r="C154" i="10"/>
  <c r="C165" i="10"/>
  <c r="L87" i="5"/>
  <c r="F146" i="10"/>
  <c r="I85" i="5"/>
  <c r="J6" i="5"/>
  <c r="D144" i="10"/>
  <c r="J4" i="5"/>
  <c r="H156" i="10"/>
  <c r="K43" i="5"/>
  <c r="L59" i="5"/>
  <c r="K23" i="5"/>
  <c r="I66" i="5"/>
  <c r="K4" i="5"/>
  <c r="F150" i="10"/>
  <c r="D149" i="10"/>
  <c r="K24" i="5"/>
  <c r="H50" i="5"/>
  <c r="H158" i="10"/>
  <c r="I95" i="5"/>
  <c r="E157" i="10"/>
  <c r="C146" i="10"/>
  <c r="I93" i="5"/>
  <c r="H6" i="5"/>
  <c r="L67" i="5"/>
  <c r="K85" i="5"/>
  <c r="J21" i="5"/>
  <c r="K78" i="5"/>
  <c r="K49" i="5"/>
  <c r="I34" i="5"/>
  <c r="J3" i="5"/>
  <c r="L14" i="5"/>
  <c r="E165" i="10"/>
  <c r="C163" i="10"/>
  <c r="D162" i="10"/>
  <c r="L66" i="5"/>
  <c r="I50" i="5"/>
  <c r="I33" i="5"/>
  <c r="C160" i="10"/>
  <c r="J60" i="5"/>
  <c r="E141" i="10"/>
  <c r="L68" i="5"/>
  <c r="C155" i="10"/>
  <c r="L164" i="10" l="1"/>
  <c r="P68" i="5"/>
  <c r="P88" i="5"/>
  <c r="L155" i="10"/>
  <c r="R61" i="5"/>
  <c r="Q66" i="5"/>
  <c r="N24" i="5"/>
  <c r="R68" i="5"/>
  <c r="N96" i="5"/>
  <c r="Q3" i="5"/>
  <c r="R49" i="5"/>
  <c r="P60" i="5"/>
  <c r="N52" i="5"/>
  <c r="R4" i="5"/>
  <c r="L160" i="10"/>
  <c r="P14" i="5"/>
  <c r="N4" i="5"/>
  <c r="O84" i="5"/>
  <c r="O33" i="5"/>
  <c r="Q7" i="5"/>
  <c r="R97" i="5"/>
  <c r="P96" i="5"/>
  <c r="O50" i="5"/>
  <c r="R52" i="5"/>
  <c r="R66" i="5"/>
  <c r="Q86" i="5"/>
  <c r="N41" i="5"/>
  <c r="P75" i="5"/>
  <c r="O12" i="5"/>
  <c r="L163" i="10"/>
  <c r="P24" i="5"/>
  <c r="R5" i="5"/>
  <c r="P95" i="5"/>
  <c r="Q33" i="5"/>
  <c r="O61" i="5"/>
  <c r="R14" i="5"/>
  <c r="N85" i="5"/>
  <c r="O57" i="5"/>
  <c r="P84" i="5"/>
  <c r="P3" i="5"/>
  <c r="P94" i="5"/>
  <c r="Q12" i="5"/>
  <c r="O34" i="5"/>
  <c r="Q76" i="5"/>
  <c r="R70" i="5"/>
  <c r="Q49" i="5"/>
  <c r="Q13" i="5"/>
  <c r="O6" i="5"/>
  <c r="Q78" i="5"/>
  <c r="O24" i="5"/>
  <c r="O13" i="5"/>
  <c r="P21" i="5"/>
  <c r="L147" i="10"/>
  <c r="Q85" i="5"/>
  <c r="P41" i="5"/>
  <c r="O51" i="5"/>
  <c r="R67" i="5"/>
  <c r="N6" i="5"/>
  <c r="R22" i="5"/>
  <c r="R12" i="5"/>
  <c r="O93" i="5"/>
  <c r="Q93" i="5"/>
  <c r="L146" i="10"/>
  <c r="N15" i="5"/>
  <c r="R88" i="5"/>
  <c r="P22" i="5"/>
  <c r="O95" i="5"/>
  <c r="N88" i="5"/>
  <c r="R85" i="5"/>
  <c r="O60" i="5"/>
  <c r="O96" i="5"/>
  <c r="P30" i="5"/>
  <c r="N50" i="5"/>
  <c r="P78" i="5"/>
  <c r="Q5" i="5"/>
  <c r="R51" i="5"/>
  <c r="Q24" i="5"/>
  <c r="O78" i="5"/>
  <c r="O67" i="5"/>
  <c r="O69" i="5"/>
  <c r="L142" i="10"/>
  <c r="O68" i="5"/>
  <c r="Q79" i="5"/>
  <c r="Q4" i="5"/>
  <c r="N43" i="5"/>
  <c r="O79" i="5"/>
  <c r="O66" i="5"/>
  <c r="R34" i="5"/>
  <c r="N22" i="5"/>
  <c r="Q23" i="5"/>
  <c r="P42" i="5"/>
  <c r="P34" i="5"/>
  <c r="R59" i="5"/>
  <c r="N86" i="5"/>
  <c r="P70" i="5"/>
  <c r="Q43" i="5"/>
  <c r="Q34" i="5"/>
  <c r="L150" i="10"/>
  <c r="P4" i="5"/>
  <c r="L141" i="10"/>
  <c r="O40" i="5"/>
  <c r="N33" i="5"/>
  <c r="N84" i="5"/>
  <c r="O59" i="5"/>
  <c r="P6" i="5"/>
  <c r="P7" i="5"/>
  <c r="Q97" i="5"/>
  <c r="O85" i="5"/>
  <c r="N32" i="5"/>
  <c r="R48" i="5"/>
  <c r="R41" i="5"/>
  <c r="Q42" i="5"/>
  <c r="O32" i="5"/>
  <c r="R87" i="5"/>
  <c r="L151" i="10"/>
  <c r="P97" i="5"/>
  <c r="L165" i="10"/>
  <c r="P48" i="5"/>
  <c r="R40" i="5"/>
  <c r="L154" i="10"/>
  <c r="N58" i="5"/>
  <c r="Q39" i="5"/>
  <c r="Q70" i="5"/>
  <c r="R79" i="5"/>
  <c r="P69" i="5"/>
  <c r="N40" i="5"/>
  <c r="O25" i="5"/>
  <c r="P16" i="5"/>
  <c r="O31" i="5"/>
  <c r="P25" i="5"/>
  <c r="P93" i="5"/>
  <c r="O22" i="5"/>
  <c r="N66" i="5"/>
  <c r="R31" i="5"/>
  <c r="O87" i="5"/>
  <c r="R21" i="5"/>
  <c r="N12" i="5"/>
  <c r="Q41" i="5"/>
  <c r="R86" i="5"/>
  <c r="P5" i="5"/>
  <c r="N79" i="5"/>
  <c r="L152" i="10"/>
  <c r="Q95" i="5"/>
  <c r="L145" i="10"/>
  <c r="N16" i="5"/>
  <c r="N7" i="5"/>
  <c r="R78" i="5"/>
  <c r="L162" i="10"/>
  <c r="O58" i="5"/>
  <c r="N5" i="5"/>
  <c r="N61" i="5"/>
  <c r="O3" i="5"/>
  <c r="P50" i="5"/>
  <c r="P33" i="5"/>
  <c r="P57" i="5"/>
  <c r="N31" i="5"/>
  <c r="Q57" i="5"/>
  <c r="P59" i="5"/>
  <c r="N48" i="5"/>
  <c r="N97" i="5"/>
  <c r="O77" i="5"/>
  <c r="L159" i="10"/>
  <c r="N51" i="5"/>
  <c r="R77" i="5"/>
  <c r="N68" i="5"/>
  <c r="R57" i="5"/>
  <c r="Q84" i="5"/>
  <c r="O39" i="5"/>
  <c r="R30" i="5"/>
  <c r="R3" i="5"/>
  <c r="O48" i="5"/>
  <c r="N76" i="5"/>
  <c r="Q87" i="5"/>
  <c r="O94" i="5"/>
  <c r="P39" i="5"/>
  <c r="N59" i="5"/>
  <c r="L156" i="10"/>
  <c r="O41" i="5"/>
  <c r="N34" i="5"/>
  <c r="R33" i="5"/>
  <c r="R25" i="5"/>
  <c r="N70" i="5"/>
  <c r="L140" i="10"/>
  <c r="Q16" i="5"/>
  <c r="P32" i="5"/>
  <c r="N57" i="5"/>
  <c r="O49" i="5"/>
  <c r="N95" i="5"/>
  <c r="N93" i="5"/>
  <c r="N75" i="5"/>
  <c r="Q59" i="5"/>
  <c r="N67" i="5"/>
  <c r="O42" i="5"/>
  <c r="R75" i="5"/>
  <c r="O14" i="5"/>
  <c r="N21" i="5"/>
  <c r="Q75" i="5"/>
  <c r="Q14" i="5"/>
  <c r="Q94" i="5"/>
  <c r="N30" i="5"/>
  <c r="P77" i="5"/>
  <c r="N87" i="5"/>
  <c r="Q52" i="5"/>
  <c r="L157" i="10"/>
  <c r="P76" i="5"/>
  <c r="R69" i="5"/>
  <c r="O16" i="5"/>
  <c r="N77" i="5"/>
  <c r="P31" i="5"/>
  <c r="R58" i="5"/>
  <c r="P12" i="5"/>
  <c r="O70" i="5"/>
  <c r="Q25" i="5"/>
  <c r="R39" i="5"/>
  <c r="R96" i="5"/>
  <c r="P86" i="5"/>
  <c r="N49" i="5"/>
  <c r="R16" i="5"/>
  <c r="N23" i="5"/>
  <c r="P85" i="5"/>
  <c r="Q58" i="5"/>
  <c r="Q31" i="5"/>
  <c r="O76" i="5"/>
  <c r="R6" i="5"/>
  <c r="L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L148" i="10"/>
  <c r="Q22" i="5"/>
  <c r="O15" i="5"/>
  <c r="Q30" i="5"/>
  <c r="Q67" i="5"/>
  <c r="Q77" i="5"/>
  <c r="P23" i="5"/>
  <c r="R32" i="5"/>
  <c r="Q60" i="5"/>
  <c r="R76" i="5"/>
  <c r="O52" i="5"/>
  <c r="R15" i="5"/>
  <c r="P79" i="5"/>
  <c r="P58" i="5"/>
  <c r="Q15" i="5"/>
  <c r="O97" i="5"/>
  <c r="P49" i="5"/>
  <c r="R60" i="5"/>
  <c r="Q61" i="5"/>
  <c r="R7" i="5"/>
  <c r="L161" i="10"/>
  <c r="P67" i="5"/>
  <c r="O4" i="5"/>
  <c r="R50" i="5"/>
  <c r="P43" i="5"/>
  <c r="R95" i="5"/>
  <c r="P87" i="5"/>
  <c r="O30" i="5"/>
  <c r="O43" i="5"/>
  <c r="L149" i="10"/>
  <c r="O5" i="5"/>
  <c r="Q51" i="5"/>
  <c r="P66" i="5"/>
  <c r="N3" i="5"/>
  <c r="O23" i="5"/>
  <c r="L144" i="10"/>
  <c r="O7" i="5"/>
  <c r="L143" i="10"/>
  <c r="Q96" i="5"/>
  <c r="N78" i="5"/>
  <c r="N69" i="5"/>
  <c r="P61" i="5"/>
  <c r="L158" i="10"/>
  <c r="Q21" i="5"/>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<sst xmlns="http://schemas.openxmlformats.org/spreadsheetml/2006/main" count="2942" uniqueCount="1903">
  <si>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</si>
  <si>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</si>
  <si>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</si>
  <si>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</si>
  <si>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</si>
  <si>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</si>
  <si>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</si>
  <si>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</si>
  <si>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</si>
  <si>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</si>
  <si>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</si>
  <si>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</si>
  <si>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</si>
  <si>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</si>
  <si>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</si>
  <si>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</si>
  <si>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</si>
  <si>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</si>
  <si>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</si>
  <si>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</si>
  <si>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</si>
  <si>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</si>
  <si>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</si>
  <si>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</si>
  <si>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</si>
  <si>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</si>
  <si>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</si>
  <si>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</si>
  <si>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</si>
  <si>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</si>
  <si>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</si>
  <si>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</si>
  <si>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</si>
  <si>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</si>
  <si>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</si>
  <si>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</si>
  <si>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</si>
  <si>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</si>
  <si>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</si>
  <si>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</si>
  <si>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</si>
  <si>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</si>
  <si>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</si>
  <si>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</si>
  <si>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</si>
  <si>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</si>
  <si>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</si>
  <si>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</si>
  <si>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</si>
  <si>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</si>
  <si>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</si>
  <si>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</si>
  <si>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</si>
  <si>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</si>
  <si>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</si>
  <si>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</si>
  <si>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</si>
  <si>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</si>
  <si>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</si>
  <si>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</si>
  <si>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</si>
  <si>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</si>
  <si>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</si>
  <si>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</si>
  <si>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</si>
  <si>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</si>
  <si>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</si>
  <si>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</si>
  <si>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</si>
  <si>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</si>
  <si>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</si>
  <si>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</si>
  <si>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</si>
  <si>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</si>
  <si>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</si>
  <si>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</si>
  <si>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</si>
  <si>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</si>
  <si>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</si>
  <si>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</si>
  <si>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</si>
  <si>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</si>
  <si>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</si>
  <si>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</si>
  <si>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</si>
  <si>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</si>
  <si>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</si>
  <si>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</si>
  <si>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</si>
  <si>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</si>
  <si>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</si>
  <si>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</si>
  <si>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</si>
  <si>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</si>
  <si>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</si>
  <si>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</si>
  <si>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</si>
  <si>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</si>
  <si>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</si>
  <si>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</si>
  <si>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</si>
  <si>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</si>
  <si>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</si>
  <si>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</si>
  <si>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</si>
  <si>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</si>
  <si>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</si>
  <si>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</si>
  <si>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</si>
  <si>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</si>
  <si>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</si>
  <si>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</si>
  <si>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</si>
  <si>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</si>
  <si>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</si>
  <si>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</si>
  <si>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</si>
  <si>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</si>
  <si>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</si>
  <si>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</si>
  <si>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</si>
  <si>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</si>
  <si>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</si>
  <si>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</si>
  <si>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</si>
  <si>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</si>
  <si>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</si>
  <si>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</si>
  <si>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</si>
  <si>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</si>
  <si>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</si>
  <si>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</si>
  <si>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</si>
  <si>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</si>
  <si>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</si>
  <si>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</si>
  <si>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</si>
  <si>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</si>
  <si>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</si>
  <si>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</si>
  <si>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</si>
  <si>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</si>
  <si>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</si>
  <si>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</si>
  <si>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</si>
  <si>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</si>
  <si>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</si>
  <si>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</si>
  <si>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</si>
  <si>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</si>
  <si>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</si>
  <si>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</si>
  <si>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</si>
  <si>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</si>
  <si>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</si>
  <si>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</si>
  <si>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</si>
  <si>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</si>
  <si>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</si>
  <si>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</si>
  <si>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</si>
  <si>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</si>
  <si>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</si>
  <si>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</si>
  <si>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</si>
  <si>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</si>
  <si>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</si>
  <si>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</si>
  <si>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</si>
  <si>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</si>
  <si>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</si>
  <si>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</si>
  <si>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</si>
  <si>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</si>
  <si>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</si>
  <si>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</si>
  <si>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</si>
  <si>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</si>
  <si>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</si>
  <si>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</si>
  <si>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</si>
  <si>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</si>
  <si>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</si>
  <si>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</si>
  <si>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</si>
  <si>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</si>
  <si>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</si>
  <si>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</si>
  <si>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</si>
  <si>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</si>
  <si>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</si>
  <si>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</si>
  <si>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</si>
  <si>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</si>
  <si>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</si>
  <si>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</si>
  <si>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</si>
  <si>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</si>
  <si>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</si>
  <si>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</si>
  <si>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</si>
  <si>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</si>
  <si>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</si>
  <si>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</si>
  <si>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</si>
  <si>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</si>
  <si>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</si>
  <si>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</si>
  <si>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</si>
  <si>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</si>
  <si>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</si>
  <si>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</si>
  <si>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</si>
  <si>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</si>
  <si>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</si>
  <si>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</si>
  <si>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</si>
  <si>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</si>
  <si>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</si>
  <si>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</si>
  <si>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</si>
  <si>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</si>
  <si>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</si>
  <si>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</si>
  <si>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</si>
  <si>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</si>
  <si>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</si>
  <si>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</si>
  <si>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</si>
  <si>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</si>
  <si>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</si>
  <si>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</si>
  <si>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</si>
  <si>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</si>
  <si>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</si>
  <si>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</si>
  <si>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</si>
  <si>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</si>
  <si>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</si>
  <si>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</si>
  <si>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</si>
  <si>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</si>
  <si>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</si>
  <si>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</si>
  <si>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</si>
  <si>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</si>
  <si>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</si>
  <si>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</si>
  <si>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</si>
  <si>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</si>
  <si>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</si>
  <si>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</si>
  <si>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</si>
  <si>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</si>
  <si>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</si>
  <si>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</si>
  <si>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</si>
  <si>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</si>
  <si>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</si>
  <si>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</si>
  <si>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</si>
  <si>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</si>
  <si>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</si>
  <si>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</si>
  <si>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</si>
  <si>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</si>
  <si>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</si>
  <si>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</si>
  <si>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</si>
  <si>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</si>
  <si>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</si>
  <si>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</si>
  <si>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</si>
  <si>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</si>
  <si>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</si>
  <si>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</si>
  <si>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</si>
  <si>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</si>
  <si>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</si>
  <si>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</si>
  <si>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</si>
  <si>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</si>
  <si>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</si>
  <si>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</si>
  <si>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</si>
  <si>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</si>
  <si>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</si>
  <si>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</si>
  <si>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</si>
  <si>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</si>
  <si>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</si>
  <si>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</si>
  <si>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</si>
  <si>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</si>
  <si>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</si>
  <si>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</si>
  <si>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</si>
  <si>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</si>
  <si>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</si>
  <si>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</si>
  <si>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</si>
  <si>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</si>
  <si>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</si>
  <si>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</si>
  <si>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</si>
  <si>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</si>
  <si>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</si>
  <si>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</si>
  <si>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</si>
  <si>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</si>
  <si>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</si>
  <si>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</si>
  <si>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</si>
  <si>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</si>
  <si>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</si>
  <si>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</si>
  <si>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</si>
  <si>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</si>
  <si>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</si>
  <si>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</si>
  <si>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</si>
  <si>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</si>
  <si>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</si>
  <si>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</si>
  <si>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</si>
  <si>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</si>
  <si>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</si>
  <si>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</si>
  <si>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</si>
  <si>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</si>
  <si>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</si>
  <si>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</si>
  <si>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</si>
  <si>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</si>
  <si>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</si>
  <si>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</si>
  <si>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</si>
  <si>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</si>
  <si>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</si>
  <si>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</si>
  <si>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</si>
  <si>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</si>
  <si>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</si>
  <si>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</si>
  <si>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</si>
  <si>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</si>
  <si>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</si>
  <si>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</si>
  <si>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</si>
  <si>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</si>
  <si>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</si>
  <si>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</si>
  <si>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</si>
  <si>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</si>
  <si>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</si>
  <si>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</si>
  <si>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</si>
  <si>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</si>
  <si>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</si>
  <si>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</si>
  <si>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</si>
  <si>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</si>
  <si>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</si>
  <si>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</si>
  <si>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</si>
  <si>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</si>
  <si>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</si>
  <si>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</si>
  <si>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</si>
  <si>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</si>
  <si>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</si>
  <si>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</si>
  <si>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</si>
  <si>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</si>
  <si>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</si>
  <si>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</si>
  <si>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</si>
  <si>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</si>
  <si>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</si>
  <si>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</si>
  <si>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</si>
  <si>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</si>
  <si>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</si>
  <si>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</si>
  <si>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</si>
  <si>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</si>
  <si>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</si>
  <si>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</si>
  <si>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</si>
  <si>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</si>
  <si>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</si>
  <si>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</si>
  <si>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</si>
  <si>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</si>
  <si>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</si>
  <si>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</si>
  <si>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</si>
  <si>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</si>
  <si>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</si>
  <si>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</si>
  <si>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</si>
  <si>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</si>
  <si>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</si>
  <si>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</si>
  <si>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</si>
  <si>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</si>
  <si>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</si>
  <si>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</si>
  <si>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</si>
  <si>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</si>
  <si>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</si>
  <si>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</si>
  <si>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</si>
  <si>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</si>
  <si>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</si>
  <si>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</si>
  <si>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</si>
  <si>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</si>
  <si>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</si>
  <si>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</si>
  <si>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</si>
  <si>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</si>
  <si>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</si>
  <si>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</si>
  <si>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</si>
  <si>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</si>
  <si>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</si>
  <si>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</si>
  <si>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</si>
  <si>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</si>
  <si>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</si>
  <si>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</si>
  <si>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</si>
  <si>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</si>
  <si>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</si>
  <si>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</si>
  <si>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</si>
  <si>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</si>
  <si>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</si>
  <si>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</si>
  <si>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</si>
  <si>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</si>
  <si>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</si>
  <si>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</si>
  <si>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</si>
  <si>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</si>
  <si>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</si>
  <si>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</si>
  <si>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</si>
  <si>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</si>
  <si>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</si>
  <si>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</si>
  <si>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</si>
  <si>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</si>
  <si>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</si>
  <si>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</si>
  <si>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</si>
  <si>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</si>
  <si>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</si>
  <si>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</si>
  <si>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</si>
  <si>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</si>
  <si>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</si>
  <si>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</si>
  <si>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</si>
  <si>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</si>
  <si>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</si>
  <si>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</si>
  <si>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</si>
  <si>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</si>
  <si>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</si>
  <si>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</si>
  <si>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</si>
  <si>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</si>
  <si>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</si>
  <si>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</si>
  <si>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</si>
  <si>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</si>
  <si>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</si>
  <si>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</si>
  <si>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</si>
  <si>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</si>
  <si>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</si>
  <si>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</si>
  <si>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</si>
  <si>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</si>
  <si>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</si>
  <si>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</si>
  <si>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</si>
  <si>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</si>
  <si>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</si>
  <si>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</si>
  <si>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</si>
  <si>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</si>
  <si>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</si>
  <si>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</si>
  <si>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</si>
  <si>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</si>
  <si>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</si>
  <si>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</si>
  <si>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</si>
  <si>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</si>
  <si>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</si>
  <si>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</si>
  <si>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</si>
  <si>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</si>
  <si>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</si>
  <si>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</si>
  <si>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</si>
  <si>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</si>
  <si>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</si>
  <si>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</si>
  <si>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</si>
  <si>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</si>
  <si>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</si>
  <si>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</si>
  <si>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</si>
  <si>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</si>
  <si>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</si>
  <si>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</si>
  <si>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</si>
  <si>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</si>
  <si>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</si>
  <si>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</si>
  <si>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</si>
  <si>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</si>
  <si>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</si>
  <si>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</si>
  <si>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</si>
  <si>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</si>
  <si>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</si>
  <si>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</si>
  <si>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</si>
  <si>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</si>
  <si>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</si>
  <si>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</si>
  <si>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</si>
  <si>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</si>
  <si>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</si>
  <si>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</si>
  <si>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</si>
  <si>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</si>
  <si>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</si>
  <si>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</si>
  <si>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</si>
  <si>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</si>
  <si>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</si>
  <si>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</si>
  <si>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</si>
  <si>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</si>
  <si>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</si>
  <si>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</si>
  <si>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</si>
  <si>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</si>
  <si>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</si>
  <si>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</si>
  <si>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</si>
  <si>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</si>
  <si>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</si>
  <si>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</si>
  <si>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</si>
  <si>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</si>
  <si>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</si>
  <si>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</si>
  <si>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</si>
  <si>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</si>
  <si>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</si>
  <si>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</si>
  <si>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</si>
  <si>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</si>
  <si>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</si>
  <si>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</si>
  <si>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</si>
  <si>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</si>
  <si>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</si>
  <si>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</si>
  <si>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</si>
  <si>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</si>
  <si>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</si>
  <si>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</si>
  <si>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</si>
  <si>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</si>
  <si>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</si>
  <si>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</si>
  <si>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</si>
  <si>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</si>
  <si>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</si>
  <si>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</si>
  <si>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</si>
  <si>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</si>
  <si>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</si>
  <si>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</si>
  <si>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</si>
  <si>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</si>
  <si>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</si>
  <si>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</si>
  <si>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</si>
  <si>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</si>
  <si>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</si>
  <si>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</si>
  <si>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</si>
  <si>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</si>
  <si>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</si>
  <si>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</si>
  <si>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</si>
  <si>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</si>
  <si>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</si>
  <si>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</si>
  <si>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</si>
  <si>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</si>
  <si>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</si>
  <si>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</si>
  <si>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</si>
  <si>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</si>
  <si>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</si>
  <si>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</si>
  <si>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</si>
  <si>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</si>
  <si>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</si>
  <si>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</si>
  <si>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</si>
  <si>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</si>
  <si>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</si>
  <si>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</si>
  <si>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</si>
  <si>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</si>
  <si>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</si>
  <si>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</si>
  <si>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</si>
  <si>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</si>
  <si>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</si>
  <si>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</si>
  <si>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</si>
  <si>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</si>
  <si>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</si>
  <si>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</si>
  <si>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</si>
  <si>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</si>
  <si>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</si>
  <si>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</si>
  <si>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</si>
  <si>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</si>
  <si>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</si>
  <si>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</si>
  <si>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</si>
  <si>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</si>
  <si>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</si>
  <si>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</si>
  <si>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</si>
  <si>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</si>
  <si>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</si>
  <si>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</si>
  <si>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</si>
  <si>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</si>
  <si>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</si>
  <si>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</si>
  <si>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</si>
  <si>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</si>
  <si>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</si>
  <si>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</si>
  <si>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</si>
  <si>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</si>
  <si>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</si>
  <si>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</si>
  <si>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</si>
  <si>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</si>
  <si>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</si>
  <si>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</si>
  <si>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</si>
  <si>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</si>
  <si>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</si>
  <si>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</si>
  <si>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</si>
  <si>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</si>
  <si>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</si>
  <si>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</si>
  <si>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</si>
  <si>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</si>
  <si>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</si>
  <si>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</si>
  <si>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</si>
  <si>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</si>
  <si>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</si>
  <si>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</si>
  <si>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</si>
  <si>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</si>
  <si>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</si>
  <si>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</si>
  <si>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</si>
  <si>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</si>
  <si>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</si>
  <si>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</si>
  <si>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</si>
  <si>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</si>
  <si>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</si>
  <si>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</si>
  <si>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</si>
  <si>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</si>
  <si>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</si>
  <si>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</si>
  <si>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</si>
  <si>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</si>
  <si>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</si>
  <si>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</si>
  <si>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</si>
  <si>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</si>
  <si>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</si>
  <si>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</si>
  <si>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</si>
  <si>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</si>
  <si>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</si>
  <si>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</si>
  <si>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</si>
  <si>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</si>
  <si>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</si>
  <si>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</si>
  <si>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</si>
  <si>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</si>
  <si>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</si>
  <si>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</si>
  <si>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</si>
  <si>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</si>
  <si>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</si>
  <si>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</si>
  <si>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</si>
  <si>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</si>
  <si>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</si>
  <si>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</si>
  <si>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</si>
  <si>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</si>
  <si>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</si>
  <si>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</si>
  <si>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</si>
  <si>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</si>
  <si>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</si>
  <si>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</si>
  <si>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</si>
  <si>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</si>
  <si>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</si>
  <si>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</si>
  <si>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</si>
  <si>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</si>
  <si>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</si>
  <si>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</si>
  <si>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</si>
  <si>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</si>
  <si>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</si>
  <si>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</si>
  <si>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</si>
  <si>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</si>
  <si>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</si>
  <si>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</si>
  <si>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</si>
  <si>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</si>
  <si>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</si>
  <si>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</si>
  <si>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</si>
  <si>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</si>
  <si>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</si>
  <si>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</si>
  <si>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</si>
  <si>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</si>
  <si>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</si>
  <si>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</si>
  <si>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</si>
  <si>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</si>
  <si>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</si>
  <si>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</si>
  <si>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</si>
  <si>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</si>
  <si>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</si>
  <si>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</si>
  <si>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</si>
  <si>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</si>
  <si>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</si>
  <si>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</si>
  <si>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</si>
  <si>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</si>
  <si>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</si>
  <si>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</si>
  <si>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</si>
  <si>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</si>
  <si>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</si>
  <si>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</si>
  <si>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</si>
  <si>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</si>
  <si>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</si>
  <si>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</si>
  <si>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</si>
  <si>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</si>
  <si>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</si>
  <si>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</si>
  <si>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</si>
  <si>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</si>
  <si>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</si>
  <si>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</si>
  <si>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</si>
  <si>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</si>
  <si>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</si>
  <si>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</si>
  <si>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</si>
  <si>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</si>
  <si>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</si>
  <si>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</si>
  <si>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</si>
  <si>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</si>
  <si>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</si>
  <si>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</si>
  <si>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</si>
  <si>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</si>
  <si>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</si>
  <si>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</si>
  <si>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</si>
  <si>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</si>
  <si>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</si>
  <si>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</si>
  <si>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</si>
  <si>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</si>
  <si>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</si>
  <si>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</si>
  <si>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</si>
  <si>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</si>
  <si>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</si>
  <si>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</si>
  <si>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</si>
  <si>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</si>
  <si>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</si>
  <si>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</si>
  <si>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</si>
  <si>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</si>
  <si>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</si>
  <si>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</si>
  <si>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</si>
  <si>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</si>
  <si>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</si>
  <si>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</si>
  <si>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</si>
  <si>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</si>
  <si>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</si>
  <si>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</si>
  <si>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</si>
  <si>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</si>
  <si>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</si>
  <si>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</si>
  <si>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</si>
  <si>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</si>
  <si>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</si>
  <si>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</si>
  <si>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</si>
  <si>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</si>
  <si>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</si>
  <si>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</si>
  <si>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</si>
  <si>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</si>
  <si>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</si>
  <si>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</si>
  <si>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</si>
  <si>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</si>
  <si>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</si>
  <si>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</si>
  <si>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</si>
  <si>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</si>
  <si>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</si>
  <si>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</si>
  <si>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</si>
  <si>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</si>
  <si>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</si>
  <si>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</si>
  <si>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</si>
  <si>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</si>
  <si>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</si>
  <si>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</si>
  <si>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</si>
  <si>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</si>
  <si>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</si>
  <si>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</si>
  <si>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</si>
  <si>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</si>
  <si>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</si>
  <si>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</si>
  <si>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</si>
  <si>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</si>
  <si>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</si>
  <si>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</si>
  <si>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</si>
  <si>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</si>
  <si>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</si>
  <si>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</si>
  <si>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</si>
  <si>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</si>
  <si>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</si>
  <si>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</si>
  <si>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</si>
  <si>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</si>
  <si>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</si>
  <si>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</si>
  <si>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</si>
  <si>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</si>
  <si>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</si>
  <si>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</si>
  <si>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</si>
  <si>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</si>
  <si>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</si>
  <si>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</si>
  <si>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</si>
  <si>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</si>
  <si>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</si>
  <si>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</si>
  <si>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</si>
  <si>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</si>
  <si>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</si>
  <si>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</si>
  <si>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</si>
  <si>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</si>
  <si>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</si>
  <si>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</si>
  <si>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</si>
  <si>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</si>
  <si>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</si>
  <si>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</si>
  <si>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</si>
  <si>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</si>
  <si>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</si>
  <si>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</si>
  <si>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</si>
  <si>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</si>
  <si>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</si>
  <si>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</si>
  <si>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</si>
  <si>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</si>
  <si>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</si>
  <si>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</si>
  <si>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</si>
  <si>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</si>
  <si>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</si>
  <si>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</si>
  <si>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</si>
  <si>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</si>
  <si>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</si>
  <si>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</si>
  <si>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</si>
  <si>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</si>
  <si>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</si>
  <si>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</si>
  <si>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</si>
  <si>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</si>
  <si>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</si>
  <si>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</si>
  <si>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</si>
  <si>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</si>
  <si>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</si>
  <si>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</si>
  <si>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</si>
  <si>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</si>
  <si>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</si>
  <si>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</si>
  <si>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</si>
  <si>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</si>
  <si>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</si>
  <si>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</si>
  <si>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</si>
  <si>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</si>
  <si>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</si>
  <si>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</si>
  <si>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</si>
  <si>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</si>
  <si>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</si>
  <si>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</si>
  <si>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</si>
  <si>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</si>
  <si>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</si>
  <si>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</si>
  <si>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</si>
  <si>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</si>
  <si>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</si>
  <si>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</si>
  <si>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</si>
  <si>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</si>
  <si>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</si>
  <si>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</si>
  <si>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</si>
  <si>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</si>
  <si>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</si>
  <si>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</si>
  <si>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</si>
  <si>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</si>
  <si>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</si>
  <si>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</si>
  <si>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</si>
  <si>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</si>
  <si>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</si>
  <si>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</si>
  <si>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</si>
  <si>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</si>
  <si>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</si>
  <si>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</si>
  <si>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</si>
  <si>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</si>
  <si>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</si>
  <si>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</si>
  <si>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</si>
  <si>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</si>
  <si>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</si>
  <si>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</si>
  <si>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</si>
  <si>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</si>
  <si>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</si>
  <si>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</si>
  <si>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</si>
  <si>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</si>
  <si>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</si>
  <si>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</si>
  <si>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</si>
  <si>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</si>
  <si>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</si>
  <si>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</si>
  <si>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</si>
  <si>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</si>
  <si>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</si>
  <si>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</si>
  <si>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</si>
  <si>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</si>
  <si>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</si>
  <si>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</si>
  <si>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</si>
  <si>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</si>
  <si>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</si>
  <si>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</si>
  <si>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</si>
  <si>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</si>
  <si>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</si>
  <si>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</si>
  <si>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</si>
  <si>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</si>
  <si>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</si>
  <si>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</si>
  <si>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</si>
  <si>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</si>
  <si>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</si>
  <si>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</si>
  <si>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</si>
  <si>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</si>
  <si>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</si>
  <si>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</si>
  <si>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</si>
  <si>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</si>
  <si>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</si>
  <si>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</si>
  <si>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</si>
  <si>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</si>
  <si>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</si>
  <si>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</si>
  <si>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</si>
  <si>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</si>
  <si>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</si>
  <si>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</si>
  <si>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</si>
  <si>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</si>
  <si>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</si>
  <si>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</si>
  <si>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</si>
  <si>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</si>
  <si>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</si>
  <si>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</si>
  <si>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</si>
  <si>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</si>
  <si>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</si>
  <si>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</si>
  <si>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</si>
  <si>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</si>
  <si>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</si>
  <si>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</si>
  <si>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</si>
  <si>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</si>
  <si>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</si>
  <si>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</si>
  <si>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</si>
  <si>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</si>
  <si>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</si>
  <si>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</si>
  <si>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</si>
  <si>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</si>
  <si>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</si>
  <si>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</si>
  <si>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</si>
  <si>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</si>
  <si>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</si>
  <si>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</si>
  <si>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</si>
  <si>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</si>
  <si>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</si>
  <si>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</si>
  <si>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</si>
  <si>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</si>
  <si>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</si>
  <si>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</si>
  <si>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</si>
  <si>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</si>
  <si>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</si>
  <si>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</si>
  <si>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</si>
  <si>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</si>
  <si>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</si>
  <si>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</si>
  <si>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</si>
  <si>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</si>
  <si>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</si>
  <si>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</si>
  <si>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</si>
  <si>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</si>
  <si>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</si>
  <si>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</si>
  <si>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</si>
  <si>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</si>
  <si>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</si>
  <si>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</si>
  <si>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</si>
  <si>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</si>
  <si>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</si>
  <si>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</si>
  <si>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</si>
  <si>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</si>
  <si>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</si>
  <si>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</si>
  <si>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</si>
  <si>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</si>
  <si>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</si>
  <si>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</si>
  <si>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</si>
  <si>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</si>
  <si>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</si>
  <si>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</si>
  <si>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</si>
  <si>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</si>
  <si>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</si>
  <si>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</si>
  <si>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</si>
  <si>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</si>
  <si>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</si>
  <si>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</si>
  <si>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</si>
  <si>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</si>
  <si>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</si>
  <si>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</si>
  <si>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</si>
  <si>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</si>
  <si>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</si>
  <si>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</si>
  <si>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</si>
  <si>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</si>
  <si>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</si>
  <si>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</si>
  <si>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</si>
  <si>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</si>
  <si>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</si>
  <si>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</si>
  <si>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</si>
  <si>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</si>
  <si>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</si>
  <si>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</si>
  <si>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</si>
  <si>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</si>
  <si>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</si>
  <si>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</si>
  <si>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</si>
  <si>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</si>
  <si>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</si>
  <si>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</si>
  <si>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</si>
  <si>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</si>
  <si>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</si>
  <si>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</si>
  <si>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</si>
  <si>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</si>
  <si>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</si>
  <si>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</si>
  <si>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</si>
  <si>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</si>
  <si>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</si>
  <si>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</si>
  <si>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</si>
  <si>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</si>
  <si>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</si>
  <si>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</si>
  <si>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</si>
  <si>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</si>
  <si>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</si>
  <si>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</si>
  <si>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</si>
  <si>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</si>
  <si>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</si>
  <si>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</si>
  <si>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</si>
  <si>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</si>
  <si>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</si>
  <si>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</si>
  <si>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</si>
  <si>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</si>
  <si>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</si>
  <si>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</si>
  <si>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</si>
  <si>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</si>
  <si>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</si>
  <si>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</si>
  <si>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</si>
  <si>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</si>
  <si>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</si>
  <si>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</si>
  <si>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</si>
  <si>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</si>
  <si>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</si>
  <si>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</si>
  <si>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</si>
  <si>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</si>
  <si>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</si>
  <si>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</si>
  <si>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</si>
  <si>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</si>
  <si>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</si>
  <si>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</si>
  <si>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</si>
  <si>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</si>
  <si>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</si>
  <si>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</si>
  <si>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</si>
  <si>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</si>
  <si>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</si>
  <si>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</si>
  <si>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</si>
  <si>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</si>
  <si>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</si>
  <si>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</si>
  <si>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</si>
  <si>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</si>
  <si>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</si>
  <si>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</si>
  <si>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</si>
  <si>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</si>
  <si>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</si>
  <si>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</si>
  <si>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</si>
  <si>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</si>
  <si>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</si>
  <si>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</si>
  <si>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</si>
  <si>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</si>
  <si>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</si>
  <si>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</si>
  <si>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</si>
  <si>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</si>
  <si>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</si>
  <si>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</si>
  <si>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</si>
  <si>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</si>
  <si>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</si>
  <si>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</si>
  <si>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</si>
  <si>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</si>
  <si>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</si>
  <si>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</si>
  <si>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</si>
  <si>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</si>
  <si>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</si>
  <si>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</si>
  <si>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</si>
  <si>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</si>
  <si>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</si>
  <si>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</si>
  <si>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</si>
  <si>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</si>
  <si>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SID_UNHOLY_FRENZY</t>
  </si>
  <si>
    <t>UTID_FEL_RIDER</t>
  </si>
  <si>
    <t>ReplaceableTextures\\CommandButtons\\BTNChaosWolfRider.blp</t>
  </si>
  <si>
    <t>SID_CHAOS_LEAP</t>
  </si>
  <si>
    <t>deals 300 physical damage to all player units within range. stun 3 seconds.</t>
  </si>
  <si>
    <t>UTID_FEL_WAR_BRINGER</t>
  </si>
  <si>
    <t>ReplaceableTextures\\CommandButtons\\BTNChaosKotoBeast.blp</t>
  </si>
  <si>
    <t>SID_WAR_STOMP</t>
  </si>
  <si>
    <t>SID_BATTLE_COMMAND</t>
  </si>
  <si>
    <t>SID_FIRE_BALL</t>
  </si>
  <si>
    <t>SID_FLAME_SHOCK</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</si>
  <si>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</si>
  <si>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</si>
  <si>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</si>
  <si>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</si>
  <si>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</si>
  <si>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</si>
  <si>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</si>
  <si>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</si>
  <si>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</si>
  <si>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</si>
  <si>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</si>
  <si>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</si>
  <si>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</si>
  <si>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</si>
  <si>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</si>
  <si>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</si>
  <si>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</si>
  <si>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</si>
  <si>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</si>
  <si>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</si>
  <si>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</si>
  <si>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</si>
  <si>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</si>
  <si>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</si>
  <si>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</si>
  <si>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</si>
  <si>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</si>
  <si>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</si>
  <si>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</si>
  <si>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</si>
  <si>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</si>
  <si>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</si>
  <si>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</si>
  <si>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</si>
  <si>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</si>
  <si>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</si>
  <si>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</si>
  <si>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</si>
  <si>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</si>
  <si>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</si>
  <si>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</si>
  <si>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</si>
  <si>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</si>
  <si>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</si>
  <si>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</si>
  <si>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</si>
  <si>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</si>
  <si>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SID_FROST_GRAVE</t>
  </si>
  <si>
    <t>UTID_OBSIDIAN_CONSTRUCT</t>
  </si>
  <si>
    <t>ReplaceableTextures\\CommandButtons\\BTNObsidianStatue.blp</t>
  </si>
  <si>
    <t>SID_MANA_TAP</t>
  </si>
  <si>
    <t>UTID_ZOMBIE</t>
  </si>
  <si>
    <t>ReplaceableTextures\\CommandButtons\\BTNZombie.blp</t>
  </si>
  <si>
    <t>SID_GNAW</t>
  </si>
  <si>
    <t>SID</t>
  </si>
  <si>
    <t>UTID_PARASITICAL_ROACH</t>
  </si>
  <si>
    <t>ReplaceableTextures\\CommandButtons\\BTNCarrionScarabs.blp</t>
  </si>
  <si>
    <t>SID_PARASITE</t>
  </si>
  <si>
    <t>UTID_INFERNO_CONSTRUCT</t>
  </si>
  <si>
    <t>ReplaceableTextures\\CommandButtons\\BTNInfernal.blp</t>
  </si>
  <si>
    <t>SID_METEOR</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</si>
  <si>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</si>
  <si>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</si>
  <si>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</si>
  <si>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</si>
  <si>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</si>
  <si>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</si>
  <si>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</si>
  <si>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</si>
  <si>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</si>
  <si>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</si>
  <si>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</si>
  <si>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</si>
  <si>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</si>
  <si>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</si>
  <si>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</si>
  <si>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</si>
  <si>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</si>
  <si>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</si>
  <si>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</si>
  <si>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</si>
  <si>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</si>
  <si>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</si>
  <si>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</si>
  <si>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</si>
  <si>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</si>
  <si>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毒刺(被动)</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</si>
  <si>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</si>
  <si>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</si>
  <si>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</si>
  <si>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</si>
  <si>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</si>
  <si>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</si>
  <si>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</si>
  <si>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</si>
  <si>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</si>
  <si>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</si>
  <si>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</si>
  <si>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</si>
  <si>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</si>
  <si>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</si>
  <si>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</si>
  <si>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</si>
  <si>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</si>
  <si>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</si>
  <si>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</si>
  <si>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</si>
  <si>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</si>
  <si>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</si>
  <si>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</si>
  <si>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</si>
  <si>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</si>
  <si>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</si>
  <si>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</si>
  <si>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</si>
  <si>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</si>
  <si>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</si>
  <si>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</si>
  <si>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</si>
  <si>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</si>
  <si>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</si>
  <si>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</si>
  <si>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</si>
  <si>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</si>
  <si>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</si>
  <si>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</si>
  <si>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</si>
  <si>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</si>
  <si>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</si>
  <si>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</si>
  <si>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</si>
  <si>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</si>
  <si>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</si>
  <si>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</si>
  <si>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瘟疫(被动)</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</si>
  <si>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</si>
  <si>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</si>
  <si>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</si>
  <si>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</si>
  <si>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</si>
  <si>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</si>
  <si>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</si>
  <si>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</si>
  <si>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</si>
  <si>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</si>
  <si>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</si>
  <si>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</si>
  <si>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</si>
  <si>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</si>
  <si>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</si>
  <si>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</si>
  <si>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</si>
  <si>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</si>
  <si>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</si>
  <si>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</si>
  <si>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对目标造成其生命上限20%的伤害, 并以5倍的效果治疗自己.</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</si>
  <si>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</si>
  <si>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</si>
  <si>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</si>
  <si>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</si>
  <si>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</si>
  <si>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</si>
  <si>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</si>
  <si>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</si>
  <si>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</si>
  <si>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</si>
  <si>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</si>
  <si>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</si>
  <si>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</si>
  <si>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</si>
  <si>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</si>
  <si>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</si>
  <si>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</si>
  <si>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</si>
  <si>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</si>
  <si>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燃烧(被动)</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</si>
  <si>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</si>
  <si>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</si>
  <si>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</si>
  <si>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</si>
  <si>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</si>
  <si>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</si>
  <si>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</si>
  <si>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</si>
  <si>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</si>
  <si>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</si>
  <si>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</si>
  <si>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</si>
  <si>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</si>
  <si>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</si>
  <si>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</si>
  <si>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分裂攻击(被动)</t>
  </si>
  <si>
    <t>每次攻击对附近所有玩家单位造成伤害。</t>
  </si>
  <si>
    <t>呕吐</t>
  </si>
  <si>
    <t>呕吐出一堆蛆虫来攻击范围内的玩家单位，被蛆虫攻击的单位的命中率降低40%。</t>
  </si>
  <si>
    <t>丛林巫医</t>
  </si>
  <si>
    <t>毒液箭</t>
  </si>
  <si>
    <t>发射一枝毒箭，对路径上的所有玩家单位造成伤害。恐怖图腾也会一起发射毒箭。</t>
  </si>
  <si>
    <t>恐怖图腾</t>
  </si>
  <si>
    <t>召唤一个无敌的恐怖图腾，附近的玩家单位造成的伤害降低65%。</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</si>
  <si>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</si>
  <si>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</si>
  <si>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</si>
  <si>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</si>
  <si>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</si>
  <si>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</si>
  <si>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</si>
  <si>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</si>
  <si>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</si>
  <si>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SID_NETHER_BOLT</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</si>
  <si>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</si>
  <si>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</si>
  <si>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</si>
  <si>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</si>
  <si>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</si>
  <si>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</si>
  <si>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</si>
  <si>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</si>
  <si>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</si>
  <si>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</si>
  <si>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</si>
  <si>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</si>
  <si>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</si>
  <si>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</si>
  <si>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</si>
  <si>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</si>
  <si>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</si>
  <si>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</si>
  <si>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</si>
  <si>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</si>
  <si>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</si>
  <si>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</si>
  <si>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</si>
  <si>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</si>
  <si>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</si>
  <si>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</si>
  <si>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</si>
  <si>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</si>
  <si>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</si>
  <si>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</si>
  <si>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</si>
  <si>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</si>
  <si>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</si>
  <si>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</si>
  <si>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</si>
  <si>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</si>
  <si>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</si>
  <si>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</si>
  <si>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</si>
  <si>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</si>
  <si>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</si>
  <si>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</si>
  <si>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</si>
  <si>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</si>
  <si>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</si>
  <si>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</si>
  <si>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</si>
  <si>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</si>
  <si>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</si>
  <si>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</si>
  <si>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</si>
  <si>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</si>
  <si>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</si>
  <si>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</si>
  <si>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</si>
  <si>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</si>
  <si>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</si>
  <si>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</si>
  <si>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</si>
  <si>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</si>
  <si>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</si>
  <si>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</si>
  <si>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</si>
  <si>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</si>
  <si>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</si>
  <si>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</si>
  <si>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</si>
  <si>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</si>
  <si>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</si>
  <si>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</si>
  <si>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</si>
  <si>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</si>
  <si>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</si>
  <si>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</si>
  <si>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</si>
  <si>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</si>
  <si>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</si>
  <si>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</si>
  <si>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</si>
  <si>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</si>
  <si>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</si>
  <si>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</si>
  <si>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</si>
  <si>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</si>
  <si>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</si>
  <si>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</si>
  <si>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</si>
  <si>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</si>
  <si>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</si>
  <si>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</si>
  <si>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</si>
  <si>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</si>
  <si>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</si>
  <si>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</si>
  <si>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</si>
  <si>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</si>
  <si>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</si>
  <si>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</si>
  <si>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</si>
  <si>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</si>
  <si>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</si>
  <si>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</si>
  <si>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</si>
  <si>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</si>
  <si>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</si>
  <si>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</si>
  <si>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</si>
  <si>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</si>
  <si>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</si>
  <si>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</si>
  <si>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</si>
  <si>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</si>
  <si>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</si>
  <si>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</si>
  <si>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</si>
  <si>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</si>
  <si>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</si>
  <si>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</si>
  <si>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</si>
  <si>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</si>
  <si>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</si>
  <si>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</si>
  <si>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</si>
  <si>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</si>
  <si>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</si>
  <si>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</si>
  <si>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</si>
  <si>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</si>
  <si>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</si>
  <si>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</si>
  <si>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</si>
  <si>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</si>
  <si>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</si>
  <si>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</si>
  <si>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</si>
  <si>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</si>
  <si>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</si>
  <si>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</si>
  <si>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</si>
  <si>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</si>
  <si>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</si>
  <si>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</si>
  <si>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</si>
  <si>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</si>
  <si>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</si>
  <si>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</si>
  <si>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</si>
  <si>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</si>
  <si>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</si>
  <si>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</si>
  <si>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</si>
  <si>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</si>
  <si>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</si>
  <si>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</si>
  <si>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</si>
  <si>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</si>
  <si>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</si>
  <si>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</si>
  <si>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</si>
  <si>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</si>
  <si>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</si>
  <si>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</si>
  <si>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</si>
  <si>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</si>
  <si>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</si>
  <si>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</si>
  <si>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</si>
  <si>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</si>
  <si>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</si>
  <si>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</si>
  <si>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</si>
  <si>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</si>
  <si>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</si>
  <si>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</si>
  <si>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</si>
  <si>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</si>
  <si>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</si>
  <si>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</si>
  <si>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</si>
  <si>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</si>
  <si>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</si>
  <si>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</si>
  <si>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</si>
  <si>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</si>
  <si>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</si>
  <si>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</si>
  <si>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</si>
  <si>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</si>
  <si>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</si>
  <si>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</si>
  <si>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</si>
  <si>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</si>
  <si>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</si>
  <si>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</si>
  <si>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</si>
  <si>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</si>
  <si>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</si>
  <si>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</si>
  <si>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</si>
  <si>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</si>
  <si>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</si>
  <si>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</si>
  <si>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</si>
  <si>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</si>
  <si>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</si>
  <si>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</si>
  <si>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</si>
  <si>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</si>
  <si>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</si>
  <si>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</si>
  <si>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</si>
  <si>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</si>
  <si>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</si>
  <si>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</si>
  <si>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</si>
  <si>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</si>
  <si>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</si>
  <si>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</si>
  <si>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</si>
  <si>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</si>
  <si>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</si>
  <si>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</si>
  <si>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</si>
  <si>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</si>
  <si>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</si>
  <si>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</si>
  <si>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</si>
  <si>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</si>
  <si>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</si>
  <si>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</si>
  <si>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</si>
  <si>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</si>
  <si>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</si>
  <si>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</si>
  <si>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</si>
  <si>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</si>
  <si>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</si>
  <si>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</si>
  <si>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</si>
  <si>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</si>
  <si>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</si>
  <si>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</si>
  <si>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</si>
  <si>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</si>
  <si>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</si>
  <si>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</si>
  <si>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</si>
  <si>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</si>
  <si>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</si>
  <si>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</si>
  <si>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</si>
  <si>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</si>
  <si>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</si>
  <si>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</si>
  <si>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</si>
  <si>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</si>
  <si>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</si>
  <si>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</si>
  <si>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</si>
  <si>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</si>
  <si>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</si>
  <si>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</si>
  <si>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</si>
  <si>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</si>
  <si>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</si>
  <si>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</si>
  <si>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</si>
  <si>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</si>
  <si>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</si>
  <si>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</si>
  <si>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</si>
  <si>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</si>
  <si>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</si>
  <si>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</si>
  <si>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</si>
  <si>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</si>
  <si>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</si>
  <si>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</si>
  <si>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</si>
  <si>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</si>
  <si>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</si>
  <si>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</si>
  <si>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</si>
  <si>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</si>
  <si>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</si>
  <si>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</si>
  <si>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</si>
  <si>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</si>
  <si>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</si>
  <si>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</si>
  <si>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</si>
  <si>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</si>
  <si>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</si>
  <si>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</si>
  <si>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</si>
  <si>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</si>
  <si>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</si>
  <si>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</si>
  <si>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</si>
  <si>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</si>
  <si>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</si>
  <si>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</si>
  <si>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</si>
  <si>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</si>
  <si>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</si>
  <si>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</si>
  <si>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</si>
  <si>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</si>
  <si>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</si>
  <si>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</si>
  <si>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</si>
  <si>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</si>
  <si>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</si>
  <si>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</si>
  <si>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</si>
  <si>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</si>
  <si>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</si>
  <si>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</si>
  <si>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</si>
  <si>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</si>
  <si>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</si>
  <si>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</si>
  <si>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</si>
  <si>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</si>
  <si>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</si>
  <si>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</si>
  <si>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</si>
  <si>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</si>
  <si>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</si>
  <si>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</si>
  <si>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</si>
  <si>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</si>
  <si>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</si>
  <si>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</si>
  <si>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</si>
  <si>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</si>
  <si>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</si>
  <si>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</si>
  <si>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</si>
  <si>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</si>
  <si>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</si>
  <si>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</si>
  <si>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</si>
  <si>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</si>
  <si>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</si>
  <si>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</si>
  <si>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</si>
  <si>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</si>
  <si>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</si>
  <si>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</si>
  <si>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</si>
  <si>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</si>
  <si>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</si>
  <si>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</si>
  <si>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</si>
  <si>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</si>
  <si>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</si>
  <si>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</si>
  <si>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</si>
  <si>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</si>
  <si>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</si>
  <si>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</si>
  <si>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</si>
  <si>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</si>
  <si>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</si>
  <si>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</si>
  <si>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</si>
  <si>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</si>
  <si>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</si>
  <si>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</si>
  <si>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</si>
  <si>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</si>
  <si>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</si>
  <si>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</si>
  <si>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</si>
  <si>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</si>
  <si>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</si>
  <si>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</si>
  <si>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</si>
  <si>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</si>
  <si>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</si>
  <si>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</si>
  <si>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</si>
  <si>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</si>
  <si>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</si>
  <si>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</si>
  <si>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</si>
  <si>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</si>
  <si>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</si>
  <si>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</si>
  <si>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</si>
  <si>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</si>
  <si>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</si>
  <si>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</si>
  <si>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</si>
  <si>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</si>
  <si>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</si>
  <si>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</si>
  <si>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</si>
  <si>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</si>
  <si>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</si>
  <si>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DD+DOT，损血越多DOT越高。</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</si>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</sst>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b/>
      <sz val="10.5"/>
      <color theme="0"/>
      <name val="Calibri"/>
      <family val="2"/>
    </font>
    <font>
      <sz val="10.5"/>
      <name val="Calibri"/>
      <family val="2"/>
    </font>
    <font>
      <sz val="10.5"/>
      <color rgb="FF000000"/>
      <name val="Calibri"/>
      <family val="2"/>
    </font>
    <font>
      <b/>
      <sz val="10.5"/>
      <color rgb="FFFFFFFF"/>
      <name val="Calibri"/>
      <family val="2"/>
      <scheme val="minor"/>
    </font>
    <font>
      <b/>
      <sz val="10.5"/>
      <name val="Calibri"/>
      <family val="2"/>
      <scheme val="minor"/>
    </font>
    <font>
      <sz val="9"/>
      <color indexed="81"/>
      <name val="Tahoma"/>
      <charset val="1"/>
    </font>
    <font>
      <b/>
      <sz val="9"/>
      <color indexed="81"/>
      <name val="Tahoma"/>
      <charset val="1"/>
    </font>
  </fonts>
  <fills count="65">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63" borderId="0" applyNumberFormat="0" applyBorder="0" applyAlignment="0" applyProtection="0"/>
  </cellStyleXfs>
  <cellXfs count="20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5" fillId="55" borderId="0" xfId="0" applyFont="1" applyFill="1" applyBorder="1" applyAlignment="1">
      <alignment horizontal="center"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0" borderId="0" xfId="0" applyFont="1" applyFill="1" applyBorder="1" applyAlignment="1">
      <alignment vertical="center"/>
    </xf>
    <xf numFmtId="0" fontId="12" fillId="53" borderId="0" xfId="0" applyFont="1" applyFill="1" applyBorder="1" applyAlignment="1">
      <alignment horizontal="left" vertical="center" wrapText="1"/>
    </xf>
    <xf numFmtId="0" fontId="15" fillId="60"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63"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61" borderId="0" xfId="0" applyFont="1" applyFill="1" applyBorder="1" applyAlignment="1">
      <alignment horizontal="center" vertical="center"/>
    </xf>
    <xf numFmtId="0" fontId="15" fillId="62"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59" borderId="0" xfId="0" applyFont="1" applyFill="1" applyBorder="1" applyAlignment="1">
      <alignment horizontal="center" vertical="center"/>
    </xf>
    <xf numFmtId="0" fontId="15" fillId="0" borderId="0" xfId="0" applyFont="1" applyAlignment="1">
      <alignment horizontal="center" vertical="center"/>
    </xf>
    <xf numFmtId="0" fontId="18" fillId="34" borderId="0" xfId="0" applyFont="1" applyFill="1" applyAlignment="1"/>
    <xf numFmtId="0" fontId="19" fillId="15" borderId="0" xfId="0" applyFont="1" applyFill="1" applyAlignment="1"/>
    <xf numFmtId="0" fontId="19" fillId="15" borderId="0" xfId="0" applyFont="1" applyFill="1" applyAlignment="1">
      <alignment horizontal="right"/>
    </xf>
    <xf numFmtId="0" fontId="20" fillId="0" borderId="0" xfId="0" applyFont="1" applyAlignment="1"/>
    <xf numFmtId="0" fontId="19" fillId="7" borderId="0" xfId="0" applyFont="1" applyFill="1" applyAlignment="1"/>
    <xf numFmtId="0" fontId="19" fillId="7" borderId="0" xfId="0" applyFont="1" applyFill="1" applyAlignment="1">
      <alignment horizontal="right"/>
    </xf>
    <xf numFmtId="0" fontId="19" fillId="8" borderId="0" xfId="0" applyFont="1" applyFill="1" applyAlignment="1"/>
    <xf numFmtId="0" fontId="19" fillId="57" borderId="0" xfId="0" applyFont="1" applyFill="1" applyAlignment="1">
      <alignment horizontal="right"/>
    </xf>
    <xf numFmtId="0" fontId="19" fillId="8" borderId="0" xfId="0" applyFont="1" applyFill="1" applyAlignment="1">
      <alignment horizontal="right"/>
    </xf>
    <xf numFmtId="0" fontId="19" fillId="39" borderId="0" xfId="0" applyFont="1" applyFill="1" applyAlignment="1"/>
    <xf numFmtId="0" fontId="19" fillId="39" borderId="0" xfId="0" applyFont="1" applyFill="1" applyAlignment="1">
      <alignment horizontal="right"/>
    </xf>
    <xf numFmtId="0" fontId="19" fillId="11" borderId="0" xfId="0" applyFont="1" applyFill="1" applyAlignment="1"/>
    <xf numFmtId="0" fontId="19" fillId="11" borderId="0" xfId="0" applyFont="1" applyFill="1" applyAlignment="1">
      <alignment horizontal="right"/>
    </xf>
    <xf numFmtId="0" fontId="21" fillId="2" borderId="0" xfId="0" applyFont="1" applyFill="1" applyAlignment="1"/>
    <xf numFmtId="0" fontId="12" fillId="0" borderId="0" xfId="0" applyFont="1" applyAlignment="1"/>
    <xf numFmtId="0" fontId="13" fillId="7" borderId="0" xfId="0" applyFont="1" applyFill="1" applyAlignment="1"/>
    <xf numFmtId="0" fontId="13" fillId="15" borderId="0" xfId="0" applyFont="1" applyFill="1" applyAlignment="1"/>
    <xf numFmtId="0" fontId="13" fillId="38" borderId="0" xfId="0" applyFont="1" applyFill="1" applyAlignment="1"/>
    <xf numFmtId="0" fontId="13" fillId="22" borderId="0" xfId="0" applyFont="1" applyFill="1" applyAlignment="1"/>
    <xf numFmtId="0" fontId="13" fillId="11" borderId="0" xfId="0" applyFont="1" applyFill="1" applyAlignment="1"/>
    <xf numFmtId="0" fontId="13" fillId="8" borderId="0" xfId="0" applyFont="1" applyFill="1" applyAlignment="1"/>
    <xf numFmtId="0" fontId="13" fillId="6" borderId="0" xfId="0" applyFont="1" applyFill="1" applyAlignment="1"/>
    <xf numFmtId="0" fontId="13" fillId="9" borderId="0" xfId="0" applyFont="1" applyFill="1" applyAlignment="1"/>
    <xf numFmtId="0" fontId="13" fillId="10" borderId="0" xfId="0" applyFont="1" applyFill="1" applyAlignment="1"/>
    <xf numFmtId="0" fontId="13" fillId="37" borderId="0" xfId="0" applyFont="1" applyFill="1" applyAlignment="1"/>
    <xf numFmtId="0" fontId="13" fillId="45" borderId="0" xfId="0" applyFont="1" applyFill="1" applyAlignment="1"/>
    <xf numFmtId="0" fontId="13" fillId="44" borderId="0" xfId="0" applyFont="1" applyFill="1" applyAlignment="1"/>
    <xf numFmtId="0" fontId="12" fillId="41" borderId="0" xfId="0" applyFont="1" applyFill="1" applyAlignment="1"/>
    <xf numFmtId="0" fontId="13" fillId="42" borderId="0" xfId="0" applyFont="1" applyFill="1" applyAlignment="1"/>
    <xf numFmtId="0" fontId="12" fillId="43" borderId="0" xfId="0" applyFont="1" applyFill="1" applyAlignment="1"/>
    <xf numFmtId="0" fontId="11" fillId="23" borderId="0" xfId="1" applyFont="1" applyBorder="1" applyAlignment="1">
      <alignment horizontal="center" vertical="center" wrapText="1"/>
    </xf>
    <xf numFmtId="0" fontId="20" fillId="0" borderId="0" xfId="0" applyFont="1" applyAlignment="1">
      <alignment horizontal="left" vertical="center" wrapText="1"/>
    </xf>
    <xf numFmtId="0" fontId="20" fillId="0" borderId="0" xfId="0" applyFont="1" applyAlignment="1">
      <alignment wrapText="1"/>
    </xf>
    <xf numFmtId="0" fontId="20" fillId="7" borderId="0" xfId="0" applyFont="1" applyFill="1" applyBorder="1" applyAlignment="1">
      <alignment horizontal="left" vertical="center" wrapText="1"/>
    </xf>
    <xf numFmtId="0" fontId="19" fillId="0" borderId="0" xfId="0" applyFont="1" applyAlignment="1">
      <alignment wrapText="1"/>
    </xf>
    <xf numFmtId="0" fontId="20" fillId="0" borderId="0" xfId="0" applyFont="1" applyAlignment="1">
      <alignment horizontal="left" wrapText="1"/>
    </xf>
    <xf numFmtId="0" fontId="20" fillId="8" borderId="0" xfId="0" applyFont="1" applyFill="1" applyBorder="1" applyAlignment="1">
      <alignment horizontal="left" vertical="center" wrapText="1"/>
    </xf>
    <xf numFmtId="0" fontId="20" fillId="12" borderId="0" xfId="0" applyFont="1" applyFill="1" applyBorder="1" applyAlignment="1">
      <alignment horizontal="left" vertical="center" wrapText="1"/>
    </xf>
    <xf numFmtId="0" fontId="20" fillId="7" borderId="0" xfId="0" applyFont="1" applyFill="1" applyAlignment="1">
      <alignment horizontal="left" vertical="center" wrapText="1"/>
    </xf>
    <xf numFmtId="0" fontId="20" fillId="11" borderId="0" xfId="0" applyFont="1" applyFill="1" applyAlignment="1">
      <alignment horizontal="left" vertical="center" wrapText="1"/>
    </xf>
    <xf numFmtId="0" fontId="20" fillId="22" borderId="0" xfId="0" applyFont="1" applyFill="1" applyAlignment="1">
      <alignment horizontal="left" vertical="center" wrapText="1"/>
    </xf>
    <xf numFmtId="0" fontId="19" fillId="22" borderId="0" xfId="0" applyFont="1" applyFill="1" applyAlignment="1">
      <alignment wrapText="1"/>
    </xf>
    <xf numFmtId="0" fontId="20" fillId="9" borderId="0" xfId="0" applyFont="1" applyFill="1" applyAlignment="1">
      <alignment horizontal="left" vertical="center" wrapText="1"/>
    </xf>
    <xf numFmtId="0" fontId="22"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19" fillId="64" borderId="0" xfId="0" applyFont="1" applyFill="1" applyAlignment="1"/>
    <xf numFmtId="0" fontId="19" fillId="64" borderId="0" xfId="0" applyFont="1" applyFill="1" applyAlignment="1">
      <alignment horizontal="right"/>
    </xf>
    <xf numFmtId="0" fontId="20" fillId="58" borderId="0" xfId="0" applyFont="1" applyFill="1" applyAlignment="1"/>
    <xf numFmtId="0" fontId="20" fillId="0" borderId="0" xfId="0" applyFont="1" applyAlignment="1">
      <alignment horizontal="center" vertical="center" wrapText="1"/>
    </xf>
    <xf numFmtId="0" fontId="20" fillId="7" borderId="0" xfId="0" applyFont="1" applyFill="1" applyBorder="1" applyAlignment="1">
      <alignment horizontal="left" vertical="center" wrapText="1"/>
    </xf>
    <xf numFmtId="0" fontId="19" fillId="0" borderId="0" xfId="0" applyFont="1" applyBorder="1" applyAlignment="1">
      <alignment wrapText="1"/>
    </xf>
    <xf numFmtId="0" fontId="20" fillId="0" borderId="0" xfId="0" applyFont="1" applyAlignment="1">
      <alignment horizontal="left" vertical="center" wrapText="1"/>
    </xf>
    <xf numFmtId="0" fontId="20"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12" fillId="15" borderId="0" xfId="0" applyFont="1" applyFill="1" applyBorder="1" applyAlignment="1">
      <alignment horizontal="left" vertical="center" wrapText="1"/>
    </xf>
    <xf numFmtId="0" fontId="12" fillId="16" borderId="0" xfId="0" applyFont="1" applyFill="1" applyBorder="1" applyAlignment="1">
      <alignment horizontal="left" vertical="center" wrapText="1"/>
    </xf>
    <xf numFmtId="0" fontId="12" fillId="3" borderId="0" xfId="0" applyFont="1" applyFill="1" applyBorder="1" applyAlignment="1">
      <alignment vertical="center" wrapText="1"/>
    </xf>
    <xf numFmtId="0" fontId="12" fillId="15" borderId="0" xfId="0" applyFont="1" applyFill="1" applyBorder="1" applyAlignment="1">
      <alignment vertical="center" wrapText="1"/>
    </xf>
  </cellXfs>
  <cellStyles count="3">
    <cellStyle name="Good" xfId="1" builtinId="26" customBuiltin="1"/>
    <cellStyle name="Neutral" xfId="2" builtinId="28" customBuiltin="1"/>
    <cellStyle name="Normal" xfId="0" builtinId="0"/>
  </cellStyles>
  <dxfs count="0"/>
  <tableStyles count="0" defaultTableStyle="TableStyleMedium2" defaultPivotStyle="PivotStyleLight16"/>
  <colors>
    <mruColors>
      <color rgb="FFFF66FF"/>
      <color rgb="FFCC00FF"/>
      <color rgb="FFFF99FF"/>
      <color rgb="FFFFCCCC"/>
      <color rgb="FFFFCC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pane xSplit="3" ySplit="1" topLeftCell="D206" activePane="bottomRight" state="frozen"/>
      <selection pane="topRight" activeCell="D1" sqref="D1"/>
      <selection pane="bottomLeft" activeCell="A2" sqref="A2"/>
      <selection pane="bottomRight" activeCell="D9" sqref="D9"/>
    </sheetView>
  </sheetViews>
  <sheetFormatPr defaultColWidth="17.28515625" defaultRowHeight="14.25"/>
  <cols>
    <col min="1" max="1" width="9" style="171" bestFit="1" customWidth="1"/>
    <col min="2" max="2" width="11" style="169" bestFit="1" customWidth="1"/>
    <col min="3" max="3" width="11.42578125" style="172" customWidth="1"/>
    <col min="4" max="5" width="65.7109375" style="109" customWidth="1"/>
    <col min="6" max="6" width="8.28515625" style="173" customWidth="1"/>
    <col min="7" max="7" width="8.5703125" style="109" bestFit="1" customWidth="1"/>
    <col min="8" max="8" width="7" style="173" bestFit="1" customWidth="1"/>
    <col min="9" max="9" width="5" style="109" bestFit="1" customWidth="1"/>
    <col min="10" max="10" width="5.140625" style="173" bestFit="1" customWidth="1"/>
    <col min="11" max="11" width="9.28515625" style="109" bestFit="1" customWidth="1"/>
    <col min="12" max="12" width="7.5703125" style="173" customWidth="1"/>
    <col min="13" max="13" width="7.85546875" style="173" bestFit="1" customWidth="1"/>
    <col min="14" max="14" width="22.140625" style="109" bestFit="1" customWidth="1"/>
    <col min="15" max="15" width="10.28515625" style="109" customWidth="1"/>
    <col min="16" max="16" width="7.85546875" style="109" customWidth="1"/>
    <col min="17" max="17" width="65.7109375" style="169" customWidth="1"/>
    <col min="18" max="16384" width="17.28515625" style="109"/>
  </cols>
  <sheetData>
    <row r="1" spans="1:17" s="47" customFormat="1">
      <c r="A1" s="155" t="s">
        <v>0</v>
      </c>
      <c r="B1" s="45" t="s">
        <v>1</v>
      </c>
      <c r="C1" s="46" t="s">
        <v>62</v>
      </c>
      <c r="D1" s="47" t="s">
        <v>2</v>
      </c>
      <c r="E1" s="47" t="s">
        <v>1599</v>
      </c>
      <c r="F1" s="167" t="s">
        <v>605</v>
      </c>
      <c r="G1" s="44" t="s">
        <v>606</v>
      </c>
      <c r="H1" s="167" t="s">
        <v>607</v>
      </c>
      <c r="I1" s="44" t="s">
        <v>608</v>
      </c>
      <c r="J1" s="167" t="s">
        <v>609</v>
      </c>
      <c r="K1" s="44" t="s">
        <v>610</v>
      </c>
      <c r="L1" s="167" t="s">
        <v>3</v>
      </c>
      <c r="M1" s="168" t="s">
        <v>1315</v>
      </c>
      <c r="N1" s="47" t="s">
        <v>1317</v>
      </c>
      <c r="O1" s="44" t="s">
        <v>1316</v>
      </c>
      <c r="P1" s="47" t="s">
        <v>4</v>
      </c>
      <c r="Q1" s="45" t="s">
        <v>553</v>
      </c>
    </row>
    <row r="2" spans="1:17" ht="42.75">
      <c r="A2" s="157" t="s">
        <v>5</v>
      </c>
      <c r="B2" s="178" t="s">
        <v>6</v>
      </c>
      <c r="C2" s="179" t="s">
        <v>600</v>
      </c>
      <c r="D2" s="27" t="s">
        <v>629</v>
      </c>
      <c r="E2" s="27"/>
      <c r="F2" s="27"/>
      <c r="G2" s="27"/>
      <c r="H2" s="27"/>
      <c r="I2" s="27"/>
      <c r="J2" s="27"/>
      <c r="K2" s="27"/>
      <c r="L2" s="27"/>
      <c r="M2" s="27" t="s">
        <v>1318</v>
      </c>
      <c r="N2" s="27" t="s">
        <v>1319</v>
      </c>
      <c r="O2" s="28"/>
      <c r="Q2" s="169"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57"/>
      <c r="B3" s="176"/>
      <c r="C3" s="177"/>
      <c r="D3" s="29" t="s">
        <v>7</v>
      </c>
      <c r="E3" s="29" t="s">
        <v>630</v>
      </c>
      <c r="F3" s="29"/>
      <c r="G3" s="29"/>
      <c r="H3" s="29"/>
      <c r="I3" s="29"/>
      <c r="J3" s="29">
        <v>30</v>
      </c>
      <c r="K3" s="29">
        <v>5</v>
      </c>
      <c r="L3" s="29">
        <v>7</v>
      </c>
      <c r="M3" s="29"/>
      <c r="N3" s="29"/>
      <c r="O3" s="28"/>
      <c r="Q3" s="169"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57"/>
      <c r="B4" s="176"/>
      <c r="C4" s="177"/>
      <c r="D4" s="30" t="s">
        <v>8</v>
      </c>
      <c r="E4" s="30" t="s">
        <v>631</v>
      </c>
      <c r="F4" s="30"/>
      <c r="G4" s="30"/>
      <c r="H4" s="30"/>
      <c r="I4" s="30"/>
      <c r="J4" s="30">
        <v>30</v>
      </c>
      <c r="K4" s="30">
        <v>5</v>
      </c>
      <c r="L4" s="30">
        <v>7</v>
      </c>
      <c r="M4" s="30"/>
      <c r="N4" s="30"/>
      <c r="O4" s="28"/>
      <c r="Q4" s="169"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57"/>
      <c r="B5" s="176"/>
      <c r="C5" s="177"/>
      <c r="D5" s="29" t="s">
        <v>9</v>
      </c>
      <c r="E5" s="29" t="s">
        <v>632</v>
      </c>
      <c r="F5" s="29"/>
      <c r="G5" s="29"/>
      <c r="H5" s="29"/>
      <c r="I5" s="29"/>
      <c r="J5" s="29">
        <v>30</v>
      </c>
      <c r="K5" s="29">
        <v>5</v>
      </c>
      <c r="L5" s="29">
        <v>7</v>
      </c>
      <c r="M5" s="29"/>
      <c r="N5" s="29"/>
      <c r="O5" s="28"/>
      <c r="Q5" s="169"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170"/>
      <c r="B6" s="174" t="s">
        <v>12</v>
      </c>
      <c r="C6" s="175" t="s">
        <v>601</v>
      </c>
      <c r="D6" s="27" t="s">
        <v>1627</v>
      </c>
      <c r="E6" s="27"/>
      <c r="F6" s="27"/>
      <c r="G6" s="27"/>
      <c r="H6" s="27"/>
      <c r="I6" s="27"/>
      <c r="J6" s="27"/>
      <c r="K6" s="27"/>
      <c r="L6" s="27"/>
      <c r="M6" s="27" t="s">
        <v>1600</v>
      </c>
      <c r="N6" s="27" t="s">
        <v>1601</v>
      </c>
      <c r="O6" s="142"/>
      <c r="Q6" s="169"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170"/>
      <c r="B7" s="174"/>
      <c r="C7" s="175"/>
      <c r="D7" s="29" t="s">
        <v>13</v>
      </c>
      <c r="E7" s="29" t="s">
        <v>1602</v>
      </c>
      <c r="F7" s="29"/>
      <c r="G7" s="29"/>
      <c r="H7" s="29"/>
      <c r="I7" s="29">
        <v>250</v>
      </c>
      <c r="J7" s="29">
        <v>20</v>
      </c>
      <c r="K7" s="29">
        <v>8</v>
      </c>
      <c r="L7" s="29">
        <v>8</v>
      </c>
      <c r="M7" s="29"/>
      <c r="N7" s="29"/>
      <c r="O7" s="142"/>
      <c r="Q7" s="169"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170"/>
      <c r="B8" s="174"/>
      <c r="C8" s="175"/>
      <c r="D8" s="30" t="s">
        <v>14</v>
      </c>
      <c r="E8" s="30" t="s">
        <v>1603</v>
      </c>
      <c r="F8" s="30"/>
      <c r="G8" s="30"/>
      <c r="H8" s="30"/>
      <c r="I8" s="30">
        <v>250</v>
      </c>
      <c r="J8" s="30">
        <v>20</v>
      </c>
      <c r="K8" s="30">
        <v>8</v>
      </c>
      <c r="L8" s="30">
        <v>8</v>
      </c>
      <c r="M8" s="30"/>
      <c r="N8" s="30"/>
      <c r="O8" s="142"/>
      <c r="Q8" s="169"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170"/>
      <c r="B9" s="174"/>
      <c r="C9" s="175"/>
      <c r="D9" s="29" t="s">
        <v>15</v>
      </c>
      <c r="E9" s="29" t="s">
        <v>1604</v>
      </c>
      <c r="F9" s="29"/>
      <c r="G9" s="29"/>
      <c r="H9" s="29"/>
      <c r="I9" s="29">
        <v>250</v>
      </c>
      <c r="J9" s="29">
        <v>20</v>
      </c>
      <c r="K9" s="29">
        <v>8</v>
      </c>
      <c r="L9" s="29">
        <v>8</v>
      </c>
      <c r="M9" s="29"/>
      <c r="N9" s="29"/>
      <c r="O9" s="142"/>
      <c r="Q9" s="169"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170"/>
      <c r="B10" s="174" t="s">
        <v>17</v>
      </c>
      <c r="C10" s="175" t="s">
        <v>602</v>
      </c>
      <c r="D10" s="27" t="s">
        <v>1605</v>
      </c>
      <c r="E10" s="27"/>
      <c r="F10" s="27"/>
      <c r="G10" s="27"/>
      <c r="H10" s="27"/>
      <c r="I10" s="27"/>
      <c r="J10" s="27"/>
      <c r="K10" s="27"/>
      <c r="L10" s="27"/>
      <c r="M10" s="27" t="s">
        <v>1609</v>
      </c>
      <c r="N10" s="27" t="s">
        <v>1610</v>
      </c>
      <c r="O10" s="28"/>
      <c r="P10" s="161"/>
      <c r="Q10" s="169"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170"/>
      <c r="B11" s="174"/>
      <c r="C11" s="175"/>
      <c r="D11" s="29" t="s">
        <v>1628</v>
      </c>
      <c r="E11" s="29" t="s">
        <v>1606</v>
      </c>
      <c r="F11" s="29"/>
      <c r="G11" s="29"/>
      <c r="H11" s="29">
        <v>400</v>
      </c>
      <c r="I11" s="29"/>
      <c r="J11" s="29"/>
      <c r="K11" s="29">
        <v>5</v>
      </c>
      <c r="L11" s="29">
        <v>2</v>
      </c>
      <c r="M11" s="29"/>
      <c r="N11" s="29"/>
      <c r="O11" s="28"/>
      <c r="P11" s="161"/>
      <c r="Q11" s="169"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170"/>
      <c r="B12" s="174"/>
      <c r="C12" s="175"/>
      <c r="D12" s="30" t="s">
        <v>1629</v>
      </c>
      <c r="E12" s="30" t="s">
        <v>1607</v>
      </c>
      <c r="F12" s="30"/>
      <c r="G12" s="30"/>
      <c r="H12" s="30">
        <v>400</v>
      </c>
      <c r="I12" s="30"/>
      <c r="J12" s="30"/>
      <c r="K12" s="30">
        <v>5</v>
      </c>
      <c r="L12" s="30">
        <v>2</v>
      </c>
      <c r="M12" s="30"/>
      <c r="N12" s="30"/>
      <c r="O12" s="28"/>
      <c r="P12" s="161"/>
      <c r="Q12" s="169"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170"/>
      <c r="B13" s="174"/>
      <c r="C13" s="175"/>
      <c r="D13" s="29" t="s">
        <v>1630</v>
      </c>
      <c r="E13" s="29" t="s">
        <v>1608</v>
      </c>
      <c r="F13" s="29"/>
      <c r="G13" s="29"/>
      <c r="H13" s="29">
        <v>400</v>
      </c>
      <c r="I13" s="29"/>
      <c r="J13" s="29"/>
      <c r="K13" s="29">
        <v>5</v>
      </c>
      <c r="L13" s="29">
        <v>2</v>
      </c>
      <c r="M13" s="29"/>
      <c r="N13" s="29"/>
      <c r="O13" s="28"/>
      <c r="P13" s="161"/>
      <c r="Q13" s="169"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170"/>
      <c r="B14" s="174" t="s">
        <v>18</v>
      </c>
      <c r="C14" s="175" t="s">
        <v>603</v>
      </c>
      <c r="D14" s="27" t="s">
        <v>1611</v>
      </c>
      <c r="E14" s="27"/>
      <c r="F14" s="27"/>
      <c r="G14" s="27"/>
      <c r="H14" s="27"/>
      <c r="I14" s="27"/>
      <c r="J14" s="27"/>
      <c r="K14" s="27"/>
      <c r="L14" s="27"/>
      <c r="M14" s="27" t="s">
        <v>1618</v>
      </c>
      <c r="N14" s="27" t="s">
        <v>1619</v>
      </c>
      <c r="O14" s="28"/>
      <c r="Q14" s="169"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170"/>
      <c r="B15" s="174"/>
      <c r="C15" s="175"/>
      <c r="D15" s="29" t="s">
        <v>1612</v>
      </c>
      <c r="E15" s="29" t="s">
        <v>1615</v>
      </c>
      <c r="F15" s="29"/>
      <c r="G15" s="29"/>
      <c r="H15" s="29">
        <v>600</v>
      </c>
      <c r="I15" s="29"/>
      <c r="J15" s="29"/>
      <c r="K15" s="29">
        <v>5</v>
      </c>
      <c r="L15" s="29">
        <v>14</v>
      </c>
      <c r="M15" s="29"/>
      <c r="N15" s="29"/>
      <c r="O15" s="28"/>
      <c r="Q15" s="169" t="str">
        <f t="shared" si="0"/>
        <v>使一个弱小的敌人陷入混乱，立即强迫其攻击你，削弱目标50%的攻击强度。|n|n|cff99ccff施法距离:|r 600码|n|cff99ccff持续时间:|r 5秒|n|cff99ccff冷却时间:|r 14秒</v>
      </c>
    </row>
    <row r="16" spans="1:17" ht="28.5">
      <c r="A16" s="170"/>
      <c r="B16" s="174"/>
      <c r="C16" s="175"/>
      <c r="D16" s="30" t="s">
        <v>1613</v>
      </c>
      <c r="E16" s="30" t="s">
        <v>1616</v>
      </c>
      <c r="F16" s="30"/>
      <c r="G16" s="30"/>
      <c r="H16" s="30">
        <v>600</v>
      </c>
      <c r="I16" s="30"/>
      <c r="J16" s="30"/>
      <c r="K16" s="30">
        <v>5</v>
      </c>
      <c r="L16" s="30">
        <v>12</v>
      </c>
      <c r="M16" s="30"/>
      <c r="N16" s="30"/>
      <c r="O16" s="28"/>
      <c r="Q16" s="169" t="str">
        <f t="shared" si="0"/>
        <v>使一个弱小的敌人陷入混乱，立即强迫其攻击你，削弱目标60%的攻击强度。|n|n|cff99ccff施法距离:|r 600码|n|cff99ccff持续时间:|r 5秒|n|cff99ccff冷却时间:|r 12秒</v>
      </c>
    </row>
    <row r="17" spans="1:17" ht="28.5">
      <c r="A17" s="170"/>
      <c r="B17" s="174"/>
      <c r="C17" s="175"/>
      <c r="D17" s="29" t="s">
        <v>1614</v>
      </c>
      <c r="E17" s="29" t="s">
        <v>1617</v>
      </c>
      <c r="F17" s="29"/>
      <c r="G17" s="29"/>
      <c r="H17" s="29">
        <v>600</v>
      </c>
      <c r="I17" s="29"/>
      <c r="J17" s="29"/>
      <c r="K17" s="29">
        <v>5</v>
      </c>
      <c r="L17" s="29">
        <v>10</v>
      </c>
      <c r="M17" s="29"/>
      <c r="N17" s="29"/>
      <c r="O17" s="28"/>
      <c r="Q17" s="169" t="str">
        <f t="shared" si="0"/>
        <v>使一个弱小的敌人陷入混乱，立即强迫其攻击你，削弱目标70%的攻击强度。|n|n|cff99ccff施法距离:|r 600码|n|cff99ccff持续时间:|r 5秒|n|cff99ccff冷却时间:|r 10秒</v>
      </c>
    </row>
    <row r="18" spans="1:17" ht="28.5">
      <c r="A18" s="170"/>
      <c r="B18" s="174" t="s">
        <v>19</v>
      </c>
      <c r="C18" s="175" t="s">
        <v>604</v>
      </c>
      <c r="D18" s="27" t="s">
        <v>1620</v>
      </c>
      <c r="E18" s="27"/>
      <c r="F18" s="27"/>
      <c r="G18" s="27"/>
      <c r="H18" s="27"/>
      <c r="I18" s="27"/>
      <c r="J18" s="27"/>
      <c r="K18" s="27"/>
      <c r="L18" s="27"/>
      <c r="M18" s="27" t="s">
        <v>1624</v>
      </c>
      <c r="N18" s="27" t="s">
        <v>1625</v>
      </c>
      <c r="O18" s="28"/>
      <c r="Q18" s="169"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170"/>
      <c r="B19" s="174"/>
      <c r="C19" s="175"/>
      <c r="D19" s="29" t="s">
        <v>20</v>
      </c>
      <c r="E19" s="29" t="s">
        <v>1621</v>
      </c>
      <c r="F19" s="29"/>
      <c r="G19" s="29"/>
      <c r="H19" s="29"/>
      <c r="I19" s="29"/>
      <c r="J19" s="29"/>
      <c r="K19" s="29">
        <v>8</v>
      </c>
      <c r="L19" s="29">
        <v>30</v>
      </c>
      <c r="M19" s="29"/>
      <c r="N19" s="29"/>
      <c r="O19" s="28"/>
      <c r="Q19" s="169" t="str">
        <f t="shared" si="0"/>
        <v>激活辛多雷之力，使血精灵防御者受到的所有伤害降低35%。|n|n|cff99ccff持续时间:|r 8秒|n|cff99ccff冷却时间:|r 30秒</v>
      </c>
    </row>
    <row r="20" spans="1:17">
      <c r="A20" s="170"/>
      <c r="B20" s="174"/>
      <c r="C20" s="175"/>
      <c r="D20" s="30" t="s">
        <v>21</v>
      </c>
      <c r="E20" s="30" t="s">
        <v>1622</v>
      </c>
      <c r="F20" s="30"/>
      <c r="G20" s="30"/>
      <c r="H20" s="30"/>
      <c r="I20" s="30"/>
      <c r="J20" s="30"/>
      <c r="K20" s="30">
        <v>8</v>
      </c>
      <c r="L20" s="30">
        <v>30</v>
      </c>
      <c r="M20" s="30"/>
      <c r="N20" s="30"/>
      <c r="O20" s="28"/>
      <c r="Q20" s="169" t="str">
        <f t="shared" si="0"/>
        <v>激活辛多雷之力，使血精灵防御者受到的所有伤害降低50%。|n|n|cff99ccff持续时间:|r 8秒|n|cff99ccff冷却时间:|r 30秒</v>
      </c>
    </row>
    <row r="21" spans="1:17">
      <c r="A21" s="170"/>
      <c r="B21" s="174"/>
      <c r="C21" s="175"/>
      <c r="D21" s="29" t="s">
        <v>22</v>
      </c>
      <c r="E21" s="29" t="s">
        <v>1623</v>
      </c>
      <c r="F21" s="29"/>
      <c r="G21" s="29"/>
      <c r="H21" s="29"/>
      <c r="I21" s="29"/>
      <c r="J21" s="29"/>
      <c r="K21" s="29">
        <v>8</v>
      </c>
      <c r="L21" s="29">
        <v>30</v>
      </c>
      <c r="M21" s="29"/>
      <c r="N21" s="29"/>
      <c r="O21" s="28"/>
      <c r="Q21" s="169" t="str">
        <f t="shared" si="0"/>
        <v>激活辛多雷之力，使血精灵防御者受到的所有伤害降低65%。|n|n|cff99ccff持续时间:|r 8秒|n|cff99ccff冷却时间:|r 30秒</v>
      </c>
    </row>
    <row r="22" spans="1:17">
      <c r="A22" s="170"/>
      <c r="B22" s="162" t="s">
        <v>23</v>
      </c>
      <c r="C22" s="33" t="s">
        <v>23</v>
      </c>
      <c r="D22" s="34"/>
      <c r="E22" s="34"/>
      <c r="F22" s="34"/>
      <c r="G22" s="34"/>
      <c r="H22" s="34"/>
      <c r="I22" s="34"/>
      <c r="J22" s="34"/>
      <c r="K22" s="34"/>
      <c r="L22" s="34"/>
      <c r="M22" s="34"/>
      <c r="N22" s="34"/>
      <c r="O22" s="28"/>
    </row>
    <row r="23" spans="1:17" ht="28.5">
      <c r="A23" s="158" t="s">
        <v>24</v>
      </c>
      <c r="B23" s="174" t="s">
        <v>25</v>
      </c>
      <c r="C23" s="177" t="s">
        <v>1121</v>
      </c>
      <c r="D23" s="27" t="s">
        <v>1626</v>
      </c>
      <c r="E23" s="27"/>
      <c r="F23" s="27"/>
      <c r="G23" s="27"/>
      <c r="H23" s="27"/>
      <c r="I23" s="27"/>
      <c r="J23" s="27"/>
      <c r="K23" s="27"/>
      <c r="L23" s="27"/>
      <c r="M23" s="27" t="s">
        <v>1318</v>
      </c>
      <c r="N23" s="27" t="s">
        <v>1637</v>
      </c>
      <c r="O23" s="142"/>
      <c r="Q23" s="169"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158"/>
      <c r="B24" s="176"/>
      <c r="C24" s="177"/>
      <c r="D24" s="29" t="s">
        <v>1631</v>
      </c>
      <c r="E24" s="29" t="s">
        <v>1634</v>
      </c>
      <c r="F24" s="29"/>
      <c r="G24" s="29"/>
      <c r="H24" s="29"/>
      <c r="I24" s="29"/>
      <c r="J24" s="29"/>
      <c r="K24" s="29">
        <v>16</v>
      </c>
      <c r="L24" s="29"/>
      <c r="M24" s="29"/>
      <c r="N24" s="29"/>
      <c r="O24" s="142"/>
      <c r="Q24" s="169" t="str">
        <f t="shared" ref="Q24:Q42" si="1">uberTipCN(E24,F24:L24)</f>
        <v>撕裂目标，造成100点物理伤害并且每2秒造成50点物理伤害。|n该技能伤害会造成大量仇恨。|n|n|cff99ccff持续时间:|r 16秒|n</v>
      </c>
    </row>
    <row r="25" spans="1:17" ht="28.5">
      <c r="A25" s="158"/>
      <c r="B25" s="176"/>
      <c r="C25" s="177"/>
      <c r="D25" s="30" t="s">
        <v>1632</v>
      </c>
      <c r="E25" s="30" t="s">
        <v>1635</v>
      </c>
      <c r="F25" s="30"/>
      <c r="G25" s="30"/>
      <c r="H25" s="30"/>
      <c r="I25" s="30"/>
      <c r="J25" s="30"/>
      <c r="K25" s="30">
        <v>16</v>
      </c>
      <c r="L25" s="30"/>
      <c r="M25" s="30"/>
      <c r="N25" s="30"/>
      <c r="O25" s="142"/>
      <c r="Q25" s="169" t="str">
        <f t="shared" si="1"/>
        <v>撕裂目标，造成200点物理伤害并且每2秒造成100点物理伤害。|n该技能伤害会造成大量仇恨。|n|n|cff99ccff持续时间:|r 16秒|n</v>
      </c>
    </row>
    <row r="26" spans="1:17" ht="28.5">
      <c r="A26" s="158"/>
      <c r="B26" s="176"/>
      <c r="C26" s="177"/>
      <c r="D26" s="29" t="s">
        <v>1633</v>
      </c>
      <c r="E26" s="29" t="s">
        <v>1636</v>
      </c>
      <c r="F26" s="29"/>
      <c r="G26" s="29"/>
      <c r="H26" s="29"/>
      <c r="I26" s="29"/>
      <c r="J26" s="29"/>
      <c r="K26" s="29">
        <v>16</v>
      </c>
      <c r="L26" s="29"/>
      <c r="M26" s="29"/>
      <c r="N26" s="29"/>
      <c r="O26" s="142"/>
      <c r="Q26" s="169" t="str">
        <f t="shared" si="1"/>
        <v>撕裂目标，造成300点物理伤害并且每2秒造成150点物理伤害。|n该技能伤害会造成大量仇恨。|n|n|cff99ccff持续时间:|r 16秒|n</v>
      </c>
    </row>
    <row r="27" spans="1:17" ht="57">
      <c r="B27" s="174" t="s">
        <v>26</v>
      </c>
      <c r="C27" s="175" t="s">
        <v>1746</v>
      </c>
      <c r="D27" s="27" t="s">
        <v>1638</v>
      </c>
      <c r="E27" s="27"/>
      <c r="F27" s="27"/>
      <c r="G27" s="27"/>
      <c r="H27" s="27"/>
      <c r="I27" s="27"/>
      <c r="J27" s="27"/>
      <c r="K27" s="27"/>
      <c r="L27" s="27"/>
      <c r="M27" s="27" t="s">
        <v>1600</v>
      </c>
      <c r="N27" s="27" t="s">
        <v>378</v>
      </c>
      <c r="O27" s="28"/>
      <c r="Q27" s="169"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174"/>
      <c r="C28" s="175"/>
      <c r="D28" s="29" t="s">
        <v>27</v>
      </c>
      <c r="E28" s="29" t="s">
        <v>1639</v>
      </c>
      <c r="F28" s="29"/>
      <c r="G28" s="29"/>
      <c r="H28" s="29"/>
      <c r="I28" s="29">
        <v>600</v>
      </c>
      <c r="J28" s="29"/>
      <c r="K28" s="29">
        <v>10</v>
      </c>
      <c r="L28" s="29">
        <v>5</v>
      </c>
      <c r="M28" s="29"/>
      <c r="N28" s="29"/>
      <c r="O28" s="28"/>
      <c r="Q28" s="169"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174"/>
      <c r="C29" s="175"/>
      <c r="D29" s="30" t="s">
        <v>28</v>
      </c>
      <c r="E29" s="30" t="s">
        <v>1640</v>
      </c>
      <c r="F29" s="30"/>
      <c r="G29" s="30"/>
      <c r="H29" s="30"/>
      <c r="I29" s="30">
        <v>600</v>
      </c>
      <c r="J29" s="30"/>
      <c r="K29" s="30">
        <v>10</v>
      </c>
      <c r="L29" s="30">
        <v>5</v>
      </c>
      <c r="M29" s="30"/>
      <c r="N29" s="30"/>
      <c r="O29" s="28"/>
      <c r="Q29" s="169"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174"/>
      <c r="C30" s="175"/>
      <c r="D30" s="29" t="s">
        <v>29</v>
      </c>
      <c r="E30" s="29" t="s">
        <v>1641</v>
      </c>
      <c r="F30" s="29"/>
      <c r="G30" s="29"/>
      <c r="H30" s="29"/>
      <c r="I30" s="29">
        <v>600</v>
      </c>
      <c r="J30" s="29"/>
      <c r="K30" s="29">
        <v>10</v>
      </c>
      <c r="L30" s="29">
        <v>5</v>
      </c>
      <c r="M30" s="29"/>
      <c r="N30" s="29"/>
      <c r="O30" s="28"/>
      <c r="Q30" s="169"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174" t="s">
        <v>30</v>
      </c>
      <c r="C31" s="175" t="s">
        <v>1119</v>
      </c>
      <c r="D31" s="27" t="s">
        <v>31</v>
      </c>
      <c r="E31" s="27"/>
      <c r="F31" s="27"/>
      <c r="G31" s="27"/>
      <c r="H31" s="27"/>
      <c r="I31" s="27"/>
      <c r="J31" s="27"/>
      <c r="K31" s="27"/>
      <c r="L31" s="27"/>
      <c r="M31" s="27" t="s">
        <v>1609</v>
      </c>
      <c r="N31" s="27" t="s">
        <v>1648</v>
      </c>
      <c r="O31" s="28"/>
      <c r="Q31" s="169"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174"/>
      <c r="C32" s="175"/>
      <c r="D32" s="29" t="s">
        <v>1643</v>
      </c>
      <c r="E32" s="29" t="s">
        <v>1642</v>
      </c>
      <c r="F32" s="29"/>
      <c r="G32" s="29"/>
      <c r="H32" s="29"/>
      <c r="I32" s="29"/>
      <c r="J32" s="29">
        <v>0.5</v>
      </c>
      <c r="K32" s="29"/>
      <c r="L32" s="29"/>
      <c r="M32" s="29"/>
      <c r="N32" s="29"/>
      <c r="O32" s="28"/>
      <c r="Q32" s="169" t="str">
        <f t="shared" si="1"/>
        <v>召唤丛林之魂，消耗最多50%的法力值，治疗自己3%的生命值再加上60点生命值。|n|n|cff99ccff法力消耗:|r 50%|n</v>
      </c>
    </row>
    <row r="33" spans="1:17" ht="28.5">
      <c r="B33" s="174"/>
      <c r="C33" s="175"/>
      <c r="D33" s="30" t="s">
        <v>1644</v>
      </c>
      <c r="E33" s="30" t="s">
        <v>1646</v>
      </c>
      <c r="F33" s="30"/>
      <c r="G33" s="30"/>
      <c r="H33" s="30"/>
      <c r="I33" s="30"/>
      <c r="J33" s="30">
        <v>0.5</v>
      </c>
      <c r="K33" s="30"/>
      <c r="L33" s="30"/>
      <c r="M33" s="30"/>
      <c r="N33" s="30"/>
      <c r="O33" s="28"/>
      <c r="Q33" s="169" t="str">
        <f t="shared" si="1"/>
        <v>召唤丛林之魂，消耗最多50%的法力值，治疗自己6%的生命值再加上120点生命值。|n|n|cff99ccff法力消耗:|r 50%|n</v>
      </c>
    </row>
    <row r="34" spans="1:17" ht="28.5">
      <c r="B34" s="174"/>
      <c r="C34" s="175"/>
      <c r="D34" s="29" t="s">
        <v>1645</v>
      </c>
      <c r="E34" s="29" t="s">
        <v>1647</v>
      </c>
      <c r="F34" s="29"/>
      <c r="G34" s="29"/>
      <c r="H34" s="29"/>
      <c r="I34" s="29"/>
      <c r="J34" s="29">
        <v>0.5</v>
      </c>
      <c r="K34" s="29"/>
      <c r="L34" s="29"/>
      <c r="M34" s="29"/>
      <c r="N34" s="29"/>
      <c r="O34" s="28"/>
      <c r="Q34" s="169" t="str">
        <f t="shared" si="1"/>
        <v>召唤丛林之魂，消耗最多50%的法力值，治疗自己9%的生命值再加上240点生命值。|n|n|cff99ccff法力消耗:|r 50%|n</v>
      </c>
    </row>
    <row r="35" spans="1:17" ht="57">
      <c r="B35" s="174" t="s">
        <v>32</v>
      </c>
      <c r="C35" s="175" t="s">
        <v>918</v>
      </c>
      <c r="D35" s="27" t="s">
        <v>1649</v>
      </c>
      <c r="E35" s="27"/>
      <c r="F35" s="27"/>
      <c r="G35" s="27"/>
      <c r="H35" s="27"/>
      <c r="I35" s="27"/>
      <c r="J35" s="27"/>
      <c r="K35" s="27"/>
      <c r="L35" s="27"/>
      <c r="M35" s="27" t="s">
        <v>1618</v>
      </c>
      <c r="N35" s="27" t="s">
        <v>266</v>
      </c>
      <c r="O35" s="28"/>
      <c r="Q35" s="169"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174"/>
      <c r="C36" s="175"/>
      <c r="D36" s="29" t="s">
        <v>1650</v>
      </c>
      <c r="E36" s="29" t="s">
        <v>1653</v>
      </c>
      <c r="F36" s="29"/>
      <c r="G36" s="29"/>
      <c r="H36" s="29"/>
      <c r="I36" s="29"/>
      <c r="J36" s="29"/>
      <c r="K36" s="29">
        <v>5</v>
      </c>
      <c r="L36" s="29">
        <v>15</v>
      </c>
      <c r="M36" s="29"/>
      <c r="N36" s="29"/>
      <c r="O36" s="28"/>
      <c r="Q36" s="169"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174"/>
      <c r="C37" s="175"/>
      <c r="D37" s="30" t="s">
        <v>1651</v>
      </c>
      <c r="E37" s="30" t="s">
        <v>1654</v>
      </c>
      <c r="F37" s="30"/>
      <c r="G37" s="30"/>
      <c r="H37" s="30"/>
      <c r="I37" s="30"/>
      <c r="J37" s="30"/>
      <c r="K37" s="30">
        <v>5</v>
      </c>
      <c r="L37" s="30">
        <v>15</v>
      </c>
      <c r="M37" s="30"/>
      <c r="N37" s="30"/>
      <c r="O37" s="28"/>
      <c r="Q37" s="169"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174"/>
      <c r="C38" s="175"/>
      <c r="D38" s="29" t="s">
        <v>1652</v>
      </c>
      <c r="E38" s="29" t="s">
        <v>1655</v>
      </c>
      <c r="F38" s="29"/>
      <c r="G38" s="29"/>
      <c r="H38" s="29"/>
      <c r="I38" s="29"/>
      <c r="J38" s="29"/>
      <c r="K38" s="29">
        <v>5</v>
      </c>
      <c r="L38" s="29">
        <v>15</v>
      </c>
      <c r="M38" s="29"/>
      <c r="N38" s="29"/>
      <c r="O38" s="28"/>
      <c r="Q38" s="169"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174" t="s">
        <v>34</v>
      </c>
      <c r="C39" s="175" t="s">
        <v>1118</v>
      </c>
      <c r="D39" s="27" t="s">
        <v>1656</v>
      </c>
      <c r="E39" s="27"/>
      <c r="F39" s="27"/>
      <c r="G39" s="27"/>
      <c r="H39" s="27"/>
      <c r="I39" s="27"/>
      <c r="J39" s="27"/>
      <c r="K39" s="27"/>
      <c r="L39" s="27"/>
      <c r="M39" s="27" t="s">
        <v>1624</v>
      </c>
      <c r="N39" s="27" t="s">
        <v>1663</v>
      </c>
      <c r="O39" s="28"/>
      <c r="Q39" s="169"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174"/>
      <c r="C40" s="175"/>
      <c r="D40" s="29" t="s">
        <v>1657</v>
      </c>
      <c r="E40" s="29" t="s">
        <v>1660</v>
      </c>
      <c r="F40" s="29"/>
      <c r="G40" s="29"/>
      <c r="H40" s="29"/>
      <c r="I40" s="29"/>
      <c r="J40" s="29"/>
      <c r="K40" s="29">
        <v>5</v>
      </c>
      <c r="L40" s="29">
        <v>60</v>
      </c>
      <c r="M40" s="29"/>
      <c r="N40" s="29"/>
      <c r="O40" s="28"/>
      <c r="Q40" s="169" t="str">
        <f t="shared" si="1"/>
        <v>在困境中激发生存本能，立即恢复30%的生命值并提升30%的生命值上限，同时受到的所有伤害降低5%。|n|n|cff99ccff持续时间:|r 5秒|n|cff99ccff冷却时间:|r 60秒</v>
      </c>
    </row>
    <row r="41" spans="1:17" ht="28.5">
      <c r="B41" s="174"/>
      <c r="C41" s="175"/>
      <c r="D41" s="30" t="s">
        <v>1658</v>
      </c>
      <c r="E41" s="30" t="s">
        <v>1661</v>
      </c>
      <c r="F41" s="30"/>
      <c r="G41" s="30"/>
      <c r="H41" s="30"/>
      <c r="I41" s="30"/>
      <c r="J41" s="30"/>
      <c r="K41" s="30">
        <v>8</v>
      </c>
      <c r="L41" s="30">
        <v>60</v>
      </c>
      <c r="M41" s="30"/>
      <c r="N41" s="30"/>
      <c r="O41" s="28"/>
      <c r="Q41" s="169" t="str">
        <f t="shared" si="1"/>
        <v>在困境中激发生存本能，立即恢复40%的生命值并提升40%的生命值上限，同时受到的所有伤害降低20%。|n|n|cff99ccff持续时间:|r 8秒|n|cff99ccff冷却时间:|r 60秒</v>
      </c>
    </row>
    <row r="42" spans="1:17" ht="28.5">
      <c r="B42" s="174"/>
      <c r="C42" s="175"/>
      <c r="D42" s="29" t="s">
        <v>1659</v>
      </c>
      <c r="E42" s="29" t="s">
        <v>1662</v>
      </c>
      <c r="F42" s="29"/>
      <c r="G42" s="29"/>
      <c r="H42" s="29"/>
      <c r="I42" s="29"/>
      <c r="J42" s="29"/>
      <c r="K42" s="29">
        <v>11</v>
      </c>
      <c r="L42" s="29">
        <v>60</v>
      </c>
      <c r="M42" s="29"/>
      <c r="N42" s="29"/>
      <c r="O42" s="28"/>
      <c r="Q42" s="169" t="str">
        <f t="shared" si="1"/>
        <v>在困境中激发生存本能，立即恢复50%的生命值并提升50%的生命值上限，同时受到的所有伤害降低35%。|n|n|cff99ccff持续时间:|r 11秒|n|cff99ccff冷却时间:|r 60秒</v>
      </c>
    </row>
    <row r="43" spans="1:17">
      <c r="B43" s="162" t="s">
        <v>23</v>
      </c>
      <c r="C43" s="33"/>
      <c r="D43" s="34"/>
      <c r="E43" s="34"/>
      <c r="F43" s="34"/>
      <c r="G43" s="34"/>
      <c r="H43" s="34"/>
      <c r="I43" s="34"/>
      <c r="J43" s="34"/>
      <c r="K43" s="34"/>
      <c r="L43" s="34"/>
      <c r="M43" s="34"/>
      <c r="N43" s="34"/>
      <c r="O43" s="28"/>
    </row>
    <row r="44" spans="1:17" ht="28.5">
      <c r="A44" s="157" t="s">
        <v>43</v>
      </c>
      <c r="B44" s="174" t="s">
        <v>44</v>
      </c>
      <c r="C44" s="177" t="s">
        <v>1747</v>
      </c>
      <c r="D44" s="27" t="s">
        <v>1664</v>
      </c>
      <c r="E44" s="27"/>
      <c r="F44" s="27"/>
      <c r="G44" s="27"/>
      <c r="H44" s="27"/>
      <c r="I44" s="27"/>
      <c r="J44" s="27"/>
      <c r="K44" s="27"/>
      <c r="L44" s="27"/>
      <c r="M44" s="27" t="s">
        <v>1318</v>
      </c>
      <c r="N44" s="27" t="s">
        <v>1663</v>
      </c>
      <c r="O44" s="142"/>
      <c r="Q44" s="169"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157"/>
      <c r="B45" s="176"/>
      <c r="C45" s="177"/>
      <c r="D45" s="29" t="s">
        <v>1665</v>
      </c>
      <c r="E45" s="29" t="s">
        <v>1668</v>
      </c>
      <c r="F45" s="29"/>
      <c r="G45" s="29"/>
      <c r="H45" s="29">
        <v>800</v>
      </c>
      <c r="I45" s="29"/>
      <c r="J45" s="29">
        <v>50</v>
      </c>
      <c r="K45" s="29" t="s">
        <v>1748</v>
      </c>
      <c r="L45" s="29"/>
      <c r="M45" s="29"/>
      <c r="N45" s="29"/>
      <c r="O45" s="142"/>
      <c r="Q45" s="169"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157"/>
      <c r="B46" s="176"/>
      <c r="C46" s="177"/>
      <c r="D46" s="30" t="s">
        <v>1666</v>
      </c>
      <c r="E46" s="30" t="s">
        <v>1669</v>
      </c>
      <c r="F46" s="30"/>
      <c r="G46" s="30"/>
      <c r="H46" s="30">
        <v>800</v>
      </c>
      <c r="I46" s="30"/>
      <c r="J46" s="30">
        <v>50</v>
      </c>
      <c r="K46" s="30" t="s">
        <v>1748</v>
      </c>
      <c r="L46" s="30"/>
      <c r="M46" s="30"/>
      <c r="N46" s="30"/>
      <c r="O46" s="142"/>
      <c r="Q46" s="169" t="str">
        <f t="shared" si="2"/>
        <v>治疗目标，每秒为其恢复70点生命值，当生命绽放从目标身上消失的时候，会直接治疗目标200点生命值。|n|n|cff99ccff施法距离:|r 800码|n|cff99ccff法力消耗:|r 50点|n|cff99ccff持续时间:|r 7(10)秒|n</v>
      </c>
    </row>
    <row r="47" spans="1:17" ht="28.5">
      <c r="A47" s="157"/>
      <c r="B47" s="176"/>
      <c r="C47" s="177"/>
      <c r="D47" s="29" t="s">
        <v>1667</v>
      </c>
      <c r="E47" s="29" t="s">
        <v>1670</v>
      </c>
      <c r="F47" s="29"/>
      <c r="G47" s="29"/>
      <c r="H47" s="29">
        <v>800</v>
      </c>
      <c r="I47" s="29"/>
      <c r="J47" s="29">
        <v>50</v>
      </c>
      <c r="K47" s="29" t="s">
        <v>1748</v>
      </c>
      <c r="L47" s="29"/>
      <c r="M47" s="29"/>
      <c r="N47" s="29"/>
      <c r="O47" s="142"/>
      <c r="Q47" s="169" t="str">
        <f t="shared" si="2"/>
        <v>治疗目标，每秒为其恢复105点生命值，当生命绽放从目标身上消失的时候，会直接治疗目标300点生命值。|n|n|cff99ccff施法距离:|r 800码|n|cff99ccff法力消耗:|r 50点|n|cff99ccff持续时间:|r 7(10)秒|n</v>
      </c>
    </row>
    <row r="48" spans="1:17" ht="42.75">
      <c r="A48" s="170"/>
      <c r="B48" s="174" t="s">
        <v>45</v>
      </c>
      <c r="C48" s="175" t="s">
        <v>1117</v>
      </c>
      <c r="D48" s="27" t="s">
        <v>1671</v>
      </c>
      <c r="E48" s="27"/>
      <c r="F48" s="27"/>
      <c r="G48" s="27"/>
      <c r="H48" s="27"/>
      <c r="I48" s="27"/>
      <c r="J48" s="27"/>
      <c r="K48" s="27"/>
      <c r="L48" s="27"/>
      <c r="M48" s="27" t="s">
        <v>1600</v>
      </c>
      <c r="N48" s="27" t="s">
        <v>1675</v>
      </c>
      <c r="O48" s="142"/>
      <c r="Q48" s="169"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170"/>
      <c r="B49" s="174"/>
      <c r="C49" s="175"/>
      <c r="D49" s="29" t="s">
        <v>46</v>
      </c>
      <c r="E49" s="29" t="s">
        <v>1672</v>
      </c>
      <c r="F49" s="29"/>
      <c r="G49" s="29"/>
      <c r="H49" s="29">
        <v>800</v>
      </c>
      <c r="I49" s="29"/>
      <c r="J49" s="29">
        <v>75</v>
      </c>
      <c r="K49" s="29" t="s">
        <v>1749</v>
      </c>
      <c r="L49" s="29"/>
      <c r="M49" s="29"/>
      <c r="N49" s="29"/>
      <c r="O49" s="142"/>
      <c r="Q49" s="169"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170"/>
      <c r="B50" s="174"/>
      <c r="C50" s="175"/>
      <c r="D50" s="30" t="s">
        <v>47</v>
      </c>
      <c r="E50" s="30" t="s">
        <v>1673</v>
      </c>
      <c r="F50" s="30"/>
      <c r="G50" s="30"/>
      <c r="H50" s="30">
        <v>800</v>
      </c>
      <c r="I50" s="30"/>
      <c r="J50" s="30">
        <v>110</v>
      </c>
      <c r="K50" s="30" t="s">
        <v>1749</v>
      </c>
      <c r="L50" s="30"/>
      <c r="M50" s="30"/>
      <c r="N50" s="30"/>
      <c r="O50" s="142"/>
      <c r="Q50" s="169"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170"/>
      <c r="B51" s="174"/>
      <c r="C51" s="175"/>
      <c r="D51" s="29" t="s">
        <v>1677</v>
      </c>
      <c r="E51" s="29" t="s">
        <v>1674</v>
      </c>
      <c r="F51" s="29"/>
      <c r="G51" s="29"/>
      <c r="H51" s="29">
        <v>800</v>
      </c>
      <c r="I51" s="29"/>
      <c r="J51" s="29">
        <v>145</v>
      </c>
      <c r="K51" s="29" t="s">
        <v>1749</v>
      </c>
      <c r="L51" s="29"/>
      <c r="M51" s="29"/>
      <c r="N51" s="29"/>
      <c r="O51" s="142"/>
      <c r="Q51" s="169"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170"/>
      <c r="B52" s="174" t="s">
        <v>48</v>
      </c>
      <c r="C52" s="175" t="s">
        <v>1114</v>
      </c>
      <c r="D52" s="27" t="s">
        <v>1676</v>
      </c>
      <c r="E52" s="27"/>
      <c r="F52" s="27"/>
      <c r="G52" s="27"/>
      <c r="H52" s="27"/>
      <c r="I52" s="27"/>
      <c r="J52" s="27"/>
      <c r="K52" s="27"/>
      <c r="L52" s="27"/>
      <c r="M52" s="27" t="s">
        <v>1609</v>
      </c>
      <c r="N52" s="27" t="s">
        <v>69</v>
      </c>
      <c r="O52" s="142"/>
      <c r="Q52" s="169"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170"/>
      <c r="B53" s="174"/>
      <c r="C53" s="175"/>
      <c r="D53" s="29" t="s">
        <v>1678</v>
      </c>
      <c r="E53" s="29" t="s">
        <v>1681</v>
      </c>
      <c r="F53" s="29">
        <v>3</v>
      </c>
      <c r="G53" s="29"/>
      <c r="H53" s="29">
        <v>800</v>
      </c>
      <c r="I53" s="29"/>
      <c r="J53" s="29">
        <v>100</v>
      </c>
      <c r="K53" s="29">
        <v>25</v>
      </c>
      <c r="L53" s="29"/>
      <c r="M53" s="29"/>
      <c r="N53" s="29"/>
      <c r="O53" s="142"/>
      <c r="Q53" s="169"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170"/>
      <c r="B54" s="174"/>
      <c r="C54" s="175"/>
      <c r="D54" s="30" t="s">
        <v>1679</v>
      </c>
      <c r="E54" s="30" t="s">
        <v>1682</v>
      </c>
      <c r="F54" s="30">
        <v>3</v>
      </c>
      <c r="G54" s="30"/>
      <c r="H54" s="30">
        <v>800</v>
      </c>
      <c r="I54" s="30"/>
      <c r="J54" s="30">
        <v>120</v>
      </c>
      <c r="K54" s="30">
        <v>25</v>
      </c>
      <c r="L54" s="30"/>
      <c r="M54" s="30"/>
      <c r="N54" s="30"/>
      <c r="O54" s="142"/>
      <c r="Q54" s="169"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170"/>
      <c r="B55" s="174"/>
      <c r="C55" s="175"/>
      <c r="D55" s="29" t="s">
        <v>1680</v>
      </c>
      <c r="E55" s="29" t="s">
        <v>1683</v>
      </c>
      <c r="F55" s="29">
        <v>3</v>
      </c>
      <c r="G55" s="29"/>
      <c r="H55" s="29">
        <v>800</v>
      </c>
      <c r="I55" s="29"/>
      <c r="J55" s="29">
        <v>140</v>
      </c>
      <c r="K55" s="29">
        <v>25</v>
      </c>
      <c r="L55" s="29"/>
      <c r="M55" s="29"/>
      <c r="N55" s="29"/>
      <c r="O55" s="142"/>
      <c r="Q55" s="169"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170"/>
      <c r="B56" s="174" t="s">
        <v>49</v>
      </c>
      <c r="C56" s="175" t="s">
        <v>1112</v>
      </c>
      <c r="D56" s="27" t="s">
        <v>50</v>
      </c>
      <c r="E56" s="27"/>
      <c r="F56" s="27"/>
      <c r="G56" s="27"/>
      <c r="H56" s="27"/>
      <c r="I56" s="27"/>
      <c r="J56" s="27"/>
      <c r="K56" s="27"/>
      <c r="L56" s="27"/>
      <c r="M56" s="27" t="s">
        <v>1618</v>
      </c>
      <c r="N56" s="27" t="s">
        <v>1688</v>
      </c>
      <c r="O56" s="28"/>
      <c r="Q56" s="169"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170"/>
      <c r="B57" s="174"/>
      <c r="C57" s="175"/>
      <c r="D57" s="29" t="s">
        <v>51</v>
      </c>
      <c r="E57" s="29" t="s">
        <v>1685</v>
      </c>
      <c r="F57" s="29"/>
      <c r="G57" s="29"/>
      <c r="H57" s="29">
        <v>800</v>
      </c>
      <c r="I57" s="29"/>
      <c r="J57" s="29">
        <v>150</v>
      </c>
      <c r="K57" s="29"/>
      <c r="L57" s="29">
        <v>11</v>
      </c>
      <c r="M57" s="29"/>
      <c r="N57" s="29"/>
      <c r="O57" s="28"/>
      <c r="Q57" s="169"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170"/>
      <c r="B58" s="174"/>
      <c r="C58" s="175"/>
      <c r="D58" s="30" t="s">
        <v>1684</v>
      </c>
      <c r="E58" s="30" t="s">
        <v>1687</v>
      </c>
      <c r="F58" s="30"/>
      <c r="G58" s="30"/>
      <c r="H58" s="30">
        <v>800</v>
      </c>
      <c r="I58" s="30"/>
      <c r="J58" s="30">
        <v>150</v>
      </c>
      <c r="K58" s="30"/>
      <c r="L58" s="30">
        <v>11</v>
      </c>
      <c r="M58" s="30"/>
      <c r="N58" s="30"/>
      <c r="O58" s="28"/>
      <c r="Q58" s="169"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170"/>
      <c r="B59" s="174"/>
      <c r="C59" s="175"/>
      <c r="D59" s="29" t="s">
        <v>1689</v>
      </c>
      <c r="E59" s="29" t="s">
        <v>1686</v>
      </c>
      <c r="F59" s="29"/>
      <c r="G59" s="29"/>
      <c r="H59" s="29">
        <v>800</v>
      </c>
      <c r="I59" s="29"/>
      <c r="J59" s="29">
        <v>150</v>
      </c>
      <c r="K59" s="29"/>
      <c r="L59" s="29">
        <v>11</v>
      </c>
      <c r="M59" s="29"/>
      <c r="N59" s="29"/>
      <c r="O59" s="28"/>
      <c r="Q59" s="169"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170"/>
      <c r="B60" s="174" t="s">
        <v>52</v>
      </c>
      <c r="C60" s="175" t="s">
        <v>916</v>
      </c>
      <c r="D60" s="27" t="s">
        <v>1690</v>
      </c>
      <c r="E60" s="27"/>
      <c r="F60" s="27"/>
      <c r="G60" s="27"/>
      <c r="H60" s="27"/>
      <c r="I60" s="27"/>
      <c r="J60" s="27"/>
      <c r="K60" s="27"/>
      <c r="L60" s="27"/>
      <c r="M60" s="27" t="s">
        <v>1624</v>
      </c>
      <c r="N60" s="27" t="s">
        <v>1694</v>
      </c>
      <c r="O60" s="142"/>
      <c r="Q60" s="169"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170"/>
      <c r="B61" s="174"/>
      <c r="C61" s="175"/>
      <c r="D61" s="29" t="s">
        <v>53</v>
      </c>
      <c r="E61" s="29" t="s">
        <v>1691</v>
      </c>
      <c r="F61" s="29"/>
      <c r="G61" s="29">
        <v>8</v>
      </c>
      <c r="H61" s="29"/>
      <c r="I61" s="29">
        <v>1200</v>
      </c>
      <c r="J61" s="29">
        <v>200</v>
      </c>
      <c r="K61" s="29"/>
      <c r="L61" s="29">
        <v>40</v>
      </c>
      <c r="M61" s="29"/>
      <c r="N61" s="29"/>
      <c r="O61" s="142"/>
      <c r="Q61" s="169"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170"/>
      <c r="B62" s="174"/>
      <c r="C62" s="175"/>
      <c r="D62" s="30" t="s">
        <v>54</v>
      </c>
      <c r="E62" s="30" t="s">
        <v>1692</v>
      </c>
      <c r="F62" s="30"/>
      <c r="G62" s="30">
        <v>8</v>
      </c>
      <c r="H62" s="30"/>
      <c r="I62" s="30">
        <v>1200</v>
      </c>
      <c r="J62" s="30">
        <v>250</v>
      </c>
      <c r="K62" s="30"/>
      <c r="L62" s="30">
        <v>40</v>
      </c>
      <c r="M62" s="30"/>
      <c r="N62" s="30"/>
      <c r="O62" s="142"/>
      <c r="Q62" s="169"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170"/>
      <c r="B63" s="174"/>
      <c r="C63" s="175"/>
      <c r="D63" s="29" t="s">
        <v>56</v>
      </c>
      <c r="E63" s="29" t="s">
        <v>1693</v>
      </c>
      <c r="F63" s="29"/>
      <c r="G63" s="29">
        <v>8</v>
      </c>
      <c r="H63" s="29"/>
      <c r="I63" s="29">
        <v>1200</v>
      </c>
      <c r="J63" s="29">
        <v>300</v>
      </c>
      <c r="K63" s="29"/>
      <c r="L63" s="29">
        <v>40</v>
      </c>
      <c r="M63" s="29"/>
      <c r="N63" s="29"/>
      <c r="O63" s="142"/>
      <c r="Q63" s="169"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170"/>
      <c r="B64" s="162" t="s">
        <v>23</v>
      </c>
      <c r="C64" s="33"/>
      <c r="D64" s="34"/>
      <c r="E64" s="34"/>
      <c r="F64" s="34"/>
      <c r="G64" s="34"/>
      <c r="H64" s="34"/>
      <c r="I64" s="34"/>
      <c r="J64" s="34"/>
      <c r="K64" s="34"/>
      <c r="L64" s="34"/>
      <c r="M64" s="34"/>
      <c r="N64" s="34"/>
      <c r="O64" s="28"/>
    </row>
    <row r="65" spans="1:17" ht="42.75">
      <c r="A65" s="158" t="s">
        <v>61</v>
      </c>
      <c r="B65" s="174" t="s">
        <v>86</v>
      </c>
      <c r="C65" s="177" t="s">
        <v>1757</v>
      </c>
      <c r="D65" s="27" t="s">
        <v>87</v>
      </c>
      <c r="E65" s="27"/>
      <c r="F65" s="27"/>
      <c r="G65" s="27"/>
      <c r="H65" s="27"/>
      <c r="I65" s="27"/>
      <c r="J65" s="27"/>
      <c r="K65" s="27"/>
      <c r="L65" s="27"/>
      <c r="M65" s="27"/>
      <c r="N65" s="27" t="s">
        <v>635</v>
      </c>
      <c r="O65" s="28"/>
      <c r="Q65" s="169"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158"/>
      <c r="B66" s="176"/>
      <c r="C66" s="177"/>
      <c r="D66" s="29" t="s">
        <v>88</v>
      </c>
      <c r="E66" s="29" t="s">
        <v>1750</v>
      </c>
      <c r="F66" s="29"/>
      <c r="G66" s="29"/>
      <c r="H66" s="29">
        <v>800</v>
      </c>
      <c r="I66" s="29"/>
      <c r="J66" s="29">
        <v>50</v>
      </c>
      <c r="K66" s="29"/>
      <c r="L66" s="29">
        <v>2.2000000000000002</v>
      </c>
      <c r="M66" s="29"/>
      <c r="N66" s="29"/>
      <c r="O66" s="28"/>
      <c r="Q66" s="169"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158"/>
      <c r="B67" s="176"/>
      <c r="C67" s="177"/>
      <c r="D67" s="30" t="s">
        <v>89</v>
      </c>
      <c r="E67" s="30" t="s">
        <v>1751</v>
      </c>
      <c r="F67" s="30"/>
      <c r="G67" s="30"/>
      <c r="H67" s="30">
        <v>800</v>
      </c>
      <c r="I67" s="30"/>
      <c r="J67" s="30">
        <v>50</v>
      </c>
      <c r="K67" s="30"/>
      <c r="L67" s="30">
        <v>2.2000000000000002</v>
      </c>
      <c r="M67" s="30"/>
      <c r="N67" s="30"/>
      <c r="O67" s="28"/>
      <c r="Q67" s="169"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158"/>
      <c r="B68" s="176"/>
      <c r="C68" s="177"/>
      <c r="D68" s="29" t="s">
        <v>92</v>
      </c>
      <c r="E68" s="29" t="s">
        <v>1752</v>
      </c>
      <c r="F68" s="29"/>
      <c r="G68" s="29"/>
      <c r="H68" s="29">
        <v>800</v>
      </c>
      <c r="I68" s="29"/>
      <c r="J68" s="29">
        <v>50</v>
      </c>
      <c r="K68" s="29"/>
      <c r="L68" s="29">
        <v>2.2000000000000002</v>
      </c>
      <c r="M68" s="29"/>
      <c r="N68" s="29"/>
      <c r="O68" s="28"/>
      <c r="Q68" s="169"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174" t="s">
        <v>93</v>
      </c>
      <c r="C69" s="175" t="s">
        <v>912</v>
      </c>
      <c r="D69" s="27" t="s">
        <v>94</v>
      </c>
      <c r="E69" s="27"/>
      <c r="F69" s="27"/>
      <c r="G69" s="27"/>
      <c r="H69" s="27"/>
      <c r="I69" s="27"/>
      <c r="J69" s="27"/>
      <c r="K69" s="27"/>
      <c r="L69" s="27"/>
      <c r="M69" s="27"/>
      <c r="N69" s="27" t="s">
        <v>649</v>
      </c>
      <c r="O69" s="28"/>
      <c r="Q69" s="169"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174"/>
      <c r="C70" s="175"/>
      <c r="D70" s="29" t="s">
        <v>95</v>
      </c>
      <c r="E70" s="29" t="s">
        <v>1753</v>
      </c>
      <c r="F70" s="29" t="s">
        <v>1756</v>
      </c>
      <c r="G70" s="29"/>
      <c r="H70" s="29">
        <v>800</v>
      </c>
      <c r="I70" s="29"/>
      <c r="J70" s="29">
        <v>100</v>
      </c>
      <c r="K70" s="29"/>
      <c r="L70" s="29"/>
      <c r="M70" s="29"/>
      <c r="N70" s="29"/>
      <c r="O70" s="28"/>
      <c r="Q70" s="169"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174"/>
      <c r="C71" s="175"/>
      <c r="D71" s="30" t="s">
        <v>96</v>
      </c>
      <c r="E71" s="30" t="s">
        <v>1754</v>
      </c>
      <c r="F71" s="30" t="s">
        <v>1756</v>
      </c>
      <c r="G71" s="30"/>
      <c r="H71" s="30">
        <v>800</v>
      </c>
      <c r="I71" s="30"/>
      <c r="J71" s="30">
        <v>115</v>
      </c>
      <c r="K71" s="30"/>
      <c r="L71" s="30"/>
      <c r="M71" s="30"/>
      <c r="N71" s="30"/>
      <c r="O71" s="28"/>
      <c r="Q71" s="169"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174"/>
      <c r="C72" s="175"/>
      <c r="D72" s="29" t="s">
        <v>97</v>
      </c>
      <c r="E72" s="29" t="s">
        <v>1755</v>
      </c>
      <c r="F72" s="29" t="s">
        <v>1756</v>
      </c>
      <c r="G72" s="29"/>
      <c r="H72" s="29">
        <v>800</v>
      </c>
      <c r="I72" s="29"/>
      <c r="J72" s="29">
        <v>130</v>
      </c>
      <c r="K72" s="29"/>
      <c r="L72" s="29"/>
      <c r="M72" s="29"/>
      <c r="N72" s="29"/>
      <c r="O72" s="28"/>
      <c r="Q72" s="169"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174" t="s">
        <v>98</v>
      </c>
      <c r="C73" s="175" t="s">
        <v>910</v>
      </c>
      <c r="D73" s="27" t="s">
        <v>99</v>
      </c>
      <c r="E73" s="27"/>
      <c r="F73" s="27"/>
      <c r="G73" s="27"/>
      <c r="H73" s="27"/>
      <c r="I73" s="27"/>
      <c r="J73" s="27"/>
      <c r="K73" s="27"/>
      <c r="L73" s="27"/>
      <c r="M73" s="27"/>
      <c r="N73" s="27" t="s">
        <v>636</v>
      </c>
      <c r="O73" s="28"/>
      <c r="Q73" s="169"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174"/>
      <c r="C74" s="175"/>
      <c r="D74" s="29" t="s">
        <v>100</v>
      </c>
      <c r="E74" s="29" t="s">
        <v>1758</v>
      </c>
      <c r="F74" s="29"/>
      <c r="G74" s="29"/>
      <c r="H74" s="29">
        <v>800</v>
      </c>
      <c r="I74" s="29"/>
      <c r="J74" s="29">
        <v>100</v>
      </c>
      <c r="K74" s="29">
        <v>6</v>
      </c>
      <c r="L74" s="29">
        <v>15</v>
      </c>
      <c r="M74" s="29"/>
      <c r="N74" s="29"/>
      <c r="O74" s="28"/>
      <c r="Q74" s="169"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174"/>
      <c r="C75" s="175"/>
      <c r="D75" s="30" t="s">
        <v>101</v>
      </c>
      <c r="E75" s="30" t="s">
        <v>1759</v>
      </c>
      <c r="F75" s="30"/>
      <c r="G75" s="30"/>
      <c r="H75" s="30">
        <v>800</v>
      </c>
      <c r="I75" s="30"/>
      <c r="J75" s="30">
        <v>150</v>
      </c>
      <c r="K75" s="30">
        <v>6</v>
      </c>
      <c r="L75" s="30">
        <v>15</v>
      </c>
      <c r="M75" s="30"/>
      <c r="N75" s="30"/>
      <c r="O75" s="28"/>
      <c r="Q75" s="169"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174"/>
      <c r="C76" s="175"/>
      <c r="D76" s="29" t="s">
        <v>102</v>
      </c>
      <c r="E76" s="29" t="s">
        <v>1760</v>
      </c>
      <c r="F76" s="29"/>
      <c r="G76" s="29"/>
      <c r="H76" s="29">
        <v>800</v>
      </c>
      <c r="I76" s="29"/>
      <c r="J76" s="29">
        <v>200</v>
      </c>
      <c r="K76" s="29">
        <v>6</v>
      </c>
      <c r="L76" s="29">
        <v>15</v>
      </c>
      <c r="M76" s="29"/>
      <c r="N76" s="29"/>
      <c r="O76" s="28"/>
      <c r="Q76" s="169"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174" t="s">
        <v>103</v>
      </c>
      <c r="C77" s="175" t="s">
        <v>1099</v>
      </c>
      <c r="D77" s="27" t="s">
        <v>1761</v>
      </c>
      <c r="E77" s="27"/>
      <c r="F77" s="27"/>
      <c r="G77" s="27"/>
      <c r="H77" s="27"/>
      <c r="I77" s="27"/>
      <c r="J77" s="27"/>
      <c r="K77" s="27"/>
      <c r="L77" s="27"/>
      <c r="M77" s="27"/>
      <c r="N77" s="27" t="s">
        <v>637</v>
      </c>
      <c r="O77" s="28"/>
      <c r="Q77" s="169"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174"/>
      <c r="C78" s="175"/>
      <c r="D78" s="29" t="s">
        <v>104</v>
      </c>
      <c r="E78" s="29" t="s">
        <v>1761</v>
      </c>
      <c r="F78" s="29"/>
      <c r="G78" s="29"/>
      <c r="H78" s="29"/>
      <c r="I78" s="29"/>
      <c r="J78" s="29">
        <v>50</v>
      </c>
      <c r="K78" s="29"/>
      <c r="L78" s="29">
        <v>20</v>
      </c>
      <c r="M78" s="29"/>
      <c r="N78" s="29"/>
      <c r="O78" s="28"/>
      <c r="Q78" s="169" t="str">
        <f t="shared" si="3"/>
        <v>神的恩泽降临在你身上，激活以后，使你的下一个治疗法术一定造成极效治疗。|n|n|cff99ccff法力消耗:|r 50点|n|cff99ccff冷却时间:|r 20秒</v>
      </c>
    </row>
    <row r="79" spans="1:17" ht="42.75">
      <c r="B79" s="174"/>
      <c r="C79" s="175"/>
      <c r="D79" s="30" t="s">
        <v>1762</v>
      </c>
      <c r="E79" s="30" t="s">
        <v>1764</v>
      </c>
      <c r="F79" s="30"/>
      <c r="G79" s="30"/>
      <c r="H79" s="30"/>
      <c r="I79" s="30"/>
      <c r="J79" s="30">
        <v>50</v>
      </c>
      <c r="K79" s="30"/>
      <c r="L79" s="30">
        <v>18</v>
      </c>
      <c r="M79" s="30"/>
      <c r="N79" s="30"/>
      <c r="O79" s="28"/>
      <c r="Q79" s="169" t="str">
        <f t="shared" si="3"/>
        <v>神的恩泽降临在你身上，激活以后，使你的下一个治疗法术一定造成极效治疗。|n同时立即降低35%的仇恨值。|n|n|cff99ccff法力消耗:|r 50点|n|cff99ccff冷却时间:|r 18秒</v>
      </c>
    </row>
    <row r="80" spans="1:17" ht="71.25">
      <c r="B80" s="174"/>
      <c r="C80" s="175"/>
      <c r="D80" s="29" t="s">
        <v>1763</v>
      </c>
      <c r="E80" s="29" t="s">
        <v>1765</v>
      </c>
      <c r="F80" s="29"/>
      <c r="G80" s="29"/>
      <c r="H80" s="29"/>
      <c r="I80" s="29"/>
      <c r="J80" s="29">
        <v>50</v>
      </c>
      <c r="K80" s="29"/>
      <c r="L80" s="29">
        <v>16</v>
      </c>
      <c r="M80" s="29"/>
      <c r="N80" s="29"/>
      <c r="O80" s="28"/>
      <c r="Q80" s="169"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174" t="s">
        <v>106</v>
      </c>
      <c r="C81" s="175" t="s">
        <v>1766</v>
      </c>
      <c r="D81" s="27" t="s">
        <v>107</v>
      </c>
      <c r="E81" s="27"/>
      <c r="F81" s="27"/>
      <c r="G81" s="27"/>
      <c r="H81" s="27"/>
      <c r="I81" s="27"/>
      <c r="J81" s="27"/>
      <c r="K81" s="27"/>
      <c r="L81" s="27"/>
      <c r="M81" s="27"/>
      <c r="N81" s="27" t="s">
        <v>638</v>
      </c>
      <c r="O81" s="28"/>
      <c r="Q81" s="169"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174"/>
      <c r="C82" s="175"/>
      <c r="D82" s="29" t="s">
        <v>108</v>
      </c>
      <c r="E82" s="29" t="s">
        <v>1767</v>
      </c>
      <c r="F82" s="29"/>
      <c r="G82" s="29"/>
      <c r="H82" s="29">
        <v>800</v>
      </c>
      <c r="I82" s="29"/>
      <c r="J82" s="29">
        <v>10</v>
      </c>
      <c r="K82" s="29">
        <v>15</v>
      </c>
      <c r="L82" s="29">
        <v>10</v>
      </c>
      <c r="M82" s="29"/>
      <c r="N82" s="29"/>
      <c r="O82" s="28"/>
      <c r="Q82" s="169"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174"/>
      <c r="C83" s="175"/>
      <c r="D83" s="30" t="s">
        <v>109</v>
      </c>
      <c r="E83" s="30" t="s">
        <v>1768</v>
      </c>
      <c r="F83" s="30"/>
      <c r="G83" s="30"/>
      <c r="H83" s="30">
        <v>800</v>
      </c>
      <c r="I83" s="30"/>
      <c r="J83" s="30">
        <v>10</v>
      </c>
      <c r="K83" s="30">
        <v>20</v>
      </c>
      <c r="L83" s="30">
        <v>10</v>
      </c>
      <c r="M83" s="30"/>
      <c r="N83" s="30"/>
      <c r="O83" s="28"/>
      <c r="Q83" s="169"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174"/>
      <c r="C84" s="175"/>
      <c r="D84" s="29" t="s">
        <v>110</v>
      </c>
      <c r="E84" s="29" t="s">
        <v>1769</v>
      </c>
      <c r="F84" s="29"/>
      <c r="G84" s="29"/>
      <c r="H84" s="29">
        <v>800</v>
      </c>
      <c r="I84" s="29"/>
      <c r="J84" s="29">
        <v>10</v>
      </c>
      <c r="K84" s="29">
        <v>25</v>
      </c>
      <c r="L84" s="29">
        <v>10</v>
      </c>
      <c r="M84" s="29"/>
      <c r="N84" s="29"/>
      <c r="O84" s="28"/>
      <c r="Q84" s="169"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162" t="s">
        <v>23</v>
      </c>
      <c r="C85" s="33"/>
      <c r="D85" s="34"/>
      <c r="E85" s="34"/>
      <c r="F85" s="34"/>
      <c r="G85" s="34"/>
      <c r="H85" s="34"/>
      <c r="I85" s="34"/>
      <c r="J85" s="34"/>
      <c r="K85" s="34"/>
      <c r="L85" s="34"/>
      <c r="M85" s="34"/>
      <c r="N85" s="34" t="s">
        <v>112</v>
      </c>
      <c r="O85" s="28"/>
    </row>
    <row r="86" spans="1:17" ht="28.5">
      <c r="A86" s="157" t="s">
        <v>113</v>
      </c>
      <c r="B86" s="79" t="s">
        <v>115</v>
      </c>
      <c r="C86" s="35"/>
      <c r="D86" s="27" t="s">
        <v>1695</v>
      </c>
      <c r="E86" s="27"/>
      <c r="F86" s="27"/>
      <c r="G86" s="27"/>
      <c r="H86" s="27"/>
      <c r="I86" s="27"/>
      <c r="J86" s="27"/>
      <c r="K86" s="27"/>
      <c r="L86" s="27"/>
      <c r="M86" s="27"/>
      <c r="N86" s="27" t="s">
        <v>639</v>
      </c>
      <c r="O86" s="142"/>
      <c r="Q86" s="169"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157"/>
      <c r="B87" s="163"/>
      <c r="C87" s="35"/>
      <c r="D87" s="29" t="s">
        <v>116</v>
      </c>
      <c r="E87" s="29" t="s">
        <v>1696</v>
      </c>
      <c r="F87" s="29"/>
      <c r="G87" s="29"/>
      <c r="H87" s="29">
        <v>800</v>
      </c>
      <c r="I87" s="29"/>
      <c r="J87" s="29">
        <v>75</v>
      </c>
      <c r="K87" s="29">
        <v>12</v>
      </c>
      <c r="L87" s="29"/>
      <c r="M87" s="29"/>
      <c r="N87" s="29"/>
      <c r="O87" s="28"/>
      <c r="Q87" s="169" t="str">
        <f t="shared" ref="Q87:Q105" si="4">uberTipCN(E87,F87:L87)</f>
        <v>治疗一个友军，使其每3秒受到150点治疗效果，并且受到的所有治疗效果提升4%。|n|n|cff99ccff施法距离:|r 800码|n|cff99ccff法力消耗:|r 75点|n|cff99ccff持续时间:|r 12秒|n</v>
      </c>
    </row>
    <row r="88" spans="1:17" ht="28.5">
      <c r="A88" s="157"/>
      <c r="B88" s="163"/>
      <c r="C88" s="35"/>
      <c r="D88" s="30" t="s">
        <v>117</v>
      </c>
      <c r="E88" s="30" t="s">
        <v>1697</v>
      </c>
      <c r="F88" s="30"/>
      <c r="G88" s="30"/>
      <c r="H88" s="30">
        <v>800</v>
      </c>
      <c r="I88" s="30"/>
      <c r="J88" s="30">
        <v>100</v>
      </c>
      <c r="K88" s="30">
        <v>12</v>
      </c>
      <c r="L88" s="30"/>
      <c r="M88" s="30"/>
      <c r="N88" s="30"/>
      <c r="O88" s="28"/>
      <c r="Q88" s="169" t="str">
        <f t="shared" si="4"/>
        <v>治疗一个友军，使其每3秒受到200点治疗效果，并且受到的所有治疗效果提升8%。|n|n|cff99ccff施法距离:|r 800码|n|cff99ccff法力消耗:|r 100点|n|cff99ccff持续时间:|r 12秒|n</v>
      </c>
    </row>
    <row r="89" spans="1:17" ht="28.5">
      <c r="A89" s="157"/>
      <c r="B89" s="163"/>
      <c r="C89" s="35"/>
      <c r="D89" s="29" t="s">
        <v>118</v>
      </c>
      <c r="E89" s="29" t="s">
        <v>1698</v>
      </c>
      <c r="F89" s="29"/>
      <c r="G89" s="29"/>
      <c r="H89" s="29">
        <v>800</v>
      </c>
      <c r="I89" s="29"/>
      <c r="J89" s="29">
        <v>125</v>
      </c>
      <c r="K89" s="29">
        <v>12</v>
      </c>
      <c r="L89" s="29"/>
      <c r="M89" s="29"/>
      <c r="N89" s="29"/>
      <c r="O89" s="28"/>
      <c r="Q89" s="169" t="str">
        <f t="shared" si="4"/>
        <v>治疗一个友军，使其每3秒受到250点治疗效果，并且受到的所有治疗效果提升12%。|n|n|cff99ccff施法距离:|r 800码|n|cff99ccff法力消耗:|r 125点|n|cff99ccff持续时间:|r 12秒|n</v>
      </c>
    </row>
    <row r="90" spans="1:17" ht="28.5">
      <c r="A90" s="170"/>
      <c r="B90" s="79" t="s">
        <v>119</v>
      </c>
      <c r="C90" s="32"/>
      <c r="D90" s="27" t="s">
        <v>120</v>
      </c>
      <c r="E90" s="27"/>
      <c r="F90" s="27"/>
      <c r="G90" s="27"/>
      <c r="H90" s="27"/>
      <c r="I90" s="27"/>
      <c r="J90" s="27"/>
      <c r="K90" s="27"/>
      <c r="L90" s="27"/>
      <c r="M90" s="27"/>
      <c r="N90" s="27" t="s">
        <v>124</v>
      </c>
      <c r="O90" s="28"/>
      <c r="Q90" s="169"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170"/>
      <c r="B91" s="79"/>
      <c r="C91" s="32"/>
      <c r="D91" s="29" t="s">
        <v>121</v>
      </c>
      <c r="E91" s="29" t="s">
        <v>1699</v>
      </c>
      <c r="F91" s="29">
        <v>3</v>
      </c>
      <c r="G91" s="29"/>
      <c r="H91" s="29">
        <v>800</v>
      </c>
      <c r="I91" s="29">
        <v>250</v>
      </c>
      <c r="J91" s="29">
        <v>100</v>
      </c>
      <c r="K91" s="29"/>
      <c r="L91" s="29"/>
      <c r="M91" s="29"/>
      <c r="N91" s="29"/>
      <c r="O91" s="28"/>
      <c r="Q91" s="169"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170"/>
      <c r="B92" s="79"/>
      <c r="C92" s="32"/>
      <c r="D92" s="30" t="s">
        <v>122</v>
      </c>
      <c r="E92" s="30" t="s">
        <v>1700</v>
      </c>
      <c r="F92" s="30">
        <v>3</v>
      </c>
      <c r="G92" s="30"/>
      <c r="H92" s="30">
        <v>800</v>
      </c>
      <c r="I92" s="30">
        <v>300</v>
      </c>
      <c r="J92" s="30">
        <v>100</v>
      </c>
      <c r="K92" s="30"/>
      <c r="L92" s="30"/>
      <c r="M92" s="30"/>
      <c r="N92" s="30"/>
      <c r="O92" s="28"/>
      <c r="Q92" s="169"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170"/>
      <c r="B93" s="79"/>
      <c r="C93" s="32"/>
      <c r="D93" s="29" t="s">
        <v>123</v>
      </c>
      <c r="E93" s="29" t="s">
        <v>1701</v>
      </c>
      <c r="F93" s="29">
        <v>3</v>
      </c>
      <c r="G93" s="29"/>
      <c r="H93" s="29">
        <v>800</v>
      </c>
      <c r="I93" s="29">
        <v>350</v>
      </c>
      <c r="J93" s="29">
        <v>100</v>
      </c>
      <c r="K93" s="29"/>
      <c r="L93" s="29"/>
      <c r="M93" s="29"/>
      <c r="N93" s="29"/>
      <c r="O93" s="28"/>
      <c r="Q93" s="169"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170"/>
      <c r="B94" s="79" t="s">
        <v>125</v>
      </c>
      <c r="C94" s="32"/>
      <c r="D94" s="27" t="s">
        <v>126</v>
      </c>
      <c r="E94" s="27"/>
      <c r="F94" s="27"/>
      <c r="G94" s="27"/>
      <c r="H94" s="27"/>
      <c r="I94" s="27"/>
      <c r="J94" s="27"/>
      <c r="K94" s="27"/>
      <c r="L94" s="27"/>
      <c r="M94" s="27"/>
      <c r="N94" s="27" t="s">
        <v>633</v>
      </c>
      <c r="O94" s="28"/>
      <c r="Q94" s="169"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170"/>
      <c r="B95" s="79"/>
      <c r="C95" s="32"/>
      <c r="D95" s="29" t="s">
        <v>127</v>
      </c>
      <c r="E95" s="29" t="s">
        <v>1702</v>
      </c>
      <c r="F95" s="29"/>
      <c r="G95" s="29"/>
      <c r="H95" s="29">
        <v>800</v>
      </c>
      <c r="I95" s="29"/>
      <c r="J95" s="29">
        <v>100</v>
      </c>
      <c r="K95" s="29">
        <v>20</v>
      </c>
      <c r="L95" s="29">
        <v>4</v>
      </c>
      <c r="M95" s="29"/>
      <c r="N95" s="29"/>
      <c r="O95" s="28"/>
      <c r="Q95" s="169"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170"/>
      <c r="B96" s="79"/>
      <c r="C96" s="32"/>
      <c r="D96" s="30" t="s">
        <v>128</v>
      </c>
      <c r="E96" s="30" t="s">
        <v>1703</v>
      </c>
      <c r="F96" s="30"/>
      <c r="G96" s="30"/>
      <c r="H96" s="30">
        <v>800</v>
      </c>
      <c r="I96" s="30"/>
      <c r="J96" s="30">
        <v>125</v>
      </c>
      <c r="K96" s="30">
        <v>20</v>
      </c>
      <c r="L96" s="30">
        <v>4</v>
      </c>
      <c r="M96" s="30"/>
      <c r="N96" s="30"/>
      <c r="O96" s="28"/>
      <c r="Q96" s="169"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170"/>
      <c r="B97" s="79"/>
      <c r="C97" s="32"/>
      <c r="D97" s="29" t="s">
        <v>129</v>
      </c>
      <c r="E97" s="29" t="s">
        <v>1704</v>
      </c>
      <c r="F97" s="29"/>
      <c r="G97" s="29"/>
      <c r="H97" s="29">
        <v>800</v>
      </c>
      <c r="I97" s="29"/>
      <c r="J97" s="29">
        <v>150</v>
      </c>
      <c r="K97" s="29">
        <v>20</v>
      </c>
      <c r="L97" s="29">
        <v>4</v>
      </c>
      <c r="M97" s="29"/>
      <c r="N97" s="29"/>
      <c r="O97" s="28"/>
      <c r="Q97" s="169"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170"/>
      <c r="B98" s="79" t="s">
        <v>130</v>
      </c>
      <c r="C98" s="32"/>
      <c r="D98" s="27" t="s">
        <v>1705</v>
      </c>
      <c r="E98" s="27"/>
      <c r="F98" s="27"/>
      <c r="G98" s="27"/>
      <c r="H98" s="27"/>
      <c r="I98" s="27"/>
      <c r="J98" s="27"/>
      <c r="K98" s="27"/>
      <c r="L98" s="27"/>
      <c r="M98" s="27"/>
      <c r="N98" s="27" t="s">
        <v>640</v>
      </c>
      <c r="O98" s="28"/>
      <c r="Q98" s="169"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170"/>
      <c r="B99" s="79"/>
      <c r="C99" s="32"/>
      <c r="D99" s="29" t="s">
        <v>1706</v>
      </c>
      <c r="E99" s="29" t="s">
        <v>1709</v>
      </c>
      <c r="F99" s="29"/>
      <c r="G99" s="29"/>
      <c r="H99" s="29">
        <v>800</v>
      </c>
      <c r="I99" s="29"/>
      <c r="J99" s="29">
        <v>75</v>
      </c>
      <c r="K99" s="29">
        <v>20</v>
      </c>
      <c r="L99" s="29">
        <v>9</v>
      </c>
      <c r="M99" s="29"/>
      <c r="N99" s="29"/>
      <c r="O99" s="28"/>
      <c r="Q99" s="169"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170"/>
      <c r="B100" s="79"/>
      <c r="C100" s="32"/>
      <c r="D100" s="30" t="s">
        <v>1707</v>
      </c>
      <c r="E100" s="30" t="s">
        <v>1710</v>
      </c>
      <c r="F100" s="30"/>
      <c r="G100" s="30"/>
      <c r="H100" s="30">
        <v>800</v>
      </c>
      <c r="I100" s="30"/>
      <c r="J100" s="30">
        <v>85</v>
      </c>
      <c r="K100" s="30">
        <v>20</v>
      </c>
      <c r="L100" s="30">
        <v>7</v>
      </c>
      <c r="M100" s="30"/>
      <c r="N100" s="30"/>
      <c r="O100" s="28"/>
      <c r="Q100" s="169"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170"/>
      <c r="B101" s="79"/>
      <c r="C101" s="32"/>
      <c r="D101" s="29" t="s">
        <v>1708</v>
      </c>
      <c r="E101" s="29" t="s">
        <v>1711</v>
      </c>
      <c r="F101" s="29"/>
      <c r="G101" s="29"/>
      <c r="H101" s="29">
        <v>800</v>
      </c>
      <c r="I101" s="29"/>
      <c r="J101" s="29">
        <v>95</v>
      </c>
      <c r="K101" s="29">
        <v>20</v>
      </c>
      <c r="L101" s="29">
        <v>5</v>
      </c>
      <c r="M101" s="29"/>
      <c r="N101" s="29"/>
      <c r="O101" s="28"/>
      <c r="Q101" s="169"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170"/>
      <c r="B102" s="79" t="s">
        <v>132</v>
      </c>
      <c r="C102" s="32"/>
      <c r="D102" s="27" t="s">
        <v>1712</v>
      </c>
      <c r="E102" s="27"/>
      <c r="F102" s="27"/>
      <c r="G102" s="27"/>
      <c r="H102" s="27"/>
      <c r="I102" s="27"/>
      <c r="J102" s="27"/>
      <c r="K102" s="27"/>
      <c r="L102" s="27"/>
      <c r="M102" s="27"/>
      <c r="N102" s="27" t="s">
        <v>634</v>
      </c>
      <c r="O102" s="28"/>
      <c r="Q102" s="169"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170"/>
      <c r="B103" s="79"/>
      <c r="C103" s="32"/>
      <c r="D103" s="29" t="s">
        <v>1713</v>
      </c>
      <c r="E103" s="29" t="s">
        <v>1712</v>
      </c>
      <c r="F103" s="29"/>
      <c r="G103" s="29"/>
      <c r="H103" s="29">
        <v>800</v>
      </c>
      <c r="I103" s="29"/>
      <c r="J103" s="29">
        <v>45</v>
      </c>
      <c r="K103" s="29"/>
      <c r="L103" s="29">
        <v>3</v>
      </c>
      <c r="M103" s="29"/>
      <c r="N103" s="29"/>
      <c r="O103" s="28"/>
      <c r="Q103" s="169" t="str">
        <f t="shared" si="4"/>
        <v>驱散一个敌人身上的一个有益魔法效果或者驱散一个友军单位身上的一个负面魔法效果。|n|n|cff99ccff施法距离:|r 800码|n|cff99ccff法力消耗:|r 45点|n|cff99ccff冷却时间:|r 3秒</v>
      </c>
    </row>
    <row r="104" spans="1:17" ht="42.75">
      <c r="A104" s="170"/>
      <c r="B104" s="79"/>
      <c r="C104" s="32"/>
      <c r="D104" s="30" t="s">
        <v>1714</v>
      </c>
      <c r="E104" s="30" t="s">
        <v>1716</v>
      </c>
      <c r="F104" s="30"/>
      <c r="G104" s="30"/>
      <c r="H104" s="30">
        <v>800</v>
      </c>
      <c r="I104" s="30"/>
      <c r="J104" s="30">
        <v>60</v>
      </c>
      <c r="K104" s="30"/>
      <c r="L104" s="30">
        <v>3</v>
      </c>
      <c r="M104" s="30"/>
      <c r="N104" s="30"/>
      <c r="O104" s="28"/>
      <c r="Q104" s="169"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170"/>
      <c r="B105" s="79"/>
      <c r="C105" s="32"/>
      <c r="D105" s="29" t="s">
        <v>1715</v>
      </c>
      <c r="E105" s="29" t="s">
        <v>1717</v>
      </c>
      <c r="F105" s="29"/>
      <c r="G105" s="29"/>
      <c r="H105" s="29">
        <v>800</v>
      </c>
      <c r="I105" s="29"/>
      <c r="J105" s="29">
        <v>75</v>
      </c>
      <c r="K105" s="29"/>
      <c r="L105" s="29">
        <v>3</v>
      </c>
      <c r="M105" s="29"/>
      <c r="N105" s="29"/>
      <c r="O105" s="28"/>
      <c r="Q105" s="169"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170"/>
      <c r="B106" s="162" t="s">
        <v>23</v>
      </c>
      <c r="C106" s="33"/>
      <c r="D106" s="34"/>
      <c r="E106" s="34"/>
      <c r="F106" s="34"/>
      <c r="G106" s="34"/>
      <c r="H106" s="34"/>
      <c r="I106" s="34"/>
      <c r="J106" s="34"/>
      <c r="K106" s="34"/>
      <c r="L106" s="34"/>
      <c r="M106" s="34"/>
      <c r="N106" s="34"/>
      <c r="O106" s="28"/>
    </row>
    <row r="107" spans="1:17" ht="14.25" customHeight="1">
      <c r="A107" s="159" t="s">
        <v>136</v>
      </c>
      <c r="B107" s="79" t="s">
        <v>149</v>
      </c>
      <c r="C107" s="35"/>
      <c r="D107" s="27" t="s">
        <v>150</v>
      </c>
      <c r="E107" s="27"/>
      <c r="F107" s="27"/>
      <c r="G107" s="27"/>
      <c r="H107" s="27"/>
      <c r="I107" s="27"/>
      <c r="J107" s="27"/>
      <c r="K107" s="27"/>
      <c r="L107" s="27"/>
      <c r="M107" s="27"/>
      <c r="N107" s="27" t="s">
        <v>151</v>
      </c>
      <c r="O107" s="28"/>
      <c r="Q107" s="169"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59"/>
      <c r="B108" s="163"/>
      <c r="C108" s="35"/>
      <c r="D108" s="29" t="s">
        <v>1718</v>
      </c>
      <c r="E108" s="29" t="s">
        <v>1721</v>
      </c>
      <c r="F108" s="29"/>
      <c r="G108" s="29"/>
      <c r="H108" s="29">
        <v>820</v>
      </c>
      <c r="I108" s="29"/>
      <c r="J108" s="29">
        <v>4</v>
      </c>
      <c r="K108" s="29"/>
      <c r="L108" s="29">
        <v>5</v>
      </c>
      <c r="M108" s="29"/>
      <c r="N108" s="29"/>
      <c r="O108" s="28"/>
      <c r="Q108" s="169" t="str">
        <f t="shared" ref="Q108:Q118" si="5">uberTipCN(E108,F108:L108)</f>
        <v>立即射出一枝黑箭，对目标造成普通攻击120%的伤害。|n|n|cff99ccff施法距离:|r 820码|n|cff99ccff法力消耗:|r 4点|n|cff99ccff冷却时间:|r 5秒</v>
      </c>
    </row>
    <row r="109" spans="1:17" ht="28.5">
      <c r="A109" s="159"/>
      <c r="B109" s="163"/>
      <c r="C109" s="35"/>
      <c r="D109" s="30" t="s">
        <v>1719</v>
      </c>
      <c r="E109" s="30" t="s">
        <v>1722</v>
      </c>
      <c r="F109" s="30"/>
      <c r="G109" s="30"/>
      <c r="H109" s="30">
        <v>820</v>
      </c>
      <c r="I109" s="30"/>
      <c r="J109" s="30">
        <v>5</v>
      </c>
      <c r="K109" s="30"/>
      <c r="L109" s="30">
        <v>5</v>
      </c>
      <c r="M109" s="30"/>
      <c r="N109" s="30"/>
      <c r="O109" s="28"/>
      <c r="Q109" s="169" t="str">
        <f t="shared" si="5"/>
        <v>立即射出一枝黑箭，对目标造成普通攻击160%的伤害。|n同时有40%的几率造成2连击。|n|n|cff99ccff施法距离:|r 820码|n|cff99ccff法力消耗:|r 5点|n|cff99ccff冷却时间:|r 5秒</v>
      </c>
    </row>
    <row r="110" spans="1:17" ht="28.5">
      <c r="A110" s="159"/>
      <c r="B110" s="163"/>
      <c r="C110" s="35"/>
      <c r="D110" s="29" t="s">
        <v>1720</v>
      </c>
      <c r="E110" s="29" t="s">
        <v>1723</v>
      </c>
      <c r="F110" s="29"/>
      <c r="G110" s="29"/>
      <c r="H110" s="29">
        <v>820</v>
      </c>
      <c r="I110" s="29"/>
      <c r="J110" s="29">
        <v>6</v>
      </c>
      <c r="K110" s="29"/>
      <c r="L110" s="29">
        <v>5</v>
      </c>
      <c r="M110" s="29"/>
      <c r="N110" s="29"/>
      <c r="O110" s="28"/>
      <c r="Q110" s="169" t="str">
        <f t="shared" si="5"/>
        <v>立即射出一枝黑箭，对目标造成普通攻击160%的伤害。|n同时有80%的几率造成2连击，40%的几率造成3连击。|n|n|cff99ccff施法距离:|r 820码|n|cff99ccff法力消耗:|r 6点|n|cff99ccff冷却时间:|r 5秒</v>
      </c>
    </row>
    <row r="111" spans="1:17" ht="28.5">
      <c r="A111" s="170"/>
      <c r="B111" s="79" t="s">
        <v>152</v>
      </c>
      <c r="C111" s="32"/>
      <c r="D111" s="27" t="s">
        <v>1724</v>
      </c>
      <c r="E111" s="27"/>
      <c r="F111" s="27"/>
      <c r="G111" s="27"/>
      <c r="H111" s="27"/>
      <c r="I111" s="27"/>
      <c r="J111" s="27"/>
      <c r="K111" s="27"/>
      <c r="L111" s="27"/>
      <c r="M111" s="27"/>
      <c r="N111" s="27" t="s">
        <v>153</v>
      </c>
      <c r="O111" s="28"/>
      <c r="Q111" s="169"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170"/>
      <c r="B112" s="79"/>
      <c r="C112" s="32"/>
      <c r="D112" s="29" t="s">
        <v>1725</v>
      </c>
      <c r="E112" s="29" t="s">
        <v>1728</v>
      </c>
      <c r="F112" s="29"/>
      <c r="G112" s="29"/>
      <c r="H112" s="29"/>
      <c r="I112" s="29"/>
      <c r="J112" s="29"/>
      <c r="K112" s="29">
        <v>4</v>
      </c>
      <c r="L112" s="29">
        <v>13</v>
      </c>
      <c r="M112" s="29"/>
      <c r="N112" s="29"/>
      <c r="O112" s="28"/>
      <c r="Q112" s="169" t="str">
        <f t="shared" si="5"/>
        <v>使你和食尸鬼仆从的下一次攻击导致目标昏迷1秒，同时降低目标2点物理免伤。|n|n|cff99ccff持续时间:|r 4秒|n|cff99ccff冷却时间:|r 13秒</v>
      </c>
    </row>
    <row r="113" spans="1:17" ht="28.5">
      <c r="A113" s="170"/>
      <c r="B113" s="79"/>
      <c r="C113" s="32"/>
      <c r="D113" s="30" t="s">
        <v>1726</v>
      </c>
      <c r="E113" s="30" t="s">
        <v>1729</v>
      </c>
      <c r="F113" s="30"/>
      <c r="G113" s="30"/>
      <c r="H113" s="30"/>
      <c r="I113" s="30"/>
      <c r="J113" s="30"/>
      <c r="K113" s="30">
        <v>8</v>
      </c>
      <c r="L113" s="30">
        <v>13</v>
      </c>
      <c r="M113" s="30"/>
      <c r="N113" s="30"/>
      <c r="O113" s="28"/>
      <c r="Q113" s="169" t="str">
        <f t="shared" si="5"/>
        <v>使你和食尸鬼仆从的下一次攻击导致目标昏迷1秒，同时降低目标3点物理免伤。|n|n|cff99ccff持续时间:|r 8秒|n|cff99ccff冷却时间:|r 13秒</v>
      </c>
    </row>
    <row r="114" spans="1:17" ht="28.5">
      <c r="A114" s="170"/>
      <c r="B114" s="79"/>
      <c r="C114" s="32"/>
      <c r="D114" s="29" t="s">
        <v>1727</v>
      </c>
      <c r="E114" s="29" t="s">
        <v>1730</v>
      </c>
      <c r="F114" s="29"/>
      <c r="G114" s="29"/>
      <c r="H114" s="29"/>
      <c r="I114" s="29"/>
      <c r="J114" s="29"/>
      <c r="K114" s="29">
        <v>12</v>
      </c>
      <c r="L114" s="29">
        <v>13</v>
      </c>
      <c r="M114" s="29"/>
      <c r="N114" s="29"/>
      <c r="O114" s="28"/>
      <c r="Q114" s="169" t="str">
        <f t="shared" si="5"/>
        <v>使你和食尸鬼仆从的下一次攻击导致目标昏迷1秒，同时降低目标4点物理免伤。|n|n|cff99ccff持续时间:|r 12秒|n|cff99ccff冷却时间:|r 13秒</v>
      </c>
    </row>
    <row r="115" spans="1:17" ht="42.75">
      <c r="A115" s="170"/>
      <c r="B115" s="79" t="s">
        <v>154</v>
      </c>
      <c r="C115" s="32"/>
      <c r="D115" s="27" t="s">
        <v>1731</v>
      </c>
      <c r="E115" s="27"/>
      <c r="F115" s="27"/>
      <c r="G115" s="27"/>
      <c r="H115" s="27"/>
      <c r="I115" s="27"/>
      <c r="J115" s="27"/>
      <c r="K115" s="27"/>
      <c r="L115" s="27"/>
      <c r="M115" s="27"/>
      <c r="N115" s="27" t="s">
        <v>124</v>
      </c>
      <c r="O115" s="28"/>
      <c r="Q115" s="169"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170"/>
      <c r="B116" s="79"/>
      <c r="C116" s="32"/>
      <c r="D116" s="29" t="s">
        <v>1732</v>
      </c>
      <c r="E116" s="29" t="s">
        <v>1735</v>
      </c>
      <c r="F116" s="29"/>
      <c r="G116" s="29"/>
      <c r="H116" s="29">
        <v>800</v>
      </c>
      <c r="I116" s="29">
        <v>300</v>
      </c>
      <c r="J116" s="29"/>
      <c r="K116" s="29">
        <v>30</v>
      </c>
      <c r="L116" s="29">
        <v>16</v>
      </c>
      <c r="M116" s="29"/>
      <c r="N116" s="29"/>
      <c r="O116" s="28"/>
      <c r="Q116" s="169"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170"/>
      <c r="B117" s="79"/>
      <c r="C117" s="32"/>
      <c r="D117" s="30" t="s">
        <v>1733</v>
      </c>
      <c r="E117" s="30" t="s">
        <v>1736</v>
      </c>
      <c r="F117" s="30"/>
      <c r="G117" s="30"/>
      <c r="H117" s="30">
        <v>800</v>
      </c>
      <c r="I117" s="30">
        <v>450</v>
      </c>
      <c r="J117" s="30"/>
      <c r="K117" s="30">
        <v>30</v>
      </c>
      <c r="L117" s="30">
        <v>13</v>
      </c>
      <c r="M117" s="30"/>
      <c r="N117" s="30"/>
      <c r="O117" s="28"/>
      <c r="Q117" s="169"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170"/>
      <c r="B118" s="79"/>
      <c r="C118" s="32"/>
      <c r="D118" s="29" t="s">
        <v>1734</v>
      </c>
      <c r="E118" s="29" t="s">
        <v>1737</v>
      </c>
      <c r="F118" s="29"/>
      <c r="G118" s="29"/>
      <c r="H118" s="29">
        <v>800</v>
      </c>
      <c r="I118" s="29">
        <v>600</v>
      </c>
      <c r="J118" s="29"/>
      <c r="K118" s="29">
        <v>30</v>
      </c>
      <c r="L118" s="29">
        <v>10</v>
      </c>
      <c r="M118" s="29"/>
      <c r="N118" s="29"/>
      <c r="O118" s="28"/>
      <c r="Q118" s="169"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170"/>
      <c r="B119" s="79" t="s">
        <v>158</v>
      </c>
      <c r="C119" s="32"/>
      <c r="D119" s="27" t="s">
        <v>611</v>
      </c>
      <c r="E119" s="27"/>
      <c r="F119" s="27"/>
      <c r="G119" s="27"/>
      <c r="H119" s="27"/>
      <c r="I119" s="27"/>
      <c r="J119" s="27"/>
      <c r="K119" s="27"/>
      <c r="L119" s="27"/>
      <c r="M119" s="27"/>
      <c r="N119" s="27" t="s">
        <v>650</v>
      </c>
      <c r="O119" s="28"/>
      <c r="Q119" s="169"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170"/>
      <c r="B120" s="79"/>
      <c r="C120" s="32"/>
      <c r="D120" s="29" t="s">
        <v>159</v>
      </c>
      <c r="E120" s="29"/>
      <c r="F120" s="29"/>
      <c r="G120" s="29"/>
      <c r="H120" s="29"/>
      <c r="I120" s="29"/>
      <c r="J120" s="29"/>
      <c r="K120" s="29"/>
      <c r="L120" s="29"/>
      <c r="M120" s="29"/>
      <c r="N120" s="29"/>
      <c r="O120" s="28"/>
    </row>
    <row r="121" spans="1:17" ht="42.75">
      <c r="A121" s="170"/>
      <c r="B121" s="79"/>
      <c r="C121" s="32"/>
      <c r="D121" s="30" t="s">
        <v>612</v>
      </c>
      <c r="E121" s="30"/>
      <c r="F121" s="30"/>
      <c r="G121" s="30"/>
      <c r="H121" s="30"/>
      <c r="I121" s="30"/>
      <c r="J121" s="30"/>
      <c r="K121" s="30"/>
      <c r="L121" s="30"/>
      <c r="M121" s="30"/>
      <c r="N121" s="30"/>
      <c r="O121" s="28"/>
    </row>
    <row r="122" spans="1:17">
      <c r="A122" s="170"/>
      <c r="B122" s="79"/>
      <c r="C122" s="32"/>
      <c r="D122" s="29" t="s">
        <v>160</v>
      </c>
      <c r="E122" s="29"/>
      <c r="F122" s="29"/>
      <c r="G122" s="29"/>
      <c r="H122" s="29"/>
      <c r="I122" s="29"/>
      <c r="J122" s="29"/>
      <c r="K122" s="29"/>
      <c r="L122" s="29"/>
      <c r="M122" s="29"/>
      <c r="N122" s="29"/>
      <c r="O122" s="28"/>
    </row>
    <row r="123" spans="1:17">
      <c r="A123" s="170"/>
      <c r="B123" s="79" t="s">
        <v>161</v>
      </c>
      <c r="C123" s="32"/>
      <c r="D123" s="27" t="s">
        <v>1738</v>
      </c>
      <c r="E123" s="27"/>
      <c r="F123" s="27"/>
      <c r="G123" s="27"/>
      <c r="H123" s="27"/>
      <c r="I123" s="27"/>
      <c r="J123" s="27"/>
      <c r="K123" s="27"/>
      <c r="L123" s="27"/>
      <c r="M123" s="27"/>
      <c r="N123" s="27" t="s">
        <v>162</v>
      </c>
      <c r="O123" s="28"/>
      <c r="Q123" s="169"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170"/>
      <c r="B124" s="79"/>
      <c r="C124" s="32"/>
      <c r="D124" s="29" t="s">
        <v>1739</v>
      </c>
      <c r="E124" s="29" t="s">
        <v>1742</v>
      </c>
      <c r="F124" s="29"/>
      <c r="G124" s="29"/>
      <c r="H124" s="29"/>
      <c r="I124" s="29"/>
      <c r="J124" s="29"/>
      <c r="K124" s="29"/>
      <c r="L124" s="29">
        <v>5</v>
      </c>
      <c r="M124" s="29"/>
      <c r="N124" s="29"/>
      <c r="O124" s="28"/>
      <c r="Q124" s="169" t="str">
        <f>uberTipCN(E124,F124:L124)</f>
        <v>牺牲掉食尸鬼仆从，吸取其当前50%的生命值用于治疗你。|n|n|cff99ccff冷却时间:|r 5秒</v>
      </c>
    </row>
    <row r="125" spans="1:17">
      <c r="A125" s="170"/>
      <c r="B125" s="79"/>
      <c r="C125" s="32"/>
      <c r="D125" s="30" t="s">
        <v>1740</v>
      </c>
      <c r="E125" s="30" t="s">
        <v>1743</v>
      </c>
      <c r="F125" s="30"/>
      <c r="G125" s="30"/>
      <c r="H125" s="30"/>
      <c r="I125" s="30"/>
      <c r="J125" s="30"/>
      <c r="K125" s="30"/>
      <c r="L125" s="30">
        <v>5</v>
      </c>
      <c r="M125" s="30"/>
      <c r="N125" s="30"/>
      <c r="O125" s="28"/>
      <c r="Q125" s="169" t="str">
        <f>uberTipCN(E125,F125:L125)</f>
        <v>牺牲掉食尸鬼仆从，吸取其当前100%的生命值用于治疗你。|n|n|cff99ccff冷却时间:|r 5秒</v>
      </c>
    </row>
    <row r="126" spans="1:17">
      <c r="A126" s="170"/>
      <c r="B126" s="79"/>
      <c r="C126" s="32"/>
      <c r="D126" s="29" t="s">
        <v>1741</v>
      </c>
      <c r="E126" s="29" t="s">
        <v>1744</v>
      </c>
      <c r="F126" s="29"/>
      <c r="G126" s="29"/>
      <c r="H126" s="29"/>
      <c r="I126" s="29"/>
      <c r="J126" s="29"/>
      <c r="K126" s="29"/>
      <c r="L126" s="29">
        <v>5</v>
      </c>
      <c r="M126" s="29"/>
      <c r="N126" s="29"/>
      <c r="O126" s="28"/>
      <c r="Q126" s="169" t="str">
        <f>uberTipCN(E126,F126:L126)</f>
        <v>牺牲掉食尸鬼仆从，吸取其当前150%的生命值用于治疗你。|n|n|cff99ccff冷却时间:|r 5秒</v>
      </c>
    </row>
    <row r="127" spans="1:17">
      <c r="A127" s="170"/>
      <c r="B127" s="162" t="s">
        <v>163</v>
      </c>
      <c r="C127" s="33"/>
      <c r="D127" s="34" t="s">
        <v>1745</v>
      </c>
      <c r="E127" s="34"/>
      <c r="F127" s="34"/>
      <c r="G127" s="34"/>
      <c r="H127" s="34"/>
      <c r="I127" s="34"/>
      <c r="J127" s="34"/>
      <c r="K127" s="34"/>
      <c r="L127" s="34"/>
      <c r="M127" s="34"/>
      <c r="N127" s="34" t="s">
        <v>166</v>
      </c>
      <c r="O127" s="28"/>
    </row>
    <row r="128" spans="1:17">
      <c r="A128" s="156"/>
      <c r="B128" s="162" t="s">
        <v>171</v>
      </c>
      <c r="C128" s="33"/>
      <c r="D128" s="34" t="s">
        <v>185</v>
      </c>
      <c r="E128" s="34"/>
      <c r="F128" s="34"/>
      <c r="G128" s="34"/>
      <c r="H128" s="34"/>
      <c r="I128" s="34"/>
      <c r="J128" s="34"/>
      <c r="K128" s="34"/>
      <c r="L128" s="34"/>
      <c r="M128" s="34"/>
      <c r="N128" s="34"/>
      <c r="O128" s="28"/>
    </row>
    <row r="129" spans="1:17">
      <c r="A129" s="156"/>
      <c r="B129" s="162" t="s">
        <v>186</v>
      </c>
      <c r="C129" s="33"/>
      <c r="D129" s="34" t="s">
        <v>613</v>
      </c>
      <c r="E129" s="34"/>
      <c r="F129" s="34"/>
      <c r="G129" s="34"/>
      <c r="H129" s="34"/>
      <c r="I129" s="34"/>
      <c r="J129" s="34"/>
      <c r="K129" s="34"/>
      <c r="L129" s="34"/>
      <c r="M129" s="34"/>
      <c r="N129" s="34"/>
      <c r="O129" s="28"/>
    </row>
    <row r="130" spans="1:17">
      <c r="A130" s="156"/>
      <c r="B130" s="162" t="s">
        <v>187</v>
      </c>
      <c r="C130" s="33"/>
      <c r="D130" s="34" t="s">
        <v>624</v>
      </c>
      <c r="E130" s="34"/>
      <c r="F130" s="34"/>
      <c r="G130" s="34"/>
      <c r="H130" s="34"/>
      <c r="I130" s="34"/>
      <c r="J130" s="34"/>
      <c r="K130" s="34"/>
      <c r="L130" s="34"/>
      <c r="M130" s="34"/>
      <c r="N130" s="34"/>
      <c r="O130" s="28"/>
    </row>
    <row r="131" spans="1:17" ht="28.5">
      <c r="A131" s="157" t="s">
        <v>188</v>
      </c>
      <c r="B131" s="79" t="s">
        <v>197</v>
      </c>
      <c r="C131" s="35"/>
      <c r="D131" s="27" t="s">
        <v>1320</v>
      </c>
      <c r="E131" s="27"/>
      <c r="F131" s="27"/>
      <c r="G131" s="27"/>
      <c r="H131" s="27"/>
      <c r="I131" s="27"/>
      <c r="J131" s="27"/>
      <c r="K131" s="27"/>
      <c r="L131" s="27"/>
      <c r="M131" s="27"/>
      <c r="N131" s="27" t="s">
        <v>1354</v>
      </c>
      <c r="O131" s="28"/>
      <c r="Q131" s="169"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157"/>
      <c r="B132" s="163"/>
      <c r="C132" s="35"/>
      <c r="D132" s="29" t="s">
        <v>199</v>
      </c>
      <c r="E132" s="29" t="s">
        <v>1321</v>
      </c>
      <c r="F132" s="29"/>
      <c r="G132" s="29"/>
      <c r="H132" s="29"/>
      <c r="I132" s="29"/>
      <c r="J132" s="29">
        <v>10</v>
      </c>
      <c r="K132" s="29"/>
      <c r="L132" s="29">
        <v>5</v>
      </c>
      <c r="M132" s="29"/>
      <c r="N132" s="29"/>
      <c r="O132" s="28"/>
      <c r="Q132" s="169"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157"/>
      <c r="B133" s="163"/>
      <c r="C133" s="35"/>
      <c r="D133" s="30" t="s">
        <v>200</v>
      </c>
      <c r="E133" s="30" t="s">
        <v>1322</v>
      </c>
      <c r="F133" s="30"/>
      <c r="G133" s="30"/>
      <c r="H133" s="30"/>
      <c r="I133" s="30"/>
      <c r="J133" s="30">
        <v>10</v>
      </c>
      <c r="K133" s="30"/>
      <c r="L133" s="30">
        <v>5</v>
      </c>
      <c r="M133" s="30"/>
      <c r="N133" s="30"/>
      <c r="O133" s="28"/>
      <c r="Q133" s="169" t="str">
        <f t="shared" si="6"/>
        <v>激活英勇打击以后，每次攻击将消耗一定的法力值并造成60点额外的物理伤害，并且提高剑圣13%的攻击速度。|n|n|cff99ccff法力消耗:|r 10点|n|cff99ccff冷却时间:|r 5秒</v>
      </c>
    </row>
    <row r="134" spans="1:17" ht="42.75">
      <c r="A134" s="157"/>
      <c r="B134" s="163"/>
      <c r="C134" s="35"/>
      <c r="D134" s="29" t="s">
        <v>201</v>
      </c>
      <c r="E134" s="29" t="s">
        <v>1323</v>
      </c>
      <c r="F134" s="29"/>
      <c r="G134" s="29"/>
      <c r="H134" s="29"/>
      <c r="I134" s="29"/>
      <c r="J134" s="29">
        <v>10</v>
      </c>
      <c r="K134" s="29"/>
      <c r="L134" s="29">
        <v>5</v>
      </c>
      <c r="M134" s="29"/>
      <c r="N134" s="29"/>
      <c r="O134" s="28"/>
      <c r="Q134" s="169"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170"/>
      <c r="B135" s="79" t="s">
        <v>192</v>
      </c>
      <c r="C135" s="32"/>
      <c r="D135" s="27" t="s">
        <v>1770</v>
      </c>
      <c r="E135" s="27"/>
      <c r="F135" s="27"/>
      <c r="G135" s="27"/>
      <c r="H135" s="27"/>
      <c r="I135" s="27"/>
      <c r="J135" s="27"/>
      <c r="K135" s="27"/>
      <c r="L135" s="27"/>
      <c r="M135" s="27"/>
      <c r="N135" s="27" t="s">
        <v>651</v>
      </c>
      <c r="O135" s="142"/>
      <c r="Q135" s="169"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170"/>
      <c r="B136" s="79"/>
      <c r="C136" s="32"/>
      <c r="D136" s="29" t="s">
        <v>1771</v>
      </c>
      <c r="E136" s="29" t="s">
        <v>1774</v>
      </c>
      <c r="F136" s="29"/>
      <c r="G136" s="29"/>
      <c r="H136" s="29"/>
      <c r="I136" s="29"/>
      <c r="J136" s="29">
        <v>30</v>
      </c>
      <c r="K136" s="29">
        <v>10</v>
      </c>
      <c r="L136" s="29">
        <v>6</v>
      </c>
      <c r="M136" s="29"/>
      <c r="N136" s="29"/>
      <c r="O136" s="28"/>
      <c r="Q136" s="169"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170"/>
      <c r="B137" s="79"/>
      <c r="C137" s="32"/>
      <c r="D137" s="30" t="s">
        <v>1772</v>
      </c>
      <c r="E137" s="30" t="s">
        <v>1775</v>
      </c>
      <c r="F137" s="30"/>
      <c r="G137" s="30"/>
      <c r="H137" s="30"/>
      <c r="I137" s="30"/>
      <c r="J137" s="30">
        <v>30</v>
      </c>
      <c r="K137" s="30">
        <v>10</v>
      </c>
      <c r="L137" s="30">
        <v>6</v>
      </c>
      <c r="M137" s="30"/>
      <c r="N137" s="30"/>
      <c r="O137" s="28"/>
      <c r="Q137" s="169"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170"/>
      <c r="B138" s="79"/>
      <c r="C138" s="32"/>
      <c r="D138" s="29" t="s">
        <v>1773</v>
      </c>
      <c r="E138" s="29" t="s">
        <v>1776</v>
      </c>
      <c r="F138" s="29"/>
      <c r="G138" s="29"/>
      <c r="H138" s="29"/>
      <c r="I138" s="29"/>
      <c r="J138" s="29">
        <v>30</v>
      </c>
      <c r="K138" s="29">
        <v>10</v>
      </c>
      <c r="L138" s="29">
        <v>6</v>
      </c>
      <c r="M138" s="29"/>
      <c r="N138" s="29"/>
      <c r="O138" s="28"/>
      <c r="Q138" s="169"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170"/>
      <c r="B139" s="79" t="s">
        <v>205</v>
      </c>
      <c r="C139" s="32"/>
      <c r="D139" s="27" t="s">
        <v>1777</v>
      </c>
      <c r="E139" s="27"/>
      <c r="F139" s="27"/>
      <c r="G139" s="27"/>
      <c r="H139" s="27"/>
      <c r="I139" s="27"/>
      <c r="J139" s="27"/>
      <c r="K139" s="27"/>
      <c r="L139" s="27"/>
      <c r="M139" s="27"/>
      <c r="N139" s="27" t="s">
        <v>652</v>
      </c>
      <c r="O139" s="28"/>
      <c r="Q139" s="169"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170"/>
      <c r="B140" s="79"/>
      <c r="C140" s="32"/>
      <c r="D140" s="29" t="s">
        <v>1778</v>
      </c>
      <c r="E140" s="29" t="s">
        <v>1781</v>
      </c>
      <c r="F140" s="29"/>
      <c r="G140" s="29"/>
      <c r="H140" s="29"/>
      <c r="I140" s="29"/>
      <c r="J140" s="29"/>
      <c r="K140" s="29"/>
      <c r="L140" s="29">
        <v>3.5</v>
      </c>
      <c r="M140" s="29"/>
      <c r="N140" s="29"/>
      <c r="O140" s="28"/>
      <c r="Q140" s="169"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170"/>
      <c r="B141" s="79"/>
      <c r="C141" s="32"/>
      <c r="D141" s="30" t="s">
        <v>1779</v>
      </c>
      <c r="E141" s="30" t="s">
        <v>1782</v>
      </c>
      <c r="F141" s="30"/>
      <c r="G141" s="30"/>
      <c r="H141" s="30"/>
      <c r="I141" s="30"/>
      <c r="J141" s="30"/>
      <c r="K141" s="30"/>
      <c r="L141" s="30">
        <v>3.5</v>
      </c>
      <c r="M141" s="30"/>
      <c r="N141" s="30"/>
      <c r="O141" s="28"/>
      <c r="Q141" s="169"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170"/>
      <c r="B142" s="79"/>
      <c r="C142" s="32"/>
      <c r="D142" s="29" t="s">
        <v>1780</v>
      </c>
      <c r="E142" s="29" t="s">
        <v>1783</v>
      </c>
      <c r="F142" s="29"/>
      <c r="G142" s="29"/>
      <c r="H142" s="29"/>
      <c r="I142" s="29"/>
      <c r="J142" s="29"/>
      <c r="K142" s="29"/>
      <c r="L142" s="29">
        <v>3.5</v>
      </c>
      <c r="M142" s="29"/>
      <c r="N142" s="29"/>
      <c r="O142" s="28"/>
      <c r="Q142" s="169"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170"/>
      <c r="B143" s="79" t="s">
        <v>207</v>
      </c>
      <c r="C143" s="32"/>
      <c r="D143" s="27" t="s">
        <v>1784</v>
      </c>
      <c r="E143" s="27"/>
      <c r="F143" s="27"/>
      <c r="G143" s="27"/>
      <c r="H143" s="27"/>
      <c r="I143" s="27"/>
      <c r="J143" s="27"/>
      <c r="K143" s="27"/>
      <c r="L143" s="27"/>
      <c r="M143" s="27"/>
      <c r="N143" s="27" t="s">
        <v>641</v>
      </c>
      <c r="O143" s="28"/>
      <c r="Q143" s="169"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170"/>
      <c r="B144" s="79"/>
      <c r="C144" s="32"/>
      <c r="D144" s="29" t="s">
        <v>208</v>
      </c>
      <c r="E144" s="29" t="s">
        <v>1785</v>
      </c>
      <c r="F144" s="29"/>
      <c r="G144" s="29"/>
      <c r="H144" s="29"/>
      <c r="I144" s="29"/>
      <c r="J144" s="29">
        <v>15</v>
      </c>
      <c r="K144" s="29">
        <v>15</v>
      </c>
      <c r="L144" s="29">
        <v>8</v>
      </c>
      <c r="M144" s="29"/>
      <c r="N144" s="29"/>
      <c r="O144" s="28"/>
      <c r="Q144" s="169"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170"/>
      <c r="B145" s="79"/>
      <c r="C145" s="32"/>
      <c r="D145" s="30" t="s">
        <v>209</v>
      </c>
      <c r="E145" s="30" t="s">
        <v>1787</v>
      </c>
      <c r="F145" s="30"/>
      <c r="G145" s="30"/>
      <c r="H145" s="30"/>
      <c r="I145" s="30"/>
      <c r="J145" s="30">
        <v>25</v>
      </c>
      <c r="K145" s="30">
        <v>15</v>
      </c>
      <c r="L145" s="30">
        <v>8</v>
      </c>
      <c r="M145" s="30"/>
      <c r="N145" s="30"/>
      <c r="O145" s="28"/>
      <c r="Q145" s="169"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170"/>
      <c r="B146" s="79"/>
      <c r="C146" s="32"/>
      <c r="D146" s="29" t="s">
        <v>210</v>
      </c>
      <c r="E146" s="29" t="s">
        <v>1786</v>
      </c>
      <c r="F146" s="29"/>
      <c r="G146" s="29"/>
      <c r="H146" s="29"/>
      <c r="I146" s="29"/>
      <c r="J146" s="29">
        <v>35</v>
      </c>
      <c r="K146" s="29">
        <v>15</v>
      </c>
      <c r="L146" s="29">
        <v>8</v>
      </c>
      <c r="M146" s="29"/>
      <c r="N146" s="29"/>
      <c r="O146" s="28"/>
      <c r="Q146" s="169"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170"/>
      <c r="B147" s="79" t="s">
        <v>211</v>
      </c>
      <c r="C147" s="32"/>
      <c r="D147" s="27" t="s">
        <v>1788</v>
      </c>
      <c r="E147" s="27"/>
      <c r="F147" s="27"/>
      <c r="G147" s="27"/>
      <c r="H147" s="27"/>
      <c r="I147" s="27"/>
      <c r="J147" s="27"/>
      <c r="K147" s="27"/>
      <c r="L147" s="27"/>
      <c r="M147" s="27"/>
      <c r="N147" s="27" t="s">
        <v>653</v>
      </c>
      <c r="O147" s="28"/>
      <c r="Q147" s="169"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170"/>
      <c r="B148" s="79"/>
      <c r="C148" s="32"/>
      <c r="D148" s="29" t="s">
        <v>1789</v>
      </c>
      <c r="E148" s="29" t="s">
        <v>1792</v>
      </c>
      <c r="F148" s="29"/>
      <c r="G148" s="29"/>
      <c r="H148" s="29"/>
      <c r="I148" s="29"/>
      <c r="J148" s="29"/>
      <c r="K148" s="29"/>
      <c r="L148" s="29"/>
      <c r="M148" s="29"/>
      <c r="N148" s="29"/>
      <c r="O148" s="28"/>
      <c r="Q148" s="169"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170"/>
      <c r="B149" s="79"/>
      <c r="C149" s="32"/>
      <c r="D149" s="30" t="s">
        <v>1790</v>
      </c>
      <c r="E149" s="30" t="s">
        <v>1793</v>
      </c>
      <c r="F149" s="30"/>
      <c r="G149" s="30"/>
      <c r="H149" s="30"/>
      <c r="I149" s="30"/>
      <c r="J149" s="30"/>
      <c r="K149" s="30"/>
      <c r="L149" s="30"/>
      <c r="M149" s="30"/>
      <c r="N149" s="30"/>
      <c r="O149" s="28"/>
      <c r="Q149" s="169"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170"/>
      <c r="B150" s="79"/>
      <c r="C150" s="32"/>
      <c r="D150" s="29" t="s">
        <v>1791</v>
      </c>
      <c r="E150" s="29" t="s">
        <v>1794</v>
      </c>
      <c r="F150" s="29"/>
      <c r="G150" s="29"/>
      <c r="H150" s="29"/>
      <c r="I150" s="29"/>
      <c r="J150" s="29"/>
      <c r="K150" s="29"/>
      <c r="L150" s="29"/>
      <c r="M150" s="29"/>
      <c r="N150" s="29"/>
      <c r="O150" s="28"/>
      <c r="Q150" s="169"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170"/>
      <c r="B151" s="162" t="s">
        <v>23</v>
      </c>
      <c r="C151" s="33"/>
      <c r="D151" s="34"/>
      <c r="E151" s="34"/>
      <c r="F151" s="34"/>
      <c r="G151" s="34"/>
      <c r="H151" s="34"/>
      <c r="I151" s="34"/>
      <c r="J151" s="34"/>
      <c r="K151" s="34"/>
      <c r="L151" s="34"/>
      <c r="M151" s="34"/>
      <c r="N151" s="34"/>
      <c r="O151" s="28"/>
    </row>
    <row r="152" spans="1:17" ht="28.5">
      <c r="A152" s="158" t="s">
        <v>213</v>
      </c>
      <c r="B152" s="79" t="s">
        <v>223</v>
      </c>
      <c r="C152" s="35"/>
      <c r="D152" s="27" t="s">
        <v>1798</v>
      </c>
      <c r="E152" s="27"/>
      <c r="F152" s="27"/>
      <c r="G152" s="27"/>
      <c r="H152" s="27"/>
      <c r="I152" s="27"/>
      <c r="J152" s="27"/>
      <c r="K152" s="27"/>
      <c r="L152" s="27"/>
      <c r="M152" s="27"/>
      <c r="N152" s="27" t="s">
        <v>167</v>
      </c>
      <c r="O152" s="28"/>
      <c r="Q152" s="169"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158"/>
      <c r="B153" s="163"/>
      <c r="C153" s="35"/>
      <c r="D153" s="29" t="s">
        <v>1795</v>
      </c>
      <c r="E153" s="29" t="s">
        <v>1799</v>
      </c>
      <c r="F153" s="29">
        <v>2</v>
      </c>
      <c r="G153" s="29"/>
      <c r="H153" s="29">
        <v>600</v>
      </c>
      <c r="I153" s="29"/>
      <c r="J153" s="29">
        <v>15</v>
      </c>
      <c r="K153" s="29">
        <v>5</v>
      </c>
      <c r="L153" s="29"/>
      <c r="M153" s="29"/>
      <c r="N153" s="29"/>
      <c r="O153" s="28"/>
      <c r="Q153" s="169"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158"/>
      <c r="B154" s="163"/>
      <c r="C154" s="35"/>
      <c r="D154" s="30" t="s">
        <v>1796</v>
      </c>
      <c r="E154" s="30" t="s">
        <v>1800</v>
      </c>
      <c r="F154" s="30">
        <v>2</v>
      </c>
      <c r="G154" s="30"/>
      <c r="H154" s="30">
        <v>600</v>
      </c>
      <c r="I154" s="30"/>
      <c r="J154" s="30">
        <v>30</v>
      </c>
      <c r="K154" s="30">
        <v>5</v>
      </c>
      <c r="L154" s="30"/>
      <c r="M154" s="30"/>
      <c r="N154" s="30"/>
      <c r="O154" s="28"/>
      <c r="Q154" s="169"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158"/>
      <c r="B155" s="163"/>
      <c r="C155" s="35"/>
      <c r="D155" s="29" t="s">
        <v>1797</v>
      </c>
      <c r="E155" s="29" t="s">
        <v>1801</v>
      </c>
      <c r="F155" s="29">
        <v>2</v>
      </c>
      <c r="G155" s="29"/>
      <c r="H155" s="29">
        <v>600</v>
      </c>
      <c r="I155" s="29"/>
      <c r="J155" s="29">
        <v>45</v>
      </c>
      <c r="K155" s="29">
        <v>5</v>
      </c>
      <c r="L155" s="29"/>
      <c r="M155" s="29"/>
      <c r="N155" s="29"/>
      <c r="O155" s="28"/>
      <c r="Q155" s="169"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79" t="s">
        <v>226</v>
      </c>
      <c r="C156" s="32"/>
      <c r="D156" s="27" t="s">
        <v>1802</v>
      </c>
      <c r="E156" s="27"/>
      <c r="F156" s="27"/>
      <c r="G156" s="27"/>
      <c r="H156" s="27"/>
      <c r="I156" s="27"/>
      <c r="J156" s="27"/>
      <c r="K156" s="27"/>
      <c r="L156" s="27"/>
      <c r="M156" s="27"/>
      <c r="N156" s="27" t="s">
        <v>642</v>
      </c>
      <c r="O156" s="142"/>
      <c r="Q156" s="169"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79"/>
      <c r="C157" s="32"/>
      <c r="D157" s="29" t="s">
        <v>1803</v>
      </c>
      <c r="E157" s="29" t="s">
        <v>1806</v>
      </c>
      <c r="F157" s="29"/>
      <c r="G157" s="29">
        <v>5</v>
      </c>
      <c r="H157" s="29">
        <v>800</v>
      </c>
      <c r="I157" s="29">
        <v>250</v>
      </c>
      <c r="J157" s="29">
        <v>100</v>
      </c>
      <c r="K157" s="29"/>
      <c r="L157" s="29">
        <v>0</v>
      </c>
      <c r="M157" s="29"/>
      <c r="N157" s="29"/>
      <c r="O157" s="28"/>
      <c r="Q157" s="169"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79"/>
      <c r="C158" s="32"/>
      <c r="D158" s="30" t="s">
        <v>1804</v>
      </c>
      <c r="E158" s="30" t="s">
        <v>1807</v>
      </c>
      <c r="F158" s="30"/>
      <c r="G158" s="30">
        <v>5</v>
      </c>
      <c r="H158" s="30">
        <v>800</v>
      </c>
      <c r="I158" s="30">
        <v>350</v>
      </c>
      <c r="J158" s="30">
        <v>135</v>
      </c>
      <c r="K158" s="30"/>
      <c r="L158" s="30">
        <v>0</v>
      </c>
      <c r="M158" s="30"/>
      <c r="N158" s="30"/>
      <c r="O158" s="28"/>
      <c r="Q158" s="169"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79"/>
      <c r="C159" s="32"/>
      <c r="D159" s="29" t="s">
        <v>1805</v>
      </c>
      <c r="E159" s="29" t="s">
        <v>1808</v>
      </c>
      <c r="F159" s="29"/>
      <c r="G159" s="29">
        <v>0</v>
      </c>
      <c r="H159" s="29">
        <v>800</v>
      </c>
      <c r="I159" s="29">
        <v>450</v>
      </c>
      <c r="J159" s="29">
        <v>170</v>
      </c>
      <c r="K159" s="29"/>
      <c r="L159" s="29">
        <v>5</v>
      </c>
      <c r="M159" s="29"/>
      <c r="N159" s="29"/>
      <c r="O159" s="28"/>
      <c r="Q159" s="169"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79" t="s">
        <v>233</v>
      </c>
      <c r="C160" s="32"/>
      <c r="D160" s="27" t="s">
        <v>1809</v>
      </c>
      <c r="E160" s="27"/>
      <c r="F160" s="27"/>
      <c r="G160" s="27"/>
      <c r="H160" s="27"/>
      <c r="I160" s="27"/>
      <c r="J160" s="27"/>
      <c r="K160" s="27"/>
      <c r="L160" s="27"/>
      <c r="M160" s="27"/>
      <c r="N160" s="27" t="s">
        <v>654</v>
      </c>
      <c r="O160" s="28"/>
      <c r="Q160" s="169"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79"/>
      <c r="C161" s="32"/>
      <c r="D161" s="29" t="s">
        <v>1810</v>
      </c>
      <c r="E161" s="29" t="s">
        <v>1813</v>
      </c>
      <c r="F161" s="29"/>
      <c r="G161" s="29"/>
      <c r="H161" s="29"/>
      <c r="I161" s="29">
        <v>300</v>
      </c>
      <c r="J161" s="29">
        <v>70</v>
      </c>
      <c r="K161" s="29">
        <v>4</v>
      </c>
      <c r="L161" s="29">
        <v>15</v>
      </c>
      <c r="M161" s="29"/>
      <c r="N161" s="29"/>
      <c r="O161" s="28"/>
      <c r="Q161" s="169"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79"/>
      <c r="C162" s="32"/>
      <c r="D162" s="30" t="s">
        <v>1811</v>
      </c>
      <c r="E162" s="30" t="s">
        <v>1814</v>
      </c>
      <c r="F162" s="30"/>
      <c r="G162" s="30"/>
      <c r="H162" s="30"/>
      <c r="I162" s="30">
        <v>400</v>
      </c>
      <c r="J162" s="30">
        <v>140</v>
      </c>
      <c r="K162" s="30">
        <v>5</v>
      </c>
      <c r="L162" s="30">
        <v>15</v>
      </c>
      <c r="M162" s="30"/>
      <c r="N162" s="30"/>
      <c r="O162" s="28"/>
      <c r="Q162" s="169"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79"/>
      <c r="C163" s="32"/>
      <c r="D163" s="29" t="s">
        <v>1812</v>
      </c>
      <c r="E163" s="29" t="s">
        <v>1815</v>
      </c>
      <c r="F163" s="29"/>
      <c r="G163" s="29"/>
      <c r="H163" s="29"/>
      <c r="I163" s="29">
        <v>500</v>
      </c>
      <c r="J163" s="29">
        <v>280</v>
      </c>
      <c r="K163" s="29">
        <v>6</v>
      </c>
      <c r="L163" s="29">
        <v>12</v>
      </c>
      <c r="M163" s="29"/>
      <c r="N163" s="29"/>
      <c r="O163" s="28"/>
      <c r="Q163" s="169"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79" t="s">
        <v>244</v>
      </c>
      <c r="C164" s="32"/>
      <c r="D164" s="27" t="s">
        <v>245</v>
      </c>
      <c r="E164" s="27"/>
      <c r="F164" s="27"/>
      <c r="G164" s="27"/>
      <c r="H164" s="27"/>
      <c r="I164" s="27"/>
      <c r="J164" s="27"/>
      <c r="K164" s="27"/>
      <c r="L164" s="27"/>
      <c r="M164" s="27"/>
      <c r="N164" s="27" t="s">
        <v>254</v>
      </c>
      <c r="O164" s="28"/>
      <c r="Q164" s="169"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79"/>
      <c r="C165" s="32"/>
      <c r="D165" s="29" t="s">
        <v>246</v>
      </c>
      <c r="E165" s="29" t="s">
        <v>1816</v>
      </c>
      <c r="F165" s="29"/>
      <c r="G165" s="29"/>
      <c r="H165" s="29">
        <v>600</v>
      </c>
      <c r="I165" s="29"/>
      <c r="J165" s="29">
        <v>25</v>
      </c>
      <c r="K165" s="29">
        <v>10</v>
      </c>
      <c r="L165" s="29">
        <v>30</v>
      </c>
      <c r="M165" s="29"/>
      <c r="N165" s="29"/>
      <c r="O165" s="28"/>
      <c r="Q165" s="169"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79"/>
      <c r="C166" s="32"/>
      <c r="D166" s="30" t="s">
        <v>249</v>
      </c>
      <c r="E166" s="30" t="s">
        <v>1817</v>
      </c>
      <c r="F166" s="30"/>
      <c r="G166" s="30"/>
      <c r="H166" s="30">
        <v>600</v>
      </c>
      <c r="I166" s="30"/>
      <c r="J166" s="30">
        <v>25</v>
      </c>
      <c r="K166" s="30">
        <v>10</v>
      </c>
      <c r="L166" s="30">
        <v>22</v>
      </c>
      <c r="M166" s="30"/>
      <c r="N166" s="30"/>
      <c r="O166" s="28"/>
      <c r="Q166" s="169"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79"/>
      <c r="C167" s="32"/>
      <c r="D167" s="29" t="s">
        <v>253</v>
      </c>
      <c r="E167" s="29" t="s">
        <v>1818</v>
      </c>
      <c r="F167" s="29"/>
      <c r="G167" s="29"/>
      <c r="H167" s="29">
        <v>600</v>
      </c>
      <c r="I167" s="29"/>
      <c r="J167" s="29">
        <v>25</v>
      </c>
      <c r="K167" s="29">
        <v>10</v>
      </c>
      <c r="L167" s="29">
        <v>14</v>
      </c>
      <c r="M167" s="29"/>
      <c r="N167" s="29"/>
      <c r="O167" s="28"/>
      <c r="Q167" s="169"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79" t="s">
        <v>258</v>
      </c>
      <c r="C168" s="32"/>
      <c r="D168" s="27" t="s">
        <v>261</v>
      </c>
      <c r="E168" s="27"/>
      <c r="F168" s="27"/>
      <c r="G168" s="27"/>
      <c r="H168" s="27"/>
      <c r="I168" s="27"/>
      <c r="J168" s="27"/>
      <c r="K168" s="27"/>
      <c r="L168" s="27"/>
      <c r="M168" s="27"/>
      <c r="N168" s="27" t="s">
        <v>266</v>
      </c>
      <c r="O168" s="28"/>
      <c r="Q168" s="169"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79"/>
      <c r="C169" s="32"/>
      <c r="D169" s="29" t="s">
        <v>262</v>
      </c>
      <c r="E169" s="29" t="s">
        <v>1819</v>
      </c>
      <c r="F169" s="29"/>
      <c r="G169" s="29"/>
      <c r="H169" s="29">
        <v>600</v>
      </c>
      <c r="I169" s="29"/>
      <c r="J169" s="29">
        <v>70</v>
      </c>
      <c r="K169" s="29"/>
      <c r="L169" s="29">
        <v>6</v>
      </c>
      <c r="M169" s="29"/>
      <c r="N169" s="29"/>
      <c r="O169" s="28"/>
      <c r="Q169" s="169"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79"/>
      <c r="C170" s="32"/>
      <c r="D170" s="30" t="s">
        <v>263</v>
      </c>
      <c r="E170" s="30" t="s">
        <v>1820</v>
      </c>
      <c r="F170" s="30"/>
      <c r="G170" s="30"/>
      <c r="H170" s="30">
        <v>600</v>
      </c>
      <c r="I170" s="30"/>
      <c r="J170" s="30">
        <v>210</v>
      </c>
      <c r="K170" s="30"/>
      <c r="L170" s="30">
        <v>3</v>
      </c>
      <c r="M170" s="30"/>
      <c r="N170" s="30"/>
      <c r="O170" s="28"/>
      <c r="Q170" s="169"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79"/>
      <c r="C171" s="32"/>
      <c r="D171" s="29" t="s">
        <v>265</v>
      </c>
      <c r="E171" s="29" t="s">
        <v>1821</v>
      </c>
      <c r="F171" s="29"/>
      <c r="G171" s="29"/>
      <c r="H171" s="29">
        <v>600</v>
      </c>
      <c r="I171" s="29"/>
      <c r="J171" s="29">
        <v>350</v>
      </c>
      <c r="K171" s="29"/>
      <c r="L171" s="29">
        <v>1</v>
      </c>
      <c r="M171" s="29"/>
      <c r="N171" s="29"/>
      <c r="O171" s="28"/>
      <c r="Q171" s="169"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162" t="s">
        <v>267</v>
      </c>
      <c r="C172" s="33"/>
      <c r="D172" s="34" t="s">
        <v>268</v>
      </c>
      <c r="E172" s="34"/>
      <c r="F172" s="34"/>
      <c r="G172" s="34"/>
      <c r="H172" s="34"/>
      <c r="I172" s="34"/>
      <c r="J172" s="34"/>
      <c r="K172" s="34"/>
      <c r="L172" s="34"/>
      <c r="M172" s="34"/>
      <c r="N172" s="34" t="s">
        <v>643</v>
      </c>
      <c r="O172" s="28"/>
    </row>
    <row r="173" spans="1:17" ht="42.75">
      <c r="A173" s="157" t="s">
        <v>269</v>
      </c>
      <c r="B173" s="79" t="s">
        <v>372</v>
      </c>
      <c r="C173" s="35" t="s">
        <v>1044</v>
      </c>
      <c r="D173" s="27" t="s">
        <v>373</v>
      </c>
      <c r="E173" s="27"/>
      <c r="F173" s="27"/>
      <c r="G173" s="27"/>
      <c r="H173" s="27"/>
      <c r="I173" s="27"/>
      <c r="J173" s="27"/>
      <c r="K173" s="27"/>
      <c r="L173" s="27"/>
      <c r="M173" s="27"/>
      <c r="N173" s="27" t="s">
        <v>377</v>
      </c>
      <c r="O173" s="28"/>
      <c r="Q173" s="169"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157"/>
      <c r="B174" s="163"/>
      <c r="C174" s="35"/>
      <c r="D174" s="29" t="s">
        <v>374</v>
      </c>
      <c r="E174" s="29" t="s">
        <v>1824</v>
      </c>
      <c r="F174" s="29" t="s">
        <v>1827</v>
      </c>
      <c r="G174" s="29"/>
      <c r="H174" s="29">
        <v>600</v>
      </c>
      <c r="I174" s="29"/>
      <c r="J174" s="29">
        <v>10</v>
      </c>
      <c r="K174" s="29"/>
      <c r="L174" s="29"/>
      <c r="M174" s="29"/>
      <c r="N174" s="29"/>
      <c r="O174" s="28"/>
      <c r="Q174" s="169"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157"/>
      <c r="B175" s="163"/>
      <c r="C175" s="35"/>
      <c r="D175" s="30" t="s">
        <v>375</v>
      </c>
      <c r="E175" s="30" t="s">
        <v>1825</v>
      </c>
      <c r="F175" s="30" t="s">
        <v>1827</v>
      </c>
      <c r="G175" s="30"/>
      <c r="H175" s="30">
        <v>600</v>
      </c>
      <c r="I175" s="30"/>
      <c r="J175" s="30">
        <v>13</v>
      </c>
      <c r="K175" s="30"/>
      <c r="L175" s="30"/>
      <c r="M175" s="30"/>
      <c r="N175" s="30"/>
      <c r="O175" s="28"/>
      <c r="Q175" s="169"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157"/>
      <c r="B176" s="163"/>
      <c r="C176" s="35"/>
      <c r="D176" s="29" t="s">
        <v>376</v>
      </c>
      <c r="E176" s="29" t="s">
        <v>1826</v>
      </c>
      <c r="F176" s="29" t="s">
        <v>1827</v>
      </c>
      <c r="G176" s="29"/>
      <c r="H176" s="29">
        <v>600</v>
      </c>
      <c r="I176" s="29"/>
      <c r="J176" s="29">
        <v>16</v>
      </c>
      <c r="K176" s="29"/>
      <c r="L176" s="29"/>
      <c r="M176" s="29"/>
      <c r="N176" s="29"/>
      <c r="O176" s="28"/>
      <c r="Q176" s="169"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170"/>
      <c r="B177" s="79" t="s">
        <v>145</v>
      </c>
      <c r="C177" s="32" t="s">
        <v>1036</v>
      </c>
      <c r="D177" s="27" t="s">
        <v>1828</v>
      </c>
      <c r="E177" s="27"/>
      <c r="F177" s="27"/>
      <c r="G177" s="27"/>
      <c r="H177" s="27"/>
      <c r="I177" s="27"/>
      <c r="J177" s="27"/>
      <c r="K177" s="27"/>
      <c r="L177" s="27"/>
      <c r="M177" s="27"/>
      <c r="N177" s="27" t="s">
        <v>655</v>
      </c>
      <c r="O177" s="28"/>
      <c r="Q177" s="169"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170"/>
      <c r="B178" s="79"/>
      <c r="C178" s="32"/>
      <c r="D178" s="29" t="s">
        <v>15</v>
      </c>
      <c r="E178" s="29" t="s">
        <v>1831</v>
      </c>
      <c r="F178" s="29"/>
      <c r="G178" s="29"/>
      <c r="H178" s="29">
        <v>600</v>
      </c>
      <c r="I178" s="29"/>
      <c r="J178" s="29">
        <v>85</v>
      </c>
      <c r="K178" s="29"/>
      <c r="L178" s="29">
        <v>9</v>
      </c>
      <c r="M178" s="29"/>
      <c r="N178" s="29"/>
      <c r="O178" s="28"/>
      <c r="Q178" s="169" t="str">
        <f t="shared" si="8"/>
        <v>冲击目标，对其造成150点法术伤害，并且打断施法。|n|n|cff99ccff施法距离:|r 600码|n|cff99ccff法力消耗:|r 85点|n|cff99ccff冷却时间:|r 9秒</v>
      </c>
    </row>
    <row r="179" spans="1:17">
      <c r="A179" s="170"/>
      <c r="B179" s="79"/>
      <c r="C179" s="32"/>
      <c r="D179" s="30" t="s">
        <v>1829</v>
      </c>
      <c r="E179" s="30" t="s">
        <v>1832</v>
      </c>
      <c r="F179" s="30"/>
      <c r="G179" s="30"/>
      <c r="H179" s="30">
        <v>600</v>
      </c>
      <c r="I179" s="30"/>
      <c r="J179" s="30">
        <v>95</v>
      </c>
      <c r="K179" s="30"/>
      <c r="L179" s="30">
        <v>9</v>
      </c>
      <c r="M179" s="30"/>
      <c r="N179" s="30"/>
      <c r="O179" s="28"/>
      <c r="Q179" s="169" t="str">
        <f t="shared" si="8"/>
        <v>冲击目标，对其造成250点法术伤害，并且打断施法。|n|n|cff99ccff施法距离:|r 600码|n|cff99ccff法力消耗:|r 95点|n|cff99ccff冷却时间:|r 9秒</v>
      </c>
    </row>
    <row r="180" spans="1:17">
      <c r="A180" s="170"/>
      <c r="B180" s="79"/>
      <c r="C180" s="32"/>
      <c r="D180" s="29" t="s">
        <v>1830</v>
      </c>
      <c r="E180" s="29" t="s">
        <v>1833</v>
      </c>
      <c r="F180" s="29"/>
      <c r="G180" s="29"/>
      <c r="H180" s="29">
        <v>600</v>
      </c>
      <c r="I180" s="29"/>
      <c r="J180" s="29">
        <v>105</v>
      </c>
      <c r="K180" s="29"/>
      <c r="L180" s="29">
        <v>9</v>
      </c>
      <c r="M180" s="29"/>
      <c r="N180" s="29"/>
      <c r="O180" s="28"/>
      <c r="Q180" s="169" t="str">
        <f t="shared" si="8"/>
        <v>冲击目标，对其造成350点法术伤害，并且打断施法。|n|n|cff99ccff施法距离:|r 600码|n|cff99ccff法力消耗:|r 105点|n|cff99ccff冷却时间:|r 9秒</v>
      </c>
    </row>
    <row r="181" spans="1:17" ht="28.5">
      <c r="A181" s="170"/>
      <c r="B181" s="79" t="s">
        <v>146</v>
      </c>
      <c r="C181" s="32"/>
      <c r="D181" s="27" t="s">
        <v>1834</v>
      </c>
      <c r="E181" s="27"/>
      <c r="F181" s="27"/>
      <c r="G181" s="27"/>
      <c r="H181" s="27"/>
      <c r="I181" s="27"/>
      <c r="J181" s="27"/>
      <c r="K181" s="27"/>
      <c r="L181" s="27"/>
      <c r="M181" s="27"/>
      <c r="N181" s="27" t="s">
        <v>378</v>
      </c>
      <c r="O181" s="28"/>
      <c r="Q181" s="169"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170"/>
      <c r="B182" s="79"/>
      <c r="C182" s="32"/>
      <c r="D182" s="29" t="s">
        <v>1835</v>
      </c>
      <c r="E182" s="29" t="s">
        <v>1838</v>
      </c>
      <c r="F182" s="29"/>
      <c r="G182" s="29"/>
      <c r="H182" s="29">
        <v>800</v>
      </c>
      <c r="I182" s="29"/>
      <c r="J182" s="29">
        <v>15</v>
      </c>
      <c r="K182" s="29">
        <v>6</v>
      </c>
      <c r="L182" s="29">
        <v>4</v>
      </c>
      <c r="M182" s="29"/>
      <c r="N182" s="29"/>
      <c r="O182" s="28"/>
      <c r="Q182" s="169"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170"/>
      <c r="B183" s="79"/>
      <c r="C183" s="32"/>
      <c r="D183" s="30" t="s">
        <v>1836</v>
      </c>
      <c r="E183" s="30" t="s">
        <v>1839</v>
      </c>
      <c r="F183" s="30"/>
      <c r="G183" s="30"/>
      <c r="H183" s="30">
        <v>800</v>
      </c>
      <c r="I183" s="30"/>
      <c r="J183" s="30">
        <v>15</v>
      </c>
      <c r="K183" s="30">
        <v>6</v>
      </c>
      <c r="L183" s="30">
        <v>4</v>
      </c>
      <c r="M183" s="30"/>
      <c r="N183" s="30"/>
      <c r="O183" s="28"/>
      <c r="Q183" s="169"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170"/>
      <c r="B184" s="79"/>
      <c r="C184" s="32"/>
      <c r="D184" s="29" t="s">
        <v>1837</v>
      </c>
      <c r="E184" s="29" t="s">
        <v>1840</v>
      </c>
      <c r="F184" s="29"/>
      <c r="G184" s="29"/>
      <c r="H184" s="29">
        <v>800</v>
      </c>
      <c r="I184" s="29"/>
      <c r="J184" s="29">
        <v>15</v>
      </c>
      <c r="K184" s="29">
        <v>6</v>
      </c>
      <c r="L184" s="29">
        <v>4</v>
      </c>
      <c r="M184" s="29"/>
      <c r="N184" s="29"/>
      <c r="O184" s="28"/>
      <c r="Q184" s="169"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170"/>
      <c r="B185" s="79" t="s">
        <v>379</v>
      </c>
      <c r="C185" s="32"/>
      <c r="D185" s="27" t="s">
        <v>380</v>
      </c>
      <c r="E185" s="27"/>
      <c r="F185" s="27"/>
      <c r="G185" s="27"/>
      <c r="H185" s="27"/>
      <c r="I185" s="27"/>
      <c r="J185" s="27"/>
      <c r="K185" s="27"/>
      <c r="L185" s="27"/>
      <c r="M185" s="27"/>
      <c r="N185" s="27" t="s">
        <v>656</v>
      </c>
      <c r="O185" s="28"/>
      <c r="Q185" s="169"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170"/>
      <c r="B186" s="79"/>
      <c r="C186" s="32"/>
      <c r="D186" s="29" t="s">
        <v>381</v>
      </c>
      <c r="E186" s="29"/>
      <c r="F186" s="29"/>
      <c r="G186" s="29"/>
      <c r="H186" s="29"/>
      <c r="I186" s="29"/>
      <c r="J186" s="29"/>
      <c r="K186" s="29"/>
      <c r="L186" s="29"/>
      <c r="M186" s="29"/>
      <c r="N186" s="29"/>
      <c r="O186" s="28"/>
      <c r="Q186" s="169" t="str">
        <f t="shared" si="8"/>
        <v>|n|n</v>
      </c>
    </row>
    <row r="187" spans="1:17" ht="42.75">
      <c r="A187" s="170"/>
      <c r="B187" s="79"/>
      <c r="C187" s="32"/>
      <c r="D187" s="30" t="s">
        <v>382</v>
      </c>
      <c r="E187" s="30"/>
      <c r="F187" s="30"/>
      <c r="G187" s="30"/>
      <c r="H187" s="30"/>
      <c r="I187" s="30"/>
      <c r="J187" s="30"/>
      <c r="K187" s="30"/>
      <c r="L187" s="30"/>
      <c r="M187" s="30"/>
      <c r="N187" s="30"/>
      <c r="O187" s="28"/>
      <c r="Q187" s="169" t="str">
        <f t="shared" si="8"/>
        <v>|n|n</v>
      </c>
    </row>
    <row r="188" spans="1:17" ht="42.75">
      <c r="A188" s="170"/>
      <c r="B188" s="79"/>
      <c r="C188" s="32"/>
      <c r="D188" s="29" t="s">
        <v>383</v>
      </c>
      <c r="E188" s="29"/>
      <c r="F188" s="29"/>
      <c r="G188" s="29"/>
      <c r="H188" s="29"/>
      <c r="I188" s="29"/>
      <c r="J188" s="29"/>
      <c r="K188" s="29"/>
      <c r="L188" s="29"/>
      <c r="M188" s="29"/>
      <c r="N188" s="29"/>
      <c r="O188" s="28"/>
      <c r="Q188" s="169" t="str">
        <f t="shared" si="8"/>
        <v>|n|n</v>
      </c>
    </row>
    <row r="189" spans="1:17" ht="28.5">
      <c r="A189" s="170"/>
      <c r="B189" s="79" t="s">
        <v>147</v>
      </c>
      <c r="C189" s="32"/>
      <c r="D189" s="27" t="s">
        <v>1841</v>
      </c>
      <c r="E189" s="27"/>
      <c r="F189" s="27"/>
      <c r="G189" s="27"/>
      <c r="H189" s="27"/>
      <c r="I189" s="27"/>
      <c r="J189" s="27"/>
      <c r="K189" s="27"/>
      <c r="L189" s="27"/>
      <c r="M189" s="27"/>
      <c r="N189" s="27" t="s">
        <v>644</v>
      </c>
      <c r="O189" s="28"/>
      <c r="Q189" s="169"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170"/>
      <c r="B190" s="79"/>
      <c r="C190" s="32"/>
      <c r="D190" s="29" t="s">
        <v>1842</v>
      </c>
      <c r="E190" s="29" t="s">
        <v>1841</v>
      </c>
      <c r="F190" s="29"/>
      <c r="G190" s="29"/>
      <c r="H190" s="29"/>
      <c r="I190" s="29"/>
      <c r="J190" s="29">
        <v>25</v>
      </c>
      <c r="K190" s="29">
        <v>12</v>
      </c>
      <c r="L190" s="29">
        <v>40</v>
      </c>
      <c r="M190" s="29"/>
      <c r="N190" s="29"/>
      <c r="O190" s="28"/>
      <c r="Q190" s="169"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170"/>
      <c r="B191" s="79"/>
      <c r="C191" s="32"/>
      <c r="D191" s="30" t="s">
        <v>1843</v>
      </c>
      <c r="E191" s="30" t="s">
        <v>1841</v>
      </c>
      <c r="F191" s="30"/>
      <c r="G191" s="30"/>
      <c r="H191" s="30"/>
      <c r="I191" s="30"/>
      <c r="J191" s="30">
        <v>25</v>
      </c>
      <c r="K191" s="30">
        <v>16</v>
      </c>
      <c r="L191" s="30">
        <v>40</v>
      </c>
      <c r="M191" s="30"/>
      <c r="N191" s="30"/>
      <c r="O191" s="28"/>
      <c r="Q191" s="169"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170"/>
      <c r="B192" s="79"/>
      <c r="C192" s="32"/>
      <c r="D192" s="29" t="s">
        <v>1844</v>
      </c>
      <c r="E192" s="29" t="s">
        <v>1841</v>
      </c>
      <c r="F192" s="29"/>
      <c r="G192" s="29"/>
      <c r="H192" s="29"/>
      <c r="I192" s="29"/>
      <c r="J192" s="29">
        <v>25</v>
      </c>
      <c r="K192" s="29">
        <v>20</v>
      </c>
      <c r="L192" s="29">
        <v>40</v>
      </c>
      <c r="M192" s="29"/>
      <c r="N192" s="29"/>
      <c r="O192" s="28"/>
      <c r="Q192" s="169"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170"/>
      <c r="B193" s="162" t="s">
        <v>23</v>
      </c>
      <c r="C193" s="33"/>
      <c r="D193" s="34"/>
      <c r="E193" s="34"/>
      <c r="F193" s="34"/>
      <c r="G193" s="34"/>
      <c r="H193" s="34"/>
      <c r="I193" s="34"/>
      <c r="J193" s="34"/>
      <c r="K193" s="34"/>
      <c r="L193" s="34"/>
      <c r="M193" s="34"/>
      <c r="N193" s="34"/>
      <c r="O193" s="28"/>
    </row>
    <row r="194" spans="1:17" ht="57">
      <c r="A194" s="158" t="s">
        <v>1313</v>
      </c>
      <c r="B194" s="79" t="s">
        <v>482</v>
      </c>
      <c r="C194" s="35"/>
      <c r="D194" s="27" t="s">
        <v>1845</v>
      </c>
      <c r="E194" s="27"/>
      <c r="F194" s="27"/>
      <c r="G194" s="27"/>
      <c r="H194" s="27"/>
      <c r="I194" s="27"/>
      <c r="J194" s="27"/>
      <c r="K194" s="27"/>
      <c r="L194" s="27"/>
      <c r="M194" s="27"/>
      <c r="N194" s="27" t="s">
        <v>232</v>
      </c>
      <c r="O194" s="28"/>
      <c r="Q194" s="169"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158"/>
      <c r="B195" s="163"/>
      <c r="C195" s="35"/>
      <c r="D195" s="29" t="s">
        <v>483</v>
      </c>
      <c r="E195" s="29" t="s">
        <v>1846</v>
      </c>
      <c r="F195" s="29"/>
      <c r="G195" s="29"/>
      <c r="H195" s="29"/>
      <c r="I195" s="29"/>
      <c r="J195" s="29">
        <v>0.4</v>
      </c>
      <c r="K195" s="29"/>
      <c r="L195" s="29"/>
      <c r="M195" s="29"/>
      <c r="N195" s="29"/>
      <c r="O195" s="28"/>
      <c r="Q195" s="169"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158"/>
      <c r="B196" s="163"/>
      <c r="C196" s="35"/>
      <c r="D196" s="30" t="s">
        <v>487</v>
      </c>
      <c r="E196" s="30" t="s">
        <v>1847</v>
      </c>
      <c r="F196" s="30"/>
      <c r="G196" s="30"/>
      <c r="H196" s="30"/>
      <c r="I196" s="30"/>
      <c r="J196" s="30">
        <v>0.4</v>
      </c>
      <c r="K196" s="30"/>
      <c r="L196" s="30"/>
      <c r="M196" s="30"/>
      <c r="N196" s="30"/>
      <c r="O196" s="28"/>
      <c r="Q196" s="169"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158"/>
      <c r="B197" s="163"/>
      <c r="C197" s="35"/>
      <c r="D197" s="29" t="s">
        <v>488</v>
      </c>
      <c r="E197" s="29" t="s">
        <v>1848</v>
      </c>
      <c r="F197" s="29"/>
      <c r="G197" s="29"/>
      <c r="H197" s="29"/>
      <c r="I197" s="29"/>
      <c r="J197" s="29">
        <v>0.4</v>
      </c>
      <c r="K197" s="29"/>
      <c r="L197" s="29"/>
      <c r="M197" s="29"/>
      <c r="N197" s="29"/>
      <c r="O197" s="28"/>
      <c r="Q197" s="169"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79" t="s">
        <v>491</v>
      </c>
      <c r="C198" s="32"/>
      <c r="D198" s="27" t="s">
        <v>1849</v>
      </c>
      <c r="E198" s="27"/>
      <c r="F198" s="27"/>
      <c r="G198" s="27"/>
      <c r="H198" s="27"/>
      <c r="I198" s="27"/>
      <c r="J198" s="27"/>
      <c r="K198" s="27"/>
      <c r="L198" s="27"/>
      <c r="M198" s="27"/>
      <c r="N198" s="27"/>
      <c r="O198" s="28"/>
      <c r="Q198" s="169"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79"/>
      <c r="C199" s="32"/>
      <c r="D199" s="29" t="s">
        <v>1850</v>
      </c>
      <c r="E199" s="29" t="s">
        <v>1853</v>
      </c>
      <c r="F199" s="29"/>
      <c r="G199" s="29"/>
      <c r="H199" s="29"/>
      <c r="I199" s="29"/>
      <c r="J199" s="29">
        <v>0.25</v>
      </c>
      <c r="K199" s="29">
        <v>18</v>
      </c>
      <c r="L199" s="29"/>
      <c r="M199" s="29"/>
      <c r="N199" s="29"/>
      <c r="O199" s="28"/>
      <c r="Q199" s="169"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79"/>
      <c r="C200" s="32"/>
      <c r="D200" s="30" t="s">
        <v>1851</v>
      </c>
      <c r="E200" s="30" t="s">
        <v>1854</v>
      </c>
      <c r="F200" s="30"/>
      <c r="G200" s="30"/>
      <c r="H200" s="30"/>
      <c r="I200" s="30"/>
      <c r="J200" s="30">
        <v>0.25</v>
      </c>
      <c r="K200" s="30">
        <v>18</v>
      </c>
      <c r="L200" s="30"/>
      <c r="M200" s="30"/>
      <c r="N200" s="30"/>
      <c r="O200" s="28"/>
      <c r="Q200" s="169"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79"/>
      <c r="C201" s="32"/>
      <c r="D201" s="29" t="s">
        <v>1852</v>
      </c>
      <c r="E201" s="29" t="s">
        <v>1855</v>
      </c>
      <c r="F201" s="29"/>
      <c r="G201" s="29"/>
      <c r="H201" s="29"/>
      <c r="I201" s="29"/>
      <c r="J201" s="29">
        <v>0.25</v>
      </c>
      <c r="K201" s="29">
        <v>18</v>
      </c>
      <c r="L201" s="29"/>
      <c r="M201" s="29"/>
      <c r="N201" s="29"/>
      <c r="O201" s="28"/>
      <c r="Q201" s="169"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79" t="s">
        <v>497</v>
      </c>
      <c r="C202" s="32"/>
      <c r="D202" s="27" t="s">
        <v>1856</v>
      </c>
      <c r="E202" s="27"/>
      <c r="F202" s="27"/>
      <c r="G202" s="27"/>
      <c r="H202" s="27"/>
      <c r="I202" s="27"/>
      <c r="J202" s="27"/>
      <c r="K202" s="27"/>
      <c r="L202" s="27"/>
      <c r="M202" s="27"/>
      <c r="N202" s="27"/>
      <c r="O202" s="28"/>
      <c r="Q202" s="169"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79"/>
      <c r="C203" s="32"/>
      <c r="D203" s="29" t="s">
        <v>1857</v>
      </c>
      <c r="E203" s="29" t="s">
        <v>1860</v>
      </c>
      <c r="F203" s="29"/>
      <c r="G203" s="29"/>
      <c r="H203" s="29"/>
      <c r="I203" s="29"/>
      <c r="J203" s="29"/>
      <c r="K203" s="29"/>
      <c r="L203" s="29">
        <v>16</v>
      </c>
      <c r="M203" s="29"/>
      <c r="N203" s="29"/>
      <c r="O203" s="28"/>
      <c r="Q203" s="169" t="str">
        <f t="shared" si="9"/>
        <v>重击目标，导致其昏迷1秒，消耗掉所有的连击点，每点连击点可以附加1秒的昏迷时间。|n|n|cff99ccff冷却时间:|r 16秒</v>
      </c>
    </row>
    <row r="204" spans="1:17" ht="28.5">
      <c r="B204" s="79"/>
      <c r="C204" s="32"/>
      <c r="D204" s="30" t="s">
        <v>1858</v>
      </c>
      <c r="E204" s="30" t="s">
        <v>1861</v>
      </c>
      <c r="F204" s="30"/>
      <c r="G204" s="30"/>
      <c r="H204" s="30"/>
      <c r="I204" s="30"/>
      <c r="J204" s="30"/>
      <c r="K204" s="30"/>
      <c r="L204" s="30">
        <v>13</v>
      </c>
      <c r="M204" s="30"/>
      <c r="N204" s="30"/>
      <c r="O204" s="28"/>
      <c r="Q204" s="169" t="str">
        <f t="shared" si="9"/>
        <v>重击目标，导致其昏迷2秒，消耗掉所有的连击点，每点连击点可以附加1秒的昏迷时间。|n|n|cff99ccff冷却时间:|r 13秒</v>
      </c>
    </row>
    <row r="205" spans="1:17" ht="28.5">
      <c r="B205" s="79"/>
      <c r="C205" s="32"/>
      <c r="D205" s="29" t="s">
        <v>1859</v>
      </c>
      <c r="E205" s="29" t="s">
        <v>1862</v>
      </c>
      <c r="F205" s="29"/>
      <c r="G205" s="29"/>
      <c r="H205" s="29"/>
      <c r="I205" s="29"/>
      <c r="J205" s="29"/>
      <c r="K205" s="29"/>
      <c r="L205" s="29">
        <v>10</v>
      </c>
      <c r="M205" s="29"/>
      <c r="N205" s="29"/>
      <c r="O205" s="28"/>
      <c r="Q205" s="169" t="str">
        <f t="shared" si="9"/>
        <v>重击目标，导致其昏迷3秒，消耗掉所有的连击点，每点连击点可以附加1秒的昏迷时间。|n|n|cff99ccff冷却时间:|r 10秒</v>
      </c>
    </row>
    <row r="206" spans="1:17">
      <c r="B206" s="79" t="s">
        <v>470</v>
      </c>
      <c r="C206" s="32"/>
      <c r="D206" s="27" t="s">
        <v>502</v>
      </c>
      <c r="E206" s="27"/>
      <c r="F206" s="27"/>
      <c r="G206" s="27"/>
      <c r="H206" s="27"/>
      <c r="I206" s="27"/>
      <c r="J206" s="27"/>
      <c r="K206" s="27"/>
      <c r="L206" s="27"/>
      <c r="M206" s="27"/>
      <c r="N206" s="27"/>
      <c r="O206" s="28"/>
      <c r="Q206" s="169"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79"/>
      <c r="C207" s="32"/>
      <c r="D207" s="29"/>
      <c r="E207" s="29"/>
      <c r="F207" s="29"/>
      <c r="G207" s="29"/>
      <c r="H207" s="29"/>
      <c r="I207" s="29"/>
      <c r="J207" s="29"/>
      <c r="K207" s="29"/>
      <c r="L207" s="29"/>
      <c r="M207" s="29"/>
      <c r="N207" s="29"/>
      <c r="O207" s="28"/>
    </row>
    <row r="208" spans="1:17">
      <c r="B208" s="79"/>
      <c r="C208" s="32"/>
      <c r="D208" s="30" t="s">
        <v>503</v>
      </c>
      <c r="E208" s="30"/>
      <c r="F208" s="30"/>
      <c r="G208" s="30"/>
      <c r="H208" s="30"/>
      <c r="I208" s="30"/>
      <c r="J208" s="30"/>
      <c r="K208" s="30"/>
      <c r="L208" s="30"/>
      <c r="M208" s="30"/>
      <c r="N208" s="30"/>
      <c r="O208" s="28"/>
    </row>
    <row r="209" spans="1:17">
      <c r="B209" s="79"/>
      <c r="C209" s="32"/>
      <c r="D209" s="29" t="s">
        <v>503</v>
      </c>
      <c r="E209" s="29"/>
      <c r="F209" s="29"/>
      <c r="G209" s="29"/>
      <c r="H209" s="29"/>
      <c r="I209" s="29"/>
      <c r="J209" s="29"/>
      <c r="K209" s="29"/>
      <c r="L209" s="29"/>
      <c r="M209" s="29"/>
      <c r="N209" s="29"/>
      <c r="O209" s="28"/>
    </row>
    <row r="210" spans="1:17" ht="42.75">
      <c r="B210" s="79" t="s">
        <v>466</v>
      </c>
      <c r="C210" s="32"/>
      <c r="D210" s="27" t="s">
        <v>505</v>
      </c>
      <c r="E210" s="27"/>
      <c r="F210" s="27"/>
      <c r="G210" s="27"/>
      <c r="H210" s="27"/>
      <c r="I210" s="27"/>
      <c r="J210" s="27"/>
      <c r="K210" s="27"/>
      <c r="L210" s="27"/>
      <c r="M210" s="27"/>
      <c r="N210" s="27"/>
      <c r="O210" s="28"/>
      <c r="Q210" s="169"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79"/>
      <c r="C211" s="32"/>
      <c r="D211" s="29"/>
      <c r="E211" s="29"/>
      <c r="F211" s="29"/>
      <c r="G211" s="29"/>
      <c r="H211" s="29"/>
      <c r="I211" s="29"/>
      <c r="J211" s="29"/>
      <c r="K211" s="29"/>
      <c r="L211" s="29"/>
      <c r="M211" s="29"/>
      <c r="N211" s="29"/>
      <c r="O211" s="28"/>
    </row>
    <row r="212" spans="1:17">
      <c r="B212" s="79"/>
      <c r="C212" s="32"/>
      <c r="D212" s="30" t="s">
        <v>506</v>
      </c>
      <c r="E212" s="30"/>
      <c r="F212" s="30"/>
      <c r="G212" s="30"/>
      <c r="H212" s="30"/>
      <c r="I212" s="30"/>
      <c r="J212" s="30"/>
      <c r="K212" s="30"/>
      <c r="L212" s="30"/>
      <c r="M212" s="30"/>
      <c r="N212" s="30"/>
      <c r="O212" s="28"/>
    </row>
    <row r="213" spans="1:17">
      <c r="B213" s="79"/>
      <c r="C213" s="32"/>
      <c r="D213" s="29" t="s">
        <v>506</v>
      </c>
      <c r="E213" s="29"/>
      <c r="F213" s="29"/>
      <c r="G213" s="29"/>
      <c r="H213" s="29"/>
      <c r="I213" s="29"/>
      <c r="J213" s="29"/>
      <c r="K213" s="29"/>
      <c r="L213" s="29"/>
      <c r="M213" s="29"/>
      <c r="N213" s="29"/>
      <c r="O213" s="28"/>
    </row>
    <row r="214" spans="1:17">
      <c r="B214" s="162" t="s">
        <v>23</v>
      </c>
      <c r="C214" s="33"/>
      <c r="D214" s="34"/>
      <c r="E214" s="34"/>
      <c r="F214" s="34"/>
      <c r="G214" s="34"/>
      <c r="H214" s="34"/>
      <c r="I214" s="34"/>
      <c r="J214" s="34"/>
      <c r="K214" s="34"/>
      <c r="L214" s="34"/>
      <c r="M214" s="34"/>
      <c r="N214" s="34"/>
      <c r="O214" s="28"/>
    </row>
    <row r="215" spans="1:17">
      <c r="A215" s="157" t="s">
        <v>1314</v>
      </c>
      <c r="B215" s="79" t="s">
        <v>518</v>
      </c>
      <c r="C215" s="35"/>
      <c r="D215" s="27" t="s">
        <v>519</v>
      </c>
      <c r="E215" s="27"/>
      <c r="F215" s="27"/>
      <c r="G215" s="27"/>
      <c r="H215" s="27"/>
      <c r="I215" s="27"/>
      <c r="J215" s="27"/>
      <c r="K215" s="27"/>
      <c r="L215" s="27"/>
      <c r="M215" s="27"/>
      <c r="N215" s="27" t="s">
        <v>645</v>
      </c>
      <c r="O215" s="142"/>
      <c r="Q215" s="169" t="str">
        <f>researchUberTipCN(D215:D218,F216:L218)</f>
        <v>DOT X/Ys，目标受到法伤提升Z|n|n|n|cffffcc00等级 1|r - X=，Y=3，Z=5%|n|cffffcc00等级 2|r - X=，Y=2。5，Z=7%|n|cffffcc00等级 3|r - X=，Y=2，Z=9%</v>
      </c>
    </row>
    <row r="216" spans="1:17">
      <c r="A216" s="157"/>
      <c r="B216" s="163"/>
      <c r="C216" s="35"/>
      <c r="D216" s="29" t="s">
        <v>614</v>
      </c>
      <c r="E216" s="29"/>
      <c r="F216" s="29"/>
      <c r="G216" s="29"/>
      <c r="H216" s="29"/>
      <c r="I216" s="29"/>
      <c r="J216" s="29"/>
      <c r="K216" s="29"/>
      <c r="L216" s="29"/>
      <c r="M216" s="29"/>
      <c r="N216" s="29"/>
      <c r="O216" s="28"/>
    </row>
    <row r="217" spans="1:17">
      <c r="A217" s="157"/>
      <c r="B217" s="163"/>
      <c r="C217" s="35"/>
      <c r="D217" s="30" t="s">
        <v>625</v>
      </c>
      <c r="E217" s="30"/>
      <c r="F217" s="30"/>
      <c r="G217" s="30"/>
      <c r="H217" s="30"/>
      <c r="I217" s="30"/>
      <c r="J217" s="30"/>
      <c r="K217" s="30"/>
      <c r="L217" s="30"/>
      <c r="M217" s="30"/>
      <c r="N217" s="30"/>
      <c r="O217" s="28"/>
    </row>
    <row r="218" spans="1:17">
      <c r="A218" s="157"/>
      <c r="B218" s="163"/>
      <c r="C218" s="35"/>
      <c r="D218" s="29" t="s">
        <v>615</v>
      </c>
      <c r="E218" s="29"/>
      <c r="F218" s="29"/>
      <c r="G218" s="29"/>
      <c r="H218" s="29"/>
      <c r="I218" s="29"/>
      <c r="J218" s="29"/>
      <c r="K218" s="29"/>
      <c r="L218" s="29"/>
      <c r="M218" s="29"/>
      <c r="N218" s="29"/>
      <c r="O218" s="28"/>
    </row>
    <row r="219" spans="1:17">
      <c r="A219" s="170"/>
      <c r="B219" s="79" t="s">
        <v>523</v>
      </c>
      <c r="C219" s="32"/>
      <c r="D219" s="27" t="s">
        <v>626</v>
      </c>
      <c r="E219" s="27"/>
      <c r="F219" s="27"/>
      <c r="G219" s="27"/>
      <c r="H219" s="27"/>
      <c r="I219" s="27"/>
      <c r="J219" s="27"/>
      <c r="K219" s="27"/>
      <c r="L219" s="27"/>
      <c r="M219" s="27"/>
      <c r="N219" s="27" t="s">
        <v>646</v>
      </c>
      <c r="O219" s="28"/>
      <c r="Q219" s="169" t="str">
        <f>researchUberTipCN(D219:D222,F220:L222)</f>
        <v>造成X伤害，伤害量治疗自身Y%。|n|n|n|cffffcc00等级 1|r - X=100，Y=50%|n|cffffcc00等级 2|r - X=100，Y=75%|n|cffffcc00等级 3|r - X=100，Y=100%</v>
      </c>
    </row>
    <row r="220" spans="1:17">
      <c r="A220" s="170"/>
      <c r="B220" s="79"/>
      <c r="C220" s="32"/>
      <c r="D220" s="29" t="s">
        <v>616</v>
      </c>
      <c r="E220" s="29"/>
      <c r="F220" s="29"/>
      <c r="G220" s="29"/>
      <c r="H220" s="29"/>
      <c r="I220" s="29"/>
      <c r="J220" s="29"/>
      <c r="K220" s="29"/>
      <c r="L220" s="29"/>
      <c r="M220" s="29"/>
      <c r="N220" s="29"/>
      <c r="O220" s="28"/>
    </row>
    <row r="221" spans="1:17">
      <c r="A221" s="170"/>
      <c r="B221" s="79"/>
      <c r="C221" s="32"/>
      <c r="D221" s="30" t="s">
        <v>617</v>
      </c>
      <c r="E221" s="30"/>
      <c r="F221" s="30"/>
      <c r="G221" s="30"/>
      <c r="H221" s="30"/>
      <c r="I221" s="30"/>
      <c r="J221" s="30"/>
      <c r="K221" s="30"/>
      <c r="L221" s="30"/>
      <c r="M221" s="30"/>
      <c r="N221" s="30"/>
      <c r="O221" s="28"/>
    </row>
    <row r="222" spans="1:17">
      <c r="A222" s="170"/>
      <c r="B222" s="79"/>
      <c r="C222" s="32"/>
      <c r="D222" s="29" t="s">
        <v>618</v>
      </c>
      <c r="E222" s="29"/>
      <c r="F222" s="29"/>
      <c r="G222" s="29"/>
      <c r="H222" s="29"/>
      <c r="I222" s="29"/>
      <c r="J222" s="29"/>
      <c r="K222" s="29"/>
      <c r="L222" s="29"/>
      <c r="M222" s="29"/>
      <c r="N222" s="29"/>
      <c r="O222" s="28"/>
    </row>
    <row r="223" spans="1:17">
      <c r="A223" s="170"/>
      <c r="B223" s="79" t="s">
        <v>524</v>
      </c>
      <c r="C223" s="32"/>
      <c r="D223" s="27" t="s">
        <v>627</v>
      </c>
      <c r="E223" s="27"/>
      <c r="F223" s="27"/>
      <c r="G223" s="27"/>
      <c r="H223" s="27"/>
      <c r="I223" s="27"/>
      <c r="J223" s="27"/>
      <c r="K223" s="27"/>
      <c r="L223" s="27"/>
      <c r="M223" s="27"/>
      <c r="N223" s="27" t="s">
        <v>167</v>
      </c>
      <c r="O223" s="142"/>
      <c r="Q223" s="169" t="str">
        <f>researchUberTipCN(D223:D226,F224:L226)</f>
        <v>引导施法，造成伤害X/S并转化为自身法力值。减速。|n|n|n|cffffcc00等级 1|r - X=75|n|cffffcc00等级 2|r - X=95，为友军恢复，10%|n|cffffcc00等级 3|r - X=115，为友军恢复，12%</v>
      </c>
    </row>
    <row r="224" spans="1:17">
      <c r="A224" s="170"/>
      <c r="B224" s="79"/>
      <c r="C224" s="32"/>
      <c r="D224" s="29" t="s">
        <v>525</v>
      </c>
      <c r="E224" s="29"/>
      <c r="F224" s="29"/>
      <c r="G224" s="29"/>
      <c r="H224" s="29"/>
      <c r="I224" s="29"/>
      <c r="J224" s="29"/>
      <c r="K224" s="29"/>
      <c r="L224" s="29"/>
      <c r="M224" s="29"/>
      <c r="N224" s="29"/>
      <c r="O224" s="28"/>
    </row>
    <row r="225" spans="1:17">
      <c r="A225" s="170"/>
      <c r="B225" s="79"/>
      <c r="C225" s="32"/>
      <c r="D225" s="30" t="s">
        <v>619</v>
      </c>
      <c r="E225" s="30"/>
      <c r="F225" s="30"/>
      <c r="G225" s="30"/>
      <c r="H225" s="30"/>
      <c r="I225" s="30"/>
      <c r="J225" s="30"/>
      <c r="K225" s="30"/>
      <c r="L225" s="30"/>
      <c r="M225" s="30"/>
      <c r="N225" s="30"/>
      <c r="O225" s="28"/>
    </row>
    <row r="226" spans="1:17">
      <c r="A226" s="170"/>
      <c r="B226" s="79"/>
      <c r="C226" s="32"/>
      <c r="D226" s="29" t="s">
        <v>620</v>
      </c>
      <c r="E226" s="29"/>
      <c r="F226" s="29"/>
      <c r="G226" s="29"/>
      <c r="H226" s="29"/>
      <c r="I226" s="29"/>
      <c r="J226" s="29"/>
      <c r="K226" s="29"/>
      <c r="L226" s="29"/>
      <c r="M226" s="29"/>
      <c r="N226" s="29"/>
      <c r="O226" s="28"/>
    </row>
    <row r="227" spans="1:17">
      <c r="A227" s="170"/>
      <c r="B227" s="79" t="s">
        <v>526</v>
      </c>
      <c r="C227" s="32"/>
      <c r="D227" s="27" t="s">
        <v>527</v>
      </c>
      <c r="E227" s="27"/>
      <c r="F227" s="27"/>
      <c r="G227" s="27"/>
      <c r="H227" s="27"/>
      <c r="I227" s="27"/>
      <c r="J227" s="27"/>
      <c r="K227" s="27"/>
      <c r="L227" s="27"/>
      <c r="M227" s="27"/>
      <c r="N227" s="27" t="s">
        <v>647</v>
      </c>
      <c r="O227" s="28"/>
      <c r="Q227" s="169" t="str">
        <f>researchUberTipCN(D227:D230,F228:L230)</f>
        <v>牺牲10%的生命值对目标造成牺牲的生命值*Y的伤害。|n|n|n|cffffcc00等级 1|r - Y=1|n|cffffcc00等级 2|r - Y=2|n|cffffcc00等级 3|r - Y=3</v>
      </c>
    </row>
    <row r="228" spans="1:17">
      <c r="A228" s="170"/>
      <c r="B228" s="79"/>
      <c r="C228" s="32"/>
      <c r="D228" s="29" t="s">
        <v>528</v>
      </c>
      <c r="E228" s="29"/>
      <c r="F228" s="29"/>
      <c r="G228" s="29"/>
      <c r="H228" s="29"/>
      <c r="I228" s="29"/>
      <c r="J228" s="29"/>
      <c r="K228" s="29"/>
      <c r="L228" s="29"/>
      <c r="M228" s="29"/>
      <c r="N228" s="29"/>
      <c r="O228" s="28"/>
    </row>
    <row r="229" spans="1:17">
      <c r="A229" s="170"/>
      <c r="B229" s="79"/>
      <c r="C229" s="32"/>
      <c r="D229" s="30" t="s">
        <v>529</v>
      </c>
      <c r="E229" s="30"/>
      <c r="F229" s="30"/>
      <c r="G229" s="30"/>
      <c r="H229" s="30"/>
      <c r="I229" s="30"/>
      <c r="J229" s="30"/>
      <c r="K229" s="30"/>
      <c r="L229" s="30"/>
      <c r="M229" s="30"/>
      <c r="N229" s="30"/>
      <c r="O229" s="28"/>
    </row>
    <row r="230" spans="1:17">
      <c r="A230" s="170"/>
      <c r="B230" s="79"/>
      <c r="C230" s="32"/>
      <c r="D230" s="29" t="s">
        <v>530</v>
      </c>
      <c r="E230" s="29"/>
      <c r="F230" s="29"/>
      <c r="G230" s="29"/>
      <c r="H230" s="29"/>
      <c r="I230" s="29"/>
      <c r="J230" s="29"/>
      <c r="K230" s="29"/>
      <c r="L230" s="29"/>
      <c r="M230" s="29"/>
      <c r="N230" s="29"/>
      <c r="O230" s="28"/>
    </row>
    <row r="231" spans="1:17">
      <c r="A231" s="170"/>
      <c r="B231" s="79" t="s">
        <v>531</v>
      </c>
      <c r="C231" s="32"/>
      <c r="D231" s="27" t="s">
        <v>628</v>
      </c>
      <c r="E231" s="27"/>
      <c r="F231" s="27"/>
      <c r="G231" s="27"/>
      <c r="H231" s="27"/>
      <c r="I231" s="27"/>
      <c r="J231" s="27"/>
      <c r="K231" s="27"/>
      <c r="L231" s="27"/>
      <c r="M231" s="27"/>
      <c r="N231" s="27" t="s">
        <v>648</v>
      </c>
      <c r="O231" s="28"/>
      <c r="Q231" s="169" t="str">
        <f>researchUberTipCN(D231:D234,F232:L234)</f>
        <v>使附近X-Y范围内的敌军因恐惧而昏迷1-4秒。|n|n|n|cffffcc00等级 1|r - X=800，Y=250|n|cffffcc00等级 2|r - X=800，Y=400|n|cffffcc00等级 3|r - X=800，Y=550</v>
      </c>
    </row>
    <row r="232" spans="1:17">
      <c r="A232" s="170"/>
      <c r="B232" s="79"/>
      <c r="C232" s="32"/>
      <c r="D232" s="29" t="s">
        <v>621</v>
      </c>
      <c r="E232" s="29"/>
      <c r="F232" s="29"/>
      <c r="G232" s="29"/>
      <c r="H232" s="29"/>
      <c r="I232" s="29"/>
      <c r="J232" s="29"/>
      <c r="K232" s="29"/>
      <c r="L232" s="29"/>
      <c r="M232" s="29"/>
      <c r="N232" s="29"/>
      <c r="O232" s="28"/>
    </row>
    <row r="233" spans="1:17">
      <c r="A233" s="170"/>
      <c r="B233" s="79"/>
      <c r="C233" s="32"/>
      <c r="D233" s="30" t="s">
        <v>622</v>
      </c>
      <c r="E233" s="30"/>
      <c r="F233" s="30"/>
      <c r="G233" s="30"/>
      <c r="H233" s="30"/>
      <c r="I233" s="30"/>
      <c r="J233" s="30"/>
      <c r="K233" s="30"/>
      <c r="L233" s="30"/>
      <c r="M233" s="30"/>
      <c r="N233" s="30"/>
      <c r="O233" s="28"/>
    </row>
    <row r="234" spans="1:17">
      <c r="A234" s="170"/>
      <c r="B234" s="79"/>
      <c r="C234" s="32"/>
      <c r="D234" s="29" t="s">
        <v>623</v>
      </c>
      <c r="E234" s="29"/>
      <c r="F234" s="29"/>
      <c r="G234" s="29"/>
      <c r="H234" s="29"/>
      <c r="I234" s="29"/>
      <c r="J234" s="29"/>
      <c r="K234" s="29"/>
      <c r="L234" s="29"/>
      <c r="M234" s="29"/>
      <c r="N234" s="29"/>
      <c r="O234" s="28"/>
    </row>
    <row r="235" spans="1:17">
      <c r="A235" s="170"/>
      <c r="B235" s="162" t="s">
        <v>23</v>
      </c>
      <c r="C235" s="33"/>
      <c r="D235" s="34"/>
      <c r="E235" s="34"/>
      <c r="F235" s="34"/>
      <c r="G235" s="34"/>
      <c r="H235" s="34"/>
      <c r="I235" s="34"/>
      <c r="J235" s="34"/>
      <c r="K235" s="34"/>
      <c r="L235" s="34"/>
      <c r="M235" s="34"/>
      <c r="N235" s="34"/>
      <c r="O235" s="28"/>
    </row>
    <row r="236" spans="1:17" ht="28.5">
      <c r="A236" s="160" t="s">
        <v>532</v>
      </c>
      <c r="B236" s="164" t="s">
        <v>534</v>
      </c>
      <c r="C236" s="36"/>
      <c r="D236" s="37" t="s">
        <v>535</v>
      </c>
      <c r="E236" s="37"/>
      <c r="F236" s="37"/>
      <c r="G236" s="37"/>
      <c r="H236" s="37"/>
      <c r="I236" s="37"/>
      <c r="J236" s="37"/>
      <c r="K236" s="37"/>
      <c r="L236" s="37"/>
      <c r="M236" s="37"/>
      <c r="N236" s="37"/>
      <c r="O236" s="142"/>
      <c r="Q236" s="169"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160"/>
      <c r="B237" s="165"/>
      <c r="C237" s="38"/>
      <c r="D237" s="39"/>
      <c r="E237" s="39"/>
      <c r="F237" s="39"/>
      <c r="G237" s="39"/>
      <c r="H237" s="39"/>
      <c r="I237" s="39"/>
      <c r="J237" s="39"/>
      <c r="K237" s="39"/>
      <c r="L237" s="39"/>
      <c r="M237" s="39"/>
      <c r="N237" s="39"/>
      <c r="O237" s="28"/>
    </row>
    <row r="238" spans="1:17">
      <c r="A238" s="160"/>
      <c r="B238" s="166"/>
      <c r="C238" s="40"/>
      <c r="D238" s="41"/>
      <c r="E238" s="41"/>
      <c r="F238" s="41"/>
      <c r="G238" s="41"/>
      <c r="H238" s="41"/>
      <c r="I238" s="41"/>
      <c r="J238" s="41"/>
      <c r="K238" s="41"/>
      <c r="L238" s="41"/>
      <c r="M238" s="41"/>
      <c r="N238" s="41"/>
      <c r="O238" s="28"/>
    </row>
    <row r="239" spans="1:17">
      <c r="A239" s="160"/>
      <c r="B239" s="165"/>
      <c r="C239" s="38"/>
      <c r="D239" s="39"/>
      <c r="E239" s="39"/>
      <c r="F239" s="39"/>
      <c r="G239" s="39"/>
      <c r="H239" s="39"/>
      <c r="I239" s="39"/>
      <c r="J239" s="39"/>
      <c r="K239" s="39"/>
      <c r="L239" s="39"/>
      <c r="M239" s="39"/>
      <c r="N239" s="39"/>
      <c r="O239" s="42"/>
    </row>
    <row r="240" spans="1:17" ht="28.5">
      <c r="A240" s="160"/>
      <c r="B240" s="164" t="s">
        <v>542</v>
      </c>
      <c r="C240" s="36"/>
      <c r="D240" s="37" t="s">
        <v>543</v>
      </c>
      <c r="E240" s="37"/>
      <c r="F240" s="37"/>
      <c r="G240" s="37"/>
      <c r="H240" s="37"/>
      <c r="I240" s="37"/>
      <c r="J240" s="37"/>
      <c r="K240" s="37"/>
      <c r="L240" s="37"/>
      <c r="M240" s="37"/>
      <c r="N240" s="37"/>
      <c r="O240" s="43"/>
      <c r="Q240" s="169"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160"/>
      <c r="B241" s="165"/>
      <c r="C241" s="38"/>
      <c r="D241" s="39"/>
      <c r="E241" s="39"/>
      <c r="F241" s="39"/>
      <c r="G241" s="39"/>
      <c r="H241" s="39"/>
      <c r="I241" s="39"/>
      <c r="J241" s="39"/>
      <c r="K241" s="39"/>
      <c r="L241" s="39"/>
      <c r="M241" s="39"/>
      <c r="N241" s="39"/>
      <c r="O241" s="42"/>
    </row>
    <row r="242" spans="1:17">
      <c r="A242" s="160"/>
      <c r="B242" s="166"/>
      <c r="C242" s="40"/>
      <c r="D242" s="41"/>
      <c r="E242" s="41"/>
      <c r="F242" s="41"/>
      <c r="G242" s="41"/>
      <c r="H242" s="41"/>
      <c r="I242" s="41"/>
      <c r="J242" s="41"/>
      <c r="K242" s="41"/>
      <c r="L242" s="41"/>
      <c r="M242" s="41"/>
      <c r="N242" s="41"/>
      <c r="O242" s="42"/>
    </row>
    <row r="243" spans="1:17">
      <c r="A243" s="160"/>
      <c r="B243" s="165"/>
      <c r="C243" s="38"/>
      <c r="D243" s="39"/>
      <c r="E243" s="39"/>
      <c r="F243" s="39"/>
      <c r="G243" s="39"/>
      <c r="H243" s="39"/>
      <c r="I243" s="39"/>
      <c r="J243" s="39"/>
      <c r="K243" s="39"/>
      <c r="L243" s="39"/>
      <c r="M243" s="39"/>
      <c r="N243" s="39"/>
      <c r="O243" s="42"/>
    </row>
    <row r="244" spans="1:17" ht="28.5">
      <c r="A244" s="160"/>
      <c r="B244" s="164" t="s">
        <v>157</v>
      </c>
      <c r="C244" s="36"/>
      <c r="D244" s="37" t="s">
        <v>544</v>
      </c>
      <c r="E244" s="37"/>
      <c r="F244" s="37"/>
      <c r="G244" s="37"/>
      <c r="H244" s="37"/>
      <c r="I244" s="37"/>
      <c r="J244" s="37"/>
      <c r="K244" s="37"/>
      <c r="L244" s="37"/>
      <c r="M244" s="37"/>
      <c r="N244" s="37"/>
      <c r="O244" s="43"/>
      <c r="Q244" s="169"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160"/>
      <c r="B245" s="165"/>
      <c r="C245" s="38"/>
      <c r="D245" s="39"/>
      <c r="E245" s="39"/>
      <c r="F245" s="39"/>
      <c r="G245" s="39"/>
      <c r="H245" s="39"/>
      <c r="I245" s="39"/>
      <c r="J245" s="39"/>
      <c r="K245" s="39"/>
      <c r="L245" s="39"/>
      <c r="M245" s="39"/>
      <c r="N245" s="39"/>
      <c r="O245" s="42"/>
    </row>
    <row r="246" spans="1:17">
      <c r="A246" s="160"/>
      <c r="B246" s="166"/>
      <c r="C246" s="40"/>
      <c r="D246" s="41"/>
      <c r="E246" s="41"/>
      <c r="F246" s="41"/>
      <c r="G246" s="41"/>
      <c r="H246" s="41"/>
      <c r="I246" s="41"/>
      <c r="J246" s="41"/>
      <c r="K246" s="41"/>
      <c r="L246" s="41"/>
      <c r="M246" s="41"/>
      <c r="N246" s="41"/>
      <c r="O246" s="42"/>
    </row>
    <row r="247" spans="1:17">
      <c r="A247" s="160"/>
      <c r="B247" s="165"/>
      <c r="C247" s="38"/>
      <c r="D247" s="39"/>
      <c r="E247" s="39"/>
      <c r="F247" s="39"/>
      <c r="G247" s="39"/>
      <c r="H247" s="39"/>
      <c r="I247" s="39"/>
      <c r="J247" s="39"/>
      <c r="K247" s="39"/>
      <c r="L247" s="39"/>
      <c r="M247" s="39"/>
      <c r="N247" s="39"/>
      <c r="O247" s="42"/>
    </row>
    <row r="248" spans="1:17" ht="28.5">
      <c r="A248" s="160"/>
      <c r="B248" s="164" t="s">
        <v>545</v>
      </c>
      <c r="C248" s="36"/>
      <c r="D248" s="37" t="s">
        <v>1324</v>
      </c>
      <c r="E248" s="37"/>
      <c r="F248" s="37"/>
      <c r="G248" s="37"/>
      <c r="H248" s="37"/>
      <c r="I248" s="37"/>
      <c r="J248" s="37"/>
      <c r="K248" s="37"/>
      <c r="L248" s="37"/>
      <c r="M248" s="37"/>
      <c r="N248" s="37"/>
      <c r="O248" s="43"/>
      <c r="Q248" s="169"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160"/>
      <c r="B249" s="165"/>
      <c r="C249" s="38"/>
      <c r="D249" s="39"/>
      <c r="E249" s="39"/>
      <c r="F249" s="39"/>
      <c r="G249" s="39"/>
      <c r="H249" s="39"/>
      <c r="I249" s="39"/>
      <c r="J249" s="39"/>
      <c r="K249" s="39"/>
      <c r="L249" s="39"/>
      <c r="M249" s="39"/>
      <c r="N249" s="39"/>
      <c r="O249" s="42"/>
    </row>
    <row r="250" spans="1:17">
      <c r="A250" s="160"/>
      <c r="B250" s="166"/>
      <c r="C250" s="40"/>
      <c r="D250" s="41"/>
      <c r="E250" s="41"/>
      <c r="F250" s="41"/>
      <c r="G250" s="41"/>
      <c r="H250" s="41"/>
      <c r="I250" s="41"/>
      <c r="J250" s="41"/>
      <c r="K250" s="41"/>
      <c r="L250" s="41"/>
      <c r="M250" s="41"/>
      <c r="N250" s="41"/>
      <c r="O250" s="42"/>
    </row>
    <row r="251" spans="1:17">
      <c r="A251" s="160"/>
      <c r="B251" s="165"/>
      <c r="C251" s="38"/>
      <c r="D251" s="39"/>
      <c r="E251" s="39"/>
      <c r="F251" s="39"/>
      <c r="G251" s="39"/>
      <c r="H251" s="39"/>
      <c r="I251" s="39"/>
      <c r="J251" s="39"/>
      <c r="K251" s="39"/>
      <c r="L251" s="39"/>
      <c r="M251" s="39"/>
      <c r="N251" s="39"/>
      <c r="O251" s="42"/>
    </row>
    <row r="252" spans="1:17" ht="28.5">
      <c r="A252" s="160"/>
      <c r="B252" s="164" t="s">
        <v>546</v>
      </c>
      <c r="C252" s="36"/>
      <c r="D252" s="37" t="s">
        <v>547</v>
      </c>
      <c r="E252" s="37"/>
      <c r="F252" s="37"/>
      <c r="G252" s="37"/>
      <c r="H252" s="37"/>
      <c r="I252" s="37"/>
      <c r="J252" s="37"/>
      <c r="K252" s="37"/>
      <c r="L252" s="37"/>
      <c r="M252" s="37"/>
      <c r="N252" s="37"/>
      <c r="O252" s="43"/>
      <c r="Q252" s="169"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160"/>
      <c r="B253" s="165"/>
      <c r="C253" s="38"/>
      <c r="D253" s="39"/>
      <c r="E253" s="39"/>
      <c r="F253" s="39"/>
      <c r="G253" s="39"/>
      <c r="H253" s="39"/>
      <c r="I253" s="39"/>
      <c r="J253" s="39"/>
      <c r="K253" s="39"/>
      <c r="L253" s="39"/>
      <c r="M253" s="39"/>
      <c r="N253" s="39"/>
      <c r="O253" s="42"/>
    </row>
    <row r="254" spans="1:17">
      <c r="A254" s="160"/>
      <c r="B254" s="166"/>
      <c r="C254" s="40"/>
      <c r="D254" s="41"/>
      <c r="E254" s="41"/>
      <c r="F254" s="41"/>
      <c r="G254" s="41"/>
      <c r="H254" s="41"/>
      <c r="I254" s="41"/>
      <c r="J254" s="41"/>
      <c r="K254" s="41"/>
      <c r="L254" s="41"/>
      <c r="M254" s="41"/>
      <c r="N254" s="41"/>
      <c r="O254" s="42"/>
    </row>
    <row r="255" spans="1:17">
      <c r="A255" s="160"/>
      <c r="B255" s="165"/>
      <c r="C255" s="38"/>
      <c r="D255" s="39"/>
      <c r="E255" s="39"/>
      <c r="F255" s="39"/>
      <c r="G255" s="39"/>
      <c r="H255" s="39"/>
      <c r="I255" s="39"/>
      <c r="J255" s="39"/>
      <c r="K255" s="39"/>
      <c r="L255" s="39"/>
      <c r="M255" s="39"/>
      <c r="N255" s="39"/>
      <c r="O255"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pane xSplit="1" ySplit="1" topLeftCell="B5" activePane="bottomRight" state="frozen"/>
      <selection pane="topRight" activeCell="B1" sqref="B1"/>
      <selection pane="bottomLeft" activeCell="A2" sqref="A2"/>
      <selection pane="bottomRight" activeCell="D28" sqref="D28"/>
    </sheetView>
  </sheetViews>
  <sheetFormatPr defaultColWidth="17.28515625" defaultRowHeight="14.25"/>
  <cols>
    <col min="1" max="1" width="13.140625" style="144" bestFit="1" customWidth="1"/>
    <col min="2" max="2" width="18.85546875" style="144" bestFit="1" customWidth="1"/>
    <col min="3" max="3" width="13.140625" style="144" bestFit="1" customWidth="1"/>
    <col min="4" max="4" width="19.7109375" style="144" customWidth="1"/>
    <col min="5" max="5" width="7.5703125" style="144" bestFit="1" customWidth="1"/>
    <col min="6" max="6" width="16.140625" style="144" bestFit="1" customWidth="1"/>
    <col min="7" max="7" width="17" style="144" bestFit="1" customWidth="1"/>
    <col min="8" max="8" width="20.28515625" style="144" bestFit="1" customWidth="1"/>
    <col min="9" max="9" width="50.42578125" style="144" customWidth="1"/>
    <col min="10" max="10" width="16.7109375" style="144" bestFit="1" customWidth="1"/>
    <col min="11" max="16384" width="17.28515625" style="144"/>
  </cols>
  <sheetData>
    <row r="1" spans="1:10">
      <c r="A1" s="143" t="s">
        <v>1356</v>
      </c>
      <c r="B1" s="143" t="s">
        <v>1491</v>
      </c>
      <c r="C1" s="143" t="s">
        <v>1593</v>
      </c>
      <c r="D1" s="143" t="s">
        <v>1594</v>
      </c>
      <c r="E1" s="143" t="s">
        <v>1595</v>
      </c>
      <c r="F1" s="143" t="s">
        <v>1359</v>
      </c>
      <c r="G1" s="143" t="s">
        <v>3</v>
      </c>
      <c r="H1" s="143"/>
      <c r="I1" s="143" t="s">
        <v>1492</v>
      </c>
      <c r="J1" s="143"/>
    </row>
    <row r="2" spans="1:10">
      <c r="A2" s="183" t="s">
        <v>1872</v>
      </c>
      <c r="B2" s="145">
        <v>0</v>
      </c>
      <c r="C2" s="145" t="s">
        <v>1493</v>
      </c>
      <c r="D2" s="145"/>
      <c r="E2" s="145"/>
      <c r="F2" s="145"/>
      <c r="G2" s="145"/>
      <c r="H2" s="145"/>
      <c r="I2" s="145"/>
      <c r="J2" s="143"/>
    </row>
    <row r="3" spans="1:10" ht="28.5">
      <c r="A3" s="183"/>
      <c r="B3" s="146"/>
      <c r="C3" s="144" t="s">
        <v>65</v>
      </c>
      <c r="D3" s="144" t="s">
        <v>66</v>
      </c>
      <c r="E3" s="147">
        <v>0</v>
      </c>
      <c r="F3" s="143" t="s">
        <v>67</v>
      </c>
      <c r="G3" s="143" t="s">
        <v>1494</v>
      </c>
      <c r="H3" s="143" t="s">
        <v>68</v>
      </c>
      <c r="I3" s="143" t="s">
        <v>1495</v>
      </c>
      <c r="J3" s="143" t="s">
        <v>69</v>
      </c>
    </row>
    <row r="4" spans="1:10">
      <c r="A4" s="183"/>
      <c r="B4" s="143">
        <v>1</v>
      </c>
      <c r="C4" s="143" t="s">
        <v>70</v>
      </c>
      <c r="D4" s="143" t="s">
        <v>71</v>
      </c>
      <c r="E4" s="143">
        <v>0</v>
      </c>
      <c r="F4" s="143">
        <v>1200</v>
      </c>
      <c r="G4" s="143" t="s">
        <v>1496</v>
      </c>
      <c r="H4" s="143" t="s">
        <v>1497</v>
      </c>
      <c r="I4" s="143" t="s">
        <v>1498</v>
      </c>
      <c r="J4" s="143" t="s">
        <v>72</v>
      </c>
    </row>
    <row r="5" spans="1:10" ht="42.75">
      <c r="A5" s="183"/>
      <c r="B5" s="143"/>
      <c r="C5" s="143" t="s">
        <v>73</v>
      </c>
      <c r="D5" s="143" t="s">
        <v>74</v>
      </c>
      <c r="E5" s="143">
        <v>10</v>
      </c>
      <c r="F5" s="143">
        <v>900</v>
      </c>
      <c r="G5" s="143" t="s">
        <v>1496</v>
      </c>
      <c r="H5" s="143" t="s">
        <v>1499</v>
      </c>
      <c r="I5" s="143" t="s">
        <v>1500</v>
      </c>
      <c r="J5" s="143" t="s">
        <v>75</v>
      </c>
    </row>
    <row r="6" spans="1:10">
      <c r="A6" s="183"/>
      <c r="B6" s="143" t="s">
        <v>76</v>
      </c>
      <c r="C6" s="143" t="s">
        <v>77</v>
      </c>
      <c r="D6" s="143" t="s">
        <v>78</v>
      </c>
      <c r="E6" s="143">
        <v>0</v>
      </c>
      <c r="F6" s="143">
        <v>0</v>
      </c>
      <c r="G6" s="143" t="s">
        <v>1501</v>
      </c>
      <c r="H6" s="143"/>
      <c r="I6" s="143" t="s">
        <v>1502</v>
      </c>
      <c r="J6" s="143"/>
    </row>
    <row r="7" spans="1:10">
      <c r="A7" s="183"/>
      <c r="B7" s="143"/>
      <c r="C7" s="143" t="s">
        <v>79</v>
      </c>
      <c r="D7" s="143" t="s">
        <v>80</v>
      </c>
      <c r="E7" s="143"/>
      <c r="F7" s="143"/>
      <c r="G7" s="143">
        <v>1</v>
      </c>
      <c r="H7" s="143"/>
      <c r="I7" s="143" t="s">
        <v>1503</v>
      </c>
      <c r="J7" s="143" t="s">
        <v>81</v>
      </c>
    </row>
    <row r="8" spans="1:10" ht="28.5">
      <c r="A8" s="183"/>
      <c r="B8" s="143"/>
      <c r="C8" s="148" t="s">
        <v>82</v>
      </c>
      <c r="D8" s="148" t="s">
        <v>84</v>
      </c>
      <c r="E8" s="148">
        <v>0</v>
      </c>
      <c r="F8" s="148">
        <v>900</v>
      </c>
      <c r="G8" s="148">
        <v>20</v>
      </c>
      <c r="H8" s="148" t="s">
        <v>1504</v>
      </c>
      <c r="I8" s="148" t="s">
        <v>1505</v>
      </c>
      <c r="J8" s="143" t="s">
        <v>131</v>
      </c>
    </row>
    <row r="9" spans="1:10">
      <c r="A9" s="183"/>
      <c r="B9" s="143" t="s">
        <v>1506</v>
      </c>
      <c r="C9" s="143" t="s">
        <v>133</v>
      </c>
      <c r="D9" s="143" t="s">
        <v>134</v>
      </c>
      <c r="E9" s="143">
        <v>1</v>
      </c>
      <c r="F9" s="143" t="s">
        <v>67</v>
      </c>
      <c r="G9" s="143">
        <v>0</v>
      </c>
      <c r="H9" s="143" t="s">
        <v>1507</v>
      </c>
      <c r="I9" s="143" t="s">
        <v>1508</v>
      </c>
      <c r="J9" s="143" t="s">
        <v>135</v>
      </c>
    </row>
    <row r="10" spans="1:10">
      <c r="A10" s="183" t="s">
        <v>1873</v>
      </c>
      <c r="B10" s="145">
        <v>0</v>
      </c>
      <c r="C10" s="184" t="s">
        <v>1493</v>
      </c>
      <c r="D10" s="185"/>
      <c r="E10" s="185"/>
      <c r="F10" s="185"/>
      <c r="G10" s="185"/>
      <c r="H10" s="185"/>
      <c r="I10" s="185"/>
      <c r="J10" s="143"/>
    </row>
    <row r="11" spans="1:10" ht="42.75">
      <c r="A11" s="183"/>
      <c r="B11" s="186">
        <v>1</v>
      </c>
      <c r="C11" s="143" t="s">
        <v>164</v>
      </c>
      <c r="D11" s="143" t="s">
        <v>165</v>
      </c>
      <c r="E11" s="143">
        <v>0</v>
      </c>
      <c r="F11" s="143">
        <v>900</v>
      </c>
      <c r="G11" s="143" t="s">
        <v>1509</v>
      </c>
      <c r="H11" s="143" t="s">
        <v>1510</v>
      </c>
      <c r="I11" s="143" t="s">
        <v>1511</v>
      </c>
      <c r="J11" s="143" t="s">
        <v>167</v>
      </c>
    </row>
    <row r="12" spans="1:10">
      <c r="A12" s="183"/>
      <c r="B12" s="187"/>
      <c r="C12" s="143" t="s">
        <v>168</v>
      </c>
      <c r="D12" s="143" t="s">
        <v>169</v>
      </c>
      <c r="E12" s="143">
        <v>0</v>
      </c>
      <c r="F12" s="143">
        <v>900</v>
      </c>
      <c r="G12" s="143" t="s">
        <v>1496</v>
      </c>
      <c r="H12" s="143" t="s">
        <v>1512</v>
      </c>
      <c r="I12" s="143" t="s">
        <v>1513</v>
      </c>
      <c r="J12" s="143" t="s">
        <v>170</v>
      </c>
    </row>
    <row r="13" spans="1:10">
      <c r="A13" s="183"/>
      <c r="B13" s="187"/>
      <c r="C13" s="148" t="s">
        <v>172</v>
      </c>
      <c r="D13" s="148" t="s">
        <v>173</v>
      </c>
      <c r="E13" s="148">
        <v>0</v>
      </c>
      <c r="F13" s="148">
        <v>0</v>
      </c>
      <c r="G13" s="148">
        <v>20</v>
      </c>
      <c r="H13" s="148"/>
      <c r="I13" s="148" t="s">
        <v>1514</v>
      </c>
      <c r="J13" s="143" t="s">
        <v>174</v>
      </c>
    </row>
    <row r="14" spans="1:10">
      <c r="A14" s="183"/>
      <c r="B14" s="187"/>
      <c r="C14" s="143" t="s">
        <v>175</v>
      </c>
      <c r="D14" s="143" t="s">
        <v>176</v>
      </c>
      <c r="E14" s="143" t="s">
        <v>1515</v>
      </c>
      <c r="F14" s="143" t="s">
        <v>1516</v>
      </c>
      <c r="G14" s="143" t="s">
        <v>1517</v>
      </c>
      <c r="H14" s="143" t="s">
        <v>1518</v>
      </c>
      <c r="I14" s="143" t="s">
        <v>1519</v>
      </c>
      <c r="J14" s="143" t="s">
        <v>177</v>
      </c>
    </row>
    <row r="15" spans="1:10">
      <c r="A15" s="183"/>
      <c r="B15" s="143" t="s">
        <v>178</v>
      </c>
      <c r="C15" s="143" t="s">
        <v>179</v>
      </c>
      <c r="D15" s="143" t="s">
        <v>180</v>
      </c>
      <c r="E15" s="143">
        <v>0</v>
      </c>
      <c r="F15" s="143">
        <v>0</v>
      </c>
      <c r="G15" s="143" t="s">
        <v>1501</v>
      </c>
      <c r="H15" s="143"/>
      <c r="I15" s="143" t="s">
        <v>1520</v>
      </c>
      <c r="J15" s="143" t="s">
        <v>181</v>
      </c>
    </row>
    <row r="16" spans="1:10">
      <c r="A16" s="183"/>
      <c r="B16" s="143" t="s">
        <v>1521</v>
      </c>
      <c r="C16" s="143" t="s">
        <v>182</v>
      </c>
      <c r="D16" s="143" t="s">
        <v>183</v>
      </c>
      <c r="E16" s="143">
        <v>0</v>
      </c>
      <c r="F16" s="143">
        <v>0</v>
      </c>
      <c r="G16" s="143" t="s">
        <v>1501</v>
      </c>
      <c r="H16" s="143"/>
      <c r="I16" s="143" t="s">
        <v>1522</v>
      </c>
      <c r="J16" s="143" t="s">
        <v>184</v>
      </c>
    </row>
    <row r="17" spans="1:10">
      <c r="A17" s="183" t="s">
        <v>1874</v>
      </c>
      <c r="B17" s="145">
        <v>0</v>
      </c>
      <c r="C17" s="184" t="s">
        <v>1523</v>
      </c>
      <c r="D17" s="185"/>
      <c r="E17" s="185"/>
      <c r="F17" s="185"/>
      <c r="G17" s="185"/>
      <c r="H17" s="185"/>
      <c r="I17" s="185"/>
      <c r="J17" s="143"/>
    </row>
    <row r="18" spans="1:10" ht="28.5">
      <c r="A18" s="183"/>
      <c r="B18" s="186" t="s">
        <v>1524</v>
      </c>
      <c r="C18" s="143" t="s">
        <v>189</v>
      </c>
      <c r="D18" s="143" t="s">
        <v>967</v>
      </c>
      <c r="E18" s="143">
        <v>3</v>
      </c>
      <c r="F18" s="143">
        <v>450</v>
      </c>
      <c r="G18" s="143" t="s">
        <v>1525</v>
      </c>
      <c r="H18" s="143" t="s">
        <v>1526</v>
      </c>
      <c r="I18" s="143" t="s">
        <v>1527</v>
      </c>
      <c r="J18" s="143"/>
    </row>
    <row r="19" spans="1:10">
      <c r="A19" s="183"/>
      <c r="B19" s="187"/>
      <c r="C19" s="143" t="s">
        <v>190</v>
      </c>
      <c r="D19" s="143" t="s">
        <v>191</v>
      </c>
      <c r="E19" s="143">
        <v>0</v>
      </c>
      <c r="F19" s="143">
        <v>900</v>
      </c>
      <c r="G19" s="143" t="s">
        <v>1528</v>
      </c>
      <c r="H19" s="143" t="s">
        <v>1529</v>
      </c>
      <c r="I19" s="143" t="s">
        <v>1530</v>
      </c>
      <c r="J19" s="143"/>
    </row>
    <row r="20" spans="1:10">
      <c r="A20" s="183"/>
      <c r="B20" s="186" t="s">
        <v>1531</v>
      </c>
      <c r="C20" s="143" t="s">
        <v>192</v>
      </c>
      <c r="D20" s="143" t="s">
        <v>193</v>
      </c>
      <c r="E20" s="143">
        <v>0</v>
      </c>
      <c r="F20" s="143">
        <v>100</v>
      </c>
      <c r="G20" s="143" t="s">
        <v>1532</v>
      </c>
      <c r="H20" s="143" t="s">
        <v>1533</v>
      </c>
      <c r="I20" s="143" t="s">
        <v>1534</v>
      </c>
      <c r="J20" s="143"/>
    </row>
    <row r="21" spans="1:10">
      <c r="A21" s="183"/>
      <c r="B21" s="187"/>
      <c r="C21" s="143" t="s">
        <v>194</v>
      </c>
      <c r="D21" s="143" t="s">
        <v>195</v>
      </c>
      <c r="E21" s="143">
        <v>0</v>
      </c>
      <c r="F21" s="143">
        <v>0</v>
      </c>
      <c r="G21" s="143" t="s">
        <v>1535</v>
      </c>
      <c r="H21" s="143" t="s">
        <v>1536</v>
      </c>
      <c r="I21" s="143" t="s">
        <v>1537</v>
      </c>
      <c r="J21" s="143"/>
    </row>
    <row r="22" spans="1:10">
      <c r="A22" s="183"/>
      <c r="B22" s="187"/>
      <c r="C22" s="143" t="s">
        <v>196</v>
      </c>
      <c r="D22" s="143" t="s">
        <v>198</v>
      </c>
      <c r="E22" s="143">
        <v>0</v>
      </c>
      <c r="F22" s="143" t="s">
        <v>1538</v>
      </c>
      <c r="G22" s="143">
        <v>25</v>
      </c>
      <c r="H22" s="143"/>
      <c r="I22" s="143" t="s">
        <v>1539</v>
      </c>
      <c r="J22" s="143"/>
    </row>
    <row r="23" spans="1:10">
      <c r="A23" s="183"/>
      <c r="B23" s="143" t="s">
        <v>1521</v>
      </c>
      <c r="C23" s="143" t="s">
        <v>182</v>
      </c>
      <c r="D23" s="143" t="s">
        <v>183</v>
      </c>
      <c r="E23" s="143">
        <v>0</v>
      </c>
      <c r="F23" s="143">
        <v>0</v>
      </c>
      <c r="G23" s="143" t="s">
        <v>1501</v>
      </c>
      <c r="H23" s="143"/>
      <c r="I23" s="143" t="s">
        <v>1522</v>
      </c>
      <c r="J23" s="143"/>
    </row>
    <row r="24" spans="1:10">
      <c r="A24" s="183" t="s">
        <v>1875</v>
      </c>
      <c r="B24" s="145">
        <v>0</v>
      </c>
      <c r="C24" s="145" t="s">
        <v>1493</v>
      </c>
      <c r="D24" s="145"/>
      <c r="E24" s="145"/>
      <c r="F24" s="145"/>
      <c r="G24" s="145"/>
      <c r="H24" s="145"/>
      <c r="I24" s="145"/>
      <c r="J24" s="143"/>
    </row>
    <row r="25" spans="1:10">
      <c r="A25" s="183"/>
      <c r="B25" s="143">
        <v>1</v>
      </c>
      <c r="C25" s="143" t="s">
        <v>202</v>
      </c>
      <c r="D25" s="143" t="s">
        <v>1596</v>
      </c>
      <c r="E25" s="143"/>
      <c r="F25" s="143" t="s">
        <v>1540</v>
      </c>
      <c r="G25" s="143">
        <v>20</v>
      </c>
      <c r="H25" s="143" t="s">
        <v>1541</v>
      </c>
      <c r="I25" s="143"/>
      <c r="J25" s="143"/>
    </row>
    <row r="26" spans="1:10">
      <c r="A26" s="183"/>
      <c r="B26" s="143"/>
      <c r="C26" s="143" t="s">
        <v>203</v>
      </c>
      <c r="D26" s="143" t="s">
        <v>204</v>
      </c>
      <c r="E26" s="143">
        <v>10</v>
      </c>
      <c r="F26" s="143"/>
      <c r="G26" s="143">
        <v>40</v>
      </c>
      <c r="H26" s="143" t="s">
        <v>1542</v>
      </c>
      <c r="I26" s="143" t="s">
        <v>1543</v>
      </c>
      <c r="J26" s="143"/>
    </row>
    <row r="27" spans="1:10">
      <c r="A27" s="183"/>
      <c r="B27" s="143"/>
      <c r="C27" s="149" t="s">
        <v>206</v>
      </c>
      <c r="D27" s="149" t="s">
        <v>212</v>
      </c>
      <c r="E27" s="149">
        <v>10</v>
      </c>
      <c r="F27" s="149"/>
      <c r="G27" s="149">
        <v>30</v>
      </c>
      <c r="H27" s="149" t="s">
        <v>1544</v>
      </c>
      <c r="I27" s="149" t="s">
        <v>1545</v>
      </c>
      <c r="J27" s="143"/>
    </row>
    <row r="28" spans="1:10">
      <c r="A28" s="183"/>
      <c r="B28" s="143" t="s">
        <v>221</v>
      </c>
      <c r="C28" s="143" t="s">
        <v>179</v>
      </c>
      <c r="D28" s="143" t="s">
        <v>222</v>
      </c>
      <c r="E28" s="143"/>
      <c r="F28" s="143"/>
      <c r="G28" s="143" t="s">
        <v>1501</v>
      </c>
      <c r="H28" s="143"/>
      <c r="I28" s="143" t="s">
        <v>1546</v>
      </c>
      <c r="J28" s="143"/>
    </row>
    <row r="29" spans="1:10">
      <c r="A29" s="183"/>
      <c r="B29" s="143" t="s">
        <v>1547</v>
      </c>
      <c r="C29" s="143" t="s">
        <v>182</v>
      </c>
      <c r="D29" s="143" t="s">
        <v>183</v>
      </c>
      <c r="E29" s="143"/>
      <c r="F29" s="143"/>
      <c r="G29" s="143" t="s">
        <v>1501</v>
      </c>
      <c r="H29" s="143"/>
      <c r="I29" s="143" t="s">
        <v>1522</v>
      </c>
      <c r="J29" s="143"/>
    </row>
    <row r="30" spans="1:10">
      <c r="A30" s="186" t="s">
        <v>1597</v>
      </c>
      <c r="B30" s="145">
        <v>0</v>
      </c>
      <c r="C30" s="145" t="s">
        <v>1493</v>
      </c>
      <c r="D30" s="145"/>
      <c r="E30" s="145"/>
      <c r="F30" s="145"/>
      <c r="G30" s="145"/>
      <c r="H30" s="145"/>
      <c r="I30" s="145"/>
      <c r="J30" s="143"/>
    </row>
    <row r="31" spans="1:10" ht="57">
      <c r="A31" s="187"/>
      <c r="B31" s="143">
        <v>1</v>
      </c>
      <c r="C31" s="143"/>
      <c r="D31" s="143" t="s">
        <v>225</v>
      </c>
      <c r="E31" s="143">
        <v>0</v>
      </c>
      <c r="F31" s="143">
        <v>9999</v>
      </c>
      <c r="G31" s="143">
        <v>15</v>
      </c>
      <c r="H31" s="143"/>
      <c r="I31" s="143" t="s">
        <v>227</v>
      </c>
      <c r="J31" s="143" t="s">
        <v>228</v>
      </c>
    </row>
    <row r="32" spans="1:10" ht="28.5">
      <c r="A32" s="187"/>
      <c r="B32" s="143" t="s">
        <v>229</v>
      </c>
      <c r="C32" s="143"/>
      <c r="D32" s="143" t="s">
        <v>940</v>
      </c>
      <c r="E32" s="143"/>
      <c r="F32" s="143">
        <v>9999</v>
      </c>
      <c r="G32" s="143">
        <v>25</v>
      </c>
      <c r="H32" s="143" t="s">
        <v>230</v>
      </c>
      <c r="I32" s="143" t="s">
        <v>231</v>
      </c>
      <c r="J32" s="143" t="s">
        <v>232</v>
      </c>
    </row>
    <row r="33" spans="1:10" ht="71.25">
      <c r="A33" s="187"/>
      <c r="B33" s="143"/>
      <c r="C33" s="143"/>
      <c r="D33" s="143" t="s">
        <v>234</v>
      </c>
      <c r="E33" s="143">
        <v>5</v>
      </c>
      <c r="F33" s="143">
        <v>9999</v>
      </c>
      <c r="G33" s="143">
        <v>25</v>
      </c>
      <c r="H33" s="143" t="s">
        <v>235</v>
      </c>
      <c r="I33" s="143" t="s">
        <v>238</v>
      </c>
      <c r="J33" s="143" t="s">
        <v>240</v>
      </c>
    </row>
    <row r="34" spans="1:10" ht="28.5">
      <c r="A34" s="187"/>
      <c r="B34" s="143" t="s">
        <v>241</v>
      </c>
      <c r="C34" s="143"/>
      <c r="D34" s="143" t="s">
        <v>937</v>
      </c>
      <c r="E34" s="143"/>
      <c r="F34" s="143">
        <v>9999</v>
      </c>
      <c r="G34" s="143">
        <v>15</v>
      </c>
      <c r="H34" s="143"/>
      <c r="I34" s="143" t="s">
        <v>247</v>
      </c>
      <c r="J34" s="143" t="s">
        <v>72</v>
      </c>
    </row>
    <row r="35" spans="1:10" ht="28.5">
      <c r="A35" s="187"/>
      <c r="B35" s="143" t="s">
        <v>250</v>
      </c>
      <c r="C35" s="143"/>
      <c r="D35" s="143" t="s">
        <v>251</v>
      </c>
      <c r="E35" s="143">
        <v>0</v>
      </c>
      <c r="F35" s="143">
        <v>0</v>
      </c>
      <c r="G35" s="143">
        <v>15</v>
      </c>
      <c r="H35" s="143"/>
      <c r="I35" s="143" t="s">
        <v>256</v>
      </c>
      <c r="J35" s="143" t="s">
        <v>259</v>
      </c>
    </row>
    <row r="36" spans="1:10" ht="14.25" customHeight="1">
      <c r="A36" s="183" t="s">
        <v>1876</v>
      </c>
      <c r="B36" s="150">
        <v>0</v>
      </c>
      <c r="C36" s="145" t="s">
        <v>1493</v>
      </c>
      <c r="D36" s="150"/>
      <c r="E36" s="150"/>
      <c r="F36" s="150"/>
      <c r="G36" s="150"/>
      <c r="H36" s="150"/>
      <c r="I36" s="150"/>
      <c r="J36" s="143"/>
    </row>
    <row r="37" spans="1:10" ht="57">
      <c r="A37" s="183"/>
      <c r="B37" s="143" t="s">
        <v>385</v>
      </c>
      <c r="C37" s="143"/>
      <c r="D37" s="143" t="s">
        <v>386</v>
      </c>
      <c r="E37" s="143"/>
      <c r="F37" s="143"/>
      <c r="G37" s="143">
        <v>20</v>
      </c>
      <c r="H37" s="143"/>
      <c r="I37" s="143" t="s">
        <v>387</v>
      </c>
      <c r="J37" s="143"/>
    </row>
    <row r="38" spans="1:10" ht="28.5">
      <c r="A38" s="183"/>
      <c r="B38" s="143"/>
      <c r="C38" s="143"/>
      <c r="D38" s="143" t="s">
        <v>388</v>
      </c>
      <c r="E38" s="143"/>
      <c r="F38" s="143"/>
      <c r="G38" s="143">
        <v>12</v>
      </c>
      <c r="H38" s="143"/>
      <c r="I38" s="143" t="s">
        <v>389</v>
      </c>
      <c r="J38" s="143"/>
    </row>
    <row r="39" spans="1:10" ht="28.5">
      <c r="A39" s="183"/>
      <c r="B39" s="143"/>
      <c r="C39" s="143"/>
      <c r="D39" s="143" t="s">
        <v>1598</v>
      </c>
      <c r="E39" s="143"/>
      <c r="F39" s="143"/>
      <c r="G39" s="143">
        <v>15</v>
      </c>
      <c r="H39" s="143"/>
      <c r="I39" s="143" t="s">
        <v>390</v>
      </c>
      <c r="J39" s="143"/>
    </row>
    <row r="40" spans="1:10" ht="28.5">
      <c r="A40" s="183"/>
      <c r="B40" s="143" t="s">
        <v>391</v>
      </c>
      <c r="C40" s="143"/>
      <c r="D40" s="143" t="s">
        <v>392</v>
      </c>
      <c r="E40" s="143">
        <v>4</v>
      </c>
      <c r="F40" s="143"/>
      <c r="G40" s="143">
        <v>15</v>
      </c>
      <c r="H40" s="143"/>
      <c r="I40" s="143" t="s">
        <v>393</v>
      </c>
      <c r="J40" s="143"/>
    </row>
    <row r="41" spans="1:10">
      <c r="A41" s="183"/>
      <c r="B41" s="143"/>
      <c r="C41" s="143"/>
      <c r="D41" s="143" t="s">
        <v>394</v>
      </c>
      <c r="E41" s="143">
        <v>0</v>
      </c>
      <c r="F41" s="143"/>
      <c r="G41" s="143">
        <v>10</v>
      </c>
      <c r="H41" s="143"/>
      <c r="I41" s="143" t="s">
        <v>395</v>
      </c>
      <c r="J41" s="143"/>
    </row>
    <row r="42" spans="1:10" ht="42.75">
      <c r="A42" s="183"/>
      <c r="B42" s="143" t="s">
        <v>396</v>
      </c>
      <c r="C42" s="143"/>
      <c r="D42" s="143"/>
      <c r="E42" s="143"/>
      <c r="F42" s="143"/>
      <c r="G42" s="143"/>
      <c r="H42" s="143"/>
      <c r="I42" s="143" t="s">
        <v>397</v>
      </c>
      <c r="J42" s="143"/>
    </row>
    <row r="43" spans="1:10">
      <c r="A43" s="183" t="s">
        <v>1877</v>
      </c>
      <c r="B43" s="145">
        <v>0</v>
      </c>
      <c r="C43" s="145" t="s">
        <v>1493</v>
      </c>
      <c r="D43" s="145"/>
      <c r="E43" s="145"/>
      <c r="F43" s="145"/>
      <c r="G43" s="145"/>
      <c r="H43" s="145"/>
      <c r="I43" s="145"/>
      <c r="J43" s="143"/>
    </row>
    <row r="44" spans="1:10">
      <c r="A44" s="183"/>
      <c r="B44" s="143">
        <v>1</v>
      </c>
      <c r="C44" s="143" t="s">
        <v>398</v>
      </c>
      <c r="D44" s="143" t="s">
        <v>399</v>
      </c>
      <c r="E44" s="143">
        <v>10</v>
      </c>
      <c r="F44" s="143"/>
      <c r="G44" s="143" t="s">
        <v>1548</v>
      </c>
      <c r="H44" s="143" t="s">
        <v>1549</v>
      </c>
      <c r="I44" s="143" t="s">
        <v>1550</v>
      </c>
      <c r="J44" s="143"/>
    </row>
    <row r="45" spans="1:10">
      <c r="A45" s="183"/>
      <c r="B45" s="143"/>
      <c r="C45" s="143" t="s">
        <v>400</v>
      </c>
      <c r="D45" s="143" t="s">
        <v>401</v>
      </c>
      <c r="E45" s="143"/>
      <c r="F45" s="143"/>
      <c r="G45" s="143"/>
      <c r="H45" s="143"/>
      <c r="I45" s="143"/>
      <c r="J45" s="143"/>
    </row>
    <row r="46" spans="1:10">
      <c r="A46" s="183"/>
      <c r="B46" s="143"/>
      <c r="C46" s="143" t="s">
        <v>1551</v>
      </c>
      <c r="D46" s="143" t="s">
        <v>402</v>
      </c>
      <c r="E46" s="143">
        <v>0</v>
      </c>
      <c r="F46" s="143"/>
      <c r="G46" s="143" t="s">
        <v>1552</v>
      </c>
      <c r="H46" s="143"/>
      <c r="I46" s="143" t="s">
        <v>1553</v>
      </c>
      <c r="J46" s="143"/>
    </row>
    <row r="47" spans="1:10">
      <c r="A47" s="183"/>
      <c r="B47" s="143" t="s">
        <v>5</v>
      </c>
      <c r="C47" s="143" t="s">
        <v>12</v>
      </c>
      <c r="D47" s="143" t="s">
        <v>403</v>
      </c>
      <c r="E47" s="143"/>
      <c r="F47" s="143" t="s">
        <v>1554</v>
      </c>
      <c r="G47" s="143">
        <v>10</v>
      </c>
      <c r="H47" s="143" t="s">
        <v>1555</v>
      </c>
      <c r="I47" s="143" t="s">
        <v>1556</v>
      </c>
      <c r="J47" s="143"/>
    </row>
    <row r="48" spans="1:10">
      <c r="A48" s="183"/>
      <c r="B48" s="143"/>
      <c r="C48" s="143" t="s">
        <v>19</v>
      </c>
      <c r="D48" s="143" t="s">
        <v>404</v>
      </c>
      <c r="E48" s="143"/>
      <c r="F48" s="143"/>
      <c r="G48" s="143">
        <v>10</v>
      </c>
      <c r="H48" s="143" t="s">
        <v>1557</v>
      </c>
      <c r="I48" s="143" t="s">
        <v>1558</v>
      </c>
      <c r="J48" s="143"/>
    </row>
    <row r="49" spans="1:10">
      <c r="A49" s="183"/>
      <c r="B49" s="143" t="s">
        <v>405</v>
      </c>
      <c r="C49" s="143" t="s">
        <v>26</v>
      </c>
      <c r="D49" s="143" t="s">
        <v>406</v>
      </c>
      <c r="E49" s="143"/>
      <c r="F49" s="143"/>
      <c r="G49" s="143">
        <v>10</v>
      </c>
      <c r="H49" s="143" t="s">
        <v>407</v>
      </c>
      <c r="I49" s="143" t="s">
        <v>1559</v>
      </c>
      <c r="J49" s="143"/>
    </row>
    <row r="50" spans="1:10">
      <c r="A50" s="183"/>
      <c r="B50" s="143"/>
      <c r="C50" s="143" t="s">
        <v>32</v>
      </c>
      <c r="D50" s="143" t="s">
        <v>408</v>
      </c>
      <c r="E50" s="143">
        <v>3</v>
      </c>
      <c r="F50" s="143"/>
      <c r="G50" s="143">
        <v>12</v>
      </c>
      <c r="H50" s="143" t="s">
        <v>1560</v>
      </c>
      <c r="I50" s="143" t="s">
        <v>1561</v>
      </c>
      <c r="J50" s="143"/>
    </row>
    <row r="51" spans="1:10">
      <c r="A51" s="183"/>
      <c r="B51" s="143" t="s">
        <v>43</v>
      </c>
      <c r="C51" s="143" t="s">
        <v>52</v>
      </c>
      <c r="D51" s="143" t="s">
        <v>411</v>
      </c>
      <c r="E51" s="143">
        <v>4</v>
      </c>
      <c r="F51" s="143"/>
      <c r="G51" s="143">
        <v>10</v>
      </c>
      <c r="H51" s="143" t="s">
        <v>1562</v>
      </c>
      <c r="I51" s="143" t="s">
        <v>1563</v>
      </c>
      <c r="J51" s="143"/>
    </row>
    <row r="52" spans="1:10">
      <c r="A52" s="183"/>
      <c r="B52" s="143"/>
      <c r="C52" s="143" t="s">
        <v>44</v>
      </c>
      <c r="D52" s="143" t="s">
        <v>412</v>
      </c>
      <c r="E52" s="143"/>
      <c r="F52" s="143"/>
      <c r="G52" s="143">
        <v>10</v>
      </c>
      <c r="H52" s="143" t="s">
        <v>413</v>
      </c>
      <c r="I52" s="143" t="s">
        <v>1564</v>
      </c>
      <c r="J52" s="143"/>
    </row>
    <row r="53" spans="1:10">
      <c r="A53" s="183"/>
      <c r="B53" s="143" t="s">
        <v>61</v>
      </c>
      <c r="C53" s="143" t="s">
        <v>93</v>
      </c>
      <c r="D53" s="143" t="s">
        <v>416</v>
      </c>
      <c r="E53" s="143">
        <v>4</v>
      </c>
      <c r="F53" s="143"/>
      <c r="G53" s="143">
        <v>10</v>
      </c>
      <c r="H53" s="143" t="s">
        <v>1565</v>
      </c>
      <c r="I53" s="143"/>
      <c r="J53" s="143"/>
    </row>
    <row r="54" spans="1:10">
      <c r="A54" s="183"/>
      <c r="B54" s="143"/>
      <c r="C54" s="143" t="s">
        <v>98</v>
      </c>
      <c r="D54" s="143" t="s">
        <v>418</v>
      </c>
      <c r="E54" s="143"/>
      <c r="F54" s="143">
        <v>600</v>
      </c>
      <c r="G54" s="143" t="s">
        <v>1496</v>
      </c>
      <c r="H54" s="143" t="s">
        <v>1566</v>
      </c>
      <c r="I54" s="143"/>
      <c r="J54" s="143"/>
    </row>
    <row r="55" spans="1:10">
      <c r="A55" s="183"/>
      <c r="B55" s="143" t="s">
        <v>113</v>
      </c>
      <c r="C55" s="143" t="s">
        <v>115</v>
      </c>
      <c r="D55" s="143" t="s">
        <v>421</v>
      </c>
      <c r="E55" s="143"/>
      <c r="F55" s="143"/>
      <c r="G55" s="143">
        <v>10</v>
      </c>
      <c r="H55" s="143" t="s">
        <v>1567</v>
      </c>
      <c r="I55" s="143" t="s">
        <v>1568</v>
      </c>
      <c r="J55" s="143"/>
    </row>
    <row r="56" spans="1:10">
      <c r="A56" s="183"/>
      <c r="B56" s="143"/>
      <c r="C56" s="143" t="s">
        <v>125</v>
      </c>
      <c r="D56" s="143" t="s">
        <v>426</v>
      </c>
      <c r="E56" s="143"/>
      <c r="F56" s="143"/>
      <c r="G56" s="143">
        <v>10</v>
      </c>
      <c r="H56" s="143" t="s">
        <v>1569</v>
      </c>
      <c r="I56" s="143" t="s">
        <v>1568</v>
      </c>
      <c r="J56" s="143"/>
    </row>
    <row r="57" spans="1:10">
      <c r="A57" s="183"/>
      <c r="B57" s="143" t="s">
        <v>188</v>
      </c>
      <c r="C57" s="143" t="s">
        <v>207</v>
      </c>
      <c r="D57" s="143" t="s">
        <v>428</v>
      </c>
      <c r="E57" s="143"/>
      <c r="F57" s="143"/>
      <c r="G57" s="143">
        <v>5</v>
      </c>
      <c r="H57" s="143" t="s">
        <v>429</v>
      </c>
      <c r="I57" s="143" t="s">
        <v>1570</v>
      </c>
      <c r="J57" s="143"/>
    </row>
    <row r="58" spans="1:10">
      <c r="A58" s="183"/>
      <c r="B58" s="143"/>
      <c r="C58" s="143" t="s">
        <v>205</v>
      </c>
      <c r="D58" s="143" t="s">
        <v>430</v>
      </c>
      <c r="E58" s="143"/>
      <c r="F58" s="143"/>
      <c r="G58" s="143"/>
      <c r="H58" s="143" t="s">
        <v>1571</v>
      </c>
      <c r="I58" s="143"/>
      <c r="J58" s="143"/>
    </row>
    <row r="59" spans="1:10">
      <c r="A59" s="183"/>
      <c r="B59" s="143" t="s">
        <v>136</v>
      </c>
      <c r="C59" s="143" t="s">
        <v>149</v>
      </c>
      <c r="D59" s="143" t="s">
        <v>437</v>
      </c>
      <c r="E59" s="143"/>
      <c r="F59" s="143"/>
      <c r="G59" s="143" t="s">
        <v>1572</v>
      </c>
      <c r="H59" s="143" t="s">
        <v>1573</v>
      </c>
      <c r="I59" s="143"/>
      <c r="J59" s="143"/>
    </row>
    <row r="60" spans="1:10">
      <c r="A60" s="183"/>
      <c r="B60" s="143"/>
      <c r="C60" s="143" t="s">
        <v>154</v>
      </c>
      <c r="D60" s="143" t="s">
        <v>440</v>
      </c>
      <c r="E60" s="143"/>
      <c r="F60" s="143"/>
      <c r="G60" s="143">
        <v>10</v>
      </c>
      <c r="H60" s="143" t="s">
        <v>1574</v>
      </c>
      <c r="I60" s="143" t="s">
        <v>1575</v>
      </c>
      <c r="J60" s="143"/>
    </row>
    <row r="61" spans="1:10">
      <c r="A61" s="183"/>
      <c r="B61" s="143" t="s">
        <v>213</v>
      </c>
      <c r="C61" s="143" t="s">
        <v>223</v>
      </c>
      <c r="D61" s="143" t="s">
        <v>445</v>
      </c>
      <c r="E61" s="143">
        <v>2</v>
      </c>
      <c r="F61" s="143">
        <v>600</v>
      </c>
      <c r="G61" s="143" t="s">
        <v>1576</v>
      </c>
      <c r="H61" s="143" t="s">
        <v>1577</v>
      </c>
      <c r="I61" s="143" t="s">
        <v>1578</v>
      </c>
      <c r="J61" s="143"/>
    </row>
    <row r="62" spans="1:10" ht="28.5">
      <c r="A62" s="183"/>
      <c r="B62" s="143"/>
      <c r="C62" s="143" t="s">
        <v>244</v>
      </c>
      <c r="D62" s="143" t="s">
        <v>450</v>
      </c>
      <c r="E62" s="143"/>
      <c r="F62" s="143">
        <v>600</v>
      </c>
      <c r="G62" s="143" t="s">
        <v>1579</v>
      </c>
      <c r="H62" s="143" t="s">
        <v>1580</v>
      </c>
      <c r="I62" s="143" t="s">
        <v>1581</v>
      </c>
      <c r="J62" s="143"/>
    </row>
    <row r="63" spans="1:10">
      <c r="A63" s="183"/>
      <c r="B63" s="143" t="s">
        <v>269</v>
      </c>
      <c r="C63" s="143" t="s">
        <v>455</v>
      </c>
      <c r="D63" s="143" t="s">
        <v>456</v>
      </c>
      <c r="E63" s="143"/>
      <c r="F63" s="143"/>
      <c r="G63" s="143">
        <v>10</v>
      </c>
      <c r="H63" s="143" t="s">
        <v>1582</v>
      </c>
      <c r="I63" s="143" t="s">
        <v>1583</v>
      </c>
      <c r="J63" s="143"/>
    </row>
    <row r="64" spans="1:10">
      <c r="A64" s="183"/>
      <c r="B64" s="143"/>
      <c r="C64" s="143" t="s">
        <v>460</v>
      </c>
      <c r="D64" s="143" t="s">
        <v>461</v>
      </c>
      <c r="E64" s="143"/>
      <c r="F64" s="143"/>
      <c r="G64" s="143">
        <v>15</v>
      </c>
      <c r="H64" s="143" t="s">
        <v>1584</v>
      </c>
      <c r="I64" s="143" t="s">
        <v>1585</v>
      </c>
      <c r="J64" s="143"/>
    </row>
    <row r="65" spans="1:10">
      <c r="A65" s="183"/>
      <c r="B65" s="143" t="s">
        <v>384</v>
      </c>
      <c r="C65" s="143" t="s">
        <v>466</v>
      </c>
      <c r="D65" s="143" t="s">
        <v>468</v>
      </c>
      <c r="E65" s="143"/>
      <c r="F65" s="143"/>
      <c r="G65" s="143"/>
      <c r="H65" s="143"/>
      <c r="I65" s="143"/>
      <c r="J65" s="143"/>
    </row>
    <row r="66" spans="1:10">
      <c r="A66" s="183"/>
      <c r="B66" s="143"/>
      <c r="C66" s="143" t="s">
        <v>470</v>
      </c>
      <c r="D66" s="143" t="s">
        <v>471</v>
      </c>
      <c r="E66" s="143"/>
      <c r="F66" s="143"/>
      <c r="G66" s="143">
        <v>10</v>
      </c>
      <c r="H66" s="143" t="s">
        <v>474</v>
      </c>
      <c r="I66" s="143" t="s">
        <v>1586</v>
      </c>
      <c r="J66" s="143"/>
    </row>
    <row r="67" spans="1:10">
      <c r="A67" s="183"/>
      <c r="B67" s="143" t="s">
        <v>477</v>
      </c>
      <c r="C67" s="143" t="s">
        <v>1587</v>
      </c>
      <c r="D67" s="143" t="s">
        <v>478</v>
      </c>
      <c r="E67" s="143"/>
      <c r="F67" s="143"/>
      <c r="G67" s="143">
        <v>10</v>
      </c>
      <c r="H67" s="143" t="s">
        <v>1588</v>
      </c>
      <c r="I67" s="143" t="s">
        <v>1589</v>
      </c>
      <c r="J67" s="143"/>
    </row>
    <row r="68" spans="1:10">
      <c r="A68" s="183"/>
      <c r="B68" s="143"/>
      <c r="C68" s="143" t="s">
        <v>1590</v>
      </c>
      <c r="D68" s="143" t="s">
        <v>479</v>
      </c>
      <c r="E68" s="143"/>
      <c r="F68" s="143"/>
      <c r="G68" s="143"/>
      <c r="H68" s="143"/>
      <c r="I68" s="143" t="s">
        <v>1591</v>
      </c>
      <c r="J68" s="143"/>
    </row>
    <row r="69" spans="1:10">
      <c r="A69" s="186" t="s">
        <v>1592</v>
      </c>
      <c r="B69" s="150">
        <v>0</v>
      </c>
      <c r="C69" s="150" t="s">
        <v>224</v>
      </c>
      <c r="D69" s="150"/>
      <c r="E69" s="150"/>
      <c r="F69" s="150"/>
      <c r="G69" s="150"/>
      <c r="H69" s="150"/>
      <c r="I69" s="150"/>
      <c r="J69" s="143"/>
    </row>
    <row r="70" spans="1:10">
      <c r="A70" s="187"/>
      <c r="B70" s="143">
        <v>1</v>
      </c>
      <c r="C70" s="143"/>
      <c r="D70" s="143" t="s">
        <v>490</v>
      </c>
      <c r="E70" s="143"/>
      <c r="F70" s="143"/>
      <c r="G70" s="143"/>
      <c r="H70" s="143"/>
      <c r="I70" s="143" t="s">
        <v>492</v>
      </c>
      <c r="J70" s="143"/>
    </row>
    <row r="71" spans="1:10" ht="42.75">
      <c r="A71" s="187"/>
      <c r="B71" s="143"/>
      <c r="C71" s="143"/>
      <c r="D71" s="143" t="s">
        <v>494</v>
      </c>
      <c r="E71" s="143"/>
      <c r="F71" s="143"/>
      <c r="G71" s="143"/>
      <c r="H71" s="143"/>
      <c r="I71" s="143" t="s">
        <v>496</v>
      </c>
      <c r="J71" s="143"/>
    </row>
    <row r="72" spans="1:10" ht="28.5">
      <c r="A72" s="187"/>
      <c r="B72" s="143"/>
      <c r="C72" s="143"/>
      <c r="D72" s="143" t="s">
        <v>499</v>
      </c>
      <c r="E72" s="143"/>
      <c r="F72" s="143"/>
      <c r="G72" s="143"/>
      <c r="H72" s="143"/>
      <c r="I72" s="143" t="s">
        <v>500</v>
      </c>
      <c r="J72" s="143"/>
    </row>
    <row r="73" spans="1:10" ht="85.5">
      <c r="A73" s="187"/>
      <c r="B73" s="143"/>
      <c r="C73" s="143"/>
      <c r="D73" s="143" t="s">
        <v>501</v>
      </c>
      <c r="E73" s="143"/>
      <c r="F73" s="143"/>
      <c r="G73" s="143"/>
      <c r="H73" s="143"/>
      <c r="I73" s="143" t="s">
        <v>504</v>
      </c>
      <c r="J73" s="143"/>
    </row>
    <row r="74" spans="1:10" ht="28.5">
      <c r="A74" s="187"/>
      <c r="B74" s="151">
        <v>2</v>
      </c>
      <c r="C74" s="151"/>
      <c r="D74" s="151" t="s">
        <v>549</v>
      </c>
      <c r="E74" s="151"/>
      <c r="F74" s="151"/>
      <c r="G74" s="151"/>
      <c r="H74" s="151"/>
      <c r="I74" s="151" t="s">
        <v>550</v>
      </c>
      <c r="J74" s="143"/>
    </row>
    <row r="75" spans="1:10" ht="28.5">
      <c r="A75" s="187"/>
      <c r="B75" s="151"/>
      <c r="C75" s="151"/>
      <c r="D75" s="151" t="s">
        <v>551</v>
      </c>
      <c r="E75" s="151"/>
      <c r="F75" s="151"/>
      <c r="G75" s="151"/>
      <c r="H75" s="151"/>
      <c r="I75" s="151" t="s">
        <v>552</v>
      </c>
      <c r="J75" s="143"/>
    </row>
    <row r="76" spans="1:10" ht="28.5">
      <c r="A76" s="187"/>
      <c r="B76" s="152">
        <v>2</v>
      </c>
      <c r="C76" s="152"/>
      <c r="D76" s="152" t="s">
        <v>554</v>
      </c>
      <c r="E76" s="152"/>
      <c r="F76" s="152"/>
      <c r="G76" s="152">
        <v>10</v>
      </c>
      <c r="H76" s="152"/>
      <c r="I76" s="152" t="s">
        <v>555</v>
      </c>
      <c r="J76" s="143"/>
    </row>
    <row r="77" spans="1:10" ht="28.5">
      <c r="A77" s="187"/>
      <c r="B77" s="153"/>
      <c r="C77" s="153"/>
      <c r="D77" s="153" t="s">
        <v>556</v>
      </c>
      <c r="E77" s="153"/>
      <c r="F77" s="153"/>
      <c r="G77" s="153"/>
      <c r="H77" s="153"/>
      <c r="I77" s="153" t="s">
        <v>558</v>
      </c>
      <c r="J77" s="143"/>
    </row>
    <row r="78" spans="1:10" ht="28.5">
      <c r="A78" s="187"/>
      <c r="B78" s="154">
        <v>2</v>
      </c>
      <c r="C78" s="154"/>
      <c r="D78" s="154" t="s">
        <v>559</v>
      </c>
      <c r="E78" s="154"/>
      <c r="F78" s="154"/>
      <c r="G78" s="154"/>
      <c r="H78" s="154"/>
      <c r="I78" s="154" t="s">
        <v>560</v>
      </c>
      <c r="J78" s="143"/>
    </row>
    <row r="79" spans="1:10">
      <c r="A79" s="187"/>
      <c r="B79" s="154"/>
      <c r="C79" s="154"/>
      <c r="D79" s="154" t="s">
        <v>561</v>
      </c>
      <c r="E79" s="154"/>
      <c r="F79" s="154"/>
      <c r="G79" s="154"/>
      <c r="H79" s="154"/>
      <c r="I79" s="154" t="s">
        <v>562</v>
      </c>
      <c r="J79" s="143"/>
    </row>
    <row r="80" spans="1:10" ht="42.75">
      <c r="A80" s="187"/>
      <c r="B80" s="143" t="s">
        <v>563</v>
      </c>
      <c r="C80" s="143"/>
      <c r="D80" s="143" t="s">
        <v>564</v>
      </c>
      <c r="E80" s="143"/>
      <c r="F80" s="143"/>
      <c r="G80" s="143">
        <v>15</v>
      </c>
      <c r="H80" s="143"/>
      <c r="I80" s="143" t="s">
        <v>565</v>
      </c>
      <c r="J80" s="143"/>
    </row>
    <row r="81" spans="1:10" ht="28.5">
      <c r="A81" s="187"/>
      <c r="D81" s="146" t="s">
        <v>566</v>
      </c>
      <c r="I81" s="146" t="s">
        <v>567</v>
      </c>
      <c r="J81" s="143"/>
    </row>
    <row r="82" spans="1:10">
      <c r="A82" s="143"/>
      <c r="B82" s="143"/>
      <c r="C82" s="143"/>
      <c r="D82" s="143"/>
      <c r="E82" s="143"/>
      <c r="F82" s="143"/>
      <c r="G82" s="143"/>
      <c r="H82" s="143"/>
      <c r="I82" s="143"/>
      <c r="J82" s="143"/>
    </row>
    <row r="83" spans="1:10">
      <c r="A83" s="143"/>
      <c r="B83" s="143"/>
      <c r="C83" s="143"/>
      <c r="D83" s="143"/>
      <c r="E83" s="143"/>
      <c r="F83" s="143"/>
      <c r="G83" s="143"/>
      <c r="H83" s="143"/>
      <c r="I83" s="143"/>
      <c r="J83" s="143"/>
    </row>
    <row r="84" spans="1:10">
      <c r="A84" s="143"/>
      <c r="B84" s="143"/>
      <c r="C84" s="143"/>
      <c r="D84" s="143"/>
      <c r="E84" s="143"/>
      <c r="F84" s="143"/>
      <c r="G84" s="143"/>
      <c r="H84" s="143"/>
      <c r="I84" s="143"/>
      <c r="J84" s="143"/>
    </row>
    <row r="85" spans="1:10">
      <c r="A85" s="143"/>
      <c r="B85" s="143"/>
      <c r="C85" s="143"/>
      <c r="D85" s="143"/>
      <c r="E85" s="143"/>
      <c r="F85" s="143"/>
      <c r="G85" s="143"/>
      <c r="H85" s="143"/>
      <c r="I85" s="143"/>
      <c r="J85" s="143"/>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tabSelected="1" workbookViewId="0">
      <pane xSplit="6" ySplit="1" topLeftCell="K41" activePane="bottomRight" state="frozen"/>
      <selection pane="topRight" activeCell="G1" sqref="G1"/>
      <selection pane="bottomLeft" activeCell="A2" sqref="A2"/>
      <selection pane="bottomRight" activeCell="S47" sqref="S47"/>
    </sheetView>
  </sheetViews>
  <sheetFormatPr defaultColWidth="17.28515625" defaultRowHeight="14.25" outlineLevelCol="1"/>
  <cols>
    <col min="1" max="1" width="3.5703125" style="111" customWidth="1"/>
    <col min="2" max="2" width="6.42578125" style="61" customWidth="1"/>
    <col min="3" max="3" width="14.140625" style="61" customWidth="1"/>
    <col min="4" max="4" width="18.42578125" style="61" customWidth="1" outlineLevel="1"/>
    <col min="5" max="5" width="13.42578125" style="61" bestFit="1" customWidth="1"/>
    <col min="6" max="6" width="14.7109375" style="61" customWidth="1" outlineLevel="1"/>
    <col min="7" max="8" width="3" style="107" bestFit="1" customWidth="1"/>
    <col min="9" max="9" width="5.7109375" style="107" bestFit="1" customWidth="1"/>
    <col min="10" max="11" width="4.7109375" style="107" bestFit="1" customWidth="1"/>
    <col min="12" max="13" width="3.7109375" style="107" bestFit="1" customWidth="1"/>
    <col min="14" max="15" width="2.85546875" style="108" bestFit="1" customWidth="1"/>
    <col min="16" max="16" width="50.7109375" style="109" customWidth="1"/>
    <col min="17" max="17" width="50.7109375" style="109" hidden="1" customWidth="1" outlineLevel="1"/>
    <col min="18" max="18" width="10.5703125" style="61" customWidth="1" collapsed="1"/>
    <col min="19" max="19" width="30.7109375" style="109" customWidth="1"/>
    <col min="20" max="20" width="12.42578125" style="61" bestFit="1" customWidth="1"/>
    <col min="21" max="21" width="2.7109375" style="61" bestFit="1" customWidth="1"/>
    <col min="22" max="22" width="9" style="61" customWidth="1"/>
    <col min="23" max="23" width="12.28515625" style="61" customWidth="1"/>
    <col min="24" max="24" width="7.85546875" style="61" customWidth="1"/>
    <col min="25" max="16384" width="17.28515625" style="61"/>
  </cols>
  <sheetData>
    <row r="1" spans="1:24" s="53" customFormat="1">
      <c r="A1" s="48" t="s">
        <v>1355</v>
      </c>
      <c r="B1" s="49" t="s">
        <v>16</v>
      </c>
      <c r="C1" s="49" t="s">
        <v>1356</v>
      </c>
      <c r="D1" s="49" t="s">
        <v>62</v>
      </c>
      <c r="E1" s="49" t="s">
        <v>10</v>
      </c>
      <c r="F1" s="49" t="s">
        <v>11</v>
      </c>
      <c r="G1" s="50" t="s">
        <v>1357</v>
      </c>
      <c r="H1" s="48" t="s">
        <v>1358</v>
      </c>
      <c r="I1" s="48" t="s">
        <v>1359</v>
      </c>
      <c r="J1" s="48" t="s">
        <v>1360</v>
      </c>
      <c r="K1" s="50" t="s">
        <v>1361</v>
      </c>
      <c r="L1" s="48" t="s">
        <v>1362</v>
      </c>
      <c r="M1" s="50" t="s">
        <v>1363</v>
      </c>
      <c r="N1" s="48" t="s">
        <v>1364</v>
      </c>
      <c r="O1" s="48" t="s">
        <v>1365</v>
      </c>
      <c r="P1" s="51"/>
      <c r="Q1" s="51"/>
      <c r="R1" s="49" t="s">
        <v>1269</v>
      </c>
      <c r="S1" s="51" t="s">
        <v>1268</v>
      </c>
      <c r="T1" s="52" t="s">
        <v>1343</v>
      </c>
      <c r="U1" s="52" t="s">
        <v>1344</v>
      </c>
      <c r="V1" s="53" t="s">
        <v>1263</v>
      </c>
      <c r="W1" s="54" t="s">
        <v>1266</v>
      </c>
      <c r="X1" s="54" t="s">
        <v>1267</v>
      </c>
    </row>
    <row r="2" spans="1:24">
      <c r="A2" s="55">
        <v>0</v>
      </c>
      <c r="B2" s="56" t="s">
        <v>1863</v>
      </c>
      <c r="C2" s="56" t="s">
        <v>1366</v>
      </c>
      <c r="D2" s="56" t="s">
        <v>306</v>
      </c>
      <c r="E2" s="56" t="s">
        <v>1367</v>
      </c>
      <c r="F2" s="56" t="s">
        <v>307</v>
      </c>
      <c r="G2" s="57"/>
      <c r="H2" s="57"/>
      <c r="I2" s="57"/>
      <c r="J2" s="57"/>
      <c r="K2" s="57"/>
      <c r="L2" s="57">
        <v>16</v>
      </c>
      <c r="M2" s="57">
        <v>1</v>
      </c>
      <c r="N2" s="58" t="s">
        <v>658</v>
      </c>
      <c r="O2" s="58" t="s">
        <v>657</v>
      </c>
      <c r="P2" s="32" t="s">
        <v>1368</v>
      </c>
      <c r="Q2" s="89"/>
      <c r="R2" s="59" t="str">
        <f t="shared" ref="R2:R32" si="0">E2</f>
        <v>毒刺(被动)</v>
      </c>
      <c r="S2" s="89" t="s">
        <v>1880</v>
      </c>
      <c r="T2" s="60">
        <v>0</v>
      </c>
      <c r="U2" s="60">
        <v>1</v>
      </c>
      <c r="V2" s="61" t="str">
        <f t="shared" ref="V2:V32" si="1">creepAbilityUberTipCN(P2,G2:M2)</f>
        <v>攻击使敌人受到50/2s的法术伤害。|n|n|cff99ccff持续时间:|r 16秒|n|cff99ccff冷却时间:|r 1秒|n</v>
      </c>
      <c r="W2" s="61" t="str">
        <f t="shared" ref="W2:W32" si="2">creepBuffTip(R2,O2)</f>
        <v>毒刺(被动)</v>
      </c>
      <c r="X2" s="61" t="str">
        <f t="shared" ref="X2:X32" si="3">creepBuffUber(S2,N2)</f>
        <v>物理状态：受到周期性的法术伤害。</v>
      </c>
    </row>
    <row r="3" spans="1:24">
      <c r="A3" s="66">
        <v>1</v>
      </c>
      <c r="B3" s="56" t="s">
        <v>1863</v>
      </c>
      <c r="C3" s="56" t="s">
        <v>1369</v>
      </c>
      <c r="D3" s="56" t="s">
        <v>105</v>
      </c>
      <c r="E3" s="56" t="s">
        <v>1370</v>
      </c>
      <c r="F3" s="56" t="s">
        <v>284</v>
      </c>
      <c r="G3" s="57">
        <v>3</v>
      </c>
      <c r="H3" s="57"/>
      <c r="I3" s="57">
        <v>600</v>
      </c>
      <c r="J3" s="57"/>
      <c r="K3" s="57">
        <v>75</v>
      </c>
      <c r="L3" s="57"/>
      <c r="M3" s="57">
        <v>2</v>
      </c>
      <c r="N3" s="58"/>
      <c r="O3" s="58"/>
      <c r="P3" s="32" t="s">
        <v>1371</v>
      </c>
      <c r="Q3" s="89"/>
      <c r="R3" s="59"/>
      <c r="S3" s="89"/>
      <c r="T3" s="60" t="s">
        <v>285</v>
      </c>
      <c r="U3" s="60">
        <v>1</v>
      </c>
      <c r="V3" s="61" t="str">
        <f t="shared" si="1"/>
        <v>造成320伤害|n|n|cff99ccff施法时间:|r 3秒|n|cff99ccff施法距离:|r 600码|n|cff99ccff法力消耗:|r 75点|n|cff99ccff冷却时间:|r 2秒|n</v>
      </c>
      <c r="W3" s="61" t="str">
        <f t="shared" si="2"/>
        <v/>
      </c>
      <c r="X3" s="61" t="str">
        <f t="shared" si="3"/>
        <v>物理状态：</v>
      </c>
    </row>
    <row r="4" spans="1:24">
      <c r="A4" s="66"/>
      <c r="B4" s="56"/>
      <c r="C4" s="56"/>
      <c r="D4" s="56"/>
      <c r="E4" s="56" t="s">
        <v>1372</v>
      </c>
      <c r="F4" s="56" t="s">
        <v>286</v>
      </c>
      <c r="G4" s="57"/>
      <c r="H4" s="57"/>
      <c r="I4" s="57">
        <v>600</v>
      </c>
      <c r="J4" s="57"/>
      <c r="K4" s="57"/>
      <c r="L4" s="57">
        <v>5</v>
      </c>
      <c r="M4" s="57">
        <v>8</v>
      </c>
      <c r="N4" s="58" t="s">
        <v>659</v>
      </c>
      <c r="O4" s="58" t="s">
        <v>657</v>
      </c>
      <c r="P4" s="32" t="s">
        <v>1373</v>
      </c>
      <c r="Q4" s="89"/>
      <c r="R4" s="59" t="str">
        <f t="shared" si="0"/>
        <v>冰霜冲击</v>
      </c>
      <c r="S4" s="89" t="s">
        <v>1878</v>
      </c>
      <c r="T4" s="60" t="s">
        <v>287</v>
      </c>
      <c r="U4" s="60">
        <v>1</v>
      </c>
      <c r="V4" s="61" t="str">
        <f t="shared" si="1"/>
        <v>造成200伤害,减攻击速度20%,移动速度30%,持续5秒|n|n|cff99ccff施法距离:|r 600码|n|cff99ccff持续时间:|r 5秒|n|cff99ccff冷却时间:|r 8秒|n</v>
      </c>
      <c r="W4" s="61" t="str">
        <f t="shared" si="2"/>
        <v>冰霜冲击</v>
      </c>
      <c r="X4" s="61" t="str">
        <f t="shared" si="3"/>
        <v>|cff6666ff魔法|r状态：攻击速度降低，移动速度降低。</v>
      </c>
    </row>
    <row r="5" spans="1:24" ht="28.5">
      <c r="A5" s="66" t="s">
        <v>1282</v>
      </c>
      <c r="B5" s="62" t="s">
        <v>1863</v>
      </c>
      <c r="C5" s="62" t="s">
        <v>1374</v>
      </c>
      <c r="D5" s="62" t="s">
        <v>288</v>
      </c>
      <c r="E5" s="62" t="s">
        <v>1375</v>
      </c>
      <c r="F5" s="62" t="s">
        <v>289</v>
      </c>
      <c r="G5" s="63">
        <v>3</v>
      </c>
      <c r="H5" s="63"/>
      <c r="I5" s="63">
        <v>800</v>
      </c>
      <c r="J5" s="63"/>
      <c r="K5" s="63">
        <v>200</v>
      </c>
      <c r="L5" s="63"/>
      <c r="M5" s="63">
        <v>5</v>
      </c>
      <c r="N5" s="64"/>
      <c r="O5" s="64"/>
      <c r="P5" s="65" t="s">
        <v>1376</v>
      </c>
      <c r="Q5" s="198"/>
      <c r="R5" s="59"/>
      <c r="S5" s="89"/>
      <c r="T5" s="60" t="s">
        <v>290</v>
      </c>
      <c r="U5" s="60">
        <v>1</v>
      </c>
      <c r="V5" s="61" t="str">
        <f t="shared" si="1"/>
        <v>治疗一个目标1000生命值, 每个目标递增50%, 最多3个目标.|n|n|cff99ccff施法时间:|r 3秒|n|cff99ccff施法距离:|r 800码|n|cff99ccff法力消耗:|r 200点|n|cff99ccff冷却时间:|r 5秒|n</v>
      </c>
      <c r="W5" s="61" t="str">
        <f t="shared" si="2"/>
        <v/>
      </c>
      <c r="X5" s="61" t="str">
        <f t="shared" si="3"/>
        <v>物理状态：</v>
      </c>
    </row>
    <row r="6" spans="1:24" ht="28.5">
      <c r="A6" s="66"/>
      <c r="B6" s="62"/>
      <c r="C6" s="62"/>
      <c r="D6" s="62"/>
      <c r="E6" s="62" t="s">
        <v>1377</v>
      </c>
      <c r="F6" s="62" t="s">
        <v>291</v>
      </c>
      <c r="G6" s="63"/>
      <c r="H6" s="63"/>
      <c r="I6" s="63"/>
      <c r="J6" s="63"/>
      <c r="K6" s="63">
        <v>100</v>
      </c>
      <c r="L6" s="63">
        <v>20</v>
      </c>
      <c r="M6" s="63">
        <v>15</v>
      </c>
      <c r="N6" s="64"/>
      <c r="O6" s="64"/>
      <c r="P6" s="65" t="s">
        <v>1378</v>
      </c>
      <c r="Q6" s="198"/>
      <c r="R6" s="59"/>
      <c r="S6" s="89"/>
      <c r="T6" s="60" t="s">
        <v>292</v>
      </c>
      <c r="U6" s="60">
        <v>1</v>
      </c>
      <c r="V6" s="61" t="str">
        <f t="shared" si="1"/>
        <v>制造一个100生命值的守卫，每秒治疗附近友军5%生命值。|n|n|cff99ccff法力消耗:|r 100点|n|cff99ccff持续时间:|r 20秒|n|cff99ccff冷却时间:|r 15秒|n</v>
      </c>
      <c r="W6" s="61" t="str">
        <f t="shared" si="2"/>
        <v/>
      </c>
      <c r="X6" s="61" t="str">
        <f t="shared" si="3"/>
        <v>物理状态：</v>
      </c>
    </row>
    <row r="7" spans="1:24" ht="28.5">
      <c r="A7" s="66"/>
      <c r="B7" s="62"/>
      <c r="C7" s="62"/>
      <c r="D7" s="62"/>
      <c r="E7" s="62" t="s">
        <v>1379</v>
      </c>
      <c r="F7" s="62" t="s">
        <v>293</v>
      </c>
      <c r="G7" s="63"/>
      <c r="H7" s="63"/>
      <c r="I7" s="63"/>
      <c r="J7" s="63"/>
      <c r="K7" s="63">
        <v>100</v>
      </c>
      <c r="L7" s="63">
        <v>30</v>
      </c>
      <c r="M7" s="63">
        <v>30</v>
      </c>
      <c r="N7" s="64" t="s">
        <v>658</v>
      </c>
      <c r="O7" s="64" t="s">
        <v>658</v>
      </c>
      <c r="P7" s="65" t="s">
        <v>1380</v>
      </c>
      <c r="Q7" s="198"/>
      <c r="R7" s="59" t="str">
        <f t="shared" si="0"/>
        <v>防护守卫</v>
      </c>
      <c r="S7" s="89" t="s">
        <v>1879</v>
      </c>
      <c r="T7" s="60" t="s">
        <v>294</v>
      </c>
      <c r="U7" s="60">
        <v>1</v>
      </c>
      <c r="V7" s="61" t="str">
        <f t="shared" si="1"/>
        <v>制造一个100生命值的守卫，使附近所有友军受到的伤害降低95%。|n|n|cff99ccff法力消耗:|r 100点|n|cff99ccff持续时间:|r 30秒|n|cff99ccff冷却时间:|r 30秒|n</v>
      </c>
      <c r="W7" s="61" t="str">
        <f t="shared" si="2"/>
        <v>|cff00ff00防护守卫|r</v>
      </c>
      <c r="X7" s="61" t="str">
        <f t="shared" si="3"/>
        <v>物理状态：受到的伤害降低。</v>
      </c>
    </row>
    <row r="8" spans="1:24">
      <c r="A8" s="66">
        <v>1</v>
      </c>
      <c r="B8" s="56" t="s">
        <v>300</v>
      </c>
      <c r="C8" s="56" t="s">
        <v>1381</v>
      </c>
      <c r="D8" s="56" t="s">
        <v>309</v>
      </c>
      <c r="E8" s="56" t="s">
        <v>1382</v>
      </c>
      <c r="F8" s="56" t="s">
        <v>310</v>
      </c>
      <c r="G8" s="57"/>
      <c r="H8" s="57"/>
      <c r="I8" s="57"/>
      <c r="J8" s="57">
        <v>600</v>
      </c>
      <c r="K8" s="57"/>
      <c r="L8" s="57"/>
      <c r="M8" s="57">
        <v>5</v>
      </c>
      <c r="N8" s="58"/>
      <c r="O8" s="58"/>
      <c r="P8" s="32" t="s">
        <v>1383</v>
      </c>
      <c r="Q8" s="199"/>
      <c r="R8" s="59"/>
      <c r="S8" s="89"/>
      <c r="T8" s="67" t="s">
        <v>285</v>
      </c>
      <c r="U8" s="67">
        <v>1</v>
      </c>
      <c r="V8" s="61" t="str">
        <f t="shared" si="1"/>
        <v>AOE法力值的伤害(MAXMP = 750)|n|n|cff99ccff影响范围:|r 600码|n|cff99ccff冷却时间:|r 5秒|n</v>
      </c>
      <c r="W8" s="61" t="str">
        <f t="shared" si="2"/>
        <v/>
      </c>
      <c r="X8" s="61" t="str">
        <f t="shared" si="3"/>
        <v>物理状态：</v>
      </c>
    </row>
    <row r="9" spans="1:24" ht="28.5">
      <c r="A9" s="66"/>
      <c r="B9" s="56"/>
      <c r="C9" s="56"/>
      <c r="D9" s="56"/>
      <c r="E9" s="56" t="s">
        <v>1384</v>
      </c>
      <c r="F9" s="56" t="s">
        <v>311</v>
      </c>
      <c r="G9" s="57"/>
      <c r="H9" s="57"/>
      <c r="I9" s="57">
        <v>900</v>
      </c>
      <c r="J9" s="57"/>
      <c r="K9" s="57"/>
      <c r="L9" s="57"/>
      <c r="M9" s="57">
        <v>5</v>
      </c>
      <c r="N9" s="58"/>
      <c r="O9" s="58"/>
      <c r="P9" s="32" t="s">
        <v>1385</v>
      </c>
      <c r="Q9" s="199"/>
      <c r="R9" s="59"/>
      <c r="S9" s="89"/>
      <c r="T9" s="67" t="s">
        <v>290</v>
      </c>
      <c r="U9" s="67">
        <v>1</v>
      </c>
      <c r="V9" s="61" t="str">
        <f t="shared" si="1"/>
        <v>抽取目标25%的法力值，总是会选择范围内可汲取法力值最多的目标。|n|n|cff99ccff施法距离:|r 900码|n|cff99ccff冷却时间:|r 5秒|n</v>
      </c>
      <c r="W9" s="61" t="str">
        <f t="shared" si="2"/>
        <v/>
      </c>
      <c r="X9" s="61" t="str">
        <f t="shared" si="3"/>
        <v>物理状态：</v>
      </c>
    </row>
    <row r="10" spans="1:24" ht="28.5">
      <c r="A10" s="68">
        <v>2</v>
      </c>
      <c r="B10" s="69" t="s">
        <v>1863</v>
      </c>
      <c r="C10" s="69" t="s">
        <v>1386</v>
      </c>
      <c r="D10" s="69" t="s">
        <v>295</v>
      </c>
      <c r="E10" s="69" t="s">
        <v>1387</v>
      </c>
      <c r="F10" s="69" t="s">
        <v>296</v>
      </c>
      <c r="G10" s="70"/>
      <c r="H10" s="70"/>
      <c r="I10" s="70"/>
      <c r="J10" s="70"/>
      <c r="K10" s="70"/>
      <c r="L10" s="70">
        <v>10</v>
      </c>
      <c r="M10" s="70">
        <v>20</v>
      </c>
      <c r="N10" s="71" t="s">
        <v>659</v>
      </c>
      <c r="O10" s="71" t="s">
        <v>658</v>
      </c>
      <c r="P10" s="72" t="s">
        <v>1388</v>
      </c>
      <c r="Q10" s="89"/>
      <c r="R10" s="59" t="str">
        <f t="shared" si="0"/>
        <v>狂乱</v>
      </c>
      <c r="S10" s="89" t="s">
        <v>1881</v>
      </c>
      <c r="T10" s="60" t="s">
        <v>297</v>
      </c>
      <c r="U10" s="60">
        <v>1</v>
      </c>
      <c r="V10" s="61" t="str">
        <f t="shared" si="1"/>
        <v>提升100%攻击速度。（在目标受到压碎护甲效果影响后开启。）|n|n|cff99ccff持续时间:|r 10秒|n|cff99ccff冷却时间:|r 20秒|n</v>
      </c>
      <c r="W10" s="61" t="str">
        <f t="shared" si="2"/>
        <v>|cff00ff00狂乱|r</v>
      </c>
      <c r="X10" s="61" t="str">
        <f t="shared" si="3"/>
        <v>|cff6666ff魔法|r状态：攻击速度提高。</v>
      </c>
    </row>
    <row r="11" spans="1:24">
      <c r="A11" s="68"/>
      <c r="B11" s="69"/>
      <c r="C11" s="69"/>
      <c r="D11" s="69"/>
      <c r="E11" s="69" t="s">
        <v>1389</v>
      </c>
      <c r="F11" s="69" t="s">
        <v>298</v>
      </c>
      <c r="G11" s="70"/>
      <c r="H11" s="70"/>
      <c r="I11" s="70">
        <v>200</v>
      </c>
      <c r="J11" s="70"/>
      <c r="K11" s="70"/>
      <c r="L11" s="70">
        <v>7</v>
      </c>
      <c r="M11" s="70">
        <v>20</v>
      </c>
      <c r="N11" s="71" t="s">
        <v>658</v>
      </c>
      <c r="O11" s="71" t="s">
        <v>657</v>
      </c>
      <c r="P11" s="72" t="s">
        <v>1390</v>
      </c>
      <c r="Q11" s="89"/>
      <c r="R11" s="59" t="str">
        <f t="shared" si="0"/>
        <v>压碎护甲</v>
      </c>
      <c r="S11" s="89" t="s">
        <v>1882</v>
      </c>
      <c r="T11" s="60" t="s">
        <v>299</v>
      </c>
      <c r="U11" s="60">
        <v>1</v>
      </c>
      <c r="V11" s="61" t="str">
        <f t="shared" si="1"/>
        <v>降低目标100点物理免伤。|n|n|cff99ccff施法距离:|r 200码|n|cff99ccff持续时间:|r 7秒|n|cff99ccff冷却时间:|r 20秒|n</v>
      </c>
      <c r="W11" s="61" t="str">
        <f t="shared" si="2"/>
        <v>压碎护甲</v>
      </c>
      <c r="X11" s="61" t="str">
        <f t="shared" si="3"/>
        <v>物理状态：物理免伤降低。</v>
      </c>
    </row>
    <row r="12" spans="1:24" ht="28.5">
      <c r="A12" s="68">
        <v>2</v>
      </c>
      <c r="B12" s="56" t="s">
        <v>300</v>
      </c>
      <c r="C12" s="56" t="s">
        <v>1391</v>
      </c>
      <c r="D12" s="56" t="s">
        <v>301</v>
      </c>
      <c r="E12" s="56" t="s">
        <v>1392</v>
      </c>
      <c r="F12" s="56" t="s">
        <v>302</v>
      </c>
      <c r="G12" s="57"/>
      <c r="H12" s="57"/>
      <c r="I12" s="57"/>
      <c r="J12" s="57"/>
      <c r="K12" s="57"/>
      <c r="L12" s="57">
        <v>6</v>
      </c>
      <c r="M12" s="57">
        <v>12</v>
      </c>
      <c r="N12" s="58" t="s">
        <v>659</v>
      </c>
      <c r="O12" s="58" t="s">
        <v>657</v>
      </c>
      <c r="P12" s="32" t="s">
        <v>1393</v>
      </c>
      <c r="Q12" s="198"/>
      <c r="R12" s="59" t="str">
        <f t="shared" si="0"/>
        <v>雷霆一击</v>
      </c>
      <c r="S12" s="89" t="s">
        <v>1880</v>
      </c>
      <c r="T12" s="60" t="s">
        <v>303</v>
      </c>
      <c r="U12" s="60">
        <v>1</v>
      </c>
      <c r="V12" s="61" t="str">
        <f t="shared" si="1"/>
        <v>400码AOE400伤害，如果目标被狂怒咆哮，附加法术DOT，100/s。 |n|n|cff99ccff持续时间:|r 6秒|n|cff99ccff冷却时间:|r 12秒|n</v>
      </c>
      <c r="W12" s="61" t="str">
        <f t="shared" si="2"/>
        <v>雷霆一击</v>
      </c>
      <c r="X12" s="61" t="str">
        <f t="shared" si="3"/>
        <v>|cff6666ff魔法|r状态：受到周期性的法术伤害。</v>
      </c>
    </row>
    <row r="13" spans="1:24">
      <c r="A13" s="68"/>
      <c r="B13" s="56"/>
      <c r="C13" s="56"/>
      <c r="D13" s="56"/>
      <c r="E13" s="56" t="s">
        <v>1394</v>
      </c>
      <c r="F13" s="56" t="s">
        <v>304</v>
      </c>
      <c r="G13" s="57"/>
      <c r="H13" s="57"/>
      <c r="I13" s="57"/>
      <c r="J13" s="57"/>
      <c r="K13" s="57"/>
      <c r="L13" s="57">
        <v>10</v>
      </c>
      <c r="M13" s="57">
        <v>20</v>
      </c>
      <c r="N13" s="58" t="s">
        <v>658</v>
      </c>
      <c r="O13" s="58" t="s">
        <v>657</v>
      </c>
      <c r="P13" s="32" t="s">
        <v>1395</v>
      </c>
      <c r="Q13" s="198"/>
      <c r="R13" s="59" t="str">
        <f t="shared" si="0"/>
        <v>狂怒咆哮</v>
      </c>
      <c r="S13" s="89" t="s">
        <v>1883</v>
      </c>
      <c r="T13" s="60" t="s">
        <v>305</v>
      </c>
      <c r="U13" s="60">
        <v>1</v>
      </c>
      <c r="V13" s="61" t="str">
        <f t="shared" si="1"/>
        <v>400Y AOE敌军受到50%额外伤害。|n|n|cff99ccff持续时间:|r 10秒|n|cff99ccff冷却时间:|r 20秒|n</v>
      </c>
      <c r="W13" s="61" t="str">
        <f t="shared" si="2"/>
        <v>狂怒咆哮</v>
      </c>
      <c r="X13" s="61" t="str">
        <f t="shared" si="3"/>
        <v>物理状态：受到的伤害提高。</v>
      </c>
    </row>
    <row r="14" spans="1:24">
      <c r="A14" s="73">
        <v>3</v>
      </c>
      <c r="B14" s="74" t="s">
        <v>1863</v>
      </c>
      <c r="C14" s="74" t="s">
        <v>1396</v>
      </c>
      <c r="D14" s="74" t="s">
        <v>312</v>
      </c>
      <c r="E14" s="74" t="s">
        <v>1397</v>
      </c>
      <c r="F14" s="75" t="s">
        <v>314</v>
      </c>
      <c r="G14" s="76"/>
      <c r="H14" s="76"/>
      <c r="I14" s="76"/>
      <c r="J14" s="76"/>
      <c r="K14" s="76"/>
      <c r="L14" s="76">
        <v>8</v>
      </c>
      <c r="M14" s="76">
        <v>12</v>
      </c>
      <c r="N14" s="77" t="s">
        <v>659</v>
      </c>
      <c r="O14" s="77" t="s">
        <v>658</v>
      </c>
      <c r="P14" s="78" t="s">
        <v>1398</v>
      </c>
      <c r="Q14" s="200"/>
      <c r="R14" s="59" t="str">
        <f t="shared" si="0"/>
        <v>邪恶狂热</v>
      </c>
      <c r="S14" s="89" t="s">
        <v>1881</v>
      </c>
      <c r="T14" s="67" t="s">
        <v>299</v>
      </c>
      <c r="U14" s="67">
        <v>1</v>
      </c>
      <c r="V14" s="61" t="str">
        <f t="shared" si="1"/>
        <v>攻击速度提升100%。|n|n|cff99ccff持续时间:|r 8秒|n|cff99ccff冷却时间:|r 12秒|n</v>
      </c>
      <c r="W14" s="61" t="str">
        <f t="shared" si="2"/>
        <v>|cff00ff00邪恶狂热|r</v>
      </c>
      <c r="X14" s="61" t="str">
        <f t="shared" si="3"/>
        <v>|cff6666ff魔法|r状态：攻击速度提高。</v>
      </c>
    </row>
    <row r="15" spans="1:24" ht="28.5">
      <c r="A15" s="73">
        <v>3</v>
      </c>
      <c r="B15" s="56" t="s">
        <v>1863</v>
      </c>
      <c r="C15" s="56" t="s">
        <v>1399</v>
      </c>
      <c r="D15" s="79" t="s">
        <v>319</v>
      </c>
      <c r="E15" s="79" t="s">
        <v>1400</v>
      </c>
      <c r="F15" s="79" t="s">
        <v>320</v>
      </c>
      <c r="G15" s="57"/>
      <c r="H15" s="57"/>
      <c r="I15" s="57">
        <v>800</v>
      </c>
      <c r="J15" s="57"/>
      <c r="K15" s="57"/>
      <c r="L15" s="57">
        <v>10</v>
      </c>
      <c r="M15" s="57">
        <v>20</v>
      </c>
      <c r="N15" s="58" t="s">
        <v>658</v>
      </c>
      <c r="O15" s="58" t="s">
        <v>657</v>
      </c>
      <c r="P15" s="31" t="s">
        <v>1401</v>
      </c>
      <c r="Q15" s="201"/>
      <c r="R15" s="59" t="str">
        <f t="shared" si="0"/>
        <v>混乱跳跃</v>
      </c>
      <c r="S15" s="89" t="s">
        <v>1884</v>
      </c>
      <c r="T15" s="60" t="s">
        <v>299</v>
      </c>
      <c r="U15" s="60">
        <v>1</v>
      </c>
      <c r="V15" s="61" t="str">
        <f t="shared" si="1"/>
        <v>向目标跳跃，落下时造成200AOE物理伤害。并使目标造成的仇恨值提高300%。|n|n|cff99ccff施法距离:|r 800码|n|cff99ccff持续时间:|r 10秒|n|cff99ccff冷却时间:|r 20秒|n</v>
      </c>
      <c r="W15" s="61" t="str">
        <f t="shared" si="2"/>
        <v>混乱跳跃</v>
      </c>
      <c r="X15" s="61" t="str">
        <f t="shared" si="3"/>
        <v>物理状态：造成的仇恨值提高。</v>
      </c>
    </row>
    <row r="16" spans="1:24" ht="28.5">
      <c r="A16" s="73">
        <v>3</v>
      </c>
      <c r="B16" s="74" t="s">
        <v>300</v>
      </c>
      <c r="C16" s="74" t="s">
        <v>1402</v>
      </c>
      <c r="D16" s="74" t="s">
        <v>321</v>
      </c>
      <c r="E16" s="74" t="s">
        <v>1403</v>
      </c>
      <c r="F16" s="74" t="s">
        <v>322</v>
      </c>
      <c r="G16" s="76">
        <v>4</v>
      </c>
      <c r="H16" s="76"/>
      <c r="I16" s="76"/>
      <c r="J16" s="76">
        <v>500</v>
      </c>
      <c r="K16" s="76"/>
      <c r="L16" s="76">
        <v>3</v>
      </c>
      <c r="M16" s="76">
        <v>8</v>
      </c>
      <c r="N16" s="77"/>
      <c r="O16" s="77"/>
      <c r="P16" s="80" t="s">
        <v>1404</v>
      </c>
      <c r="Q16" s="89" t="s">
        <v>1274</v>
      </c>
      <c r="R16" s="59"/>
      <c r="S16" s="89"/>
      <c r="T16" s="67" t="s">
        <v>299</v>
      </c>
      <c r="U16" s="67">
        <v>1</v>
      </c>
      <c r="V16" s="61" t="str">
        <f t="shared" si="1"/>
        <v>对附近所有玩家单位造成300物理伤害并昏迷3秒。|n|n|cff99ccff施法时间:|r 4秒|n|cff99ccff影响范围:|r 500码|n|cff99ccff持续时间:|r 3秒|n|cff99ccff冷却时间:|r 8秒|n</v>
      </c>
      <c r="W16" s="61" t="str">
        <f t="shared" si="2"/>
        <v/>
      </c>
      <c r="X16" s="61" t="str">
        <f t="shared" si="3"/>
        <v>物理状态：</v>
      </c>
    </row>
    <row r="17" spans="1:24">
      <c r="A17" s="73"/>
      <c r="B17" s="74"/>
      <c r="C17" s="74"/>
      <c r="D17" s="74"/>
      <c r="E17" s="74" t="s">
        <v>1405</v>
      </c>
      <c r="F17" s="74" t="s">
        <v>323</v>
      </c>
      <c r="G17" s="76"/>
      <c r="H17" s="76"/>
      <c r="I17" s="76"/>
      <c r="J17" s="76"/>
      <c r="K17" s="76"/>
      <c r="L17" s="76">
        <v>10</v>
      </c>
      <c r="M17" s="76">
        <v>6</v>
      </c>
      <c r="N17" s="77" t="s">
        <v>659</v>
      </c>
      <c r="O17" s="77" t="s">
        <v>658</v>
      </c>
      <c r="P17" s="80" t="s">
        <v>1406</v>
      </c>
      <c r="Q17" s="89" t="s">
        <v>324</v>
      </c>
      <c r="R17" s="59" t="str">
        <f t="shared" si="0"/>
        <v>战斗命令</v>
      </c>
      <c r="S17" s="89" t="s">
        <v>1885</v>
      </c>
      <c r="T17" s="67" t="s">
        <v>305</v>
      </c>
      <c r="U17" s="67">
        <v>1</v>
      </c>
      <c r="V17" s="61" t="str">
        <f t="shared" si="1"/>
        <v>目标单位造成100%的额外伤害。|n|n|cff99ccff持续时间:|r 10秒|n|cff99ccff冷却时间:|r 6秒|n</v>
      </c>
      <c r="W17" s="61" t="str">
        <f t="shared" si="2"/>
        <v>|cff00ff00战斗命令|r</v>
      </c>
      <c r="X17" s="61" t="str">
        <f t="shared" si="3"/>
        <v>|cff6666ff魔法|r状态：造成的伤害提高。</v>
      </c>
    </row>
    <row r="18" spans="1:24">
      <c r="A18" s="73">
        <v>3</v>
      </c>
      <c r="B18" s="56" t="s">
        <v>1863</v>
      </c>
      <c r="C18" s="56" t="s">
        <v>1407</v>
      </c>
      <c r="D18" s="56" t="s">
        <v>325</v>
      </c>
      <c r="E18" s="56" t="s">
        <v>1408</v>
      </c>
      <c r="F18" s="56" t="s">
        <v>326</v>
      </c>
      <c r="G18" s="57"/>
      <c r="H18" s="57"/>
      <c r="I18" s="57">
        <v>900</v>
      </c>
      <c r="J18" s="57"/>
      <c r="K18" s="57">
        <v>75</v>
      </c>
      <c r="L18" s="57">
        <v>20</v>
      </c>
      <c r="M18" s="57">
        <v>5</v>
      </c>
      <c r="N18" s="58" t="s">
        <v>659</v>
      </c>
      <c r="O18" s="58" t="s">
        <v>658</v>
      </c>
      <c r="P18" s="32" t="s">
        <v>1409</v>
      </c>
      <c r="Q18" s="198"/>
      <c r="R18" s="59" t="str">
        <f t="shared" si="0"/>
        <v>炽热疾速</v>
      </c>
      <c r="S18" s="89" t="s">
        <v>1886</v>
      </c>
      <c r="T18" s="60" t="s">
        <v>285</v>
      </c>
      <c r="U18" s="60">
        <v>1</v>
      </c>
      <c r="V18" s="61" t="str">
        <f t="shared" si="1"/>
        <v>提升75%法术急速，移动速度提升至最大。|n|n|cff99ccff施法距离:|r 900码|n|cff99ccff法力消耗:|r 75点|n|cff99ccff持续时间:|r 20秒|n|cff99ccff冷却时间:|r 5秒|n</v>
      </c>
      <c r="W18" s="61" t="str">
        <f t="shared" si="2"/>
        <v>|cff00ff00炽热疾速|r</v>
      </c>
      <c r="X18" s="61" t="str">
        <f t="shared" si="3"/>
        <v>|cff6666ff魔法|r状态：法术急速提高，移动速度提高。</v>
      </c>
    </row>
    <row r="19" spans="1:24">
      <c r="A19" s="73"/>
      <c r="B19" s="56"/>
      <c r="C19" s="56"/>
      <c r="D19" s="56"/>
      <c r="E19" s="56" t="s">
        <v>1410</v>
      </c>
      <c r="F19" s="56" t="s">
        <v>1281</v>
      </c>
      <c r="G19" s="57">
        <v>3</v>
      </c>
      <c r="H19" s="57"/>
      <c r="I19" s="57"/>
      <c r="J19" s="57">
        <v>900</v>
      </c>
      <c r="K19" s="57">
        <v>100</v>
      </c>
      <c r="L19" s="57"/>
      <c r="M19" s="57">
        <v>1</v>
      </c>
      <c r="N19" s="58"/>
      <c r="O19" s="58"/>
      <c r="P19" s="32" t="s">
        <v>1411</v>
      </c>
      <c r="Q19" s="198"/>
      <c r="R19" s="59"/>
      <c r="S19" s="89"/>
      <c r="T19" s="60" t="s">
        <v>299</v>
      </c>
      <c r="U19" s="60">
        <v>1</v>
      </c>
      <c r="V19" s="61" t="str">
        <f t="shared" si="1"/>
        <v>对附近所有玩家单位发射火球，造成600法术伤害。|n|n|cff99ccff施法时间:|r 3秒|n|cff99ccff影响范围:|r 900码|n|cff99ccff法力消耗:|r 100点|n|cff99ccff冷却时间:|r 1秒|n</v>
      </c>
      <c r="W19" s="61" t="str">
        <f t="shared" si="2"/>
        <v/>
      </c>
      <c r="X19" s="61" t="str">
        <f t="shared" si="3"/>
        <v>物理状态：</v>
      </c>
    </row>
    <row r="20" spans="1:24" ht="28.5">
      <c r="A20" s="73"/>
      <c r="B20" s="56"/>
      <c r="C20" s="56"/>
      <c r="D20" s="56"/>
      <c r="E20" s="56" t="s">
        <v>1412</v>
      </c>
      <c r="F20" s="56" t="s">
        <v>327</v>
      </c>
      <c r="G20" s="57"/>
      <c r="H20" s="57"/>
      <c r="I20" s="57">
        <v>800</v>
      </c>
      <c r="J20" s="57"/>
      <c r="K20" s="57">
        <v>50</v>
      </c>
      <c r="L20" s="57">
        <v>10</v>
      </c>
      <c r="M20" s="57">
        <v>5</v>
      </c>
      <c r="N20" s="58" t="s">
        <v>659</v>
      </c>
      <c r="O20" s="58" t="s">
        <v>657</v>
      </c>
      <c r="P20" s="32" t="s">
        <v>1413</v>
      </c>
      <c r="Q20" s="198" t="s">
        <v>328</v>
      </c>
      <c r="R20" s="59" t="str">
        <f t="shared" si="0"/>
        <v>烈焰震击</v>
      </c>
      <c r="S20" s="89" t="s">
        <v>1880</v>
      </c>
      <c r="T20" s="60" t="s">
        <v>305</v>
      </c>
      <c r="U20" s="60">
        <v>1</v>
      </c>
      <c r="V20" s="61" t="str">
        <f t="shared" si="1"/>
        <v>对目标造成400法术伤害，然后每2秒造成400法术伤害。|n|n|cff99ccff施法距离:|r 800码|n|cff99ccff法力消耗:|r 50点|n|cff99ccff持续时间:|r 10秒|n|cff99ccff冷却时间:|r 5秒|n</v>
      </c>
      <c r="W20" s="61" t="str">
        <f t="shared" si="2"/>
        <v>烈焰震击</v>
      </c>
      <c r="X20" s="61" t="str">
        <f t="shared" si="3"/>
        <v>|cff6666ff魔法|r状态：受到周期性的法术伤害。</v>
      </c>
    </row>
    <row r="21" spans="1:24" ht="28.5">
      <c r="A21" s="81">
        <v>4</v>
      </c>
      <c r="B21" s="82" t="s">
        <v>1863</v>
      </c>
      <c r="C21" s="82" t="s">
        <v>1414</v>
      </c>
      <c r="D21" s="82" t="s">
        <v>1283</v>
      </c>
      <c r="E21" s="82" t="s">
        <v>1415</v>
      </c>
      <c r="F21" s="82" t="s">
        <v>1284</v>
      </c>
      <c r="G21" s="83"/>
      <c r="H21" s="83"/>
      <c r="I21" s="83"/>
      <c r="J21" s="83"/>
      <c r="K21" s="83"/>
      <c r="L21" s="83"/>
      <c r="M21" s="83"/>
      <c r="N21" s="84" t="s">
        <v>1347</v>
      </c>
      <c r="O21" s="84" t="s">
        <v>1348</v>
      </c>
      <c r="P21" s="85" t="s">
        <v>1416</v>
      </c>
      <c r="Q21" s="198"/>
      <c r="R21" s="59" t="str">
        <f t="shared" si="0"/>
        <v>瘟疫(被动)</v>
      </c>
      <c r="S21" s="89" t="s">
        <v>1880</v>
      </c>
      <c r="T21" s="60">
        <v>0</v>
      </c>
      <c r="U21" s="60">
        <v>1</v>
      </c>
      <c r="V21" s="61" t="str">
        <f t="shared" si="1"/>
        <v>死亡后留下毒云，使范围内的玩家单位中毒。造成200伤害/2s。|n|n</v>
      </c>
      <c r="W21" s="61" t="str">
        <f t="shared" si="2"/>
        <v>瘟疫(被动)</v>
      </c>
      <c r="X21" s="61" t="str">
        <f t="shared" si="3"/>
        <v>物理状态：受到周期性的法术伤害。</v>
      </c>
    </row>
    <row r="22" spans="1:24" ht="42.75">
      <c r="A22" s="81">
        <v>4</v>
      </c>
      <c r="B22" s="56" t="s">
        <v>308</v>
      </c>
      <c r="C22" s="56" t="s">
        <v>1417</v>
      </c>
      <c r="D22" s="56" t="s">
        <v>1285</v>
      </c>
      <c r="E22" s="56" t="s">
        <v>1418</v>
      </c>
      <c r="F22" s="56" t="s">
        <v>1286</v>
      </c>
      <c r="G22" s="57"/>
      <c r="H22" s="57"/>
      <c r="I22" s="57">
        <v>600</v>
      </c>
      <c r="J22" s="57"/>
      <c r="K22" s="57"/>
      <c r="L22" s="57"/>
      <c r="M22" s="57"/>
      <c r="N22" s="58" t="s">
        <v>658</v>
      </c>
      <c r="O22" s="58" t="s">
        <v>657</v>
      </c>
      <c r="P22" s="32" t="s">
        <v>1419</v>
      </c>
      <c r="Q22" s="198"/>
      <c r="R22" s="59" t="str">
        <f t="shared" si="0"/>
        <v>寄生</v>
      </c>
      <c r="S22" s="89" t="s">
        <v>1887</v>
      </c>
      <c r="T22" s="60">
        <v>0</v>
      </c>
      <c r="U22" s="60">
        <v>1</v>
      </c>
      <c r="V22" s="61" t="str">
        <f t="shared" si="1"/>
        <v>战斗开始10秒后对目标单位施放，钻入目标体内。5秒内每秒对目标造成20%目标生命值上限的伤害。结束或者目标死亡后，孵化2个寄生蟑螂。|n|n|cff99ccff施法距离:|r 600码|n</v>
      </c>
      <c r="W22" s="61" t="str">
        <f t="shared" si="2"/>
        <v>寄生</v>
      </c>
      <c r="X22" s="61" t="str">
        <f t="shared" si="3"/>
        <v>物理状态：受到周期性的法术伤害，效果结束后孵化2个寄生蟑螂。</v>
      </c>
    </row>
    <row r="23" spans="1:24">
      <c r="A23" s="81">
        <v>4</v>
      </c>
      <c r="B23" s="82" t="s">
        <v>1863</v>
      </c>
      <c r="C23" s="82" t="s">
        <v>1420</v>
      </c>
      <c r="D23" s="82" t="s">
        <v>1287</v>
      </c>
      <c r="E23" s="82" t="s">
        <v>473</v>
      </c>
      <c r="F23" s="82" t="s">
        <v>1288</v>
      </c>
      <c r="G23" s="83">
        <v>5</v>
      </c>
      <c r="H23" s="83">
        <v>5</v>
      </c>
      <c r="I23" s="83">
        <v>128</v>
      </c>
      <c r="J23" s="83"/>
      <c r="K23" s="83"/>
      <c r="L23" s="83"/>
      <c r="M23" s="83"/>
      <c r="N23" s="84" t="s">
        <v>658</v>
      </c>
      <c r="O23" s="84" t="s">
        <v>657</v>
      </c>
      <c r="P23" s="85" t="s">
        <v>1421</v>
      </c>
      <c r="Q23" s="198"/>
      <c r="R23" s="59" t="str">
        <f t="shared" si="0"/>
        <v>啃食</v>
      </c>
      <c r="S23" s="89" t="s">
        <v>1888</v>
      </c>
      <c r="T23" s="60" t="s">
        <v>299</v>
      </c>
      <c r="U23" s="60">
        <v>1</v>
      </c>
      <c r="V23" s="61" t="str">
        <f t="shared" si="1"/>
        <v>使目标昏迷并且每秒造成1000点物理伤害。|n|n|cff99ccff施法时间:|r 5秒|n|cff99ccff引导时间:|r 5秒|n|cff99ccff施法距离:|r 128码|n</v>
      </c>
      <c r="W23" s="61" t="str">
        <f t="shared" si="2"/>
        <v>啃食</v>
      </c>
      <c r="X23" s="61" t="str">
        <f t="shared" si="3"/>
        <v>物理状态：受到周期性的物理伤害。</v>
      </c>
    </row>
    <row r="24" spans="1:24">
      <c r="A24" s="81">
        <v>4</v>
      </c>
      <c r="B24" s="56" t="s">
        <v>1863</v>
      </c>
      <c r="C24" s="56" t="s">
        <v>1422</v>
      </c>
      <c r="D24" s="56" t="s">
        <v>1289</v>
      </c>
      <c r="E24" s="56" t="s">
        <v>1423</v>
      </c>
      <c r="F24" s="56" t="s">
        <v>1290</v>
      </c>
      <c r="G24" s="57"/>
      <c r="H24" s="57"/>
      <c r="I24" s="57"/>
      <c r="J24" s="57"/>
      <c r="K24" s="57"/>
      <c r="L24" s="57"/>
      <c r="M24" s="57"/>
      <c r="N24" s="58" t="s">
        <v>658</v>
      </c>
      <c r="O24" s="58" t="s">
        <v>658</v>
      </c>
      <c r="P24" s="32" t="s">
        <v>1424</v>
      </c>
      <c r="Q24" s="198"/>
      <c r="R24" s="59" t="str">
        <f t="shared" si="0"/>
        <v>反射光环</v>
      </c>
      <c r="S24" s="89" t="s">
        <v>1889</v>
      </c>
      <c r="T24" s="60">
        <v>0</v>
      </c>
      <c r="U24" s="60">
        <v>1</v>
      </c>
      <c r="V24" s="61" t="str">
        <f t="shared" si="1"/>
        <v>附近范围内所有友军可以反射一切法术。|n|n</v>
      </c>
      <c r="W24" s="61" t="str">
        <f t="shared" si="2"/>
        <v>|cff00ff00反射光环|r</v>
      </c>
      <c r="X24" s="61" t="str">
        <f t="shared" si="3"/>
        <v>物理状态：可以反射指向你的法术。</v>
      </c>
    </row>
    <row r="25" spans="1:24" ht="28.5">
      <c r="A25" s="81"/>
      <c r="B25" s="56"/>
      <c r="C25" s="56"/>
      <c r="D25" s="56"/>
      <c r="E25" s="56" t="s">
        <v>1425</v>
      </c>
      <c r="F25" s="56" t="s">
        <v>1291</v>
      </c>
      <c r="G25" s="57"/>
      <c r="H25" s="57"/>
      <c r="I25" s="57">
        <v>900</v>
      </c>
      <c r="J25" s="57">
        <v>300</v>
      </c>
      <c r="K25" s="57"/>
      <c r="L25" s="57">
        <v>10</v>
      </c>
      <c r="M25" s="57">
        <v>13</v>
      </c>
      <c r="N25" s="58" t="s">
        <v>659</v>
      </c>
      <c r="O25" s="58" t="s">
        <v>657</v>
      </c>
      <c r="P25" s="32" t="s">
        <v>1426</v>
      </c>
      <c r="Q25" s="198"/>
      <c r="R25" s="59" t="str">
        <f t="shared" si="0"/>
        <v>法力流失</v>
      </c>
      <c r="S25" s="89" t="s">
        <v>1890</v>
      </c>
      <c r="T25" s="60" t="s">
        <v>299</v>
      </c>
      <c r="U25" s="60">
        <v>1</v>
      </c>
      <c r="V25" s="61" t="str">
        <f t="shared" si="1"/>
        <v>受影响的单位每次施放法术，会流失等值的所消耗法力值。|n|n|cff99ccff施法距离:|r 900码|n|cff99ccff影响范围:|r 300码|n|cff99ccff持续时间:|r 10秒|n|cff99ccff冷却时间:|r 13秒|n</v>
      </c>
      <c r="W25" s="61" t="str">
        <f t="shared" si="2"/>
        <v>法力流失</v>
      </c>
      <c r="X25" s="61" t="str">
        <f t="shared" si="3"/>
        <v>|cff6666ff魔法|r状态：每次施放法术，会流失额外1倍的法力值。</v>
      </c>
    </row>
    <row r="26" spans="1:24">
      <c r="A26" s="81">
        <v>4</v>
      </c>
      <c r="B26" s="82" t="s">
        <v>300</v>
      </c>
      <c r="C26" s="82" t="s">
        <v>1427</v>
      </c>
      <c r="D26" s="82" t="s">
        <v>1292</v>
      </c>
      <c r="E26" s="82" t="s">
        <v>1428</v>
      </c>
      <c r="F26" s="82" t="s">
        <v>1293</v>
      </c>
      <c r="G26" s="83"/>
      <c r="H26" s="83"/>
      <c r="I26" s="83">
        <v>900</v>
      </c>
      <c r="J26" s="83"/>
      <c r="K26" s="83"/>
      <c r="L26" s="83">
        <v>3</v>
      </c>
      <c r="M26" s="83">
        <v>8</v>
      </c>
      <c r="N26" s="84" t="s">
        <v>659</v>
      </c>
      <c r="O26" s="84" t="s">
        <v>657</v>
      </c>
      <c r="P26" s="85" t="s">
        <v>1429</v>
      </c>
      <c r="Q26" s="198"/>
      <c r="R26" s="59" t="str">
        <f t="shared" si="0"/>
        <v>冰冻坟墓</v>
      </c>
      <c r="S26" s="89" t="s">
        <v>1891</v>
      </c>
      <c r="T26" s="60" t="s">
        <v>299</v>
      </c>
      <c r="U26" s="60">
        <v>1</v>
      </c>
      <c r="V26" s="61" t="str">
        <f t="shared" si="1"/>
        <v>冰冻目标，对冰冻的目标每秒造成200点法术伤害。|n|n|cff99ccff施法距离:|r 900码|n|cff99ccff持续时间:|r 3秒|n|cff99ccff冷却时间:|r 8秒|n</v>
      </c>
      <c r="W26" s="61" t="str">
        <f t="shared" si="2"/>
        <v>冰冻坟墓</v>
      </c>
      <c r="X26" s="61" t="str">
        <f t="shared" si="3"/>
        <v>|cff6666ff魔法|r状态：昏迷，受到周期性的法术伤害。</v>
      </c>
    </row>
    <row r="27" spans="1:24" ht="28.5">
      <c r="A27" s="81"/>
      <c r="B27" s="82"/>
      <c r="C27" s="82"/>
      <c r="D27" s="82"/>
      <c r="E27" s="82" t="s">
        <v>1430</v>
      </c>
      <c r="F27" s="82" t="s">
        <v>1294</v>
      </c>
      <c r="G27" s="83"/>
      <c r="H27" s="83"/>
      <c r="I27" s="83">
        <v>1800</v>
      </c>
      <c r="J27" s="83">
        <v>300</v>
      </c>
      <c r="K27" s="83"/>
      <c r="L27" s="83">
        <v>5</v>
      </c>
      <c r="M27" s="83">
        <v>8</v>
      </c>
      <c r="N27" s="84"/>
      <c r="O27" s="84"/>
      <c r="P27" s="85" t="s">
        <v>1431</v>
      </c>
      <c r="Q27" s="198"/>
      <c r="R27" s="59"/>
      <c r="S27" s="89"/>
      <c r="T27" s="60" t="s">
        <v>285</v>
      </c>
      <c r="U27" s="60">
        <v>1</v>
      </c>
      <c r="V27" s="61" t="str">
        <f t="shared" si="1"/>
        <v>召唤一片不断移动的凋零区域，每秒对里面的玩家单位造成30%生命上限的伤害。|n|n|cff99ccff施法距离:|r 1800码|n|cff99ccff影响范围:|r 300码|n|cff99ccff持续时间:|r 5秒|n|cff99ccff冷却时间:|r 8秒|n</v>
      </c>
      <c r="W27" s="61" t="str">
        <f t="shared" si="2"/>
        <v/>
      </c>
      <c r="X27" s="61" t="str">
        <f t="shared" si="3"/>
        <v>物理状态：</v>
      </c>
    </row>
    <row r="28" spans="1:24" ht="28.5">
      <c r="A28" s="86">
        <v>5</v>
      </c>
      <c r="B28" s="59" t="s">
        <v>1863</v>
      </c>
      <c r="C28" s="59" t="s">
        <v>1432</v>
      </c>
      <c r="D28" s="59" t="s">
        <v>329</v>
      </c>
      <c r="E28" s="59" t="s">
        <v>1433</v>
      </c>
      <c r="F28" s="59" t="s">
        <v>330</v>
      </c>
      <c r="G28" s="87"/>
      <c r="H28" s="87"/>
      <c r="I28" s="87">
        <v>600</v>
      </c>
      <c r="J28" s="87"/>
      <c r="K28" s="87"/>
      <c r="L28" s="87"/>
      <c r="M28" s="87">
        <v>7</v>
      </c>
      <c r="N28" s="88"/>
      <c r="O28" s="88"/>
      <c r="P28" s="89" t="s">
        <v>1434</v>
      </c>
      <c r="Q28" s="89"/>
      <c r="R28" s="59"/>
      <c r="S28" s="89"/>
      <c r="T28" s="100" t="s">
        <v>299</v>
      </c>
      <c r="U28" s="100">
        <v>1</v>
      </c>
      <c r="V28" s="61" t="str">
        <f t="shared" si="1"/>
        <v>牺牲自身20%的生命值, 对生命值最高的目标造成1000法术伤害.|n|n|cff99ccff施法距离:|r 600码|n|cff99ccff冷却时间:|r 7秒|n</v>
      </c>
      <c r="W28" s="61" t="str">
        <f t="shared" si="2"/>
        <v/>
      </c>
      <c r="X28" s="61" t="str">
        <f t="shared" si="3"/>
        <v>物理状态：</v>
      </c>
    </row>
    <row r="29" spans="1:24" ht="28.5">
      <c r="A29" s="86"/>
      <c r="B29" s="59"/>
      <c r="C29" s="59"/>
      <c r="D29" s="59"/>
      <c r="E29" s="59" t="s">
        <v>1435</v>
      </c>
      <c r="F29" s="59" t="s">
        <v>331</v>
      </c>
      <c r="G29" s="87"/>
      <c r="H29" s="87"/>
      <c r="I29" s="87"/>
      <c r="J29" s="87"/>
      <c r="K29" s="87"/>
      <c r="L29" s="87"/>
      <c r="M29" s="87"/>
      <c r="N29" s="88"/>
      <c r="O29" s="88"/>
      <c r="P29" s="89" t="s">
        <v>1436</v>
      </c>
      <c r="Q29" s="89"/>
      <c r="R29" s="59"/>
      <c r="S29" s="89"/>
      <c r="T29" s="90" t="s">
        <v>1486</v>
      </c>
      <c r="U29" s="91" t="s">
        <v>1346</v>
      </c>
      <c r="V29" s="61" t="str">
        <f t="shared" si="1"/>
        <v>对目标造成其生命上限20%的伤害, 并以5倍的效果治疗自己.|n|n</v>
      </c>
      <c r="W29" s="61" t="str">
        <f t="shared" si="2"/>
        <v/>
      </c>
      <c r="X29" s="61" t="str">
        <f t="shared" si="3"/>
        <v>物理状态：</v>
      </c>
    </row>
    <row r="30" spans="1:24">
      <c r="A30" s="86">
        <v>5</v>
      </c>
      <c r="B30" s="92" t="s">
        <v>308</v>
      </c>
      <c r="C30" s="92" t="s">
        <v>1437</v>
      </c>
      <c r="D30" s="92" t="s">
        <v>332</v>
      </c>
      <c r="E30" s="92" t="s">
        <v>1438</v>
      </c>
      <c r="F30" s="92" t="s">
        <v>333</v>
      </c>
      <c r="G30" s="93"/>
      <c r="H30" s="93"/>
      <c r="I30" s="93"/>
      <c r="J30" s="93"/>
      <c r="K30" s="93"/>
      <c r="L30" s="93"/>
      <c r="M30" s="93">
        <v>7</v>
      </c>
      <c r="N30" s="94"/>
      <c r="O30" s="94"/>
      <c r="P30" s="95" t="s">
        <v>1439</v>
      </c>
      <c r="Q30" s="198"/>
      <c r="R30" s="59"/>
      <c r="S30" s="89"/>
      <c r="T30" s="90" t="s">
        <v>1486</v>
      </c>
      <c r="U30" s="91" t="s">
        <v>1346</v>
      </c>
      <c r="V30" s="61" t="str">
        <f t="shared" si="1"/>
        <v>燃烧目标20%的法力值，并造成等量伤害。|n|n|cff99ccff冷却时间:|r 7秒|n</v>
      </c>
      <c r="W30" s="61" t="str">
        <f t="shared" si="2"/>
        <v/>
      </c>
      <c r="X30" s="61" t="str">
        <f t="shared" si="3"/>
        <v>物理状态：</v>
      </c>
    </row>
    <row r="31" spans="1:24" ht="42.75">
      <c r="A31" s="86">
        <v>5</v>
      </c>
      <c r="B31" s="59" t="s">
        <v>1863</v>
      </c>
      <c r="C31" s="59" t="s">
        <v>1440</v>
      </c>
      <c r="D31" s="59" t="s">
        <v>334</v>
      </c>
      <c r="E31" s="59" t="s">
        <v>1441</v>
      </c>
      <c r="F31" s="59" t="s">
        <v>335</v>
      </c>
      <c r="G31" s="87"/>
      <c r="H31" s="87"/>
      <c r="I31" s="87"/>
      <c r="J31" s="87"/>
      <c r="K31" s="87"/>
      <c r="L31" s="87"/>
      <c r="M31" s="87"/>
      <c r="N31" s="88"/>
      <c r="O31" s="88"/>
      <c r="P31" s="89" t="s">
        <v>1892</v>
      </c>
      <c r="Q31" s="89" t="s">
        <v>336</v>
      </c>
      <c r="R31" s="59" t="str">
        <f t="shared" si="0"/>
        <v>暗影之刺</v>
      </c>
      <c r="S31" s="89" t="s">
        <v>1880</v>
      </c>
      <c r="T31" s="90" t="s">
        <v>1486</v>
      </c>
      <c r="U31" s="91" t="s">
        <v>1346</v>
      </c>
      <c r="V31" s="61" t="str">
        <f t="shared" si="1"/>
        <v>DD+DOT，损血越多DOT越高。|n|n</v>
      </c>
      <c r="W31" s="61" t="str">
        <f t="shared" si="2"/>
        <v>暗影之刺</v>
      </c>
      <c r="X31" s="61" t="str">
        <f t="shared" si="3"/>
        <v>物理状态：受到周期性的法术伤害。</v>
      </c>
    </row>
    <row r="32" spans="1:24">
      <c r="A32" s="86"/>
      <c r="B32" s="59"/>
      <c r="C32" s="59"/>
      <c r="D32" s="59"/>
      <c r="E32" s="59" t="s">
        <v>1442</v>
      </c>
      <c r="F32" s="59" t="s">
        <v>337</v>
      </c>
      <c r="G32" s="87"/>
      <c r="H32" s="87"/>
      <c r="I32" s="87"/>
      <c r="J32" s="87"/>
      <c r="K32" s="87"/>
      <c r="L32" s="87"/>
      <c r="M32" s="87"/>
      <c r="N32" s="88"/>
      <c r="O32" s="88"/>
      <c r="P32" s="89" t="s">
        <v>1893</v>
      </c>
      <c r="Q32" s="89" t="s">
        <v>338</v>
      </c>
      <c r="R32" s="59" t="str">
        <f t="shared" si="0"/>
        <v>痛苦标记</v>
      </c>
      <c r="S32" s="89" t="s">
        <v>1894</v>
      </c>
      <c r="T32" s="90" t="s">
        <v>1486</v>
      </c>
      <c r="U32" s="91" t="s">
        <v>1346</v>
      </c>
      <c r="V32" s="61" t="str">
        <f t="shared" si="1"/>
        <v>目标受到等同于痛苦之女受到的伤害。|n|n</v>
      </c>
      <c r="W32" s="61" t="str">
        <f t="shared" si="2"/>
        <v>痛苦标记</v>
      </c>
      <c r="X32" s="61" t="str">
        <f t="shared" si="3"/>
        <v>物理状态：受到等同于痛苦之女所受的伤害。</v>
      </c>
    </row>
    <row r="33" spans="1:24">
      <c r="A33" s="86">
        <v>5</v>
      </c>
      <c r="B33" s="92" t="s">
        <v>300</v>
      </c>
      <c r="C33" s="92" t="s">
        <v>1443</v>
      </c>
      <c r="D33" s="92" t="s">
        <v>339</v>
      </c>
      <c r="E33" s="92" t="s">
        <v>1444</v>
      </c>
      <c r="F33" s="92" t="s">
        <v>340</v>
      </c>
      <c r="G33" s="93"/>
      <c r="H33" s="93"/>
      <c r="I33" s="93"/>
      <c r="J33" s="93"/>
      <c r="K33" s="93"/>
      <c r="L33" s="93"/>
      <c r="M33" s="93"/>
      <c r="N33" s="94"/>
      <c r="O33" s="94"/>
      <c r="P33" s="95" t="s">
        <v>1445</v>
      </c>
      <c r="Q33" s="198"/>
      <c r="R33" s="59" t="str">
        <f t="shared" ref="R33:R53" si="4">E33</f>
        <v>相位变换</v>
      </c>
      <c r="S33" s="89" t="s">
        <v>1895</v>
      </c>
      <c r="T33" s="90" t="s">
        <v>1486</v>
      </c>
      <c r="U33" s="91" t="s">
        <v>1346</v>
      </c>
      <c r="V33" s="61" t="str">
        <f t="shared" ref="V33:V53" si="5">creepAbilityUberTipCN(P33,G33:M33)</f>
        <v>X秒永久隐形|n|n</v>
      </c>
      <c r="W33" s="61" t="str">
        <f t="shared" ref="W33:W53" si="6">creepBuffTip(R33,O33)</f>
        <v>相位变换</v>
      </c>
      <c r="X33" s="61" t="str">
        <f t="shared" ref="X33:X53" si="7">creepBuffUber(S33,N33)</f>
        <v>物理状态：隐身。</v>
      </c>
    </row>
    <row r="34" spans="1:24" ht="28.5">
      <c r="A34" s="86"/>
      <c r="B34" s="92"/>
      <c r="C34" s="92"/>
      <c r="D34" s="92"/>
      <c r="E34" s="92" t="s">
        <v>1446</v>
      </c>
      <c r="F34" s="92" t="s">
        <v>341</v>
      </c>
      <c r="G34" s="93"/>
      <c r="H34" s="93"/>
      <c r="I34" s="93"/>
      <c r="J34" s="93"/>
      <c r="K34" s="93"/>
      <c r="L34" s="93"/>
      <c r="M34" s="93"/>
      <c r="N34" s="94"/>
      <c r="O34" s="94"/>
      <c r="P34" s="95" t="s">
        <v>1447</v>
      </c>
      <c r="Q34" s="198"/>
      <c r="R34" s="59"/>
      <c r="S34" s="89"/>
      <c r="T34" s="90" t="s">
        <v>1486</v>
      </c>
      <c r="U34" s="91" t="s">
        <v>1346</v>
      </c>
      <c r="V34" s="61" t="str">
        <f t="shared" si="5"/>
        <v>将所有敌人拉至身边, 然后开始施放魔爆术, 造成1500伤害.|n|n</v>
      </c>
      <c r="W34" s="61" t="str">
        <f t="shared" si="6"/>
        <v/>
      </c>
      <c r="X34" s="61" t="str">
        <f t="shared" si="7"/>
        <v>物理状态：</v>
      </c>
    </row>
    <row r="35" spans="1:24">
      <c r="A35" s="86"/>
      <c r="B35" s="92"/>
      <c r="C35" s="92"/>
      <c r="D35" s="92"/>
      <c r="E35" s="92" t="s">
        <v>1448</v>
      </c>
      <c r="F35" s="92" t="s">
        <v>342</v>
      </c>
      <c r="G35" s="93"/>
      <c r="H35" s="93"/>
      <c r="I35" s="93"/>
      <c r="J35" s="93"/>
      <c r="K35" s="93"/>
      <c r="L35" s="93">
        <v>12</v>
      </c>
      <c r="M35" s="93"/>
      <c r="N35" s="94" t="s">
        <v>659</v>
      </c>
      <c r="O35" s="94" t="s">
        <v>657</v>
      </c>
      <c r="P35" s="95" t="s">
        <v>1449</v>
      </c>
      <c r="Q35" s="198"/>
      <c r="R35" s="59" t="str">
        <f t="shared" si="4"/>
        <v>虚空吐息</v>
      </c>
      <c r="S35" s="89" t="s">
        <v>1896</v>
      </c>
      <c r="T35" s="90" t="s">
        <v>1486</v>
      </c>
      <c r="U35" s="91" t="s">
        <v>1346</v>
      </c>
      <c r="V35" s="61" t="str">
        <f t="shared" si="5"/>
        <v>正面锥形AOE, 并且使受影响的目标受到的法伤增幅.|n|n|cff99ccff持续时间:|r 12秒|n</v>
      </c>
      <c r="W35" s="61" t="str">
        <f t="shared" si="6"/>
        <v>虚空吐息</v>
      </c>
      <c r="X35" s="61" t="str">
        <f t="shared" si="7"/>
        <v>|cff6666ff魔法|r状态：受到的法术伤害提高。</v>
      </c>
    </row>
    <row r="36" spans="1:24">
      <c r="A36" s="86">
        <v>5</v>
      </c>
      <c r="B36" s="59" t="s">
        <v>308</v>
      </c>
      <c r="C36" s="59" t="s">
        <v>1450</v>
      </c>
      <c r="D36" s="59" t="s">
        <v>343</v>
      </c>
      <c r="E36" s="59" t="s">
        <v>1444</v>
      </c>
      <c r="F36" s="59" t="s">
        <v>340</v>
      </c>
      <c r="G36" s="87"/>
      <c r="H36" s="87"/>
      <c r="I36" s="87"/>
      <c r="J36" s="87"/>
      <c r="K36" s="87"/>
      <c r="L36" s="87"/>
      <c r="M36" s="87"/>
      <c r="N36" s="88"/>
      <c r="O36" s="88"/>
      <c r="P36" s="89" t="s">
        <v>1445</v>
      </c>
      <c r="Q36" s="89"/>
      <c r="R36" s="59" t="str">
        <f t="shared" si="4"/>
        <v>相位变换</v>
      </c>
      <c r="S36" s="89" t="s">
        <v>1895</v>
      </c>
      <c r="T36" s="90" t="s">
        <v>1486</v>
      </c>
      <c r="U36" s="91" t="s">
        <v>1346</v>
      </c>
      <c r="V36" s="61" t="str">
        <f t="shared" si="5"/>
        <v>X秒永久隐形|n|n</v>
      </c>
      <c r="W36" s="61" t="str">
        <f t="shared" si="6"/>
        <v>相位变换</v>
      </c>
      <c r="X36" s="61" t="str">
        <f t="shared" si="7"/>
        <v>物理状态：隐身。</v>
      </c>
    </row>
    <row r="37" spans="1:24">
      <c r="A37" s="86"/>
      <c r="B37" s="59"/>
      <c r="C37" s="59"/>
      <c r="D37" s="59"/>
      <c r="E37" s="59" t="s">
        <v>1451</v>
      </c>
      <c r="F37" s="59" t="s">
        <v>344</v>
      </c>
      <c r="G37" s="87"/>
      <c r="H37" s="87"/>
      <c r="I37" s="87"/>
      <c r="J37" s="87"/>
      <c r="K37" s="87"/>
      <c r="L37" s="87"/>
      <c r="M37" s="87"/>
      <c r="N37" s="88"/>
      <c r="O37" s="88"/>
      <c r="P37" s="89" t="s">
        <v>1452</v>
      </c>
      <c r="Q37" s="89"/>
      <c r="R37" s="59" t="str">
        <f t="shared" si="4"/>
        <v>迟缓</v>
      </c>
      <c r="S37" s="89" t="s">
        <v>1897</v>
      </c>
      <c r="T37" s="90" t="s">
        <v>1486</v>
      </c>
      <c r="U37" s="91" t="s">
        <v>1346</v>
      </c>
      <c r="V37" s="61" t="str">
        <f t="shared" si="5"/>
        <v>降低目标75%移动速度.|n|n</v>
      </c>
      <c r="W37" s="61" t="str">
        <f t="shared" si="6"/>
        <v>迟缓</v>
      </c>
      <c r="X37" s="61" t="str">
        <f t="shared" si="7"/>
        <v>物理状态：移动速度降低。</v>
      </c>
    </row>
    <row r="38" spans="1:24">
      <c r="A38" s="86">
        <v>5</v>
      </c>
      <c r="B38" s="96" t="s">
        <v>300</v>
      </c>
      <c r="C38" s="96" t="s">
        <v>1453</v>
      </c>
      <c r="D38" s="96" t="s">
        <v>1295</v>
      </c>
      <c r="E38" s="96" t="s">
        <v>1454</v>
      </c>
      <c r="F38" s="96" t="s">
        <v>1296</v>
      </c>
      <c r="G38" s="97">
        <v>0</v>
      </c>
      <c r="H38" s="97"/>
      <c r="I38" s="97">
        <v>900</v>
      </c>
      <c r="J38" s="97">
        <v>350</v>
      </c>
      <c r="K38" s="97">
        <v>0</v>
      </c>
      <c r="L38" s="97"/>
      <c r="M38" s="97">
        <v>7</v>
      </c>
      <c r="N38" s="98"/>
      <c r="O38" s="98"/>
      <c r="P38" s="99" t="s">
        <v>1455</v>
      </c>
      <c r="Q38" s="89"/>
      <c r="R38" s="59"/>
      <c r="S38" s="89"/>
      <c r="T38" s="67" t="s">
        <v>1342</v>
      </c>
      <c r="U38" s="100">
        <v>1</v>
      </c>
      <c r="V38" s="61" t="str">
        <f t="shared" si="5"/>
        <v>对目标区域内造成6000点物理伤害，由所有目标分担。|n|n|cff99ccff施法时间:|r 0秒|n|cff99ccff施法距离:|r 900码|n|cff99ccff影响范围:|r 350码|n|cff99ccff法力消耗:|r 0点|n|cff99ccff冷却时间:|r 7秒|n</v>
      </c>
      <c r="W38" s="61" t="str">
        <f t="shared" si="6"/>
        <v/>
      </c>
      <c r="X38" s="61" t="str">
        <f t="shared" si="7"/>
        <v>物理状态：</v>
      </c>
    </row>
    <row r="39" spans="1:24">
      <c r="A39" s="86"/>
      <c r="B39" s="96"/>
      <c r="C39" s="96"/>
      <c r="D39" s="96"/>
      <c r="E39" s="96" t="s">
        <v>1456</v>
      </c>
      <c r="F39" s="96" t="s">
        <v>1297</v>
      </c>
      <c r="G39" s="97"/>
      <c r="H39" s="97"/>
      <c r="I39" s="97"/>
      <c r="J39" s="97"/>
      <c r="K39" s="97"/>
      <c r="L39" s="97"/>
      <c r="M39" s="97"/>
      <c r="N39" s="98"/>
      <c r="O39" s="98"/>
      <c r="P39" s="99" t="s">
        <v>1457</v>
      </c>
      <c r="Q39" s="89"/>
      <c r="R39" s="59"/>
      <c r="S39" s="89"/>
      <c r="T39" s="90" t="s">
        <v>1486</v>
      </c>
      <c r="U39" s="91" t="s">
        <v>1346</v>
      </c>
      <c r="V39" s="61" t="str">
        <f t="shared" si="5"/>
        <v>每秒对附近的玩家单位造成100点法术伤害。|n|n</v>
      </c>
      <c r="W39" s="61" t="str">
        <f t="shared" si="6"/>
        <v/>
      </c>
      <c r="X39" s="61" t="str">
        <f t="shared" si="7"/>
        <v>物理状态：</v>
      </c>
    </row>
    <row r="40" spans="1:24" ht="28.5">
      <c r="A40" s="86"/>
      <c r="B40" s="96"/>
      <c r="C40" s="96"/>
      <c r="D40" s="96"/>
      <c r="E40" s="96" t="s">
        <v>1458</v>
      </c>
      <c r="F40" s="96" t="s">
        <v>1298</v>
      </c>
      <c r="G40" s="97"/>
      <c r="H40" s="97"/>
      <c r="I40" s="97"/>
      <c r="J40" s="97"/>
      <c r="K40" s="97"/>
      <c r="L40" s="97"/>
      <c r="M40" s="97"/>
      <c r="N40" s="98"/>
      <c r="O40" s="98"/>
      <c r="P40" s="99" t="s">
        <v>1459</v>
      </c>
      <c r="Q40" s="89"/>
      <c r="R40" s="59"/>
      <c r="S40" s="89"/>
      <c r="T40" s="90" t="s">
        <v>1486</v>
      </c>
      <c r="U40" s="91" t="s">
        <v>1346</v>
      </c>
      <c r="V40" s="61" t="str">
        <f t="shared" si="5"/>
        <v>对附近生命百分比最高的单位造成80%生命上限的伤害。|n|n</v>
      </c>
      <c r="W40" s="61" t="str">
        <f t="shared" si="6"/>
        <v/>
      </c>
      <c r="X40" s="61" t="str">
        <f t="shared" si="7"/>
        <v>物理状态：</v>
      </c>
    </row>
    <row r="41" spans="1:24">
      <c r="A41" s="101">
        <v>6</v>
      </c>
      <c r="B41" s="56" t="s">
        <v>1863</v>
      </c>
      <c r="C41" s="56" t="s">
        <v>1460</v>
      </c>
      <c r="D41" s="56" t="s">
        <v>345</v>
      </c>
      <c r="E41" s="56" t="s">
        <v>1461</v>
      </c>
      <c r="F41" s="56" t="s">
        <v>346</v>
      </c>
      <c r="G41" s="57"/>
      <c r="H41" s="57"/>
      <c r="I41" s="57"/>
      <c r="J41" s="57"/>
      <c r="K41" s="57"/>
      <c r="L41" s="57"/>
      <c r="M41" s="57"/>
      <c r="N41" s="58"/>
      <c r="O41" s="58"/>
      <c r="P41" s="32" t="s">
        <v>1487</v>
      </c>
      <c r="Q41" s="198"/>
      <c r="R41" s="59"/>
      <c r="S41" s="89"/>
      <c r="T41" s="90" t="s">
        <v>1486</v>
      </c>
      <c r="U41" s="91" t="s">
        <v>1346</v>
      </c>
      <c r="V41" s="61" t="str">
        <f t="shared" si="5"/>
        <v>立即对目标造成70%其生命上限的物理伤害。|n|n</v>
      </c>
      <c r="W41" s="61" t="str">
        <f t="shared" si="6"/>
        <v/>
      </c>
      <c r="X41" s="61" t="str">
        <f t="shared" si="7"/>
        <v>物理状态：</v>
      </c>
    </row>
    <row r="42" spans="1:24" ht="28.5">
      <c r="A42" s="101"/>
      <c r="B42" s="56"/>
      <c r="C42" s="56"/>
      <c r="D42" s="79"/>
      <c r="E42" s="79" t="s">
        <v>1462</v>
      </c>
      <c r="F42" s="79" t="s">
        <v>347</v>
      </c>
      <c r="G42" s="57"/>
      <c r="H42" s="57"/>
      <c r="I42" s="57"/>
      <c r="J42" s="57"/>
      <c r="K42" s="57"/>
      <c r="L42" s="57">
        <v>3</v>
      </c>
      <c r="M42" s="57">
        <v>12</v>
      </c>
      <c r="N42" s="58" t="s">
        <v>658</v>
      </c>
      <c r="O42" s="58" t="s">
        <v>657</v>
      </c>
      <c r="P42" s="31" t="s">
        <v>1463</v>
      </c>
      <c r="Q42" s="201"/>
      <c r="R42" s="59" t="str">
        <f t="shared" si="4"/>
        <v>震地</v>
      </c>
      <c r="S42" s="89" t="s">
        <v>1897</v>
      </c>
      <c r="T42" s="90" t="s">
        <v>1486</v>
      </c>
      <c r="U42" s="91" t="s">
        <v>1346</v>
      </c>
      <c r="V42" s="61" t="str">
        <f t="shared" si="5"/>
        <v>击飞附近所有敌人，造成300点物理伤害，并降低他们的移动速度75%。|n|n|cff99ccff持续时间:|r 3秒|n|cff99ccff冷却时间:|r 12秒|n</v>
      </c>
      <c r="W42" s="61" t="str">
        <f t="shared" si="6"/>
        <v>震地</v>
      </c>
      <c r="X42" s="61" t="str">
        <f t="shared" si="7"/>
        <v>物理状态：移动速度降低。</v>
      </c>
    </row>
    <row r="43" spans="1:24">
      <c r="A43" s="102">
        <v>6</v>
      </c>
      <c r="B43" s="103" t="s">
        <v>1863</v>
      </c>
      <c r="C43" s="103" t="s">
        <v>1464</v>
      </c>
      <c r="D43" s="103" t="s">
        <v>1299</v>
      </c>
      <c r="E43" s="103" t="s">
        <v>1465</v>
      </c>
      <c r="F43" s="103" t="s">
        <v>1300</v>
      </c>
      <c r="G43" s="104"/>
      <c r="H43" s="104"/>
      <c r="I43" s="104"/>
      <c r="J43" s="104"/>
      <c r="K43" s="104"/>
      <c r="L43" s="104"/>
      <c r="M43" s="104"/>
      <c r="N43" s="105" t="s">
        <v>658</v>
      </c>
      <c r="O43" s="105" t="s">
        <v>658</v>
      </c>
      <c r="P43" s="106" t="s">
        <v>1466</v>
      </c>
      <c r="R43" s="59" t="str">
        <f t="shared" si="4"/>
        <v>狂热</v>
      </c>
      <c r="S43" s="89" t="s">
        <v>1898</v>
      </c>
      <c r="T43" s="90" t="s">
        <v>1486</v>
      </c>
      <c r="U43" s="91" t="s">
        <v>1346</v>
      </c>
      <c r="V43" s="61" t="str">
        <f t="shared" si="5"/>
        <v>每次攻击可以使攻击力提高50点。|n|n</v>
      </c>
      <c r="W43" s="61" t="str">
        <f t="shared" si="6"/>
        <v>|cff00ff00狂热|r</v>
      </c>
      <c r="X43" s="61" t="str">
        <f t="shared" si="7"/>
        <v>物理状态：攻击强度提高。</v>
      </c>
    </row>
    <row r="44" spans="1:24" ht="28.5">
      <c r="A44" s="102">
        <v>6</v>
      </c>
      <c r="B44" s="61" t="s">
        <v>1863</v>
      </c>
      <c r="C44" s="61" t="s">
        <v>1467</v>
      </c>
      <c r="D44" s="61" t="s">
        <v>1306</v>
      </c>
      <c r="E44" s="61" t="s">
        <v>1468</v>
      </c>
      <c r="F44" s="61" t="s">
        <v>1301</v>
      </c>
      <c r="P44" s="109" t="s">
        <v>1469</v>
      </c>
      <c r="R44" s="59"/>
      <c r="S44" s="89"/>
      <c r="T44" s="90" t="s">
        <v>1486</v>
      </c>
      <c r="U44" s="91" t="s">
        <v>1346</v>
      </c>
      <c r="V44" s="61" t="str">
        <f t="shared" si="5"/>
        <v>尸体从天而降，对范围内的友军治疗，对玩家单位造成伤害。|n|n</v>
      </c>
      <c r="W44" s="61" t="str">
        <f t="shared" si="6"/>
        <v/>
      </c>
      <c r="X44" s="61" t="str">
        <f t="shared" si="7"/>
        <v>物理状态：</v>
      </c>
    </row>
    <row r="45" spans="1:24" ht="42.75">
      <c r="A45" s="102"/>
      <c r="E45" s="61" t="s">
        <v>1470</v>
      </c>
      <c r="F45" s="61" t="s">
        <v>1302</v>
      </c>
      <c r="P45" s="109" t="s">
        <v>1899</v>
      </c>
      <c r="R45" s="59"/>
      <c r="S45" s="89"/>
      <c r="T45" s="90" t="s">
        <v>1486</v>
      </c>
      <c r="U45" s="91" t="s">
        <v>1346</v>
      </c>
      <c r="V45" s="61" t="str">
        <f t="shared" si="5"/>
        <v>召唤目标的幻象，幻象受到伤害时，目标也会受到同样百分比的伤害。幻象每秒受到20%生命上限的伤害并恢复15%生命上限的生命值。|n|n</v>
      </c>
      <c r="W45" s="61" t="str">
        <f t="shared" si="6"/>
        <v/>
      </c>
      <c r="X45" s="61" t="str">
        <f t="shared" si="7"/>
        <v>物理状态：</v>
      </c>
    </row>
    <row r="46" spans="1:24">
      <c r="A46" s="102">
        <v>6</v>
      </c>
      <c r="B46" s="103" t="s">
        <v>300</v>
      </c>
      <c r="C46" s="103" t="s">
        <v>1471</v>
      </c>
      <c r="D46" s="103" t="s">
        <v>1303</v>
      </c>
      <c r="E46" s="103" t="s">
        <v>1472</v>
      </c>
      <c r="F46" s="103" t="s">
        <v>1304</v>
      </c>
      <c r="G46" s="104"/>
      <c r="H46" s="104"/>
      <c r="I46" s="104"/>
      <c r="J46" s="104"/>
      <c r="K46" s="104"/>
      <c r="L46" s="104"/>
      <c r="M46" s="104"/>
      <c r="N46" s="105"/>
      <c r="O46" s="105"/>
      <c r="P46" s="106" t="s">
        <v>1473</v>
      </c>
      <c r="R46" s="59"/>
      <c r="S46" s="89"/>
      <c r="T46" s="90" t="s">
        <v>1486</v>
      </c>
      <c r="U46" s="91" t="s">
        <v>1346</v>
      </c>
      <c r="V46" s="61" t="str">
        <f t="shared" si="5"/>
        <v>每次攻击对附近所有玩家单位造成伤害。|n|n</v>
      </c>
      <c r="W46" s="61" t="str">
        <f t="shared" si="6"/>
        <v/>
      </c>
      <c r="X46" s="61" t="str">
        <f t="shared" si="7"/>
        <v>物理状态：</v>
      </c>
    </row>
    <row r="47" spans="1:24" ht="28.5">
      <c r="A47" s="102"/>
      <c r="B47" s="103"/>
      <c r="C47" s="103"/>
      <c r="D47" s="103"/>
      <c r="E47" s="103" t="s">
        <v>1474</v>
      </c>
      <c r="F47" s="103" t="s">
        <v>1305</v>
      </c>
      <c r="G47" s="104"/>
      <c r="H47" s="104"/>
      <c r="I47" s="104"/>
      <c r="J47" s="104"/>
      <c r="K47" s="104"/>
      <c r="L47" s="104"/>
      <c r="M47" s="104"/>
      <c r="N47" s="105" t="s">
        <v>659</v>
      </c>
      <c r="O47" s="105" t="s">
        <v>657</v>
      </c>
      <c r="P47" s="106" t="s">
        <v>1475</v>
      </c>
      <c r="R47" s="59" t="str">
        <f t="shared" si="4"/>
        <v>呕吐</v>
      </c>
      <c r="S47" s="89" t="s">
        <v>1901</v>
      </c>
      <c r="T47" s="91" t="s">
        <v>1345</v>
      </c>
      <c r="U47" s="91" t="s">
        <v>1346</v>
      </c>
      <c r="V47" s="61" t="str">
        <f t="shared" si="5"/>
        <v>呕吐出一堆蛆虫来攻击范围内的玩家单位，被蛆虫攻击的单位的命中率降低40%。|n|n</v>
      </c>
      <c r="W47" s="61" t="str">
        <f t="shared" si="6"/>
        <v>呕吐</v>
      </c>
      <c r="X47" s="61" t="str">
        <f t="shared" si="7"/>
        <v>|cff6666ff魔法|r状态：命中几率降低。</v>
      </c>
    </row>
    <row r="48" spans="1:24" ht="28.5">
      <c r="A48" s="102">
        <v>6</v>
      </c>
      <c r="B48" s="61" t="s">
        <v>1863</v>
      </c>
      <c r="C48" s="61" t="s">
        <v>1476</v>
      </c>
      <c r="D48" s="61" t="s">
        <v>1307</v>
      </c>
      <c r="E48" s="61" t="s">
        <v>1477</v>
      </c>
      <c r="F48" s="61" t="s">
        <v>1308</v>
      </c>
      <c r="P48" s="109" t="s">
        <v>1478</v>
      </c>
      <c r="R48" s="59"/>
      <c r="S48" s="89"/>
      <c r="T48" s="90" t="s">
        <v>1486</v>
      </c>
      <c r="U48" s="91" t="s">
        <v>1346</v>
      </c>
      <c r="V48" s="61" t="str">
        <f t="shared" si="5"/>
        <v>发射一枝毒箭，对路径上的所有玩家单位造成伤害。恐怖图腾也会一起发射毒箭。|n|n</v>
      </c>
      <c r="W48" s="61" t="str">
        <f t="shared" si="6"/>
        <v/>
      </c>
      <c r="X48" s="61" t="str">
        <f t="shared" si="7"/>
        <v>物理状态：</v>
      </c>
    </row>
    <row r="49" spans="1:24" ht="28.5">
      <c r="A49" s="102"/>
      <c r="E49" s="61" t="s">
        <v>1479</v>
      </c>
      <c r="F49" s="61" t="s">
        <v>1309</v>
      </c>
      <c r="N49" s="108" t="s">
        <v>658</v>
      </c>
      <c r="O49" s="108" t="s">
        <v>657</v>
      </c>
      <c r="P49" s="109" t="s">
        <v>1480</v>
      </c>
      <c r="R49" s="59" t="str">
        <f t="shared" si="4"/>
        <v>恐怖图腾</v>
      </c>
      <c r="S49" s="89" t="s">
        <v>1900</v>
      </c>
      <c r="T49" s="90" t="s">
        <v>1486</v>
      </c>
      <c r="U49" s="91" t="s">
        <v>1346</v>
      </c>
      <c r="V49" s="61" t="str">
        <f t="shared" si="5"/>
        <v>召唤一个无敌的恐怖图腾，附近的玩家单位造成的伤害降低65%。|n|n</v>
      </c>
      <c r="W49" s="61" t="str">
        <f t="shared" si="6"/>
        <v>恐怖图腾</v>
      </c>
      <c r="X49" s="61" t="str">
        <f t="shared" si="7"/>
        <v>物理状态：造成的伤害降低。</v>
      </c>
    </row>
    <row r="50" spans="1:24">
      <c r="A50" s="102">
        <v>6</v>
      </c>
      <c r="B50" s="103" t="s">
        <v>300</v>
      </c>
      <c r="C50" s="103" t="s">
        <v>1481</v>
      </c>
      <c r="D50" s="103" t="s">
        <v>1310</v>
      </c>
      <c r="E50" s="103" t="s">
        <v>1482</v>
      </c>
      <c r="F50" s="103" t="s">
        <v>1311</v>
      </c>
      <c r="G50" s="104"/>
      <c r="H50" s="104"/>
      <c r="I50" s="104">
        <v>1200</v>
      </c>
      <c r="J50" s="104"/>
      <c r="K50" s="104"/>
      <c r="L50" s="104">
        <v>9</v>
      </c>
      <c r="M50" s="104">
        <v>12</v>
      </c>
      <c r="N50" s="105" t="s">
        <v>659</v>
      </c>
      <c r="O50" s="105" t="s">
        <v>657</v>
      </c>
      <c r="P50" s="106" t="s">
        <v>1483</v>
      </c>
      <c r="R50" s="59" t="str">
        <f t="shared" si="4"/>
        <v>险恶打击</v>
      </c>
      <c r="S50" s="89" t="s">
        <v>1902</v>
      </c>
      <c r="T50" s="90" t="s">
        <v>1486</v>
      </c>
      <c r="U50" s="91" t="s">
        <v>1346</v>
      </c>
      <c r="V50" s="61" t="str">
        <f t="shared" si="5"/>
        <v>目标单位每2秒昏迷1秒。|n|n|cff99ccff施法距离:|r 1200码|n|cff99ccff持续时间:|r 9秒|n|cff99ccff冷却时间:|r 12秒|n</v>
      </c>
      <c r="W50" s="61" t="str">
        <f t="shared" si="6"/>
        <v>险恶打击</v>
      </c>
      <c r="X50" s="61" t="str">
        <f t="shared" si="7"/>
        <v>|cff6666ff魔法|r状态：周期性的昏迷。</v>
      </c>
    </row>
    <row r="51" spans="1:24" ht="28.5">
      <c r="A51" s="102"/>
      <c r="B51" s="103"/>
      <c r="C51" s="103"/>
      <c r="D51" s="103"/>
      <c r="E51" s="103" t="s">
        <v>1484</v>
      </c>
      <c r="F51" s="103" t="s">
        <v>1312</v>
      </c>
      <c r="G51" s="104"/>
      <c r="H51" s="104"/>
      <c r="I51" s="104">
        <v>1200</v>
      </c>
      <c r="J51" s="104">
        <v>300</v>
      </c>
      <c r="K51" s="104"/>
      <c r="L51" s="104">
        <v>15</v>
      </c>
      <c r="M51" s="104">
        <v>15</v>
      </c>
      <c r="N51" s="105"/>
      <c r="O51" s="105"/>
      <c r="P51" s="106" t="s">
        <v>1485</v>
      </c>
      <c r="R51" s="59"/>
      <c r="S51" s="89"/>
      <c r="T51" s="90" t="s">
        <v>1486</v>
      </c>
      <c r="U51" s="91" t="s">
        <v>1346</v>
      </c>
      <c r="V51" s="61" t="str">
        <f t="shared" si="5"/>
        <v>对目标区域内的所有玩家每秒造成伤害，范围会逐渐扩大。|n|n|cff99ccff施法距离:|r 1200码|n|cff99ccff影响范围:|r 300码|n|cff99ccff持续时间:|r 15秒|n|cff99ccff冷却时间:|r 15秒|n</v>
      </c>
      <c r="W51" s="61" t="str">
        <f t="shared" si="6"/>
        <v/>
      </c>
      <c r="X51" s="61" t="str">
        <f t="shared" si="7"/>
        <v>物理状态：</v>
      </c>
    </row>
    <row r="52" spans="1:24" ht="28.5">
      <c r="A52" s="110">
        <v>2</v>
      </c>
      <c r="B52" s="69" t="s">
        <v>1352</v>
      </c>
      <c r="C52" s="69" t="s">
        <v>1386</v>
      </c>
      <c r="D52" s="69" t="s">
        <v>1351</v>
      </c>
      <c r="E52" s="69" t="s">
        <v>1387</v>
      </c>
      <c r="F52" s="69" t="s">
        <v>296</v>
      </c>
      <c r="G52" s="70"/>
      <c r="H52" s="70"/>
      <c r="I52" s="70"/>
      <c r="J52" s="70"/>
      <c r="K52" s="70"/>
      <c r="L52" s="70">
        <v>10</v>
      </c>
      <c r="M52" s="70">
        <v>20</v>
      </c>
      <c r="N52" s="71" t="s">
        <v>659</v>
      </c>
      <c r="O52" s="71" t="s">
        <v>658</v>
      </c>
      <c r="P52" s="72" t="s">
        <v>1388</v>
      </c>
      <c r="Q52" s="89"/>
      <c r="R52" s="59" t="str">
        <f t="shared" si="4"/>
        <v>狂乱</v>
      </c>
      <c r="S52" s="89" t="s">
        <v>1881</v>
      </c>
      <c r="T52" s="60" t="s">
        <v>297</v>
      </c>
      <c r="U52" s="60">
        <v>1</v>
      </c>
      <c r="V52" s="61" t="str">
        <f t="shared" si="5"/>
        <v>提升100%攻击速度。（在目标受到压碎护甲效果影响后开启。）|n|n|cff99ccff持续时间:|r 10秒|n|cff99ccff冷却时间:|r 20秒|n</v>
      </c>
      <c r="W52" s="61" t="str">
        <f t="shared" si="6"/>
        <v>|cff00ff00狂乱|r</v>
      </c>
      <c r="X52" s="61" t="str">
        <f t="shared" si="7"/>
        <v>|cff6666ff魔法|r状态：攻击速度提高。</v>
      </c>
    </row>
    <row r="53" spans="1:24">
      <c r="A53" s="110"/>
      <c r="B53" s="69"/>
      <c r="C53" s="69"/>
      <c r="D53" s="69"/>
      <c r="E53" s="69" t="s">
        <v>1389</v>
      </c>
      <c r="F53" s="69" t="s">
        <v>298</v>
      </c>
      <c r="G53" s="70"/>
      <c r="H53" s="70"/>
      <c r="I53" s="70">
        <v>200</v>
      </c>
      <c r="J53" s="70"/>
      <c r="K53" s="70"/>
      <c r="L53" s="70">
        <v>7</v>
      </c>
      <c r="M53" s="70">
        <v>20</v>
      </c>
      <c r="N53" s="71" t="s">
        <v>658</v>
      </c>
      <c r="O53" s="71" t="s">
        <v>657</v>
      </c>
      <c r="P53" s="72" t="s">
        <v>1390</v>
      </c>
      <c r="Q53" s="89"/>
      <c r="R53" s="59" t="str">
        <f t="shared" si="4"/>
        <v>压碎护甲</v>
      </c>
      <c r="S53" s="89" t="s">
        <v>1882</v>
      </c>
      <c r="T53" s="60" t="s">
        <v>299</v>
      </c>
      <c r="U53" s="60">
        <v>1</v>
      </c>
      <c r="V53" s="61" t="str">
        <f t="shared" si="5"/>
        <v>降低目标100点物理免伤。|n|n|cff99ccff施法距离:|r 200码|n|cff99ccff持续时间:|r 7秒|n|cff99ccff冷却时间:|r 20秒|n</v>
      </c>
      <c r="W53" s="61" t="str">
        <f t="shared" si="6"/>
        <v>压碎护甲</v>
      </c>
      <c r="X53" s="61"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59"/>
  <sheetViews>
    <sheetView workbookViewId="0">
      <pane ySplit="1" topLeftCell="A35" activePane="bottomLeft" state="frozen"/>
      <selection pane="bottomLeft" activeCell="E48" sqref="E48"/>
    </sheetView>
  </sheetViews>
  <sheetFormatPr defaultRowHeight="14.25"/>
  <cols>
    <col min="1" max="1" width="24.85546875" style="115" customWidth="1"/>
    <col min="2" max="2" width="8.140625" style="115" bestFit="1" customWidth="1"/>
    <col min="3" max="3" width="8.140625" style="115" customWidth="1"/>
    <col min="4" max="4" width="5.42578125" style="115" bestFit="1" customWidth="1"/>
    <col min="5" max="5" width="5.28515625" style="115" bestFit="1" customWidth="1"/>
    <col min="6" max="6" width="5.140625" style="115" bestFit="1" customWidth="1"/>
    <col min="7" max="8" width="8.140625" style="115" customWidth="1"/>
    <col min="9" max="9" width="5" style="115" bestFit="1" customWidth="1"/>
    <col min="10" max="11" width="5.28515625" style="115" bestFit="1" customWidth="1"/>
    <col min="12" max="12" width="4.85546875" style="115" bestFit="1" customWidth="1"/>
    <col min="13" max="14" width="5.28515625" style="115" bestFit="1" customWidth="1"/>
    <col min="15" max="15" width="19.140625" style="115" customWidth="1"/>
    <col min="16" max="16" width="8.85546875" style="115" bestFit="1" customWidth="1"/>
    <col min="17" max="17" width="6.5703125" style="115" customWidth="1"/>
    <col min="18" max="18" width="4.85546875" style="115" bestFit="1" customWidth="1"/>
    <col min="19" max="20" width="4.85546875" style="115" customWidth="1"/>
    <col min="21" max="21" width="63.140625" style="115" bestFit="1" customWidth="1"/>
    <col min="22" max="22" width="11" style="115" bestFit="1" customWidth="1"/>
    <col min="23" max="23" width="15" style="115" customWidth="1"/>
    <col min="24" max="16384" width="9.140625" style="115"/>
  </cols>
  <sheetData>
    <row r="1" spans="1:23" s="112" customFormat="1">
      <c r="A1" s="112" t="s">
        <v>1262</v>
      </c>
      <c r="B1" s="112" t="s">
        <v>1261</v>
      </c>
      <c r="C1" s="112" t="s">
        <v>1864</v>
      </c>
      <c r="D1" s="112" t="s">
        <v>1867</v>
      </c>
      <c r="E1" s="112" t="s">
        <v>1868</v>
      </c>
      <c r="F1" s="112" t="s">
        <v>1869</v>
      </c>
      <c r="G1" s="112" t="s">
        <v>1865</v>
      </c>
      <c r="H1" s="112" t="s">
        <v>1866</v>
      </c>
      <c r="I1" s="112" t="s">
        <v>1257</v>
      </c>
      <c r="J1" s="112" t="s">
        <v>1256</v>
      </c>
      <c r="K1" s="112" t="s">
        <v>1255</v>
      </c>
      <c r="L1" s="112" t="s">
        <v>1254</v>
      </c>
      <c r="M1" s="112" t="s">
        <v>1253</v>
      </c>
      <c r="N1" s="112" t="s">
        <v>1252</v>
      </c>
      <c r="O1" s="112" t="s">
        <v>1251</v>
      </c>
      <c r="P1" s="112" t="s">
        <v>1260</v>
      </c>
      <c r="Q1" s="112" t="s">
        <v>1259</v>
      </c>
      <c r="R1" s="112" t="s">
        <v>1258</v>
      </c>
      <c r="S1" s="112" t="s">
        <v>1870</v>
      </c>
      <c r="T1" s="112" t="s">
        <v>1871</v>
      </c>
      <c r="U1" s="112" t="s">
        <v>1250</v>
      </c>
      <c r="V1" s="112" t="s">
        <v>1249</v>
      </c>
    </row>
    <row r="2" spans="1:23">
      <c r="A2" s="113" t="s">
        <v>1248</v>
      </c>
      <c r="B2" s="113" t="s">
        <v>1149</v>
      </c>
      <c r="C2" s="113">
        <v>50000</v>
      </c>
      <c r="D2" s="113">
        <v>0</v>
      </c>
      <c r="E2" s="113">
        <v>0</v>
      </c>
      <c r="F2" s="113">
        <v>0</v>
      </c>
      <c r="G2" s="113">
        <v>5</v>
      </c>
      <c r="H2" s="113">
        <v>5</v>
      </c>
      <c r="I2" s="114">
        <v>0</v>
      </c>
      <c r="J2" s="114">
        <v>0</v>
      </c>
      <c r="K2" s="114">
        <v>0</v>
      </c>
      <c r="L2" s="114">
        <v>0</v>
      </c>
      <c r="M2" s="114">
        <v>1</v>
      </c>
      <c r="N2" s="114">
        <v>0</v>
      </c>
      <c r="O2" s="113" t="s">
        <v>1148</v>
      </c>
      <c r="P2" s="119">
        <f t="shared" ref="P2:P5" si="0">C2-1-D2*10</f>
        <v>49999</v>
      </c>
      <c r="Q2" s="119">
        <f t="shared" ref="Q2:Q5" si="1">G2-CHOOSE( IF( B2="ATT_AGI", 2, IF( B2="ATT_INT", 3, 1 ) ), D2, E2, F2 )</f>
        <v>5</v>
      </c>
      <c r="R2" s="119">
        <f t="shared" ref="R2:R5" si="2">H2-G2</f>
        <v>0</v>
      </c>
      <c r="S2" s="119">
        <f>Q2-1</f>
        <v>4</v>
      </c>
      <c r="T2" s="119">
        <f>R2+1</f>
        <v>1</v>
      </c>
      <c r="U2" s="113" t="s">
        <v>1247</v>
      </c>
      <c r="V2" s="113"/>
      <c r="W2" s="115"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113" t="s">
        <v>1246</v>
      </c>
      <c r="B3" s="113" t="s">
        <v>1149</v>
      </c>
      <c r="C3" s="113">
        <v>50000</v>
      </c>
      <c r="D3" s="113">
        <v>0</v>
      </c>
      <c r="E3" s="113">
        <v>0</v>
      </c>
      <c r="F3" s="113">
        <v>0</v>
      </c>
      <c r="G3" s="113">
        <v>30</v>
      </c>
      <c r="H3" s="113">
        <v>35</v>
      </c>
      <c r="I3" s="114">
        <v>0</v>
      </c>
      <c r="J3" s="114">
        <v>0</v>
      </c>
      <c r="K3" s="114">
        <v>0</v>
      </c>
      <c r="L3" s="114">
        <v>0</v>
      </c>
      <c r="M3" s="114">
        <v>1</v>
      </c>
      <c r="N3" s="114">
        <v>0</v>
      </c>
      <c r="O3" s="113" t="s">
        <v>1148</v>
      </c>
      <c r="P3" s="119">
        <f t="shared" si="0"/>
        <v>49999</v>
      </c>
      <c r="Q3" s="119">
        <f t="shared" si="1"/>
        <v>30</v>
      </c>
      <c r="R3" s="119">
        <f t="shared" si="2"/>
        <v>5</v>
      </c>
      <c r="S3" s="119">
        <f t="shared" ref="S3:S59" si="3">Q3-1</f>
        <v>29</v>
      </c>
      <c r="T3" s="119">
        <f t="shared" ref="T3:T59" si="4">R3+1</f>
        <v>6</v>
      </c>
      <c r="U3" s="113" t="s">
        <v>1245</v>
      </c>
      <c r="V3" s="113"/>
      <c r="W3" s="115" t="str">
        <f t="shared" ref="W3:W59"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113" t="s">
        <v>1244</v>
      </c>
      <c r="B4" s="113" t="s">
        <v>1149</v>
      </c>
      <c r="C4" s="113">
        <v>50000</v>
      </c>
      <c r="D4" s="113">
        <v>0</v>
      </c>
      <c r="E4" s="113">
        <v>0</v>
      </c>
      <c r="F4" s="113">
        <v>0</v>
      </c>
      <c r="G4" s="113">
        <v>300</v>
      </c>
      <c r="H4" s="113">
        <v>300</v>
      </c>
      <c r="I4" s="114">
        <v>0</v>
      </c>
      <c r="J4" s="114">
        <v>0</v>
      </c>
      <c r="K4" s="114">
        <v>0</v>
      </c>
      <c r="L4" s="114">
        <v>0</v>
      </c>
      <c r="M4" s="114">
        <v>1</v>
      </c>
      <c r="N4" s="114">
        <v>0</v>
      </c>
      <c r="O4" s="113" t="s">
        <v>1148</v>
      </c>
      <c r="P4" s="119">
        <f t="shared" si="0"/>
        <v>49999</v>
      </c>
      <c r="Q4" s="119">
        <f t="shared" si="1"/>
        <v>300</v>
      </c>
      <c r="R4" s="119">
        <f t="shared" si="2"/>
        <v>0</v>
      </c>
      <c r="S4" s="119">
        <f t="shared" si="3"/>
        <v>299</v>
      </c>
      <c r="T4" s="119">
        <f t="shared" si="4"/>
        <v>1</v>
      </c>
      <c r="U4" s="113" t="s">
        <v>1243</v>
      </c>
      <c r="V4" s="113"/>
      <c r="W4" s="115" t="str">
        <f t="shared" ca="1" si="5"/>
        <v>ModelInfo.rg(UTID_TANK_TESTER,ATT_NON,49999,300,0,0,0,0,0,1,0,CAREER_TYPE_CREEP,"ReplaceableTextures\\CommandButtons\\BTNVengeanceIncarnate.blp");</v>
      </c>
    </row>
    <row r="5" spans="1:23">
      <c r="A5" s="113" t="s">
        <v>1242</v>
      </c>
      <c r="B5" s="113" t="s">
        <v>1149</v>
      </c>
      <c r="C5" s="113">
        <v>50000</v>
      </c>
      <c r="D5" s="113">
        <v>0</v>
      </c>
      <c r="E5" s="113">
        <v>0</v>
      </c>
      <c r="F5" s="113">
        <v>0</v>
      </c>
      <c r="G5" s="113">
        <v>300</v>
      </c>
      <c r="H5" s="113">
        <v>300</v>
      </c>
      <c r="I5" s="114">
        <v>0</v>
      </c>
      <c r="J5" s="114">
        <v>0</v>
      </c>
      <c r="K5" s="114">
        <v>0</v>
      </c>
      <c r="L5" s="114">
        <v>0</v>
      </c>
      <c r="M5" s="114">
        <v>1</v>
      </c>
      <c r="N5" s="114">
        <v>0</v>
      </c>
      <c r="O5" s="113" t="s">
        <v>1148</v>
      </c>
      <c r="P5" s="119">
        <f t="shared" si="0"/>
        <v>49999</v>
      </c>
      <c r="Q5" s="119">
        <f t="shared" si="1"/>
        <v>300</v>
      </c>
      <c r="R5" s="119">
        <f t="shared" si="2"/>
        <v>0</v>
      </c>
      <c r="S5" s="119">
        <f t="shared" si="3"/>
        <v>299</v>
      </c>
      <c r="T5" s="119">
        <f t="shared" si="4"/>
        <v>1</v>
      </c>
      <c r="U5" s="113" t="s">
        <v>1241</v>
      </c>
      <c r="V5" s="113"/>
      <c r="W5" s="115" t="str">
        <f t="shared" ca="1" si="5"/>
        <v>ModelInfo.rg(UTID_HEALER_TESTER,ATT_NON,49999,300,0,0,0,0,0,1,0,CAREER_TYPE_CREEP,"ReplaceableTextures\\CommandButtons\\BTNPandarenBrewmaster.blp");</v>
      </c>
    </row>
    <row r="6" spans="1:23">
      <c r="A6" s="116" t="s">
        <v>1240</v>
      </c>
      <c r="B6" s="116" t="s">
        <v>1171</v>
      </c>
      <c r="C6" s="116">
        <v>1300</v>
      </c>
      <c r="D6" s="116">
        <v>24</v>
      </c>
      <c r="E6" s="116">
        <v>11</v>
      </c>
      <c r="F6" s="116">
        <v>15</v>
      </c>
      <c r="G6" s="116">
        <v>26</v>
      </c>
      <c r="H6" s="116">
        <v>36</v>
      </c>
      <c r="I6" s="117">
        <v>39</v>
      </c>
      <c r="J6" s="117">
        <v>0.06</v>
      </c>
      <c r="K6" s="117">
        <v>0.19</v>
      </c>
      <c r="L6" s="117">
        <v>12</v>
      </c>
      <c r="M6" s="117">
        <v>0.75</v>
      </c>
      <c r="N6" s="117">
        <v>0.05</v>
      </c>
      <c r="O6" s="116" t="s">
        <v>1237</v>
      </c>
      <c r="P6" s="119">
        <f t="shared" ref="P6:P37" si="6">C6-1-D6*10</f>
        <v>1059</v>
      </c>
      <c r="Q6" s="119">
        <f t="shared" ref="Q6:Q37" si="7">G6-CHOOSE( IF( B6="ATT_AGI", 2, IF( B6="ATT_INT", 3, 1 ) ), D6, E6, F6 )</f>
        <v>2</v>
      </c>
      <c r="R6" s="119">
        <f t="shared" ref="R6:R37" si="8">H6-G6</f>
        <v>10</v>
      </c>
      <c r="S6" s="119">
        <f t="shared" si="3"/>
        <v>1</v>
      </c>
      <c r="T6" s="119">
        <f t="shared" si="4"/>
        <v>11</v>
      </c>
      <c r="U6" s="116" t="s">
        <v>1239</v>
      </c>
      <c r="V6" s="116"/>
      <c r="W6" s="115" t="str">
        <f t="shared" ca="1" si="5"/>
        <v>ModelInfo.rg(UTIDBLOODELFDEFENDER,ATT_STR,1059,2,10,39,0.06,0.19,12,0.75,0.05,CAREER_TYPE_TANK,"ReplaceableTextures\\CommandButtons\\BTNSpellBreaker.blp");</v>
      </c>
    </row>
    <row r="7" spans="1:23">
      <c r="A7" s="116" t="s">
        <v>1238</v>
      </c>
      <c r="B7" s="116" t="s">
        <v>1196</v>
      </c>
      <c r="C7" s="116">
        <v>1500</v>
      </c>
      <c r="D7" s="116">
        <v>22</v>
      </c>
      <c r="E7" s="116">
        <v>25</v>
      </c>
      <c r="F7" s="116">
        <v>7</v>
      </c>
      <c r="G7" s="116">
        <v>27</v>
      </c>
      <c r="H7" s="116">
        <v>37</v>
      </c>
      <c r="I7" s="117">
        <v>42</v>
      </c>
      <c r="J7" s="117">
        <v>0.15</v>
      </c>
      <c r="K7" s="117">
        <v>0</v>
      </c>
      <c r="L7" s="117">
        <v>0</v>
      </c>
      <c r="M7" s="117">
        <v>0.75</v>
      </c>
      <c r="N7" s="117">
        <v>0.05</v>
      </c>
      <c r="O7" s="116" t="s">
        <v>1237</v>
      </c>
      <c r="P7" s="119">
        <f t="shared" si="6"/>
        <v>1279</v>
      </c>
      <c r="Q7" s="119">
        <f t="shared" si="7"/>
        <v>2</v>
      </c>
      <c r="R7" s="119">
        <f t="shared" si="8"/>
        <v>10</v>
      </c>
      <c r="S7" s="119">
        <f t="shared" si="3"/>
        <v>1</v>
      </c>
      <c r="T7" s="119">
        <f t="shared" si="4"/>
        <v>11</v>
      </c>
      <c r="U7" s="116" t="s">
        <v>1236</v>
      </c>
      <c r="V7" s="116"/>
      <c r="W7" s="115" t="str">
        <f t="shared" ca="1" si="5"/>
        <v>ModelInfo.rg(UTIDCLAWDRUID,ATT_AGI,1279,2,10,42,0.15,0,0,0.75,0.05,CAREER_TYPE_TANK,"ReplaceableTextures\\CommandButtons\\BTNGrizzlyBear.blp");</v>
      </c>
    </row>
    <row r="8" spans="1:23">
      <c r="A8" s="116" t="s">
        <v>1235</v>
      </c>
      <c r="B8" s="116" t="s">
        <v>1174</v>
      </c>
      <c r="C8" s="116">
        <v>900</v>
      </c>
      <c r="D8" s="116">
        <v>17</v>
      </c>
      <c r="E8" s="116">
        <v>9</v>
      </c>
      <c r="F8" s="116">
        <v>68</v>
      </c>
      <c r="G8" s="116">
        <v>70</v>
      </c>
      <c r="H8" s="116">
        <v>76</v>
      </c>
      <c r="I8" s="117">
        <v>6</v>
      </c>
      <c r="J8" s="117">
        <v>0.05</v>
      </c>
      <c r="K8" s="117">
        <v>0</v>
      </c>
      <c r="L8" s="117">
        <v>0</v>
      </c>
      <c r="M8" s="117">
        <v>1</v>
      </c>
      <c r="N8" s="117">
        <v>0.05</v>
      </c>
      <c r="O8" s="116" t="s">
        <v>1230</v>
      </c>
      <c r="P8" s="119">
        <f t="shared" si="6"/>
        <v>729</v>
      </c>
      <c r="Q8" s="119">
        <f t="shared" si="7"/>
        <v>2</v>
      </c>
      <c r="R8" s="119">
        <f t="shared" si="8"/>
        <v>6</v>
      </c>
      <c r="S8" s="119">
        <f t="shared" si="3"/>
        <v>1</v>
      </c>
      <c r="T8" s="119">
        <f t="shared" si="4"/>
        <v>7</v>
      </c>
      <c r="U8" s="116" t="s">
        <v>1234</v>
      </c>
      <c r="V8" s="116"/>
      <c r="W8" s="115" t="str">
        <f t="shared" ca="1" si="5"/>
        <v>ModelInfo.rg(UTIDKEEPEROFGROVE,ATT_INT,729,2,6,6,0.05,0,0,1,0.05,CAREER_TYPE_HEALER,"ReplaceableTextures\\CommandButtons\\BTNFurion.blp");</v>
      </c>
    </row>
    <row r="9" spans="1:23">
      <c r="A9" s="116" t="s">
        <v>1233</v>
      </c>
      <c r="B9" s="116" t="s">
        <v>1174</v>
      </c>
      <c r="C9" s="116">
        <v>900</v>
      </c>
      <c r="D9" s="116">
        <v>22</v>
      </c>
      <c r="E9" s="116">
        <v>11</v>
      </c>
      <c r="F9" s="116">
        <v>62</v>
      </c>
      <c r="G9" s="116">
        <v>64</v>
      </c>
      <c r="H9" s="116">
        <v>74</v>
      </c>
      <c r="I9" s="117">
        <v>18</v>
      </c>
      <c r="J9" s="117">
        <v>0.15</v>
      </c>
      <c r="K9" s="117">
        <v>0.2</v>
      </c>
      <c r="L9" s="117">
        <v>20</v>
      </c>
      <c r="M9" s="117">
        <v>1</v>
      </c>
      <c r="N9" s="117">
        <v>0.05</v>
      </c>
      <c r="O9" s="116" t="s">
        <v>1230</v>
      </c>
      <c r="P9" s="119">
        <f t="shared" si="6"/>
        <v>679</v>
      </c>
      <c r="Q9" s="119">
        <f t="shared" si="7"/>
        <v>2</v>
      </c>
      <c r="R9" s="119">
        <f t="shared" si="8"/>
        <v>10</v>
      </c>
      <c r="S9" s="119">
        <f t="shared" si="3"/>
        <v>1</v>
      </c>
      <c r="T9" s="119">
        <f t="shared" si="4"/>
        <v>11</v>
      </c>
      <c r="U9" s="116" t="s">
        <v>1232</v>
      </c>
      <c r="V9" s="116"/>
      <c r="W9" s="115" t="str">
        <f t="shared" ca="1" si="5"/>
        <v>ModelInfo.rg(UTIDPALADIN,ATT_INT,679,2,10,18,0.15,0.2,20,1,0.05,CAREER_TYPE_HEALER,"ReplaceableTextures\\CommandButtons\\BTNArthas.blp");</v>
      </c>
    </row>
    <row r="10" spans="1:23">
      <c r="A10" s="116" t="s">
        <v>1231</v>
      </c>
      <c r="B10" s="116" t="s">
        <v>1174</v>
      </c>
      <c r="C10" s="116">
        <v>800</v>
      </c>
      <c r="D10" s="116">
        <v>15</v>
      </c>
      <c r="E10" s="116">
        <v>10</v>
      </c>
      <c r="F10" s="116">
        <v>65</v>
      </c>
      <c r="G10" s="116">
        <v>67</v>
      </c>
      <c r="H10" s="116">
        <v>73</v>
      </c>
      <c r="I10" s="117">
        <v>3</v>
      </c>
      <c r="J10" s="117">
        <v>0.05</v>
      </c>
      <c r="K10" s="117">
        <v>0</v>
      </c>
      <c r="L10" s="117">
        <v>0</v>
      </c>
      <c r="M10" s="117">
        <v>1</v>
      </c>
      <c r="N10" s="117">
        <v>0.05</v>
      </c>
      <c r="O10" s="116" t="s">
        <v>1230</v>
      </c>
      <c r="P10" s="119">
        <f t="shared" si="6"/>
        <v>649</v>
      </c>
      <c r="Q10" s="119">
        <f t="shared" si="7"/>
        <v>2</v>
      </c>
      <c r="R10" s="119">
        <f t="shared" si="8"/>
        <v>6</v>
      </c>
      <c r="S10" s="119">
        <f t="shared" si="3"/>
        <v>1</v>
      </c>
      <c r="T10" s="119">
        <f t="shared" si="4"/>
        <v>7</v>
      </c>
      <c r="U10" s="116" t="s">
        <v>1229</v>
      </c>
      <c r="V10" s="116"/>
      <c r="W10" s="115" t="str">
        <f t="shared" ca="1" si="5"/>
        <v>ModelInfo.rg(UTIDPRIEST,ATT_INT,649,2,6,3,0.05,0,0,1,0.05,CAREER_TYPE_HEALER,"ReplaceableTextures\\CommandButtons\\BTNPriest.blp");</v>
      </c>
    </row>
    <row r="11" spans="1:23">
      <c r="A11" s="116" t="s">
        <v>1228</v>
      </c>
      <c r="B11" s="116" t="s">
        <v>1171</v>
      </c>
      <c r="C11" s="116">
        <v>1000</v>
      </c>
      <c r="D11" s="116">
        <v>28</v>
      </c>
      <c r="E11" s="116">
        <v>24</v>
      </c>
      <c r="F11" s="116">
        <v>10</v>
      </c>
      <c r="G11" s="116">
        <v>72</v>
      </c>
      <c r="H11" s="116">
        <v>128</v>
      </c>
      <c r="I11" s="117">
        <v>10</v>
      </c>
      <c r="J11" s="117">
        <v>0.15</v>
      </c>
      <c r="K11" s="117">
        <v>0</v>
      </c>
      <c r="L11" s="117">
        <v>0</v>
      </c>
      <c r="M11" s="117">
        <v>1</v>
      </c>
      <c r="N11" s="117">
        <v>0.15</v>
      </c>
      <c r="O11" s="116" t="s">
        <v>1206</v>
      </c>
      <c r="P11" s="119">
        <f t="shared" si="6"/>
        <v>719</v>
      </c>
      <c r="Q11" s="119">
        <f t="shared" si="7"/>
        <v>44</v>
      </c>
      <c r="R11" s="119">
        <f t="shared" si="8"/>
        <v>56</v>
      </c>
      <c r="S11" s="119">
        <f t="shared" si="3"/>
        <v>43</v>
      </c>
      <c r="T11" s="119">
        <f t="shared" si="4"/>
        <v>57</v>
      </c>
      <c r="U11" s="116" t="s">
        <v>1227</v>
      </c>
      <c r="V11" s="116"/>
      <c r="W11" s="115" t="str">
        <f t="shared" ca="1" si="5"/>
        <v>ModelInfo.rg(UTIDBLADEMASTER,ATT_STR,719,44,56,10,0.15,0,0,1,0.15,CAREER_TYPE_DPS,"ReplaceableTextures\\CommandButtons\\BTNHeroBlademaster.blp");</v>
      </c>
    </row>
    <row r="12" spans="1:23">
      <c r="A12" s="116" t="s">
        <v>1226</v>
      </c>
      <c r="B12" s="116" t="s">
        <v>1196</v>
      </c>
      <c r="C12" s="116">
        <v>900</v>
      </c>
      <c r="D12" s="116">
        <v>18</v>
      </c>
      <c r="E12" s="116">
        <v>26</v>
      </c>
      <c r="F12" s="116">
        <v>20</v>
      </c>
      <c r="G12" s="116">
        <v>87</v>
      </c>
      <c r="H12" s="116">
        <v>103</v>
      </c>
      <c r="I12" s="117">
        <v>7</v>
      </c>
      <c r="J12" s="117">
        <v>0.1</v>
      </c>
      <c r="K12" s="117">
        <v>0</v>
      </c>
      <c r="L12" s="117">
        <v>0</v>
      </c>
      <c r="M12" s="117">
        <v>1</v>
      </c>
      <c r="N12" s="117">
        <v>0.1</v>
      </c>
      <c r="O12" s="116" t="s">
        <v>1206</v>
      </c>
      <c r="P12" s="119">
        <f t="shared" si="6"/>
        <v>719</v>
      </c>
      <c r="Q12" s="119">
        <f t="shared" si="7"/>
        <v>61</v>
      </c>
      <c r="R12" s="119">
        <f t="shared" si="8"/>
        <v>16</v>
      </c>
      <c r="S12" s="119">
        <f t="shared" si="3"/>
        <v>60</v>
      </c>
      <c r="T12" s="119">
        <f t="shared" si="4"/>
        <v>17</v>
      </c>
      <c r="U12" s="116" t="s">
        <v>1225</v>
      </c>
      <c r="V12" s="116"/>
      <c r="W12" s="115" t="str">
        <f t="shared" ca="1" si="5"/>
        <v>ModelInfo.rg(UTIDDARKRANGER,ATT_AGI,719,61,16,7,0.1,0,0,1,0.1,CAREER_TYPE_DPS,"ReplaceableTextures\\CommandButtons\\BTNBansheeRanger.blp");</v>
      </c>
    </row>
    <row r="13" spans="1:23" s="182" customFormat="1">
      <c r="A13" s="180" t="s">
        <v>1224</v>
      </c>
      <c r="B13" s="180" t="s">
        <v>1149</v>
      </c>
      <c r="C13" s="180">
        <v>600</v>
      </c>
      <c r="D13" s="180">
        <v>0</v>
      </c>
      <c r="E13" s="180">
        <v>0</v>
      </c>
      <c r="F13" s="180">
        <v>0</v>
      </c>
      <c r="G13" s="180">
        <v>12</v>
      </c>
      <c r="H13" s="180">
        <v>14</v>
      </c>
      <c r="I13" s="181">
        <v>10</v>
      </c>
      <c r="J13" s="181">
        <v>0.25</v>
      </c>
      <c r="K13" s="181">
        <v>0</v>
      </c>
      <c r="L13" s="181">
        <v>0</v>
      </c>
      <c r="M13" s="181">
        <v>0.75</v>
      </c>
      <c r="N13" s="181">
        <v>0.35</v>
      </c>
      <c r="O13" s="180" t="s">
        <v>1211</v>
      </c>
      <c r="P13" s="119">
        <f t="shared" si="6"/>
        <v>599</v>
      </c>
      <c r="Q13" s="119">
        <f t="shared" si="7"/>
        <v>12</v>
      </c>
      <c r="R13" s="119">
        <f t="shared" si="8"/>
        <v>2</v>
      </c>
      <c r="S13" s="119">
        <f t="shared" si="3"/>
        <v>11</v>
      </c>
      <c r="T13" s="119">
        <f t="shared" si="4"/>
        <v>3</v>
      </c>
      <c r="U13" s="180" t="s">
        <v>1223</v>
      </c>
      <c r="V13" s="180"/>
      <c r="W13" s="115" t="str">
        <f t="shared" ca="1" si="5"/>
        <v>ModelInfo.rg(UTIDGHOUL,ATT_NON,599,12,2,10,0.25,0,0,0.75,0.35,CAREER_TYPE_MINION,"ReplaceableTextures\\CommandButtons\\BTNGhoul.blp");</v>
      </c>
    </row>
    <row r="14" spans="1:23">
      <c r="A14" s="116" t="s">
        <v>1222</v>
      </c>
      <c r="B14" s="116" t="s">
        <v>1174</v>
      </c>
      <c r="C14" s="116">
        <v>800</v>
      </c>
      <c r="D14" s="116">
        <v>15</v>
      </c>
      <c r="E14" s="116">
        <v>10</v>
      </c>
      <c r="F14" s="116">
        <v>38</v>
      </c>
      <c r="G14" s="116">
        <v>40</v>
      </c>
      <c r="H14" s="116">
        <v>46</v>
      </c>
      <c r="I14" s="117">
        <v>3</v>
      </c>
      <c r="J14" s="117">
        <v>0.05</v>
      </c>
      <c r="K14" s="117">
        <v>0</v>
      </c>
      <c r="L14" s="117">
        <v>0</v>
      </c>
      <c r="M14" s="117">
        <v>1</v>
      </c>
      <c r="N14" s="117">
        <v>0.05</v>
      </c>
      <c r="O14" s="116" t="s">
        <v>1206</v>
      </c>
      <c r="P14" s="119">
        <f t="shared" si="6"/>
        <v>649</v>
      </c>
      <c r="Q14" s="119">
        <f t="shared" si="7"/>
        <v>2</v>
      </c>
      <c r="R14" s="119">
        <f t="shared" si="8"/>
        <v>6</v>
      </c>
      <c r="S14" s="119">
        <f t="shared" si="3"/>
        <v>1</v>
      </c>
      <c r="T14" s="119">
        <f t="shared" si="4"/>
        <v>7</v>
      </c>
      <c r="U14" s="116" t="s">
        <v>1221</v>
      </c>
      <c r="V14" s="116"/>
      <c r="W14" s="115" t="str">
        <f t="shared" ca="1" si="5"/>
        <v>ModelInfo.rg(UTIDFROSTMAGE,ATT_INT,649,2,6,3,0.05,0,0,1,0.05,CAREER_TYPE_DPS,"ReplaceableTextures\\CommandButtons\\BTNJaina.blp");</v>
      </c>
    </row>
    <row r="15" spans="1:23">
      <c r="A15" s="116" t="s">
        <v>1220</v>
      </c>
      <c r="B15" s="116" t="s">
        <v>1171</v>
      </c>
      <c r="C15" s="116">
        <v>900</v>
      </c>
      <c r="D15" s="116">
        <v>22</v>
      </c>
      <c r="E15" s="116">
        <v>13</v>
      </c>
      <c r="F15" s="116">
        <v>23</v>
      </c>
      <c r="G15" s="116">
        <v>84</v>
      </c>
      <c r="H15" s="116">
        <v>88</v>
      </c>
      <c r="I15" s="117">
        <v>13</v>
      </c>
      <c r="J15" s="117">
        <v>0.15</v>
      </c>
      <c r="K15" s="117">
        <v>0</v>
      </c>
      <c r="L15" s="117">
        <v>0</v>
      </c>
      <c r="M15" s="117">
        <v>1</v>
      </c>
      <c r="N15" s="117">
        <v>0.12</v>
      </c>
      <c r="O15" s="116" t="s">
        <v>1206</v>
      </c>
      <c r="P15" s="119">
        <f t="shared" si="6"/>
        <v>679</v>
      </c>
      <c r="Q15" s="119">
        <f t="shared" si="7"/>
        <v>62</v>
      </c>
      <c r="R15" s="119">
        <f t="shared" si="8"/>
        <v>4</v>
      </c>
      <c r="S15" s="119">
        <f t="shared" si="3"/>
        <v>61</v>
      </c>
      <c r="T15" s="119">
        <f t="shared" si="4"/>
        <v>5</v>
      </c>
      <c r="U15" s="116" t="s">
        <v>1219</v>
      </c>
      <c r="V15" s="116"/>
      <c r="W15" s="115" t="str">
        <f t="shared" ca="1" si="5"/>
        <v>ModelInfo.rg(UTIDEARTHBINDER,ATT_STR,679,62,4,13,0.15,0,0,1,0.12,CAREER_TYPE_DPS,"ReplaceableTextures\\CommandButtons\\BTNSpiritWalker.blp");</v>
      </c>
    </row>
    <row r="16" spans="1:23" s="182" customFormat="1">
      <c r="A16" s="180" t="s">
        <v>1218</v>
      </c>
      <c r="B16" s="180" t="s">
        <v>1171</v>
      </c>
      <c r="C16" s="180">
        <v>900</v>
      </c>
      <c r="D16" s="180">
        <v>22</v>
      </c>
      <c r="E16" s="180">
        <v>13</v>
      </c>
      <c r="F16" s="180">
        <v>23</v>
      </c>
      <c r="G16" s="180">
        <v>84</v>
      </c>
      <c r="H16" s="180">
        <v>88</v>
      </c>
      <c r="I16" s="181">
        <v>13</v>
      </c>
      <c r="J16" s="181">
        <v>0.15</v>
      </c>
      <c r="K16" s="181">
        <v>0</v>
      </c>
      <c r="L16" s="181">
        <v>0</v>
      </c>
      <c r="M16" s="181">
        <v>1</v>
      </c>
      <c r="N16" s="181">
        <v>0.12</v>
      </c>
      <c r="O16" s="180" t="s">
        <v>1206</v>
      </c>
      <c r="P16" s="119">
        <f t="shared" si="6"/>
        <v>679</v>
      </c>
      <c r="Q16" s="119">
        <f t="shared" si="7"/>
        <v>62</v>
      </c>
      <c r="R16" s="119">
        <f t="shared" si="8"/>
        <v>4</v>
      </c>
      <c r="S16" s="119">
        <f t="shared" si="3"/>
        <v>61</v>
      </c>
      <c r="T16" s="119">
        <f t="shared" si="4"/>
        <v>5</v>
      </c>
      <c r="U16" s="180" t="s">
        <v>1217</v>
      </c>
      <c r="V16" s="180"/>
      <c r="W16" s="115" t="str">
        <f t="shared" ca="1" si="5"/>
        <v>ModelInfo.rg(UTID_EARTH_BINDER_ASC,ATT_STR,679,62,4,13,0.15,0,0,1,0.12,CAREER_TYPE_DPS,"ReplaceableTextures\\CommandButtons\\BTNRevenant.blp");</v>
      </c>
    </row>
    <row r="17" spans="1:23" s="182" customFormat="1">
      <c r="A17" s="180" t="s">
        <v>1216</v>
      </c>
      <c r="B17" s="180" t="s">
        <v>1149</v>
      </c>
      <c r="C17" s="180">
        <v>100</v>
      </c>
      <c r="D17" s="180">
        <v>0</v>
      </c>
      <c r="E17" s="180">
        <v>0</v>
      </c>
      <c r="F17" s="180">
        <v>0</v>
      </c>
      <c r="G17" s="180">
        <v>1</v>
      </c>
      <c r="H17" s="180">
        <v>1</v>
      </c>
      <c r="I17" s="181">
        <v>0</v>
      </c>
      <c r="J17" s="181">
        <v>0</v>
      </c>
      <c r="K17" s="181">
        <v>0</v>
      </c>
      <c r="L17" s="181">
        <v>0</v>
      </c>
      <c r="M17" s="181">
        <v>1</v>
      </c>
      <c r="N17" s="181">
        <v>0</v>
      </c>
      <c r="O17" s="180" t="s">
        <v>1211</v>
      </c>
      <c r="P17" s="119">
        <f t="shared" si="6"/>
        <v>99</v>
      </c>
      <c r="Q17" s="119">
        <f t="shared" si="7"/>
        <v>1</v>
      </c>
      <c r="R17" s="119">
        <f t="shared" si="8"/>
        <v>0</v>
      </c>
      <c r="S17" s="119">
        <f t="shared" si="3"/>
        <v>0</v>
      </c>
      <c r="T17" s="119">
        <f t="shared" si="4"/>
        <v>1</v>
      </c>
      <c r="U17" s="180" t="s">
        <v>1215</v>
      </c>
      <c r="V17" s="180"/>
      <c r="W17" s="115" t="str">
        <f t="shared" ca="1" si="5"/>
        <v>ModelInfo.rg(UTIDLIGHTNINGTOTEM,ATT_NON,99,1,0,0,0,0,0,1,0,CAREER_TYPE_MINION,"ReplaceableTextures\\CommandButtons\\BTNStasisTrap.blp");</v>
      </c>
    </row>
    <row r="18" spans="1:23" s="182" customFormat="1">
      <c r="A18" s="180" t="s">
        <v>1214</v>
      </c>
      <c r="B18" s="180" t="s">
        <v>1149</v>
      </c>
      <c r="C18" s="180">
        <v>100</v>
      </c>
      <c r="D18" s="180">
        <v>0</v>
      </c>
      <c r="E18" s="180">
        <v>0</v>
      </c>
      <c r="F18" s="180">
        <v>0</v>
      </c>
      <c r="G18" s="180">
        <v>1</v>
      </c>
      <c r="H18" s="180">
        <v>1</v>
      </c>
      <c r="I18" s="181">
        <v>0</v>
      </c>
      <c r="J18" s="181">
        <v>0</v>
      </c>
      <c r="K18" s="181">
        <v>0</v>
      </c>
      <c r="L18" s="181">
        <v>0</v>
      </c>
      <c r="M18" s="181">
        <v>1</v>
      </c>
      <c r="N18" s="181">
        <v>0</v>
      </c>
      <c r="O18" s="180" t="s">
        <v>1211</v>
      </c>
      <c r="P18" s="119">
        <f t="shared" si="6"/>
        <v>99</v>
      </c>
      <c r="Q18" s="119">
        <f t="shared" si="7"/>
        <v>1</v>
      </c>
      <c r="R18" s="119">
        <f t="shared" si="8"/>
        <v>0</v>
      </c>
      <c r="S18" s="119">
        <f t="shared" si="3"/>
        <v>0</v>
      </c>
      <c r="T18" s="119">
        <f t="shared" si="4"/>
        <v>1</v>
      </c>
      <c r="U18" s="180" t="s">
        <v>1213</v>
      </c>
      <c r="V18" s="180"/>
      <c r="W18" s="115" t="str">
        <f t="shared" ca="1" si="5"/>
        <v>ModelInfo.rg(UTID_EARTH_BIND_TOTEM,ATT_NON,99,1,0,0,0,0,0,1,0,CAREER_TYPE_MINION,"ReplaceableTextures\\CommandButtons\\BTNDryadDispelMagic.blp");</v>
      </c>
    </row>
    <row r="19" spans="1:23" s="182" customFormat="1">
      <c r="A19" s="180" t="s">
        <v>1212</v>
      </c>
      <c r="B19" s="180" t="s">
        <v>1149</v>
      </c>
      <c r="C19" s="180">
        <v>100</v>
      </c>
      <c r="D19" s="180">
        <v>0</v>
      </c>
      <c r="E19" s="180">
        <v>0</v>
      </c>
      <c r="F19" s="180">
        <v>0</v>
      </c>
      <c r="G19" s="180">
        <v>1</v>
      </c>
      <c r="H19" s="180">
        <v>1</v>
      </c>
      <c r="I19" s="181">
        <v>0</v>
      </c>
      <c r="J19" s="181">
        <v>0</v>
      </c>
      <c r="K19" s="181">
        <v>0</v>
      </c>
      <c r="L19" s="181">
        <v>0</v>
      </c>
      <c r="M19" s="181">
        <v>1</v>
      </c>
      <c r="N19" s="181">
        <v>0</v>
      </c>
      <c r="O19" s="180" t="s">
        <v>1211</v>
      </c>
      <c r="P19" s="119">
        <f t="shared" si="6"/>
        <v>99</v>
      </c>
      <c r="Q19" s="119">
        <f t="shared" si="7"/>
        <v>1</v>
      </c>
      <c r="R19" s="119">
        <f t="shared" si="8"/>
        <v>0</v>
      </c>
      <c r="S19" s="119">
        <f t="shared" si="3"/>
        <v>0</v>
      </c>
      <c r="T19" s="119">
        <f t="shared" si="4"/>
        <v>1</v>
      </c>
      <c r="U19" s="180" t="s">
        <v>1210</v>
      </c>
      <c r="V19" s="180"/>
      <c r="W19" s="115" t="str">
        <f t="shared" ca="1" si="5"/>
        <v>ModelInfo.rg(UTID_TORRENT_TOTEM,ATT_NON,99,1,0,0,0,0,0,1,0,CAREER_TYPE_MINION,"ReplaceableTextures\\CommandButtons\\BTNStaffOfNegation.blp");</v>
      </c>
    </row>
    <row r="20" spans="1:23">
      <c r="A20" s="116" t="s">
        <v>1209</v>
      </c>
      <c r="B20" s="116" t="s">
        <v>1196</v>
      </c>
      <c r="C20" s="116">
        <v>1000</v>
      </c>
      <c r="D20" s="116">
        <v>19</v>
      </c>
      <c r="E20" s="116">
        <v>27</v>
      </c>
      <c r="F20" s="116">
        <v>20</v>
      </c>
      <c r="G20" s="116">
        <v>78</v>
      </c>
      <c r="H20" s="116">
        <v>110</v>
      </c>
      <c r="I20" s="117">
        <v>7</v>
      </c>
      <c r="J20" s="117">
        <v>0.1</v>
      </c>
      <c r="K20" s="117">
        <v>0</v>
      </c>
      <c r="L20" s="117">
        <v>0</v>
      </c>
      <c r="M20" s="117">
        <v>1</v>
      </c>
      <c r="N20" s="117">
        <v>0.2</v>
      </c>
      <c r="O20" s="116" t="s">
        <v>1206</v>
      </c>
      <c r="P20" s="119">
        <f t="shared" si="6"/>
        <v>809</v>
      </c>
      <c r="Q20" s="119">
        <f t="shared" si="7"/>
        <v>51</v>
      </c>
      <c r="R20" s="119">
        <f t="shared" si="8"/>
        <v>32</v>
      </c>
      <c r="S20" s="119">
        <f t="shared" si="3"/>
        <v>50</v>
      </c>
      <c r="T20" s="119">
        <f t="shared" si="4"/>
        <v>33</v>
      </c>
      <c r="U20" s="116" t="s">
        <v>1208</v>
      </c>
      <c r="V20" s="116"/>
      <c r="W20" s="115" t="str">
        <f t="shared" ca="1" si="5"/>
        <v>ModelInfo.rg(UTIDROGUE,ATT_AGI,809,51,32,7,0.1,0,0,1,0.2,CAREER_TYPE_DPS,"ReplaceableTextures\\CommandButtons\\BTNHeroDemonHunter.blp");</v>
      </c>
    </row>
    <row r="21" spans="1:23">
      <c r="A21" s="116" t="s">
        <v>1207</v>
      </c>
      <c r="B21" s="116" t="s">
        <v>1174</v>
      </c>
      <c r="C21" s="116">
        <v>800</v>
      </c>
      <c r="D21" s="116">
        <v>18</v>
      </c>
      <c r="E21" s="116">
        <v>9</v>
      </c>
      <c r="F21" s="116">
        <v>35</v>
      </c>
      <c r="G21" s="116">
        <v>37</v>
      </c>
      <c r="H21" s="116">
        <v>43</v>
      </c>
      <c r="I21" s="117">
        <v>3</v>
      </c>
      <c r="J21" s="117">
        <v>0.05</v>
      </c>
      <c r="K21" s="117">
        <v>0</v>
      </c>
      <c r="L21" s="117">
        <v>0</v>
      </c>
      <c r="M21" s="117">
        <v>1</v>
      </c>
      <c r="N21" s="117">
        <v>0.05</v>
      </c>
      <c r="O21" s="116" t="s">
        <v>1206</v>
      </c>
      <c r="P21" s="119">
        <f t="shared" si="6"/>
        <v>619</v>
      </c>
      <c r="Q21" s="119">
        <f t="shared" si="7"/>
        <v>2</v>
      </c>
      <c r="R21" s="119">
        <f t="shared" si="8"/>
        <v>6</v>
      </c>
      <c r="S21" s="119">
        <f t="shared" si="3"/>
        <v>1</v>
      </c>
      <c r="T21" s="119">
        <f t="shared" si="4"/>
        <v>7</v>
      </c>
      <c r="U21" s="116" t="s">
        <v>1205</v>
      </c>
      <c r="V21" s="116"/>
      <c r="W21" s="115" t="str">
        <f t="shared" ca="1" si="5"/>
        <v>ModelInfo.rg(UTIDHEATHEN,ATT_INT,619,2,6,3,0.05,0,0,1,0.05,CAREER_TYPE_DPS,"ReplaceableTextures\\CommandButtons\\BTNKelThuzad.blp");</v>
      </c>
    </row>
    <row r="22" spans="1:23">
      <c r="A22" s="118" t="s">
        <v>1204</v>
      </c>
      <c r="B22" s="118" t="s">
        <v>1174</v>
      </c>
      <c r="C22" s="118">
        <v>75000</v>
      </c>
      <c r="D22" s="118">
        <v>20</v>
      </c>
      <c r="E22" s="118">
        <v>20</v>
      </c>
      <c r="F22" s="118">
        <v>20</v>
      </c>
      <c r="G22" s="118">
        <v>275</v>
      </c>
      <c r="H22" s="118">
        <v>350</v>
      </c>
      <c r="I22" s="120">
        <v>5</v>
      </c>
      <c r="J22" s="120">
        <v>0.05</v>
      </c>
      <c r="K22" s="120">
        <v>0</v>
      </c>
      <c r="L22" s="120">
        <v>0</v>
      </c>
      <c r="M22" s="120">
        <v>1</v>
      </c>
      <c r="N22" s="120">
        <v>0.03</v>
      </c>
      <c r="O22" s="118" t="s">
        <v>1170</v>
      </c>
      <c r="P22" s="119">
        <f t="shared" si="6"/>
        <v>74799</v>
      </c>
      <c r="Q22" s="119">
        <f t="shared" si="7"/>
        <v>255</v>
      </c>
      <c r="R22" s="119">
        <f t="shared" si="8"/>
        <v>75</v>
      </c>
      <c r="S22" s="119">
        <f t="shared" si="3"/>
        <v>254</v>
      </c>
      <c r="T22" s="119">
        <f t="shared" si="4"/>
        <v>76</v>
      </c>
      <c r="U22" s="118" t="s">
        <v>1202</v>
      </c>
      <c r="V22" s="118" t="s">
        <v>1184</v>
      </c>
      <c r="W22" s="115" t="str">
        <f t="shared" ca="1" si="5"/>
        <v>ModelInfo.rg(UTID_ARCH_TINKER,ATT_INT,74799,255,75,5,0.05,0,0,1,0.03,CAREER_TYPE_BOSS,"ReplaceableTextures\\CommandButtons\\BTNHeroTinker.blp").setScale(1.7);</v>
      </c>
    </row>
    <row r="23" spans="1:23">
      <c r="A23" s="118" t="s">
        <v>1203</v>
      </c>
      <c r="B23" s="118" t="s">
        <v>1174</v>
      </c>
      <c r="C23" s="118">
        <v>75000</v>
      </c>
      <c r="D23" s="118">
        <v>20</v>
      </c>
      <c r="E23" s="118">
        <v>20</v>
      </c>
      <c r="F23" s="118">
        <v>20</v>
      </c>
      <c r="G23" s="118">
        <v>275</v>
      </c>
      <c r="H23" s="118">
        <v>350</v>
      </c>
      <c r="I23" s="120">
        <v>5</v>
      </c>
      <c r="J23" s="120">
        <v>0.05</v>
      </c>
      <c r="K23" s="120">
        <v>0</v>
      </c>
      <c r="L23" s="120">
        <v>0</v>
      </c>
      <c r="M23" s="120">
        <v>1</v>
      </c>
      <c r="N23" s="120">
        <v>0.03</v>
      </c>
      <c r="O23" s="118" t="s">
        <v>1170</v>
      </c>
      <c r="P23" s="119">
        <f t="shared" si="6"/>
        <v>74799</v>
      </c>
      <c r="Q23" s="119">
        <f t="shared" si="7"/>
        <v>255</v>
      </c>
      <c r="R23" s="119">
        <f t="shared" si="8"/>
        <v>75</v>
      </c>
      <c r="S23" s="119">
        <f t="shared" si="3"/>
        <v>254</v>
      </c>
      <c r="T23" s="119">
        <f t="shared" si="4"/>
        <v>76</v>
      </c>
      <c r="U23" s="118" t="s">
        <v>1202</v>
      </c>
      <c r="V23" s="118" t="s">
        <v>1184</v>
      </c>
      <c r="W23" s="115" t="str">
        <f t="shared" ca="1" si="5"/>
        <v>ModelInfo.rg(UTID_ARCH_TINKER_MORPH,ATT_INT,74799,255,75,5,0.05,0,0,1,0.03,CAREER_TYPE_BOSS,"ReplaceableTextures\\CommandButtons\\BTNHeroTinker.blp").setScale(1.7);</v>
      </c>
    </row>
    <row r="24" spans="1:23">
      <c r="A24" s="118" t="s">
        <v>1201</v>
      </c>
      <c r="B24" s="118" t="s">
        <v>1149</v>
      </c>
      <c r="C24" s="118">
        <v>2000</v>
      </c>
      <c r="D24" s="118">
        <v>0</v>
      </c>
      <c r="E24" s="118">
        <v>0</v>
      </c>
      <c r="F24" s="118">
        <v>0</v>
      </c>
      <c r="G24" s="118">
        <v>1</v>
      </c>
      <c r="H24" s="118">
        <v>1</v>
      </c>
      <c r="I24" s="120">
        <v>0</v>
      </c>
      <c r="J24" s="120">
        <v>0</v>
      </c>
      <c r="K24" s="120">
        <v>0</v>
      </c>
      <c r="L24" s="120">
        <v>0</v>
      </c>
      <c r="M24" s="120">
        <v>1</v>
      </c>
      <c r="N24" s="120">
        <v>0</v>
      </c>
      <c r="O24" s="118" t="s">
        <v>1148</v>
      </c>
      <c r="P24" s="119">
        <f t="shared" si="6"/>
        <v>1999</v>
      </c>
      <c r="Q24" s="119">
        <f t="shared" si="7"/>
        <v>1</v>
      </c>
      <c r="R24" s="119">
        <f t="shared" si="8"/>
        <v>0</v>
      </c>
      <c r="S24" s="119">
        <f t="shared" si="3"/>
        <v>0</v>
      </c>
      <c r="T24" s="119">
        <f t="shared" si="4"/>
        <v>1</v>
      </c>
      <c r="U24" s="118" t="s">
        <v>1200</v>
      </c>
      <c r="V24" s="118"/>
      <c r="W24" s="115" t="str">
        <f t="shared" ca="1" si="5"/>
        <v>ModelInfo.rg(UTID_POCKET_FACTORY,ATT_NON,1999,1,0,0,0,0,0,1,0,CAREER_TYPE_CREEP,"ReplaceableTextures\\CommandButtons\\BTNPocketFactory.blp");</v>
      </c>
    </row>
    <row r="25" spans="1:23">
      <c r="A25" s="118" t="s">
        <v>1199</v>
      </c>
      <c r="B25" s="118" t="s">
        <v>1149</v>
      </c>
      <c r="C25" s="118">
        <v>10000</v>
      </c>
      <c r="D25" s="118">
        <v>0</v>
      </c>
      <c r="E25" s="118">
        <v>0</v>
      </c>
      <c r="F25" s="118">
        <v>0</v>
      </c>
      <c r="G25" s="118">
        <v>10</v>
      </c>
      <c r="H25" s="118">
        <v>50</v>
      </c>
      <c r="I25" s="120">
        <v>0</v>
      </c>
      <c r="J25" s="120">
        <v>0</v>
      </c>
      <c r="K25" s="120">
        <v>0</v>
      </c>
      <c r="L25" s="120">
        <v>0</v>
      </c>
      <c r="M25" s="120">
        <v>1</v>
      </c>
      <c r="N25" s="120">
        <v>0.1</v>
      </c>
      <c r="O25" s="118" t="s">
        <v>1148</v>
      </c>
      <c r="P25" s="119">
        <f t="shared" si="6"/>
        <v>9999</v>
      </c>
      <c r="Q25" s="119">
        <f t="shared" si="7"/>
        <v>10</v>
      </c>
      <c r="R25" s="119">
        <f t="shared" si="8"/>
        <v>40</v>
      </c>
      <c r="S25" s="119">
        <f t="shared" si="3"/>
        <v>9</v>
      </c>
      <c r="T25" s="119">
        <f t="shared" si="4"/>
        <v>41</v>
      </c>
      <c r="U25" s="118" t="s">
        <v>1198</v>
      </c>
      <c r="V25" s="118"/>
      <c r="W25" s="115" t="str">
        <f t="shared" ca="1" si="5"/>
        <v>ModelInfo.rg(UTID_CLOCKWORK_GOBLIN,ATT_NON,9999,10,40,0,0,0,0,1,0.1,CAREER_TYPE_CREEP,"ReplaceableTextures\\CommandButtons\\BTNClockWerkGoblin.blp");</v>
      </c>
    </row>
    <row r="26" spans="1:23">
      <c r="A26" s="121" t="s">
        <v>1197</v>
      </c>
      <c r="B26" s="121" t="s">
        <v>1196</v>
      </c>
      <c r="C26" s="121">
        <v>155000</v>
      </c>
      <c r="D26" s="121">
        <v>10</v>
      </c>
      <c r="E26" s="121">
        <v>10</v>
      </c>
      <c r="F26" s="121">
        <v>10</v>
      </c>
      <c r="G26" s="121">
        <v>500</v>
      </c>
      <c r="H26" s="121">
        <v>800</v>
      </c>
      <c r="I26" s="122">
        <v>5</v>
      </c>
      <c r="J26" s="122">
        <v>0.05</v>
      </c>
      <c r="K26" s="122">
        <v>0</v>
      </c>
      <c r="L26" s="122">
        <v>0</v>
      </c>
      <c r="M26" s="122">
        <v>1</v>
      </c>
      <c r="N26" s="122">
        <v>0.03</v>
      </c>
      <c r="O26" s="121" t="s">
        <v>1170</v>
      </c>
      <c r="P26" s="119">
        <f t="shared" si="6"/>
        <v>154899</v>
      </c>
      <c r="Q26" s="119">
        <f t="shared" si="7"/>
        <v>490</v>
      </c>
      <c r="R26" s="119">
        <f t="shared" si="8"/>
        <v>300</v>
      </c>
      <c r="S26" s="119">
        <f t="shared" si="3"/>
        <v>489</v>
      </c>
      <c r="T26" s="119">
        <f t="shared" si="4"/>
        <v>301</v>
      </c>
      <c r="U26" s="121" t="s">
        <v>1195</v>
      </c>
      <c r="V26" s="121" t="s">
        <v>1184</v>
      </c>
      <c r="W26" s="115" t="str">
        <f t="shared" ca="1" si="5"/>
        <v>ModelInfo.rg(UTIDNAGASEAWITCH,ATT_AGI,154899,490,300,5,0.05,0,0,1,0.03,CAREER_TYPE_BOSS,"ReplaceableTextures\\CommandButtons\\BTNNagaSeaWitch.blp").setScale(1.7);</v>
      </c>
    </row>
    <row r="27" spans="1:23">
      <c r="A27" s="121" t="s">
        <v>1194</v>
      </c>
      <c r="B27" s="121" t="s">
        <v>1149</v>
      </c>
      <c r="C27" s="121">
        <v>1500</v>
      </c>
      <c r="D27" s="121">
        <v>0</v>
      </c>
      <c r="E27" s="121">
        <v>0</v>
      </c>
      <c r="F27" s="121">
        <v>0</v>
      </c>
      <c r="G27" s="121">
        <v>21</v>
      </c>
      <c r="H27" s="121">
        <v>80</v>
      </c>
      <c r="I27" s="122">
        <v>5</v>
      </c>
      <c r="J27" s="122">
        <v>0.05</v>
      </c>
      <c r="K27" s="122">
        <v>0</v>
      </c>
      <c r="L27" s="122">
        <v>0</v>
      </c>
      <c r="M27" s="122">
        <v>1</v>
      </c>
      <c r="N27" s="122">
        <v>0.1</v>
      </c>
      <c r="O27" s="121" t="s">
        <v>1148</v>
      </c>
      <c r="P27" s="119">
        <f t="shared" si="6"/>
        <v>1499</v>
      </c>
      <c r="Q27" s="119">
        <f t="shared" si="7"/>
        <v>21</v>
      </c>
      <c r="R27" s="119">
        <f t="shared" si="8"/>
        <v>59</v>
      </c>
      <c r="S27" s="119">
        <f t="shared" si="3"/>
        <v>20</v>
      </c>
      <c r="T27" s="119">
        <f t="shared" si="4"/>
        <v>60</v>
      </c>
      <c r="U27" s="121" t="s">
        <v>1151</v>
      </c>
      <c r="V27" s="121"/>
      <c r="W27" s="115" t="str">
        <f t="shared" ca="1" si="5"/>
        <v>ModelInfo.rg(UTID_FLYING_SERPENT,ATT_NON,1499,21,59,5,0.05,0,0,1,0.1,CAREER_TYPE_CREEP,"ReplaceableTextures\\CommandButtons\\BTNWindSerpent.blp");</v>
      </c>
    </row>
    <row r="28" spans="1:23">
      <c r="A28" s="118" t="s">
        <v>1193</v>
      </c>
      <c r="B28" s="118" t="s">
        <v>1171</v>
      </c>
      <c r="C28" s="118">
        <v>210000</v>
      </c>
      <c r="D28" s="118">
        <v>40</v>
      </c>
      <c r="E28" s="118">
        <v>10</v>
      </c>
      <c r="F28" s="118">
        <v>10</v>
      </c>
      <c r="G28" s="118">
        <v>700</v>
      </c>
      <c r="H28" s="118">
        <v>1100</v>
      </c>
      <c r="I28" s="120">
        <v>5</v>
      </c>
      <c r="J28" s="120">
        <v>0.05</v>
      </c>
      <c r="K28" s="120">
        <v>0</v>
      </c>
      <c r="L28" s="120">
        <v>0</v>
      </c>
      <c r="M28" s="120">
        <v>1</v>
      </c>
      <c r="N28" s="120">
        <v>0.03</v>
      </c>
      <c r="O28" s="118" t="s">
        <v>1170</v>
      </c>
      <c r="P28" s="119">
        <f t="shared" si="6"/>
        <v>209599</v>
      </c>
      <c r="Q28" s="119">
        <f t="shared" si="7"/>
        <v>660</v>
      </c>
      <c r="R28" s="119">
        <f t="shared" si="8"/>
        <v>400</v>
      </c>
      <c r="S28" s="119">
        <f t="shared" si="3"/>
        <v>659</v>
      </c>
      <c r="T28" s="119">
        <f t="shared" si="4"/>
        <v>401</v>
      </c>
      <c r="U28" s="118" t="s">
        <v>1157</v>
      </c>
      <c r="V28" s="118"/>
      <c r="W28" s="115" t="str">
        <f t="shared" ca="1" si="5"/>
        <v>ModelInfo.rg(UTIDTIDEBARON,ATT_STR,209599,660,400,5,0.05,0,0,1,0.03,CAREER_TYPE_BOSS,"ReplaceableTextures\\CommandButtons\\BTNNagaMyrmidonRoyalGuard.blp");</v>
      </c>
    </row>
    <row r="29" spans="1:23">
      <c r="A29" s="118" t="s">
        <v>1192</v>
      </c>
      <c r="B29" s="118" t="s">
        <v>1171</v>
      </c>
      <c r="C29" s="118">
        <v>210000</v>
      </c>
      <c r="D29" s="118">
        <v>40</v>
      </c>
      <c r="E29" s="118">
        <v>10</v>
      </c>
      <c r="F29" s="118">
        <v>10</v>
      </c>
      <c r="G29" s="118">
        <v>350</v>
      </c>
      <c r="H29" s="118">
        <v>500</v>
      </c>
      <c r="I29" s="120">
        <v>40</v>
      </c>
      <c r="J29" s="120">
        <v>0.1</v>
      </c>
      <c r="K29" s="120">
        <v>0</v>
      </c>
      <c r="L29" s="120">
        <v>0</v>
      </c>
      <c r="M29" s="120">
        <v>1</v>
      </c>
      <c r="N29" s="120">
        <v>0.03</v>
      </c>
      <c r="O29" s="118" t="s">
        <v>1170</v>
      </c>
      <c r="P29" s="119">
        <f t="shared" si="6"/>
        <v>209599</v>
      </c>
      <c r="Q29" s="119">
        <f t="shared" si="7"/>
        <v>310</v>
      </c>
      <c r="R29" s="119">
        <f t="shared" si="8"/>
        <v>150</v>
      </c>
      <c r="S29" s="119">
        <f t="shared" si="3"/>
        <v>309</v>
      </c>
      <c r="T29" s="119">
        <f t="shared" si="4"/>
        <v>151</v>
      </c>
      <c r="U29" s="118" t="s">
        <v>1191</v>
      </c>
      <c r="V29" s="118"/>
      <c r="W29" s="115" t="str">
        <f t="shared" ca="1" si="5"/>
        <v>ModelInfo.rg(UTIDTIDEBARONWATER,ATT_STR,209599,310,150,40,0.1,0,0,1,0.03,CAREER_TYPE_BOSS,"ReplaceableTextures\\CommandButtons\\BTNSeaElemental.blp");</v>
      </c>
    </row>
    <row r="30" spans="1:23">
      <c r="A30" s="121" t="s">
        <v>1190</v>
      </c>
      <c r="B30" s="121" t="s">
        <v>1174</v>
      </c>
      <c r="C30" s="121">
        <v>400000</v>
      </c>
      <c r="D30" s="121">
        <v>10</v>
      </c>
      <c r="E30" s="121">
        <v>10</v>
      </c>
      <c r="F30" s="121">
        <v>30</v>
      </c>
      <c r="G30" s="121">
        <v>1000</v>
      </c>
      <c r="H30" s="121">
        <v>1500</v>
      </c>
      <c r="I30" s="122">
        <v>5</v>
      </c>
      <c r="J30" s="122">
        <v>0.05</v>
      </c>
      <c r="K30" s="122">
        <v>0</v>
      </c>
      <c r="L30" s="122">
        <v>0</v>
      </c>
      <c r="M30" s="122">
        <v>1</v>
      </c>
      <c r="N30" s="122">
        <v>0.03</v>
      </c>
      <c r="O30" s="121" t="s">
        <v>1170</v>
      </c>
      <c r="P30" s="119">
        <f t="shared" si="6"/>
        <v>399899</v>
      </c>
      <c r="Q30" s="119">
        <f t="shared" si="7"/>
        <v>970</v>
      </c>
      <c r="R30" s="119">
        <f t="shared" si="8"/>
        <v>500</v>
      </c>
      <c r="S30" s="119">
        <f t="shared" si="3"/>
        <v>969</v>
      </c>
      <c r="T30" s="119">
        <f t="shared" si="4"/>
        <v>501</v>
      </c>
      <c r="U30" s="121" t="s">
        <v>1189</v>
      </c>
      <c r="V30" s="121"/>
      <c r="W30" s="115" t="str">
        <f t="shared" ca="1" si="5"/>
        <v>ModelInfo.rg(UTIDWARLOCK,ATT_INT,399899,970,500,5,0.05,0,0,1,0.03,CAREER_TYPE_BOSS,"ReplaceableTextures\\CommandButtons\\BTNOrcWarlock.blp");</v>
      </c>
    </row>
    <row r="31" spans="1:23">
      <c r="A31" s="121" t="s">
        <v>1188</v>
      </c>
      <c r="B31" s="121" t="s">
        <v>1149</v>
      </c>
      <c r="C31" s="121">
        <v>800</v>
      </c>
      <c r="D31" s="121">
        <v>0</v>
      </c>
      <c r="E31" s="121">
        <v>0</v>
      </c>
      <c r="F31" s="121">
        <v>0</v>
      </c>
      <c r="G31" s="121">
        <v>50</v>
      </c>
      <c r="H31" s="121">
        <v>50</v>
      </c>
      <c r="I31" s="122">
        <v>0</v>
      </c>
      <c r="J31" s="122">
        <v>0.05</v>
      </c>
      <c r="K31" s="122">
        <v>0</v>
      </c>
      <c r="L31" s="122">
        <v>0</v>
      </c>
      <c r="M31" s="122">
        <v>1</v>
      </c>
      <c r="N31" s="122">
        <v>0.05</v>
      </c>
      <c r="O31" s="121" t="s">
        <v>1148</v>
      </c>
      <c r="P31" s="119">
        <f t="shared" si="6"/>
        <v>799</v>
      </c>
      <c r="Q31" s="119">
        <f t="shared" si="7"/>
        <v>50</v>
      </c>
      <c r="R31" s="119">
        <f t="shared" si="8"/>
        <v>0</v>
      </c>
      <c r="S31" s="119">
        <f t="shared" si="3"/>
        <v>49</v>
      </c>
      <c r="T31" s="119">
        <f t="shared" si="4"/>
        <v>1</v>
      </c>
      <c r="U31" s="121" t="s">
        <v>1187</v>
      </c>
      <c r="V31" s="121"/>
      <c r="W31" s="115" t="str">
        <f t="shared" ca="1" si="5"/>
        <v>ModelInfo.rg(UTID_LAVA_SPAWN,ATT_NON,799,50,0,0,0.05,0,0,1,0.05,CAREER_TYPE_CREEP,"ReplaceableTextures\\CommandButtons\\BTNLavaSpawn.blp");</v>
      </c>
    </row>
    <row r="32" spans="1:23">
      <c r="A32" s="118" t="s">
        <v>1186</v>
      </c>
      <c r="B32" s="118" t="s">
        <v>1171</v>
      </c>
      <c r="C32" s="118">
        <v>450000</v>
      </c>
      <c r="D32" s="118">
        <v>10</v>
      </c>
      <c r="E32" s="118">
        <v>10</v>
      </c>
      <c r="F32" s="118">
        <v>10</v>
      </c>
      <c r="G32" s="118">
        <v>750</v>
      </c>
      <c r="H32" s="118">
        <v>1250</v>
      </c>
      <c r="I32" s="120">
        <v>5</v>
      </c>
      <c r="J32" s="120">
        <v>0.05</v>
      </c>
      <c r="K32" s="120">
        <v>0</v>
      </c>
      <c r="L32" s="120">
        <v>0</v>
      </c>
      <c r="M32" s="120">
        <v>1</v>
      </c>
      <c r="N32" s="120">
        <v>0.03</v>
      </c>
      <c r="O32" s="118" t="s">
        <v>1170</v>
      </c>
      <c r="P32" s="119">
        <f t="shared" si="6"/>
        <v>449899</v>
      </c>
      <c r="Q32" s="119">
        <f t="shared" si="7"/>
        <v>740</v>
      </c>
      <c r="R32" s="119">
        <f t="shared" si="8"/>
        <v>500</v>
      </c>
      <c r="S32" s="119">
        <f t="shared" si="3"/>
        <v>739</v>
      </c>
      <c r="T32" s="119">
        <f t="shared" si="4"/>
        <v>501</v>
      </c>
      <c r="U32" s="118" t="s">
        <v>1185</v>
      </c>
      <c r="V32" s="118" t="s">
        <v>1184</v>
      </c>
      <c r="W32" s="115" t="str">
        <f t="shared" ca="1" si="5"/>
        <v>ModelInfo.rg(UTID_PIT_ARCHON,ATT_STR,449899,740,500,5,0.05,0,0,1,0.03,CAREER_TYPE_BOSS,"ReplaceableTextures\\CommandButtons\\BTNHeroCryptLord.blp").setScale(1.7);</v>
      </c>
    </row>
    <row r="33" spans="1:23">
      <c r="A33" s="118" t="s">
        <v>1183</v>
      </c>
      <c r="B33" s="118" t="s">
        <v>1149</v>
      </c>
      <c r="C33" s="118">
        <v>3000</v>
      </c>
      <c r="D33" s="118">
        <v>0</v>
      </c>
      <c r="E33" s="118">
        <v>0</v>
      </c>
      <c r="F33" s="118">
        <v>0</v>
      </c>
      <c r="G33" s="118">
        <v>100</v>
      </c>
      <c r="H33" s="118">
        <v>150</v>
      </c>
      <c r="I33" s="120">
        <v>0</v>
      </c>
      <c r="J33" s="120">
        <v>0</v>
      </c>
      <c r="K33" s="120">
        <v>0</v>
      </c>
      <c r="L33" s="120">
        <v>0</v>
      </c>
      <c r="M33" s="120">
        <v>1</v>
      </c>
      <c r="N33" s="120">
        <v>0</v>
      </c>
      <c r="O33" s="118" t="s">
        <v>1148</v>
      </c>
      <c r="P33" s="119">
        <f t="shared" si="6"/>
        <v>2999</v>
      </c>
      <c r="Q33" s="119">
        <f t="shared" si="7"/>
        <v>100</v>
      </c>
      <c r="R33" s="119">
        <f t="shared" si="8"/>
        <v>50</v>
      </c>
      <c r="S33" s="119">
        <f t="shared" si="3"/>
        <v>99</v>
      </c>
      <c r="T33" s="119">
        <f t="shared" si="4"/>
        <v>51</v>
      </c>
      <c r="U33" s="118" t="s">
        <v>1182</v>
      </c>
      <c r="V33" s="118"/>
      <c r="W33" s="115" t="str">
        <f t="shared" ca="1" si="5"/>
        <v>ModelInfo.rg(UTID_SPIKE,ATT_NON,2999,100,50,0,0,0,0,1,0,CAREER_TYPE_CREEP,"ReplaceableTextures\\CommandButtons\\BTNImpale.blp");</v>
      </c>
    </row>
    <row r="34" spans="1:23">
      <c r="A34" s="118" t="s">
        <v>1181</v>
      </c>
      <c r="B34" s="118" t="s">
        <v>1149</v>
      </c>
      <c r="C34" s="118">
        <v>5000</v>
      </c>
      <c r="D34" s="118">
        <v>0</v>
      </c>
      <c r="E34" s="118">
        <v>0</v>
      </c>
      <c r="F34" s="118">
        <v>0</v>
      </c>
      <c r="G34" s="118">
        <v>100</v>
      </c>
      <c r="H34" s="118">
        <v>300</v>
      </c>
      <c r="I34" s="120">
        <v>0</v>
      </c>
      <c r="J34" s="120">
        <v>0</v>
      </c>
      <c r="K34" s="120">
        <v>0</v>
      </c>
      <c r="L34" s="120">
        <v>0</v>
      </c>
      <c r="M34" s="120">
        <v>1</v>
      </c>
      <c r="N34" s="120">
        <v>0.05</v>
      </c>
      <c r="O34" s="118" t="s">
        <v>1148</v>
      </c>
      <c r="P34" s="119">
        <f t="shared" si="6"/>
        <v>4999</v>
      </c>
      <c r="Q34" s="119">
        <f t="shared" si="7"/>
        <v>100</v>
      </c>
      <c r="R34" s="119">
        <f t="shared" si="8"/>
        <v>200</v>
      </c>
      <c r="S34" s="119">
        <f t="shared" si="3"/>
        <v>99</v>
      </c>
      <c r="T34" s="119">
        <f t="shared" si="4"/>
        <v>201</v>
      </c>
      <c r="U34" s="118" t="s">
        <v>1180</v>
      </c>
      <c r="V34" s="118"/>
      <c r="W34" s="115" t="str">
        <f t="shared" ca="1" si="5"/>
        <v>ModelInfo.rg(UTID_POISONOUS_CRAWLER,ATT_NON,4999,100,200,0,0,0,0,1,0.05,CAREER_TYPE_CREEP,"ReplaceableTextures\\CommandButtons\\BTNCryptFiend.blp");</v>
      </c>
    </row>
    <row r="35" spans="1:23">
      <c r="A35" s="118" t="s">
        <v>1179</v>
      </c>
      <c r="B35" s="118" t="s">
        <v>1149</v>
      </c>
      <c r="C35" s="118">
        <v>20000</v>
      </c>
      <c r="D35" s="118">
        <v>0</v>
      </c>
      <c r="E35" s="118">
        <v>0</v>
      </c>
      <c r="F35" s="118">
        <v>0</v>
      </c>
      <c r="G35" s="118">
        <v>300</v>
      </c>
      <c r="H35" s="118">
        <v>500</v>
      </c>
      <c r="I35" s="120">
        <v>0</v>
      </c>
      <c r="J35" s="120">
        <v>0</v>
      </c>
      <c r="K35" s="120">
        <v>0</v>
      </c>
      <c r="L35" s="120">
        <v>0</v>
      </c>
      <c r="M35" s="120">
        <v>1</v>
      </c>
      <c r="N35" s="120">
        <v>0.15</v>
      </c>
      <c r="O35" s="118" t="s">
        <v>1148</v>
      </c>
      <c r="P35" s="119">
        <f t="shared" si="6"/>
        <v>19999</v>
      </c>
      <c r="Q35" s="119">
        <f t="shared" si="7"/>
        <v>300</v>
      </c>
      <c r="R35" s="119">
        <f t="shared" si="8"/>
        <v>200</v>
      </c>
      <c r="S35" s="119">
        <f t="shared" si="3"/>
        <v>299</v>
      </c>
      <c r="T35" s="119">
        <f t="shared" si="4"/>
        <v>201</v>
      </c>
      <c r="U35" s="118" t="s">
        <v>1178</v>
      </c>
      <c r="V35" s="118"/>
      <c r="W35" s="115" t="str">
        <f t="shared" ca="1" si="5"/>
        <v>ModelInfo.rg(UTID_ABOMINATION,ATT_NON,19999,300,200,0,0,0,0,1,0.15,CAREER_TYPE_CREEP,"ReplaceableTextures\\CommandButtons\\BTNAbomination.blp");</v>
      </c>
    </row>
    <row r="36" spans="1:23">
      <c r="A36" s="118" t="s">
        <v>1177</v>
      </c>
      <c r="B36" s="118" t="s">
        <v>1149</v>
      </c>
      <c r="C36" s="118">
        <v>500</v>
      </c>
      <c r="D36" s="118">
        <v>0</v>
      </c>
      <c r="E36" s="118">
        <v>0</v>
      </c>
      <c r="F36" s="118">
        <v>0</v>
      </c>
      <c r="G36" s="118">
        <v>5</v>
      </c>
      <c r="H36" s="118">
        <v>10</v>
      </c>
      <c r="I36" s="120">
        <v>0</v>
      </c>
      <c r="J36" s="120">
        <v>1</v>
      </c>
      <c r="K36" s="120">
        <v>0</v>
      </c>
      <c r="L36" s="120">
        <v>0</v>
      </c>
      <c r="M36" s="120">
        <v>0</v>
      </c>
      <c r="N36" s="120">
        <v>0</v>
      </c>
      <c r="O36" s="118" t="s">
        <v>1148</v>
      </c>
      <c r="P36" s="119">
        <f t="shared" si="6"/>
        <v>499</v>
      </c>
      <c r="Q36" s="119">
        <f t="shared" si="7"/>
        <v>5</v>
      </c>
      <c r="R36" s="119">
        <f t="shared" si="8"/>
        <v>5</v>
      </c>
      <c r="S36" s="119">
        <f t="shared" si="3"/>
        <v>4</v>
      </c>
      <c r="T36" s="119">
        <f t="shared" si="4"/>
        <v>6</v>
      </c>
      <c r="U36" s="118" t="s">
        <v>1176</v>
      </c>
      <c r="V36" s="118"/>
      <c r="W36" s="115" t="str">
        <f t="shared" ca="1" si="5"/>
        <v>ModelInfo.rg(UTID_WRAITH,ATT_NON,499,5,5,0,1,0,0,0,0,CAREER_TYPE_CREEP,"ReplaceableTextures\\CommandButtons\\BTNShade.blp");</v>
      </c>
    </row>
    <row r="37" spans="1:23">
      <c r="A37" s="121" t="s">
        <v>1175</v>
      </c>
      <c r="B37" s="121" t="s">
        <v>1174</v>
      </c>
      <c r="C37" s="121">
        <v>800000</v>
      </c>
      <c r="D37" s="121">
        <v>10</v>
      </c>
      <c r="E37" s="121">
        <v>10</v>
      </c>
      <c r="F37" s="121">
        <v>50</v>
      </c>
      <c r="G37" s="121">
        <v>1400</v>
      </c>
      <c r="H37" s="121">
        <v>2100</v>
      </c>
      <c r="I37" s="122">
        <v>5</v>
      </c>
      <c r="J37" s="122">
        <v>0.05</v>
      </c>
      <c r="K37" s="122">
        <v>0</v>
      </c>
      <c r="L37" s="122">
        <v>0</v>
      </c>
      <c r="M37" s="122">
        <v>1</v>
      </c>
      <c r="N37" s="122">
        <v>0.03</v>
      </c>
      <c r="O37" s="121" t="s">
        <v>1170</v>
      </c>
      <c r="P37" s="119">
        <f t="shared" si="6"/>
        <v>799899</v>
      </c>
      <c r="Q37" s="119">
        <f t="shared" si="7"/>
        <v>1350</v>
      </c>
      <c r="R37" s="119">
        <f t="shared" si="8"/>
        <v>700</v>
      </c>
      <c r="S37" s="119">
        <f t="shared" si="3"/>
        <v>1349</v>
      </c>
      <c r="T37" s="119">
        <f t="shared" si="4"/>
        <v>701</v>
      </c>
      <c r="U37" s="121" t="s">
        <v>1173</v>
      </c>
      <c r="V37" s="121"/>
      <c r="W37" s="115" t="str">
        <f t="shared" ca="1" si="5"/>
        <v>ModelInfo.rg(UTIDHEXLORD,ATT_INT,799899,1350,700,5,0.05,0,0,1,0.03,CAREER_TYPE_BOSS,"ReplaceableTextures\\CommandButtons\\BTNShadowHunter.blp");</v>
      </c>
    </row>
    <row r="38" spans="1:23">
      <c r="A38" s="118" t="s">
        <v>1172</v>
      </c>
      <c r="B38" s="118" t="s">
        <v>1171</v>
      </c>
      <c r="C38" s="118">
        <v>1500000</v>
      </c>
      <c r="D38" s="118">
        <v>50</v>
      </c>
      <c r="E38" s="118">
        <v>10</v>
      </c>
      <c r="F38" s="118">
        <v>50</v>
      </c>
      <c r="G38" s="118">
        <v>60</v>
      </c>
      <c r="H38" s="118">
        <v>100</v>
      </c>
      <c r="I38" s="120">
        <v>15</v>
      </c>
      <c r="J38" s="120">
        <v>0.05</v>
      </c>
      <c r="K38" s="120">
        <v>0.05</v>
      </c>
      <c r="L38" s="120">
        <v>100</v>
      </c>
      <c r="M38" s="120">
        <v>1</v>
      </c>
      <c r="N38" s="120">
        <v>0</v>
      </c>
      <c r="O38" s="118" t="s">
        <v>1170</v>
      </c>
      <c r="P38" s="119">
        <f t="shared" ref="P38:P59" si="9">C38-1-D38*10</f>
        <v>1499499</v>
      </c>
      <c r="Q38" s="119">
        <f t="shared" ref="Q38:Q59" si="10">G38-CHOOSE( IF( B38="ATT_AGI", 2, IF( B38="ATT_INT", 3, 1 ) ), D38, E38, F38 )</f>
        <v>10</v>
      </c>
      <c r="R38" s="119">
        <f t="shared" ref="R38:R59" si="11">H38-G38</f>
        <v>40</v>
      </c>
      <c r="S38" s="119">
        <f t="shared" si="3"/>
        <v>9</v>
      </c>
      <c r="T38" s="119">
        <f t="shared" si="4"/>
        <v>41</v>
      </c>
      <c r="U38" s="118" t="s">
        <v>1169</v>
      </c>
      <c r="V38" s="118"/>
      <c r="W38" s="115" t="str">
        <f t="shared" ca="1" si="5"/>
        <v>ModelInfo.rg(UTID_GOD_OF_DEATH,ATT_STR,1499499,10,40,15,0.05,0.05,100,1,0,CAREER_TYPE_BOSS,"ReplaceableTextures\\CommandButtons\\BTNForgottenOne.blp");</v>
      </c>
    </row>
    <row r="39" spans="1:23">
      <c r="A39" s="123" t="s">
        <v>1156</v>
      </c>
      <c r="B39" s="123" t="s">
        <v>1149</v>
      </c>
      <c r="C39" s="123">
        <v>8500</v>
      </c>
      <c r="D39" s="123">
        <v>0</v>
      </c>
      <c r="E39" s="123">
        <v>0</v>
      </c>
      <c r="F39" s="123">
        <v>0</v>
      </c>
      <c r="G39" s="123">
        <v>150</v>
      </c>
      <c r="H39" s="123">
        <v>250</v>
      </c>
      <c r="I39" s="124">
        <v>5</v>
      </c>
      <c r="J39" s="124">
        <v>0.05</v>
      </c>
      <c r="K39" s="124">
        <v>0</v>
      </c>
      <c r="L39" s="124">
        <v>0</v>
      </c>
      <c r="M39" s="124">
        <v>1</v>
      </c>
      <c r="N39" s="124">
        <v>0.05</v>
      </c>
      <c r="O39" s="123" t="s">
        <v>1148</v>
      </c>
      <c r="P39" s="119">
        <f t="shared" si="9"/>
        <v>8499</v>
      </c>
      <c r="Q39" s="119">
        <f t="shared" si="10"/>
        <v>150</v>
      </c>
      <c r="R39" s="119">
        <f t="shared" si="11"/>
        <v>100</v>
      </c>
      <c r="S39" s="119">
        <f t="shared" si="3"/>
        <v>149</v>
      </c>
      <c r="T39" s="119">
        <f t="shared" si="4"/>
        <v>101</v>
      </c>
      <c r="U39" s="123" t="s">
        <v>1155</v>
      </c>
      <c r="V39" s="123"/>
      <c r="W39" s="115" t="str">
        <f t="shared" ca="1" si="5"/>
        <v>ModelInfo.rg(UTID_SEA_LIZARD,ATT_NON,8499,150,100,5,0.05,0,0,1,0.05,CAREER_TYPE_CREEP,"ReplaceableTextures\\CommandButtons\\BTNSnapDragon.blp");</v>
      </c>
    </row>
    <row r="40" spans="1:23">
      <c r="A40" s="123" t="s">
        <v>1154</v>
      </c>
      <c r="B40" s="123" t="s">
        <v>1149</v>
      </c>
      <c r="C40" s="123">
        <v>5500</v>
      </c>
      <c r="D40" s="123">
        <v>0</v>
      </c>
      <c r="E40" s="123">
        <v>0</v>
      </c>
      <c r="F40" s="123">
        <v>0</v>
      </c>
      <c r="G40" s="123">
        <v>100</v>
      </c>
      <c r="H40" s="123">
        <v>150</v>
      </c>
      <c r="I40" s="124">
        <v>2</v>
      </c>
      <c r="J40" s="124">
        <v>0</v>
      </c>
      <c r="K40" s="124">
        <v>0.05</v>
      </c>
      <c r="L40" s="124">
        <v>20</v>
      </c>
      <c r="M40" s="124">
        <v>1</v>
      </c>
      <c r="N40" s="124">
        <v>0.02</v>
      </c>
      <c r="O40" s="123" t="s">
        <v>1148</v>
      </c>
      <c r="P40" s="119">
        <f t="shared" si="9"/>
        <v>5499</v>
      </c>
      <c r="Q40" s="119">
        <f t="shared" si="10"/>
        <v>100</v>
      </c>
      <c r="R40" s="119">
        <f t="shared" si="11"/>
        <v>50</v>
      </c>
      <c r="S40" s="119">
        <f t="shared" si="3"/>
        <v>99</v>
      </c>
      <c r="T40" s="119">
        <f t="shared" si="4"/>
        <v>51</v>
      </c>
      <c r="U40" s="123" t="s">
        <v>1153</v>
      </c>
      <c r="V40" s="123"/>
      <c r="W40" s="115" t="str">
        <f t="shared" ca="1" si="5"/>
        <v>ModelInfo.rg(UTID_MURLOC_SLAVE,ATT_NON,5499,100,50,2,0,0.05,20,1,0.02,CAREER_TYPE_CREEP,"ReplaceableTextures\\CommandButtons\\BTNMurgalSlave.blp");</v>
      </c>
    </row>
    <row r="41" spans="1:23">
      <c r="A41" s="123" t="s">
        <v>1168</v>
      </c>
      <c r="B41" s="123" t="s">
        <v>1149</v>
      </c>
      <c r="C41" s="123">
        <v>13500</v>
      </c>
      <c r="D41" s="123">
        <v>0</v>
      </c>
      <c r="E41" s="123">
        <v>0</v>
      </c>
      <c r="F41" s="123">
        <v>0</v>
      </c>
      <c r="G41" s="123">
        <v>250</v>
      </c>
      <c r="H41" s="123">
        <v>350</v>
      </c>
      <c r="I41" s="124">
        <v>5</v>
      </c>
      <c r="J41" s="124">
        <v>0.05</v>
      </c>
      <c r="K41" s="124">
        <v>0</v>
      </c>
      <c r="L41" s="124">
        <v>0</v>
      </c>
      <c r="M41" s="124">
        <v>1</v>
      </c>
      <c r="N41" s="124">
        <v>0</v>
      </c>
      <c r="O41" s="123" t="s">
        <v>1148</v>
      </c>
      <c r="P41" s="119">
        <f t="shared" si="9"/>
        <v>13499</v>
      </c>
      <c r="Q41" s="119">
        <f t="shared" si="10"/>
        <v>250</v>
      </c>
      <c r="R41" s="119">
        <f t="shared" si="11"/>
        <v>100</v>
      </c>
      <c r="S41" s="119">
        <f t="shared" si="3"/>
        <v>249</v>
      </c>
      <c r="T41" s="119">
        <f t="shared" si="4"/>
        <v>101</v>
      </c>
      <c r="U41" s="123" t="s">
        <v>1167</v>
      </c>
      <c r="V41" s="123"/>
      <c r="W41" s="115" t="str">
        <f t="shared" ca="1" si="5"/>
        <v>ModelInfo.rg(UTID_NAGA_SIREN,ATT_NON,13499,250,100,5,0.05,0,0,1,0,CAREER_TYPE_CREEP,"ReplaceableTextures\\CommandButtons\\BTNSeaWitch.blp");</v>
      </c>
    </row>
    <row r="42" spans="1:23">
      <c r="A42" s="123" t="s">
        <v>1166</v>
      </c>
      <c r="B42" s="123" t="s">
        <v>1149</v>
      </c>
      <c r="C42" s="123">
        <v>13500</v>
      </c>
      <c r="D42" s="123">
        <v>0</v>
      </c>
      <c r="E42" s="123">
        <v>0</v>
      </c>
      <c r="F42" s="123">
        <v>0</v>
      </c>
      <c r="G42" s="123">
        <v>200</v>
      </c>
      <c r="H42" s="123">
        <v>300</v>
      </c>
      <c r="I42" s="124">
        <v>5</v>
      </c>
      <c r="J42" s="124">
        <v>0.05</v>
      </c>
      <c r="K42" s="124">
        <v>0</v>
      </c>
      <c r="L42" s="124">
        <v>0</v>
      </c>
      <c r="M42" s="124">
        <v>1</v>
      </c>
      <c r="N42" s="124">
        <v>0</v>
      </c>
      <c r="O42" s="123" t="s">
        <v>1148</v>
      </c>
      <c r="P42" s="119">
        <f t="shared" si="9"/>
        <v>13499</v>
      </c>
      <c r="Q42" s="119">
        <f t="shared" si="10"/>
        <v>200</v>
      </c>
      <c r="R42" s="119">
        <f t="shared" si="11"/>
        <v>100</v>
      </c>
      <c r="S42" s="119">
        <f t="shared" si="3"/>
        <v>199</v>
      </c>
      <c r="T42" s="119">
        <f t="shared" si="4"/>
        <v>101</v>
      </c>
      <c r="U42" s="123" t="s">
        <v>1165</v>
      </c>
      <c r="V42" s="123"/>
      <c r="W42" s="115" t="str">
        <f t="shared" ca="1" si="5"/>
        <v>ModelInfo.rg(UTID_NAGA_TIDE_PRIEST,ATT_NON,13499,200,100,5,0.05,0,0,1,0,CAREER_TYPE_CREEP,"ReplaceableTextures\\CommandButtons\\BTNNagaSummoner.blp");</v>
      </c>
    </row>
    <row r="43" spans="1:23">
      <c r="A43" s="123" t="s">
        <v>1164</v>
      </c>
      <c r="B43" s="123" t="s">
        <v>1149</v>
      </c>
      <c r="C43" s="123">
        <v>250</v>
      </c>
      <c r="D43" s="123">
        <v>0</v>
      </c>
      <c r="E43" s="123">
        <v>0</v>
      </c>
      <c r="F43" s="123">
        <v>0</v>
      </c>
      <c r="G43" s="123">
        <v>1</v>
      </c>
      <c r="H43" s="123">
        <v>1</v>
      </c>
      <c r="I43" s="124">
        <v>0</v>
      </c>
      <c r="J43" s="124">
        <v>0</v>
      </c>
      <c r="K43" s="124">
        <v>0</v>
      </c>
      <c r="L43" s="124">
        <v>0</v>
      </c>
      <c r="M43" s="124">
        <v>1</v>
      </c>
      <c r="N43" s="124">
        <v>0</v>
      </c>
      <c r="O43" s="123" t="s">
        <v>1148</v>
      </c>
      <c r="P43" s="119">
        <f t="shared" si="9"/>
        <v>249</v>
      </c>
      <c r="Q43" s="119">
        <f t="shared" si="10"/>
        <v>1</v>
      </c>
      <c r="R43" s="119">
        <f t="shared" si="11"/>
        <v>0</v>
      </c>
      <c r="S43" s="119">
        <f t="shared" si="3"/>
        <v>0</v>
      </c>
      <c r="T43" s="119">
        <f t="shared" si="4"/>
        <v>1</v>
      </c>
      <c r="U43" s="123" t="s">
        <v>1163</v>
      </c>
      <c r="V43" s="123"/>
      <c r="W43" s="115" t="str">
        <f t="shared" ca="1" si="5"/>
        <v>ModelInfo.rg(UTID_NTR_HEALING_WARD,ATT_NON,249,1,0,0,0,0,0,1,0,CAREER_TYPE_CREEP,"ReplaceableTextures\\CommandButtons\\BTNHealingWard.blp");</v>
      </c>
    </row>
    <row r="44" spans="1:23">
      <c r="A44" s="123" t="s">
        <v>1162</v>
      </c>
      <c r="B44" s="123" t="s">
        <v>1149</v>
      </c>
      <c r="C44" s="123">
        <v>250</v>
      </c>
      <c r="D44" s="123">
        <v>0</v>
      </c>
      <c r="E44" s="123">
        <v>0</v>
      </c>
      <c r="F44" s="123">
        <v>0</v>
      </c>
      <c r="G44" s="123">
        <v>1</v>
      </c>
      <c r="H44" s="123">
        <v>1</v>
      </c>
      <c r="I44" s="124">
        <v>0</v>
      </c>
      <c r="J44" s="124">
        <v>0</v>
      </c>
      <c r="K44" s="124">
        <v>0</v>
      </c>
      <c r="L44" s="124">
        <v>0</v>
      </c>
      <c r="M44" s="124">
        <v>1</v>
      </c>
      <c r="N44" s="124">
        <v>0</v>
      </c>
      <c r="O44" s="123" t="s">
        <v>1148</v>
      </c>
      <c r="P44" s="119">
        <f t="shared" si="9"/>
        <v>249</v>
      </c>
      <c r="Q44" s="119">
        <f t="shared" si="10"/>
        <v>1</v>
      </c>
      <c r="R44" s="119">
        <f t="shared" si="11"/>
        <v>0</v>
      </c>
      <c r="S44" s="119">
        <f t="shared" si="3"/>
        <v>0</v>
      </c>
      <c r="T44" s="119">
        <f t="shared" si="4"/>
        <v>1</v>
      </c>
      <c r="U44" s="123" t="s">
        <v>1161</v>
      </c>
      <c r="V44" s="123"/>
      <c r="W44" s="115" t="str">
        <f t="shared" ca="1" si="5"/>
        <v>ModelInfo.rg(UTID_NTR_PROTECTION_WARD,ATT_NON,249,1,0,0,0,0,0,1,0,CAREER_TYPE_CREEP,"ReplaceableTextures\\CommandButtons\\BTNBigBadVoodooSpell.blp");</v>
      </c>
    </row>
    <row r="45" spans="1:23">
      <c r="A45" s="123" t="s">
        <v>1152</v>
      </c>
      <c r="B45" s="123" t="s">
        <v>1149</v>
      </c>
      <c r="C45" s="123">
        <v>32000</v>
      </c>
      <c r="D45" s="123">
        <v>0</v>
      </c>
      <c r="E45" s="123">
        <v>0</v>
      </c>
      <c r="F45" s="123">
        <v>0</v>
      </c>
      <c r="G45" s="123">
        <v>275</v>
      </c>
      <c r="H45" s="123">
        <v>400</v>
      </c>
      <c r="I45" s="124">
        <v>7</v>
      </c>
      <c r="J45" s="124">
        <v>0.1</v>
      </c>
      <c r="K45" s="124">
        <v>0</v>
      </c>
      <c r="L45" s="124">
        <v>0</v>
      </c>
      <c r="M45" s="124">
        <v>1</v>
      </c>
      <c r="N45" s="124">
        <v>0.1</v>
      </c>
      <c r="O45" s="123" t="s">
        <v>1148</v>
      </c>
      <c r="P45" s="119">
        <f t="shared" si="9"/>
        <v>31999</v>
      </c>
      <c r="Q45" s="119">
        <f t="shared" si="10"/>
        <v>275</v>
      </c>
      <c r="R45" s="119">
        <f t="shared" si="11"/>
        <v>125</v>
      </c>
      <c r="S45" s="119">
        <f t="shared" si="3"/>
        <v>274</v>
      </c>
      <c r="T45" s="119">
        <f t="shared" si="4"/>
        <v>126</v>
      </c>
      <c r="U45" s="123" t="s">
        <v>1151</v>
      </c>
      <c r="V45" s="123"/>
      <c r="W45" s="115" t="str">
        <f t="shared" ca="1" si="5"/>
        <v>ModelInfo.rg(UTID_WIND_SERPENT,ATT_NON,31999,275,125,7,0.1,0,0,1,0.1,CAREER_TYPE_CREEP,"ReplaceableTextures\\CommandButtons\\BTNWindSerpent.blp");</v>
      </c>
    </row>
    <row r="46" spans="1:23">
      <c r="A46" s="123" t="s">
        <v>1160</v>
      </c>
      <c r="B46" s="123" t="s">
        <v>1149</v>
      </c>
      <c r="C46" s="123">
        <v>24000</v>
      </c>
      <c r="D46" s="123">
        <v>0</v>
      </c>
      <c r="E46" s="123">
        <v>0</v>
      </c>
      <c r="F46" s="123">
        <v>0</v>
      </c>
      <c r="G46" s="123">
        <v>200</v>
      </c>
      <c r="H46" s="123">
        <v>400</v>
      </c>
      <c r="I46" s="124">
        <v>15</v>
      </c>
      <c r="J46" s="124">
        <v>0.05</v>
      </c>
      <c r="K46" s="124">
        <v>0.1</v>
      </c>
      <c r="L46" s="124">
        <v>30</v>
      </c>
      <c r="M46" s="124">
        <v>1</v>
      </c>
      <c r="N46" s="124">
        <v>0.05</v>
      </c>
      <c r="O46" s="123" t="s">
        <v>1148</v>
      </c>
      <c r="P46" s="119">
        <f t="shared" si="9"/>
        <v>23999</v>
      </c>
      <c r="Q46" s="119">
        <f t="shared" si="10"/>
        <v>200</v>
      </c>
      <c r="R46" s="119">
        <f t="shared" si="11"/>
        <v>200</v>
      </c>
      <c r="S46" s="119">
        <f t="shared" si="3"/>
        <v>199</v>
      </c>
      <c r="T46" s="119">
        <f t="shared" si="4"/>
        <v>201</v>
      </c>
      <c r="U46" s="123" t="s">
        <v>1159</v>
      </c>
      <c r="V46" s="123"/>
      <c r="W46" s="115" t="str">
        <f t="shared" ca="1" si="5"/>
        <v>ModelInfo.rg(UTID_NAGA_MYRMIDON,ATT_NON,23999,200,200,15,0.05,0.1,30,1,0.05,CAREER_TYPE_CREEP,"ReplaceableTextures\\CommandButtons\\BTNNagaMyrmidon.blp");</v>
      </c>
    </row>
    <row r="47" spans="1:23">
      <c r="A47" s="123" t="s">
        <v>1353</v>
      </c>
      <c r="B47" s="123" t="s">
        <v>1149</v>
      </c>
      <c r="C47" s="123">
        <v>45000</v>
      </c>
      <c r="D47" s="123">
        <v>0</v>
      </c>
      <c r="E47" s="123">
        <v>0</v>
      </c>
      <c r="F47" s="123">
        <v>0</v>
      </c>
      <c r="G47" s="123">
        <v>250</v>
      </c>
      <c r="H47" s="123">
        <v>500</v>
      </c>
      <c r="I47" s="124">
        <v>15</v>
      </c>
      <c r="J47" s="124">
        <v>0.05</v>
      </c>
      <c r="K47" s="124">
        <v>0.1</v>
      </c>
      <c r="L47" s="124">
        <v>30</v>
      </c>
      <c r="M47" s="124">
        <v>1</v>
      </c>
      <c r="N47" s="124">
        <v>0.05</v>
      </c>
      <c r="O47" s="123" t="s">
        <v>1148</v>
      </c>
      <c r="P47" s="119">
        <f t="shared" si="9"/>
        <v>44999</v>
      </c>
      <c r="Q47" s="119">
        <f t="shared" si="10"/>
        <v>250</v>
      </c>
      <c r="R47" s="119">
        <f t="shared" si="11"/>
        <v>250</v>
      </c>
      <c r="S47" s="119">
        <f t="shared" si="3"/>
        <v>249</v>
      </c>
      <c r="T47" s="119">
        <f t="shared" si="4"/>
        <v>251</v>
      </c>
      <c r="U47" s="123" t="s">
        <v>1159</v>
      </c>
      <c r="V47" s="123"/>
      <c r="W47" s="115" t="str">
        <f t="shared" ca="1" si="5"/>
        <v>ModelInfo.rg(UTID_CHMP_NAGA_MYRMIDON,ATT_NON,44999,250,250,15,0.05,0.1,30,1,0.05,CAREER_TYPE_CREEP,"ReplaceableTextures\\CommandButtons\\BTNNagaMyrmidon.blp");</v>
      </c>
    </row>
    <row r="48" spans="1:23">
      <c r="A48" s="123" t="s">
        <v>1158</v>
      </c>
      <c r="B48" s="123" t="s">
        <v>1149</v>
      </c>
      <c r="C48" s="123">
        <v>48000</v>
      </c>
      <c r="D48" s="123">
        <v>0</v>
      </c>
      <c r="E48" s="123">
        <v>0</v>
      </c>
      <c r="F48" s="123">
        <v>0</v>
      </c>
      <c r="G48" s="123">
        <v>300</v>
      </c>
      <c r="H48" s="123">
        <v>450</v>
      </c>
      <c r="I48" s="124">
        <v>15</v>
      </c>
      <c r="J48" s="124">
        <v>0.05</v>
      </c>
      <c r="K48" s="124">
        <v>0.1</v>
      </c>
      <c r="L48" s="124">
        <v>30</v>
      </c>
      <c r="M48" s="124">
        <v>1</v>
      </c>
      <c r="N48" s="124">
        <v>0.05</v>
      </c>
      <c r="O48" s="123" t="s">
        <v>1148</v>
      </c>
      <c r="P48" s="119">
        <f t="shared" si="9"/>
        <v>47999</v>
      </c>
      <c r="Q48" s="119">
        <f t="shared" si="10"/>
        <v>300</v>
      </c>
      <c r="R48" s="119">
        <f t="shared" si="11"/>
        <v>150</v>
      </c>
      <c r="S48" s="119">
        <f t="shared" si="3"/>
        <v>299</v>
      </c>
      <c r="T48" s="119">
        <f t="shared" si="4"/>
        <v>151</v>
      </c>
      <c r="U48" s="123" t="s">
        <v>1157</v>
      </c>
      <c r="V48" s="123"/>
      <c r="W48" s="115" t="str">
        <f t="shared" ca="1" si="5"/>
        <v>ModelInfo.rg(UTID_NAGA_ROYAL_GUARD,ATT_NON,47999,300,150,15,0.05,0.1,30,1,0.05,CAREER_TYPE_CREEP,"ReplaceableTextures\\CommandButtons\\BTNNagaMyrmidonRoyalGuard.blp");</v>
      </c>
    </row>
    <row r="49" spans="1:23">
      <c r="A49" s="123" t="s">
        <v>1264</v>
      </c>
      <c r="B49" s="123" t="s">
        <v>1149</v>
      </c>
      <c r="C49" s="123">
        <v>55000</v>
      </c>
      <c r="D49" s="123">
        <v>0</v>
      </c>
      <c r="E49" s="123">
        <v>0</v>
      </c>
      <c r="F49" s="123">
        <v>0</v>
      </c>
      <c r="G49" s="123">
        <v>650</v>
      </c>
      <c r="H49" s="123">
        <v>950</v>
      </c>
      <c r="I49" s="124">
        <v>5</v>
      </c>
      <c r="J49" s="124">
        <v>0.05</v>
      </c>
      <c r="K49" s="124">
        <v>0.05</v>
      </c>
      <c r="L49" s="124">
        <v>100</v>
      </c>
      <c r="M49" s="124">
        <v>0.95</v>
      </c>
      <c r="N49" s="124">
        <v>0.05</v>
      </c>
      <c r="O49" s="123" t="s">
        <v>1148</v>
      </c>
      <c r="P49" s="119">
        <f t="shared" si="9"/>
        <v>54999</v>
      </c>
      <c r="Q49" s="119">
        <f t="shared" si="10"/>
        <v>650</v>
      </c>
      <c r="R49" s="119">
        <f t="shared" si="11"/>
        <v>300</v>
      </c>
      <c r="S49" s="119">
        <f t="shared" si="3"/>
        <v>649</v>
      </c>
      <c r="T49" s="119">
        <f t="shared" si="4"/>
        <v>301</v>
      </c>
      <c r="U49" s="123" t="s">
        <v>1265</v>
      </c>
      <c r="V49" s="123"/>
      <c r="W49" s="115" t="str">
        <f t="shared" ca="1" si="5"/>
        <v>ModelInfo.rg(UTID_FEL_GRUNT,ATT_NON,54999,650,300,5,0.05,0.05,100,0.95,0.05,CAREER_TYPE_CREEP,"ReplaceableTextures\\CommandButtons\\BTNChaosGrunt.blp");</v>
      </c>
    </row>
    <row r="50" spans="1:23">
      <c r="A50" s="123" t="s">
        <v>1271</v>
      </c>
      <c r="B50" s="123" t="s">
        <v>1149</v>
      </c>
      <c r="C50" s="123">
        <v>50000</v>
      </c>
      <c r="D50" s="123">
        <v>0</v>
      </c>
      <c r="E50" s="123">
        <v>0</v>
      </c>
      <c r="F50" s="123">
        <v>0</v>
      </c>
      <c r="G50" s="123">
        <v>600</v>
      </c>
      <c r="H50" s="123">
        <v>800</v>
      </c>
      <c r="I50" s="124">
        <v>10</v>
      </c>
      <c r="J50" s="124">
        <v>0.05</v>
      </c>
      <c r="K50" s="124">
        <v>0</v>
      </c>
      <c r="L50" s="124">
        <v>0</v>
      </c>
      <c r="M50" s="124">
        <v>1</v>
      </c>
      <c r="N50" s="124">
        <v>0.1</v>
      </c>
      <c r="O50" s="123" t="s">
        <v>1148</v>
      </c>
      <c r="P50" s="119">
        <f t="shared" si="9"/>
        <v>49999</v>
      </c>
      <c r="Q50" s="119">
        <f t="shared" si="10"/>
        <v>600</v>
      </c>
      <c r="R50" s="119">
        <f t="shared" si="11"/>
        <v>200</v>
      </c>
      <c r="S50" s="119">
        <f t="shared" si="3"/>
        <v>599</v>
      </c>
      <c r="T50" s="119">
        <f t="shared" si="4"/>
        <v>201</v>
      </c>
      <c r="U50" s="123" t="s">
        <v>1272</v>
      </c>
      <c r="V50" s="123"/>
      <c r="W50" s="115" t="str">
        <f t="shared" ca="1" si="5"/>
        <v>ModelInfo.rg(UTID_FEL_RIDER,ATT_NON,49999,600,200,10,0.05,0,0,1,0.1,CAREER_TYPE_CREEP,"ReplaceableTextures\\CommandButtons\\BTNChaosWolfRider.blp");</v>
      </c>
    </row>
    <row r="51" spans="1:23">
      <c r="A51" s="123" t="s">
        <v>1275</v>
      </c>
      <c r="B51" s="123" t="s">
        <v>1149</v>
      </c>
      <c r="C51" s="123">
        <v>100000</v>
      </c>
      <c r="D51" s="123">
        <v>0</v>
      </c>
      <c r="E51" s="123">
        <v>0</v>
      </c>
      <c r="F51" s="123">
        <v>0</v>
      </c>
      <c r="G51" s="123">
        <v>750</v>
      </c>
      <c r="H51" s="123">
        <v>900</v>
      </c>
      <c r="I51" s="124">
        <v>5</v>
      </c>
      <c r="J51" s="124">
        <v>0.05</v>
      </c>
      <c r="K51" s="124">
        <v>0.15</v>
      </c>
      <c r="L51" s="124">
        <v>240</v>
      </c>
      <c r="M51" s="124">
        <v>0.8</v>
      </c>
      <c r="N51" s="124">
        <v>0.05</v>
      </c>
      <c r="O51" s="123" t="s">
        <v>1148</v>
      </c>
      <c r="P51" s="119">
        <f t="shared" si="9"/>
        <v>99999</v>
      </c>
      <c r="Q51" s="119">
        <f t="shared" si="10"/>
        <v>750</v>
      </c>
      <c r="R51" s="119">
        <f t="shared" si="11"/>
        <v>150</v>
      </c>
      <c r="S51" s="119">
        <f t="shared" si="3"/>
        <v>749</v>
      </c>
      <c r="T51" s="119">
        <f t="shared" si="4"/>
        <v>151</v>
      </c>
      <c r="U51" s="123" t="s">
        <v>1276</v>
      </c>
      <c r="V51" s="123"/>
      <c r="W51" s="115" t="str">
        <f t="shared" ca="1" si="5"/>
        <v>ModelInfo.rg(UTID_FEL_WAR_BRINGER,ATT_NON,99999,750,150,5,0.05,0.15,240,0.8,0.05,CAREER_TYPE_CREEP,"ReplaceableTextures\\CommandButtons\\BTNChaosKotoBeast.blp");</v>
      </c>
    </row>
    <row r="52" spans="1:23">
      <c r="A52" s="123" t="s">
        <v>1150</v>
      </c>
      <c r="B52" s="123" t="s">
        <v>1149</v>
      </c>
      <c r="C52" s="123">
        <v>45000</v>
      </c>
      <c r="D52" s="123">
        <v>0</v>
      </c>
      <c r="E52" s="123">
        <v>0</v>
      </c>
      <c r="F52" s="123">
        <v>0</v>
      </c>
      <c r="G52" s="123">
        <v>400</v>
      </c>
      <c r="H52" s="123">
        <v>600</v>
      </c>
      <c r="I52" s="124">
        <v>5</v>
      </c>
      <c r="J52" s="124">
        <v>0.05</v>
      </c>
      <c r="K52" s="124">
        <v>0</v>
      </c>
      <c r="L52" s="124">
        <v>0</v>
      </c>
      <c r="M52" s="124">
        <v>1</v>
      </c>
      <c r="N52" s="124">
        <v>0.05</v>
      </c>
      <c r="O52" s="123" t="s">
        <v>1148</v>
      </c>
      <c r="P52" s="119">
        <f t="shared" si="9"/>
        <v>44999</v>
      </c>
      <c r="Q52" s="119">
        <f t="shared" si="10"/>
        <v>400</v>
      </c>
      <c r="R52" s="119">
        <f t="shared" si="11"/>
        <v>200</v>
      </c>
      <c r="S52" s="119">
        <f t="shared" si="3"/>
        <v>399</v>
      </c>
      <c r="T52" s="119">
        <f t="shared" si="4"/>
        <v>201</v>
      </c>
      <c r="U52" s="123" t="s">
        <v>1147</v>
      </c>
      <c r="V52" s="123"/>
      <c r="W52" s="115" t="str">
        <f t="shared" ca="1" si="5"/>
        <v>ModelInfo.rg(UTID_DEMONIC_WITCH,ATT_NON,44999,400,200,5,0.05,0,0,1,0.05,CAREER_TYPE_CREEP,"ReplaceableTextures\\CommandButtons\\BTNChaosWarlock.blp");</v>
      </c>
    </row>
    <row r="53" spans="1:23">
      <c r="A53" s="123" t="s">
        <v>1349</v>
      </c>
      <c r="B53" s="123" t="s">
        <v>1149</v>
      </c>
      <c r="C53" s="123">
        <v>87500</v>
      </c>
      <c r="D53" s="123">
        <v>0</v>
      </c>
      <c r="E53" s="123">
        <v>0</v>
      </c>
      <c r="F53" s="123">
        <v>0</v>
      </c>
      <c r="G53" s="123">
        <v>700</v>
      </c>
      <c r="H53" s="123">
        <v>1000</v>
      </c>
      <c r="I53" s="124">
        <v>5</v>
      </c>
      <c r="J53" s="124">
        <v>0.05</v>
      </c>
      <c r="K53" s="124">
        <v>0</v>
      </c>
      <c r="L53" s="124">
        <v>0</v>
      </c>
      <c r="M53" s="124">
        <v>1</v>
      </c>
      <c r="N53" s="124">
        <v>0.05</v>
      </c>
      <c r="O53" s="123" t="s">
        <v>1148</v>
      </c>
      <c r="P53" s="119">
        <f t="shared" si="9"/>
        <v>87499</v>
      </c>
      <c r="Q53" s="119">
        <f t="shared" si="10"/>
        <v>700</v>
      </c>
      <c r="R53" s="119">
        <f t="shared" si="11"/>
        <v>300</v>
      </c>
      <c r="S53" s="119">
        <f t="shared" si="3"/>
        <v>699</v>
      </c>
      <c r="T53" s="119">
        <f t="shared" si="4"/>
        <v>301</v>
      </c>
      <c r="U53" s="123" t="s">
        <v>1350</v>
      </c>
      <c r="V53" s="123"/>
      <c r="W53" s="115" t="str">
        <f t="shared" ca="1" si="5"/>
        <v>ModelInfo.rg(UTID_NOXIOUS_SPIDER,ATT_NON,87499,700,300,5,0.05,0,0,1,0.05,CAREER_TYPE_CREEP,"ReplaceableTextures\\CommandButtons\\BTNCryptFiend.blp");</v>
      </c>
    </row>
    <row r="54" spans="1:23">
      <c r="A54" s="123" t="s">
        <v>1336</v>
      </c>
      <c r="B54" s="123" t="s">
        <v>1149</v>
      </c>
      <c r="C54" s="123">
        <v>55000</v>
      </c>
      <c r="D54" s="123">
        <v>0</v>
      </c>
      <c r="E54" s="123">
        <v>0</v>
      </c>
      <c r="F54" s="123">
        <v>0</v>
      </c>
      <c r="G54" s="123">
        <v>300</v>
      </c>
      <c r="H54" s="123">
        <v>400</v>
      </c>
      <c r="I54" s="124">
        <v>0</v>
      </c>
      <c r="J54" s="124">
        <v>0.05</v>
      </c>
      <c r="K54" s="124">
        <v>0</v>
      </c>
      <c r="L54" s="124">
        <v>0</v>
      </c>
      <c r="M54" s="124">
        <v>0.95</v>
      </c>
      <c r="N54" s="124">
        <v>0.05</v>
      </c>
      <c r="O54" s="123" t="s">
        <v>1148</v>
      </c>
      <c r="P54" s="119">
        <f t="shared" si="9"/>
        <v>54999</v>
      </c>
      <c r="Q54" s="119">
        <f t="shared" si="10"/>
        <v>300</v>
      </c>
      <c r="R54" s="119">
        <f t="shared" si="11"/>
        <v>100</v>
      </c>
      <c r="S54" s="119">
        <f t="shared" si="3"/>
        <v>299</v>
      </c>
      <c r="T54" s="119">
        <f t="shared" si="4"/>
        <v>101</v>
      </c>
      <c r="U54" s="123" t="s">
        <v>1337</v>
      </c>
      <c r="V54" s="123"/>
      <c r="W54" s="115" t="str">
        <f t="shared" ca="1" si="5"/>
        <v>ModelInfo.rg(UTID_PARASITICAL_ROACH,ATT_NON,54999,300,100,0,0.05,0,0,0.95,0.05,CAREER_TYPE_CREEP,"ReplaceableTextures\\CommandButtons\\BTNCarrionScarabs.blp");</v>
      </c>
    </row>
    <row r="55" spans="1:23">
      <c r="A55" s="123" t="s">
        <v>1332</v>
      </c>
      <c r="B55" s="123" t="s">
        <v>1149</v>
      </c>
      <c r="C55" s="123">
        <v>95000</v>
      </c>
      <c r="D55" s="123">
        <v>0</v>
      </c>
      <c r="E55" s="123">
        <v>0</v>
      </c>
      <c r="F55" s="123">
        <v>0</v>
      </c>
      <c r="G55" s="123">
        <v>400</v>
      </c>
      <c r="H55" s="123">
        <v>700</v>
      </c>
      <c r="I55" s="124">
        <v>5</v>
      </c>
      <c r="J55" s="124">
        <v>0</v>
      </c>
      <c r="K55" s="124">
        <v>0</v>
      </c>
      <c r="L55" s="124">
        <v>0</v>
      </c>
      <c r="M55" s="124">
        <v>1</v>
      </c>
      <c r="N55" s="124">
        <v>0.05</v>
      </c>
      <c r="O55" s="123" t="s">
        <v>1148</v>
      </c>
      <c r="P55" s="119">
        <f t="shared" si="9"/>
        <v>94999</v>
      </c>
      <c r="Q55" s="119">
        <f t="shared" si="10"/>
        <v>400</v>
      </c>
      <c r="R55" s="119">
        <f t="shared" si="11"/>
        <v>300</v>
      </c>
      <c r="S55" s="119">
        <f t="shared" si="3"/>
        <v>399</v>
      </c>
      <c r="T55" s="119">
        <f t="shared" si="4"/>
        <v>301</v>
      </c>
      <c r="U55" s="123" t="s">
        <v>1333</v>
      </c>
      <c r="V55" s="123"/>
      <c r="W55" s="115" t="str">
        <f t="shared" ca="1" si="5"/>
        <v>ModelInfo.rg(UTID_ZOMBIE,ATT_NON,94999,400,300,5,0,0,0,1,0.05,CAREER_TYPE_CREEP,"ReplaceableTextures\\CommandButtons\\BTNZombie.blp");</v>
      </c>
    </row>
    <row r="56" spans="1:23">
      <c r="A56" s="123" t="s">
        <v>1329</v>
      </c>
      <c r="B56" s="123" t="s">
        <v>1149</v>
      </c>
      <c r="C56" s="123">
        <v>100000</v>
      </c>
      <c r="D56" s="123">
        <v>0</v>
      </c>
      <c r="E56" s="123">
        <v>0</v>
      </c>
      <c r="F56" s="123">
        <v>0</v>
      </c>
      <c r="G56" s="123">
        <v>500</v>
      </c>
      <c r="H56" s="123">
        <v>500</v>
      </c>
      <c r="I56" s="124">
        <v>30</v>
      </c>
      <c r="J56" s="124">
        <v>0</v>
      </c>
      <c r="K56" s="124">
        <v>0</v>
      </c>
      <c r="L56" s="124">
        <v>0</v>
      </c>
      <c r="M56" s="124">
        <v>0.7</v>
      </c>
      <c r="N56" s="124">
        <v>0</v>
      </c>
      <c r="O56" s="123" t="s">
        <v>1148</v>
      </c>
      <c r="P56" s="119">
        <f t="shared" si="9"/>
        <v>99999</v>
      </c>
      <c r="Q56" s="119">
        <f t="shared" si="10"/>
        <v>500</v>
      </c>
      <c r="R56" s="119">
        <f t="shared" si="11"/>
        <v>0</v>
      </c>
      <c r="S56" s="119">
        <f t="shared" si="3"/>
        <v>499</v>
      </c>
      <c r="T56" s="119">
        <f t="shared" si="4"/>
        <v>1</v>
      </c>
      <c r="U56" s="123" t="s">
        <v>1330</v>
      </c>
      <c r="V56" s="123"/>
      <c r="W56" s="115" t="str">
        <f t="shared" ca="1" si="5"/>
        <v>ModelInfo.rg(UTID_OBSIDIAN_CONSTRUCT,ATT_NON,99999,500,0,30,0,0,0,0.7,0,CAREER_TYPE_CREEP,"ReplaceableTextures\\CommandButtons\\BTNObsidianStatue.blp");</v>
      </c>
    </row>
    <row r="57" spans="1:23">
      <c r="A57" s="123" t="s">
        <v>1325</v>
      </c>
      <c r="B57" s="123" t="s">
        <v>1149</v>
      </c>
      <c r="C57" s="123">
        <v>125000</v>
      </c>
      <c r="D57" s="123">
        <v>0</v>
      </c>
      <c r="E57" s="123">
        <v>0</v>
      </c>
      <c r="F57" s="123">
        <v>0</v>
      </c>
      <c r="G57" s="123">
        <v>800</v>
      </c>
      <c r="H57" s="123">
        <v>1000</v>
      </c>
      <c r="I57" s="124">
        <v>10</v>
      </c>
      <c r="J57" s="124">
        <v>0.05</v>
      </c>
      <c r="K57" s="124">
        <v>0</v>
      </c>
      <c r="L57" s="124">
        <v>0</v>
      </c>
      <c r="M57" s="124">
        <v>0.9</v>
      </c>
      <c r="N57" s="124">
        <v>0.05</v>
      </c>
      <c r="O57" s="123" t="s">
        <v>1148</v>
      </c>
      <c r="P57" s="119">
        <f t="shared" si="9"/>
        <v>124999</v>
      </c>
      <c r="Q57" s="119">
        <f t="shared" si="10"/>
        <v>800</v>
      </c>
      <c r="R57" s="119">
        <f t="shared" si="11"/>
        <v>200</v>
      </c>
      <c r="S57" s="119">
        <f t="shared" si="3"/>
        <v>799</v>
      </c>
      <c r="T57" s="119">
        <f t="shared" si="4"/>
        <v>201</v>
      </c>
      <c r="U57" s="123" t="s">
        <v>1326</v>
      </c>
      <c r="V57" s="123"/>
      <c r="W57" s="115" t="str">
        <f t="shared" ca="1" si="5"/>
        <v>ModelInfo.rg(UTID_DRACOLICH,ATT_NON,124999,800,200,10,0.05,0,0,0.9,0.05,CAREER_TYPE_CREEP,"ReplaceableTextures\\CommandButtons\\BTNFrostWyrm.blp");</v>
      </c>
    </row>
    <row r="58" spans="1:23">
      <c r="A58" s="123" t="s">
        <v>1488</v>
      </c>
      <c r="B58" s="123" t="s">
        <v>1149</v>
      </c>
      <c r="C58" s="123">
        <v>100000</v>
      </c>
      <c r="D58" s="123">
        <v>0</v>
      </c>
      <c r="E58" s="123">
        <v>0</v>
      </c>
      <c r="F58" s="123">
        <v>0</v>
      </c>
      <c r="G58" s="123">
        <v>950</v>
      </c>
      <c r="H58" s="123">
        <v>1000</v>
      </c>
      <c r="I58" s="124">
        <v>20</v>
      </c>
      <c r="J58" s="124">
        <v>0.05</v>
      </c>
      <c r="K58" s="124">
        <v>0</v>
      </c>
      <c r="L58" s="124">
        <v>0</v>
      </c>
      <c r="M58" s="124">
        <v>1</v>
      </c>
      <c r="N58" s="124">
        <v>0.01</v>
      </c>
      <c r="O58" s="123" t="s">
        <v>1148</v>
      </c>
      <c r="P58" s="119">
        <f t="shared" si="9"/>
        <v>99999</v>
      </c>
      <c r="Q58" s="119">
        <f t="shared" si="10"/>
        <v>950</v>
      </c>
      <c r="R58" s="119">
        <f t="shared" si="11"/>
        <v>50</v>
      </c>
      <c r="S58" s="119">
        <f t="shared" si="3"/>
        <v>949</v>
      </c>
      <c r="T58" s="119">
        <f t="shared" si="4"/>
        <v>51</v>
      </c>
      <c r="U58" s="123" t="s">
        <v>1489</v>
      </c>
      <c r="V58" s="123"/>
      <c r="W58" s="115" t="str">
        <f t="shared" ca="1" si="5"/>
        <v>ModelInfo.rg(UTID_VOID_WALKER,ATT_NON,99999,950,50,20,0.05,0,0,1,0.01,CAREER_TYPE_CREEP,"ReplaceableTextures\\CommandButtons\\BTNVoidWalker.blp");</v>
      </c>
    </row>
    <row r="59" spans="1:23">
      <c r="A59" s="123" t="s">
        <v>1339</v>
      </c>
      <c r="B59" s="123" t="s">
        <v>1149</v>
      </c>
      <c r="C59" s="123">
        <v>220000</v>
      </c>
      <c r="D59" s="123">
        <v>0</v>
      </c>
      <c r="E59" s="123">
        <v>0</v>
      </c>
      <c r="F59" s="123">
        <v>0</v>
      </c>
      <c r="G59" s="123">
        <v>900</v>
      </c>
      <c r="H59" s="123">
        <v>1200</v>
      </c>
      <c r="I59" s="124">
        <v>10</v>
      </c>
      <c r="J59" s="124">
        <v>0.05</v>
      </c>
      <c r="K59" s="124">
        <v>10</v>
      </c>
      <c r="L59" s="124">
        <v>150</v>
      </c>
      <c r="M59" s="124">
        <v>1</v>
      </c>
      <c r="N59" s="124">
        <v>0.1</v>
      </c>
      <c r="O59" s="123" t="s">
        <v>1148</v>
      </c>
      <c r="P59" s="119">
        <f t="shared" si="9"/>
        <v>219999</v>
      </c>
      <c r="Q59" s="119">
        <f t="shared" si="10"/>
        <v>900</v>
      </c>
      <c r="R59" s="119">
        <f t="shared" si="11"/>
        <v>300</v>
      </c>
      <c r="S59" s="119">
        <f t="shared" si="3"/>
        <v>899</v>
      </c>
      <c r="T59" s="119">
        <f t="shared" si="4"/>
        <v>301</v>
      </c>
      <c r="U59" s="123" t="s">
        <v>1340</v>
      </c>
      <c r="V59" s="123"/>
      <c r="W59" s="115" t="str">
        <f t="shared" ca="1" si="5"/>
        <v>ModelInfo.rg(UTID_INFERNO_CONSTRUCT,ATT_NON,219999,900,300,10,0.05,10,150,1,0.1,CAREER_TYPE_CREEP,"ReplaceableTextures\\CommandButtons\\BTNInfernal.blp");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81"/>
  <sheetViews>
    <sheetView topLeftCell="A136" workbookViewId="0">
      <selection activeCell="L147" sqref="L147"/>
    </sheetView>
  </sheetViews>
  <sheetFormatPr defaultColWidth="14.42578125" defaultRowHeight="14.25"/>
  <cols>
    <col min="1" max="1" width="2.85546875" style="126" bestFit="1" customWidth="1"/>
    <col min="2" max="2" width="38.7109375" style="126" bestFit="1" customWidth="1"/>
    <col min="3" max="3" width="16" style="126" bestFit="1" customWidth="1"/>
    <col min="4" max="4" width="24.42578125" style="126" bestFit="1" customWidth="1"/>
    <col min="5" max="5" width="4.85546875" style="126" bestFit="1" customWidth="1"/>
    <col min="6" max="6" width="5" style="126" bestFit="1" customWidth="1"/>
    <col min="7" max="7" width="4" style="126" bestFit="1" customWidth="1"/>
    <col min="8" max="8" width="23.140625" style="126" bestFit="1" customWidth="1"/>
    <col min="9" max="9" width="2" style="126" bestFit="1" customWidth="1"/>
    <col min="10" max="10" width="20.85546875" style="126" bestFit="1" customWidth="1"/>
    <col min="11" max="11" width="32" style="126" bestFit="1" customWidth="1"/>
    <col min="12" max="12" width="7" style="126" customWidth="1"/>
    <col min="13" max="16384" width="14.42578125" style="126"/>
  </cols>
  <sheetData>
    <row r="1" spans="1:25">
      <c r="A1" s="125" t="s">
        <v>1146</v>
      </c>
      <c r="B1" s="125" t="s">
        <v>1335</v>
      </c>
      <c r="C1" s="125" t="s">
        <v>1145</v>
      </c>
      <c r="D1" s="125" t="s">
        <v>1144</v>
      </c>
      <c r="E1" s="125" t="s">
        <v>1142</v>
      </c>
      <c r="F1" s="125" t="s">
        <v>1143</v>
      </c>
      <c r="G1" s="125" t="s">
        <v>3</v>
      </c>
      <c r="H1" s="125" t="s">
        <v>1141</v>
      </c>
      <c r="I1" s="125" t="s">
        <v>658</v>
      </c>
      <c r="J1" s="125" t="s">
        <v>1140</v>
      </c>
      <c r="K1" s="125" t="s">
        <v>1139</v>
      </c>
      <c r="L1" s="125" t="s">
        <v>1138</v>
      </c>
      <c r="M1" s="125"/>
      <c r="N1" s="125"/>
      <c r="O1" s="125"/>
      <c r="P1" s="125"/>
      <c r="Q1" s="125"/>
      <c r="R1" s="125"/>
      <c r="S1" s="125"/>
      <c r="T1" s="125"/>
      <c r="U1" s="125"/>
      <c r="V1" s="125"/>
      <c r="W1" s="125"/>
      <c r="X1" s="125"/>
      <c r="Y1" s="125"/>
    </row>
    <row r="2" spans="1:25">
      <c r="A2" s="127"/>
      <c r="B2" s="127">
        <v>0</v>
      </c>
      <c r="C2" s="127" t="s">
        <v>1137</v>
      </c>
      <c r="D2" s="127" t="s">
        <v>1136</v>
      </c>
      <c r="E2" s="127">
        <v>0</v>
      </c>
      <c r="F2" s="127">
        <v>0</v>
      </c>
      <c r="G2" s="127">
        <v>0</v>
      </c>
      <c r="H2" s="127">
        <v>0</v>
      </c>
      <c r="I2" s="127">
        <v>1</v>
      </c>
      <c r="J2" s="127" t="s">
        <v>660</v>
      </c>
      <c r="K2" s="127"/>
      <c r="L2" s="128" t="str">
        <f>IF(C2="N/A","//",CONCATENATE("SpellData.create(",B2,",",CHAR(34),C2,CHAR(34),",",F2,",",E2,",",G2,",",H2,",",I2,",",J2,")",K2,";"))</f>
        <v>SpellData.create(0,"马甲",0,0,0,0,1,ORDER_TYPE_IMMEDIATE);</v>
      </c>
      <c r="M2" s="127"/>
      <c r="N2" s="127"/>
      <c r="O2" s="127"/>
      <c r="P2" s="127"/>
      <c r="Q2" s="127"/>
      <c r="R2" s="127"/>
      <c r="S2" s="127"/>
      <c r="T2" s="127"/>
      <c r="U2" s="127"/>
      <c r="V2" s="127"/>
      <c r="W2" s="127"/>
      <c r="X2" s="127"/>
      <c r="Y2" s="127"/>
    </row>
    <row r="3" spans="1:25">
      <c r="A3" s="127"/>
      <c r="B3" s="127" t="s">
        <v>1135</v>
      </c>
      <c r="C3" s="127" t="s">
        <v>1134</v>
      </c>
      <c r="D3" s="127" t="s">
        <v>1133</v>
      </c>
      <c r="E3" s="127">
        <v>0</v>
      </c>
      <c r="F3" s="127">
        <v>0</v>
      </c>
      <c r="G3" s="127">
        <v>1</v>
      </c>
      <c r="H3" s="127">
        <v>0</v>
      </c>
      <c r="I3" s="127">
        <v>1</v>
      </c>
      <c r="J3" s="127" t="s">
        <v>660</v>
      </c>
      <c r="K3" s="127"/>
      <c r="L3" s="128" t="str">
        <f t="shared" ref="L3:L66" si="0">IF(C3="N/A","//",CONCATENATE("SpellData.create(",B3,",",CHAR(34),C3,CHAR(34),",",F3,",",E3,",",G3,",",H3,",",I3,",",J3,")",K3,";"))</f>
        <v>SpellData.create(SIDATTACKLL,"吸血攻击",0,0,1,0,1,ORDER_TYPE_IMMEDIATE);</v>
      </c>
      <c r="M3" s="127"/>
      <c r="N3" s="127"/>
      <c r="O3" s="127"/>
      <c r="P3" s="127"/>
      <c r="Q3" s="127"/>
      <c r="R3" s="127"/>
      <c r="S3" s="127"/>
      <c r="T3" s="127"/>
      <c r="U3" s="127"/>
      <c r="V3" s="127"/>
      <c r="W3" s="127"/>
      <c r="X3" s="127"/>
      <c r="Y3" s="127"/>
    </row>
    <row r="4" spans="1:25">
      <c r="A4" s="127"/>
      <c r="B4" s="127" t="s">
        <v>1132</v>
      </c>
      <c r="C4" s="127" t="s">
        <v>1131</v>
      </c>
      <c r="D4" s="127" t="s">
        <v>1130</v>
      </c>
      <c r="E4" s="127">
        <v>0</v>
      </c>
      <c r="F4" s="127">
        <v>0</v>
      </c>
      <c r="G4" s="127">
        <v>1</v>
      </c>
      <c r="H4" s="127">
        <v>0</v>
      </c>
      <c r="I4" s="127">
        <v>1</v>
      </c>
      <c r="J4" s="127" t="s">
        <v>857</v>
      </c>
      <c r="K4" s="127"/>
      <c r="L4" s="128" t="str">
        <f t="shared" si="0"/>
        <v>SpellData.create(SID_GENERAL_STUN,"昏迷",0,0,1,0,1,ORDER_TYPE_TARGET);</v>
      </c>
      <c r="M4" s="127"/>
      <c r="N4" s="127"/>
      <c r="O4" s="127"/>
      <c r="P4" s="127"/>
      <c r="Q4" s="127"/>
      <c r="R4" s="127"/>
      <c r="S4" s="127"/>
      <c r="T4" s="127"/>
      <c r="U4" s="127"/>
      <c r="V4" s="127"/>
      <c r="W4" s="127"/>
      <c r="X4" s="127"/>
      <c r="Y4" s="127"/>
    </row>
    <row r="5" spans="1:25">
      <c r="A5" s="127"/>
      <c r="B5" s="127" t="s">
        <v>1129</v>
      </c>
      <c r="C5" s="127" t="s">
        <v>1128</v>
      </c>
      <c r="D5" s="127" t="s">
        <v>1127</v>
      </c>
      <c r="E5" s="127">
        <v>0</v>
      </c>
      <c r="F5" s="127">
        <v>0</v>
      </c>
      <c r="G5" s="127">
        <v>5</v>
      </c>
      <c r="H5" s="127">
        <v>852581</v>
      </c>
      <c r="I5" s="127">
        <v>1</v>
      </c>
      <c r="J5" s="127" t="s">
        <v>660</v>
      </c>
      <c r="K5" s="127"/>
      <c r="L5" s="128" t="str">
        <f t="shared" si="0"/>
        <v>SpellData.create(SID_HAUNT,"鬼哭狼嚎",0,0,5,852581,1,ORDER_TYPE_IMMEDIATE);</v>
      </c>
      <c r="M5" s="127"/>
      <c r="N5" s="127"/>
      <c r="O5" s="127"/>
      <c r="P5" s="127"/>
      <c r="Q5" s="127"/>
      <c r="R5" s="127"/>
      <c r="S5" s="127"/>
      <c r="T5" s="127"/>
      <c r="U5" s="127"/>
      <c r="V5" s="127"/>
      <c r="W5" s="127"/>
      <c r="X5" s="127"/>
      <c r="Y5" s="127"/>
    </row>
    <row r="6" spans="1:25">
      <c r="A6" s="127"/>
      <c r="B6" s="127" t="s">
        <v>1126</v>
      </c>
      <c r="C6" s="127" t="s">
        <v>1125</v>
      </c>
      <c r="D6" s="127" t="s">
        <v>1124</v>
      </c>
      <c r="E6" s="127">
        <v>0</v>
      </c>
      <c r="F6" s="127">
        <v>0</v>
      </c>
      <c r="G6" s="127">
        <v>5</v>
      </c>
      <c r="H6" s="127" t="s">
        <v>661</v>
      </c>
      <c r="I6" s="127">
        <v>1</v>
      </c>
      <c r="J6" s="127" t="s">
        <v>660</v>
      </c>
      <c r="K6" s="127"/>
      <c r="L6" s="128" t="str">
        <f t="shared" si="0"/>
        <v>SpellData.create(SIDHEALTESTER,"搞毛",0,0,5,OrderId("channel"),1,ORDER_TYPE_IMMEDIATE);</v>
      </c>
      <c r="M6" s="127"/>
      <c r="N6" s="127"/>
      <c r="O6" s="127"/>
      <c r="P6" s="127"/>
      <c r="Q6" s="127"/>
      <c r="R6" s="127"/>
      <c r="S6" s="127"/>
      <c r="T6" s="127"/>
      <c r="U6" s="127"/>
      <c r="V6" s="127"/>
      <c r="W6" s="127"/>
      <c r="X6" s="127"/>
      <c r="Y6" s="127"/>
    </row>
    <row r="7" spans="1:25">
      <c r="A7" s="129"/>
      <c r="B7" s="129" t="s">
        <v>55</v>
      </c>
      <c r="C7" s="129" t="s">
        <v>6</v>
      </c>
      <c r="D7" s="129" t="s">
        <v>600</v>
      </c>
      <c r="E7" s="129">
        <v>0</v>
      </c>
      <c r="F7" s="129">
        <v>30</v>
      </c>
      <c r="G7" s="129">
        <v>7</v>
      </c>
      <c r="H7" s="129">
        <v>852055</v>
      </c>
      <c r="I7" s="129">
        <v>1</v>
      </c>
      <c r="J7" s="129" t="s">
        <v>660</v>
      </c>
      <c r="K7" s="129"/>
      <c r="L7" s="128" t="str">
        <f t="shared" si="0"/>
        <v>SpellData.create(SIDSHIELDBLOCK,"盾牌格档",30,0,7,852055,1,ORDER_TYPE_IMMEDIATE);</v>
      </c>
      <c r="M7" s="129"/>
      <c r="N7" s="129"/>
      <c r="O7" s="129"/>
      <c r="P7" s="129"/>
      <c r="Q7" s="129"/>
      <c r="R7" s="129"/>
      <c r="S7" s="129"/>
      <c r="T7" s="129"/>
      <c r="U7" s="129"/>
      <c r="V7" s="129"/>
      <c r="W7" s="129"/>
      <c r="X7" s="129"/>
      <c r="Y7" s="129"/>
    </row>
    <row r="8" spans="1:25">
      <c r="A8" s="129"/>
      <c r="B8" s="129" t="s">
        <v>57</v>
      </c>
      <c r="C8" s="129" t="s">
        <v>12</v>
      </c>
      <c r="D8" s="129" t="s">
        <v>601</v>
      </c>
      <c r="E8" s="129">
        <v>0</v>
      </c>
      <c r="F8" s="129">
        <v>20</v>
      </c>
      <c r="G8" s="129">
        <v>8</v>
      </c>
      <c r="H8" s="129">
        <v>852488</v>
      </c>
      <c r="I8" s="129">
        <v>1</v>
      </c>
      <c r="J8" s="129" t="s">
        <v>660</v>
      </c>
      <c r="K8" s="129"/>
      <c r="L8" s="128" t="str">
        <f t="shared" si="0"/>
        <v>SpellData.create(SIDSUNFIRESTORM,"阳炎风暴",20,0,8,852488,1,ORDER_TYPE_IMMEDIATE);</v>
      </c>
      <c r="M8" s="129"/>
      <c r="N8" s="129"/>
      <c r="O8" s="129"/>
      <c r="P8" s="129"/>
      <c r="Q8" s="129"/>
      <c r="R8" s="129"/>
      <c r="S8" s="129"/>
      <c r="T8" s="129"/>
      <c r="U8" s="129"/>
      <c r="V8" s="129"/>
      <c r="W8" s="129"/>
      <c r="X8" s="129"/>
      <c r="Y8" s="129"/>
    </row>
    <row r="9" spans="1:25">
      <c r="A9" s="129"/>
      <c r="B9" s="129" t="s">
        <v>58</v>
      </c>
      <c r="C9" s="129" t="s">
        <v>17</v>
      </c>
      <c r="D9" s="129" t="s">
        <v>602</v>
      </c>
      <c r="E9" s="129">
        <v>0</v>
      </c>
      <c r="F9" s="129">
        <v>10</v>
      </c>
      <c r="G9" s="129">
        <v>2</v>
      </c>
      <c r="H9" s="129">
        <v>852480</v>
      </c>
      <c r="I9" s="129">
        <v>1</v>
      </c>
      <c r="J9" s="129" t="s">
        <v>857</v>
      </c>
      <c r="K9" s="129" t="s">
        <v>1123</v>
      </c>
      <c r="L9" s="128" t="str">
        <f t="shared" si="0"/>
        <v>SpellData.create(SIDARCANESHOCK,"秘法震击",10,0,2,852480,1,ORDER_TYPE_TARGET).setCCC2(17,0,2).setCCC3(24,0,2);</v>
      </c>
      <c r="M9" s="129"/>
      <c r="N9" s="129"/>
      <c r="O9" s="129"/>
      <c r="P9" s="129"/>
      <c r="Q9" s="129"/>
      <c r="R9" s="129"/>
      <c r="S9" s="129"/>
      <c r="T9" s="129"/>
      <c r="U9" s="129"/>
      <c r="V9" s="129"/>
      <c r="W9" s="129"/>
      <c r="X9" s="129"/>
      <c r="Y9" s="129"/>
    </row>
    <row r="10" spans="1:25">
      <c r="A10" s="129"/>
      <c r="B10" s="129" t="s">
        <v>59</v>
      </c>
      <c r="C10" s="129" t="s">
        <v>18</v>
      </c>
      <c r="D10" s="129" t="s">
        <v>603</v>
      </c>
      <c r="E10" s="129">
        <v>0</v>
      </c>
      <c r="F10" s="129">
        <v>0</v>
      </c>
      <c r="G10" s="129">
        <v>14</v>
      </c>
      <c r="H10" s="129">
        <v>852128</v>
      </c>
      <c r="I10" s="129">
        <v>1</v>
      </c>
      <c r="J10" s="129" t="s">
        <v>857</v>
      </c>
      <c r="K10" s="129" t="s">
        <v>1122</v>
      </c>
      <c r="L10" s="128" t="str">
        <f t="shared" si="0"/>
        <v>SpellData.create(SIDDISCORD,"纷争",0,0,14,852128,1,ORDER_TYPE_TARGET).setCCC2(0,0,12).setCCC3(0,0,10);</v>
      </c>
      <c r="M10" s="129"/>
      <c r="N10" s="129"/>
      <c r="O10" s="129"/>
      <c r="P10" s="129"/>
      <c r="Q10" s="129"/>
      <c r="R10" s="129"/>
      <c r="S10" s="129"/>
      <c r="T10" s="129"/>
      <c r="U10" s="129"/>
      <c r="V10" s="129"/>
      <c r="W10" s="129"/>
      <c r="X10" s="129"/>
      <c r="Y10" s="129"/>
    </row>
    <row r="11" spans="1:25">
      <c r="A11" s="129"/>
      <c r="B11" s="129" t="s">
        <v>60</v>
      </c>
      <c r="C11" s="129" t="s">
        <v>19</v>
      </c>
      <c r="D11" s="129" t="s">
        <v>604</v>
      </c>
      <c r="E11" s="129">
        <v>0</v>
      </c>
      <c r="F11" s="129">
        <v>0</v>
      </c>
      <c r="G11" s="129">
        <v>30</v>
      </c>
      <c r="H11" s="129">
        <v>852090</v>
      </c>
      <c r="I11" s="129">
        <v>1</v>
      </c>
      <c r="J11" s="129" t="s">
        <v>660</v>
      </c>
      <c r="K11" s="129"/>
      <c r="L11" s="128" t="str">
        <f t="shared" si="0"/>
        <v>SpellData.create(SIDSHIELDOFSINDOREI,"辛多雷之盾",0,0,30,852090,1,ORDER_TYPE_IMMEDIATE);</v>
      </c>
      <c r="M11" s="129"/>
      <c r="N11" s="129"/>
      <c r="O11" s="129"/>
      <c r="P11" s="129"/>
      <c r="Q11" s="129"/>
      <c r="R11" s="129"/>
      <c r="S11" s="129"/>
      <c r="T11" s="129"/>
      <c r="U11" s="129"/>
      <c r="V11" s="129"/>
      <c r="W11" s="129"/>
      <c r="X11" s="129"/>
      <c r="Y11" s="129"/>
    </row>
    <row r="12" spans="1:25">
      <c r="A12" s="130"/>
      <c r="B12" s="130" t="s">
        <v>274</v>
      </c>
      <c r="C12" s="130" t="s">
        <v>25</v>
      </c>
      <c r="D12" s="130" t="s">
        <v>1121</v>
      </c>
      <c r="E12" s="130">
        <v>0</v>
      </c>
      <c r="F12" s="130">
        <v>0</v>
      </c>
      <c r="G12" s="130">
        <v>1.5</v>
      </c>
      <c r="H12" s="130" t="s">
        <v>1120</v>
      </c>
      <c r="I12" s="130">
        <v>1</v>
      </c>
      <c r="J12" s="130" t="s">
        <v>857</v>
      </c>
      <c r="K12" s="130"/>
      <c r="L12" s="128" t="str">
        <f t="shared" si="0"/>
        <v>SpellData.create(SID_LACERATE,"割伤",0,0,1.5,OrderId("coldarrowstarg"),1,ORDER_TYPE_TARGET);</v>
      </c>
      <c r="M12" s="130"/>
      <c r="N12" s="130"/>
      <c r="O12" s="130"/>
      <c r="P12" s="130"/>
      <c r="Q12" s="130"/>
      <c r="R12" s="130"/>
      <c r="S12" s="130"/>
      <c r="T12" s="130"/>
      <c r="U12" s="130"/>
      <c r="V12" s="130"/>
      <c r="W12" s="130"/>
      <c r="X12" s="130"/>
      <c r="Y12" s="130"/>
    </row>
    <row r="13" spans="1:25">
      <c r="A13" s="130"/>
      <c r="B13" s="130" t="s">
        <v>275</v>
      </c>
      <c r="C13" s="130" t="s">
        <v>26</v>
      </c>
      <c r="D13" s="130" t="s">
        <v>920</v>
      </c>
      <c r="E13" s="130">
        <v>0</v>
      </c>
      <c r="F13" s="130">
        <v>0</v>
      </c>
      <c r="G13" s="130">
        <v>5</v>
      </c>
      <c r="H13" s="130" t="s">
        <v>1032</v>
      </c>
      <c r="I13" s="130">
        <v>1</v>
      </c>
      <c r="J13" s="130" t="s">
        <v>660</v>
      </c>
      <c r="K13" s="130"/>
      <c r="L13" s="128" t="str">
        <f t="shared" si="0"/>
        <v>SpellData.create(SID_SAVAGE_ROAR,"野蛮咆哮",0,0,5,OrderId("purge"),1,ORDER_TYPE_IMMEDIATE);</v>
      </c>
      <c r="M13" s="130"/>
      <c r="N13" s="130"/>
      <c r="O13" s="130"/>
      <c r="P13" s="130"/>
      <c r="Q13" s="130"/>
      <c r="R13" s="130"/>
      <c r="S13" s="130"/>
      <c r="T13" s="130"/>
      <c r="U13" s="130"/>
      <c r="V13" s="130"/>
      <c r="W13" s="130"/>
      <c r="X13" s="130"/>
      <c r="Y13" s="130"/>
    </row>
    <row r="14" spans="1:25">
      <c r="A14" s="130"/>
      <c r="B14" s="130" t="s">
        <v>276</v>
      </c>
      <c r="C14" s="130" t="s">
        <v>30</v>
      </c>
      <c r="D14" s="130" t="s">
        <v>1119</v>
      </c>
      <c r="E14" s="130">
        <v>0</v>
      </c>
      <c r="F14" s="130">
        <v>0</v>
      </c>
      <c r="G14" s="130">
        <v>1</v>
      </c>
      <c r="H14" s="130" t="s">
        <v>1016</v>
      </c>
      <c r="I14" s="130">
        <v>1</v>
      </c>
      <c r="J14" s="130" t="s">
        <v>660</v>
      </c>
      <c r="K14" s="130"/>
      <c r="L14" s="128" t="str">
        <f t="shared" si="0"/>
        <v>SpellData.create(SID_FOREST_CURE,"丛林治愈",0,0,1,OrderId("deathcoil"),1,ORDER_TYPE_IMMEDIATE);</v>
      </c>
      <c r="M14" s="130"/>
      <c r="N14" s="130"/>
      <c r="O14" s="130"/>
      <c r="P14" s="130"/>
      <c r="Q14" s="130"/>
      <c r="R14" s="130"/>
      <c r="S14" s="130"/>
      <c r="T14" s="130"/>
      <c r="U14" s="130"/>
      <c r="V14" s="130"/>
      <c r="W14" s="130"/>
      <c r="X14" s="130"/>
      <c r="Y14" s="130"/>
    </row>
    <row r="15" spans="1:25">
      <c r="A15" s="130"/>
      <c r="B15" s="130" t="s">
        <v>277</v>
      </c>
      <c r="C15" s="130" t="s">
        <v>32</v>
      </c>
      <c r="D15" s="130" t="s">
        <v>918</v>
      </c>
      <c r="E15" s="130">
        <v>0</v>
      </c>
      <c r="F15" s="130">
        <v>0</v>
      </c>
      <c r="G15" s="130">
        <v>15</v>
      </c>
      <c r="H15" s="130" t="s">
        <v>1003</v>
      </c>
      <c r="I15" s="130">
        <v>1</v>
      </c>
      <c r="J15" s="130" t="s">
        <v>660</v>
      </c>
      <c r="K15" s="130"/>
      <c r="L15" s="128" t="str">
        <f t="shared" si="0"/>
        <v>SpellData.create(SID_NATURAL_REFLEX,"自然反射",0,0,15,OrderId("dispel"),1,ORDER_TYPE_IMMEDIATE);</v>
      </c>
      <c r="M15" s="130"/>
      <c r="N15" s="130"/>
      <c r="O15" s="130"/>
      <c r="P15" s="130"/>
      <c r="Q15" s="130"/>
      <c r="R15" s="130"/>
      <c r="S15" s="130"/>
      <c r="T15" s="130"/>
      <c r="U15" s="130"/>
      <c r="V15" s="130"/>
      <c r="W15" s="130"/>
      <c r="X15" s="130"/>
      <c r="Y15" s="130"/>
    </row>
    <row r="16" spans="1:25">
      <c r="A16" s="130"/>
      <c r="B16" s="130" t="s">
        <v>278</v>
      </c>
      <c r="C16" s="130" t="s">
        <v>34</v>
      </c>
      <c r="D16" s="130" t="s">
        <v>1118</v>
      </c>
      <c r="E16" s="130">
        <v>0</v>
      </c>
      <c r="F16" s="130">
        <v>0</v>
      </c>
      <c r="G16" s="130">
        <v>60</v>
      </c>
      <c r="H16" s="130" t="s">
        <v>1106</v>
      </c>
      <c r="I16" s="130">
        <v>1</v>
      </c>
      <c r="J16" s="130" t="s">
        <v>660</v>
      </c>
      <c r="K16" s="130"/>
      <c r="L16" s="128" t="str">
        <f t="shared" si="0"/>
        <v>SpellData.create(SID_SURVIVAL_INSTINCTS,"生存本能",0,0,60,OrderId("cripple"),1,ORDER_TYPE_IMMEDIATE);</v>
      </c>
      <c r="M16" s="130"/>
      <c r="N16" s="130"/>
      <c r="O16" s="130"/>
      <c r="P16" s="130"/>
      <c r="Q16" s="130"/>
      <c r="R16" s="130"/>
      <c r="S16" s="130"/>
      <c r="T16" s="130"/>
      <c r="U16" s="130"/>
      <c r="V16" s="130"/>
      <c r="W16" s="130"/>
      <c r="X16" s="130"/>
      <c r="Y16" s="130"/>
    </row>
    <row r="17" spans="1:25">
      <c r="A17" s="131"/>
      <c r="B17" s="131" t="s">
        <v>313</v>
      </c>
      <c r="C17" s="131" t="s">
        <v>44</v>
      </c>
      <c r="D17" s="131" t="s">
        <v>914</v>
      </c>
      <c r="E17" s="131">
        <v>0</v>
      </c>
      <c r="F17" s="131">
        <v>50</v>
      </c>
      <c r="G17" s="131">
        <v>1</v>
      </c>
      <c r="H17" s="131" t="s">
        <v>1106</v>
      </c>
      <c r="I17" s="131">
        <v>1</v>
      </c>
      <c r="J17" s="131" t="s">
        <v>857</v>
      </c>
      <c r="K17" s="131"/>
      <c r="L17" s="128" t="str">
        <f t="shared" si="0"/>
        <v>SpellData.create(SIDLIFEBLOOM,"生命绽放",50,0,1,OrderId("cripple"),1,ORDER_TYPE_TARGET);</v>
      </c>
      <c r="M17" s="131"/>
      <c r="N17" s="131"/>
      <c r="O17" s="131"/>
      <c r="P17" s="131"/>
      <c r="Q17" s="131"/>
      <c r="R17" s="131"/>
      <c r="S17" s="131"/>
      <c r="T17" s="131"/>
      <c r="U17" s="131"/>
      <c r="V17" s="131"/>
      <c r="W17" s="131"/>
      <c r="X17" s="131"/>
      <c r="Y17" s="131"/>
    </row>
    <row r="18" spans="1:25">
      <c r="A18" s="131"/>
      <c r="B18" s="131" t="s">
        <v>315</v>
      </c>
      <c r="C18" s="131" t="s">
        <v>45</v>
      </c>
      <c r="D18" s="131" t="s">
        <v>1117</v>
      </c>
      <c r="E18" s="131">
        <v>0</v>
      </c>
      <c r="F18" s="131">
        <v>75</v>
      </c>
      <c r="G18" s="131">
        <v>1</v>
      </c>
      <c r="H18" s="131" t="s">
        <v>1116</v>
      </c>
      <c r="I18" s="131">
        <v>1</v>
      </c>
      <c r="J18" s="131" t="s">
        <v>857</v>
      </c>
      <c r="K18" s="131" t="s">
        <v>1115</v>
      </c>
      <c r="L18" s="128" t="str">
        <f t="shared" si="0"/>
        <v>SpellData.create(SIDREJUVENATION,"回春术",75,0,1,OrderId("rejuvination"),1,ORDER_TYPE_TARGET).setCCC2(110,0,1).setCCC3(145,0,1);</v>
      </c>
      <c r="M18" s="131"/>
      <c r="N18" s="131"/>
      <c r="O18" s="131"/>
      <c r="P18" s="131"/>
      <c r="Q18" s="131"/>
      <c r="R18" s="131"/>
      <c r="S18" s="131"/>
      <c r="T18" s="131"/>
      <c r="U18" s="131"/>
      <c r="V18" s="131"/>
      <c r="W18" s="131"/>
      <c r="X18" s="131"/>
      <c r="Y18" s="131"/>
    </row>
    <row r="19" spans="1:25">
      <c r="A19" s="131"/>
      <c r="B19" s="131" t="s">
        <v>316</v>
      </c>
      <c r="C19" s="131" t="s">
        <v>48</v>
      </c>
      <c r="D19" s="131" t="s">
        <v>1114</v>
      </c>
      <c r="E19" s="131">
        <v>3</v>
      </c>
      <c r="F19" s="131">
        <v>100</v>
      </c>
      <c r="G19" s="131">
        <v>0</v>
      </c>
      <c r="H19" s="131" t="s">
        <v>859</v>
      </c>
      <c r="I19" s="131">
        <v>1</v>
      </c>
      <c r="J19" s="131" t="s">
        <v>857</v>
      </c>
      <c r="K19" s="131" t="s">
        <v>1113</v>
      </c>
      <c r="L19" s="128" t="str">
        <f t="shared" si="0"/>
        <v>SpellData.create(SIDREGROWTH,"愈合",100,3,0,OrderId("healingwave"),1,ORDER_TYPE_TARGET).setCCC2(120,3,0).setCCC3(140,3,0);</v>
      </c>
      <c r="M19" s="131"/>
      <c r="N19" s="131"/>
      <c r="O19" s="131"/>
      <c r="P19" s="131"/>
      <c r="Q19" s="131"/>
      <c r="R19" s="131"/>
      <c r="S19" s="131"/>
      <c r="T19" s="131"/>
      <c r="U19" s="131"/>
      <c r="V19" s="131"/>
      <c r="W19" s="131"/>
      <c r="X19" s="131"/>
      <c r="Y19" s="131"/>
    </row>
    <row r="20" spans="1:25">
      <c r="A20" s="131"/>
      <c r="B20" s="131" t="s">
        <v>317</v>
      </c>
      <c r="C20" s="131" t="s">
        <v>49</v>
      </c>
      <c r="D20" s="131" t="s">
        <v>1112</v>
      </c>
      <c r="E20" s="131">
        <v>0</v>
      </c>
      <c r="F20" s="131">
        <v>150</v>
      </c>
      <c r="G20" s="131">
        <v>11</v>
      </c>
      <c r="H20" s="131" t="s">
        <v>1111</v>
      </c>
      <c r="I20" s="131">
        <v>1</v>
      </c>
      <c r="J20" s="131" t="s">
        <v>857</v>
      </c>
      <c r="K20" s="131"/>
      <c r="L20" s="128" t="str">
        <f t="shared" si="0"/>
        <v>SpellData.create(SIDSWIFTMEND,"迅捷治愈",150,0,11,OrderId("replenishlife"),1,ORDER_TYPE_TARGET);</v>
      </c>
      <c r="M20" s="131"/>
      <c r="N20" s="131"/>
      <c r="O20" s="131"/>
      <c r="P20" s="131"/>
      <c r="Q20" s="131"/>
      <c r="R20" s="131"/>
      <c r="S20" s="131"/>
      <c r="T20" s="131"/>
      <c r="U20" s="131"/>
      <c r="V20" s="131"/>
      <c r="W20" s="131"/>
      <c r="X20" s="131"/>
      <c r="Y20" s="131"/>
    </row>
    <row r="21" spans="1:25">
      <c r="A21" s="131"/>
      <c r="B21" s="131" t="s">
        <v>318</v>
      </c>
      <c r="C21" s="131" t="s">
        <v>52</v>
      </c>
      <c r="D21" s="131" t="s">
        <v>916</v>
      </c>
      <c r="E21" s="131">
        <v>8</v>
      </c>
      <c r="F21" s="131">
        <v>200</v>
      </c>
      <c r="G21" s="131">
        <v>40</v>
      </c>
      <c r="H21" s="131" t="s">
        <v>1110</v>
      </c>
      <c r="I21" s="131">
        <v>1</v>
      </c>
      <c r="J21" s="131" t="s">
        <v>660</v>
      </c>
      <c r="K21" s="131"/>
      <c r="L21" s="128" t="str">
        <f t="shared" si="0"/>
        <v>SpellData.create(SIDTRANQUILITY,"宁静",200,8,40,OrderId("tranquility"),1,ORDER_TYPE_IMMEDIATE);</v>
      </c>
      <c r="M21" s="131"/>
      <c r="N21" s="131"/>
      <c r="O21" s="131"/>
      <c r="P21" s="131"/>
      <c r="Q21" s="131"/>
      <c r="R21" s="131"/>
      <c r="S21" s="131"/>
      <c r="T21" s="131"/>
      <c r="U21" s="131"/>
      <c r="V21" s="131"/>
      <c r="W21" s="131"/>
      <c r="X21" s="131"/>
      <c r="Y21" s="131"/>
    </row>
    <row r="22" spans="1:25">
      <c r="A22" s="131"/>
      <c r="B22" s="131" t="s">
        <v>1109</v>
      </c>
      <c r="C22" s="131" t="s">
        <v>52</v>
      </c>
      <c r="D22" s="131" t="s">
        <v>916</v>
      </c>
      <c r="E22" s="131">
        <v>8</v>
      </c>
      <c r="F22" s="131">
        <v>200</v>
      </c>
      <c r="G22" s="131">
        <v>1</v>
      </c>
      <c r="H22" s="131" t="s">
        <v>661</v>
      </c>
      <c r="I22" s="131">
        <v>1</v>
      </c>
      <c r="J22" s="131" t="s">
        <v>660</v>
      </c>
      <c r="K22" s="131"/>
      <c r="L22" s="128" t="str">
        <f t="shared" si="0"/>
        <v>SpellData.create(SIDTRANQUILITY1,"宁静",200,8,1,OrderId("channel"),1,ORDER_TYPE_IMMEDIATE);</v>
      </c>
      <c r="M22" s="131"/>
      <c r="N22" s="131"/>
      <c r="O22" s="131"/>
      <c r="P22" s="131"/>
      <c r="Q22" s="131"/>
      <c r="R22" s="131"/>
      <c r="S22" s="131"/>
      <c r="T22" s="131"/>
      <c r="U22" s="131"/>
      <c r="V22" s="131"/>
      <c r="W22" s="131"/>
      <c r="X22" s="131"/>
      <c r="Y22" s="131"/>
    </row>
    <row r="23" spans="1:25">
      <c r="A23" s="132"/>
      <c r="B23" s="132" t="s">
        <v>348</v>
      </c>
      <c r="C23" s="132" t="s">
        <v>86</v>
      </c>
      <c r="D23" s="132" t="s">
        <v>1107</v>
      </c>
      <c r="E23" s="132">
        <v>0</v>
      </c>
      <c r="F23" s="132">
        <v>50</v>
      </c>
      <c r="G23" s="132">
        <v>3.5</v>
      </c>
      <c r="H23" s="132" t="s">
        <v>999</v>
      </c>
      <c r="I23" s="132">
        <v>1</v>
      </c>
      <c r="J23" s="132" t="s">
        <v>857</v>
      </c>
      <c r="K23" s="132"/>
      <c r="L23" s="128" t="str">
        <f t="shared" si="0"/>
        <v>SpellData.create(SIDFLASHLIGHT,"闪耀之光",50,0,3.5,OrderId("innerfire"),1,ORDER_TYPE_TARGET);</v>
      </c>
      <c r="M23" s="132"/>
      <c r="N23" s="132"/>
      <c r="O23" s="132"/>
      <c r="P23" s="132"/>
      <c r="Q23" s="132"/>
      <c r="R23" s="132"/>
      <c r="S23" s="132"/>
      <c r="T23" s="132"/>
      <c r="U23" s="132"/>
      <c r="V23" s="132"/>
      <c r="W23" s="132"/>
      <c r="X23" s="132"/>
      <c r="Y23" s="132"/>
    </row>
    <row r="24" spans="1:25">
      <c r="A24" s="132"/>
      <c r="B24" s="132" t="s">
        <v>1108</v>
      </c>
      <c r="C24" s="132" t="s">
        <v>86</v>
      </c>
      <c r="D24" s="132" t="s">
        <v>1107</v>
      </c>
      <c r="E24" s="132">
        <v>0</v>
      </c>
      <c r="F24" s="132">
        <v>50</v>
      </c>
      <c r="G24" s="132">
        <v>2.2000000000000002</v>
      </c>
      <c r="H24" s="132" t="s">
        <v>1106</v>
      </c>
      <c r="I24" s="132">
        <v>1</v>
      </c>
      <c r="J24" s="132" t="s">
        <v>857</v>
      </c>
      <c r="K24" s="132"/>
      <c r="L24" s="128" t="str">
        <f t="shared" si="0"/>
        <v>SpellData.create(SIDFLASHLIGHT1,"闪耀之光",50,0,2.2,OrderId("cripple"),1,ORDER_TYPE_TARGET);</v>
      </c>
      <c r="M24" s="132"/>
      <c r="N24" s="132"/>
      <c r="O24" s="132"/>
      <c r="P24" s="132"/>
      <c r="Q24" s="132"/>
      <c r="R24" s="132"/>
      <c r="S24" s="132"/>
      <c r="T24" s="132"/>
      <c r="U24" s="132"/>
      <c r="V24" s="132"/>
      <c r="W24" s="132"/>
      <c r="X24" s="132"/>
      <c r="Y24" s="132"/>
    </row>
    <row r="25" spans="1:25">
      <c r="A25" s="132"/>
      <c r="B25" s="132" t="s">
        <v>349</v>
      </c>
      <c r="C25" s="132" t="s">
        <v>93</v>
      </c>
      <c r="D25" s="132" t="s">
        <v>912</v>
      </c>
      <c r="E25" s="132">
        <v>2.6</v>
      </c>
      <c r="F25" s="132">
        <v>100</v>
      </c>
      <c r="G25" s="132">
        <v>0</v>
      </c>
      <c r="H25" s="132" t="s">
        <v>1105</v>
      </c>
      <c r="I25" s="132">
        <v>1</v>
      </c>
      <c r="J25" s="132" t="s">
        <v>857</v>
      </c>
      <c r="K25" s="132" t="s">
        <v>1104</v>
      </c>
      <c r="L25" s="128" t="str">
        <f t="shared" si="0"/>
        <v>SpellData.create(SIDHOLYLIGHT,"圣光术",100,2.6,0,OrderId("holybolt"),1,ORDER_TYPE_TARGET).setCCC2(115,2.6,0).setCCC3(130,2.6,0);</v>
      </c>
      <c r="M25" s="132"/>
      <c r="N25" s="132"/>
      <c r="O25" s="132"/>
      <c r="P25" s="132"/>
      <c r="Q25" s="132"/>
      <c r="R25" s="132"/>
      <c r="S25" s="132"/>
      <c r="T25" s="132"/>
      <c r="U25" s="132"/>
      <c r="V25" s="132"/>
      <c r="W25" s="132"/>
      <c r="X25" s="132"/>
      <c r="Y25" s="132"/>
    </row>
    <row r="26" spans="1:25">
      <c r="A26" s="132"/>
      <c r="B26" s="132" t="s">
        <v>1103</v>
      </c>
      <c r="C26" s="132" t="s">
        <v>93</v>
      </c>
      <c r="D26" s="132" t="s">
        <v>912</v>
      </c>
      <c r="E26" s="132">
        <v>0</v>
      </c>
      <c r="F26" s="132">
        <v>0</v>
      </c>
      <c r="G26" s="132">
        <v>1</v>
      </c>
      <c r="H26" s="132" t="s">
        <v>1102</v>
      </c>
      <c r="I26" s="132">
        <v>1</v>
      </c>
      <c r="J26" s="132" t="s">
        <v>857</v>
      </c>
      <c r="K26" s="132"/>
      <c r="L26" s="128" t="str">
        <f t="shared" si="0"/>
        <v>SpellData.create(SIDHOLYLIGHT1,"圣光术",0,0,1,OrderId("curse"),1,ORDER_TYPE_TARGET);</v>
      </c>
      <c r="M26" s="132"/>
      <c r="N26" s="132"/>
      <c r="O26" s="132"/>
      <c r="P26" s="132"/>
      <c r="Q26" s="132"/>
      <c r="R26" s="132"/>
      <c r="S26" s="132"/>
      <c r="T26" s="132"/>
      <c r="U26" s="132"/>
      <c r="V26" s="132"/>
      <c r="W26" s="132"/>
      <c r="X26" s="132"/>
      <c r="Y26" s="132"/>
    </row>
    <row r="27" spans="1:25">
      <c r="A27" s="132"/>
      <c r="B27" s="132" t="s">
        <v>350</v>
      </c>
      <c r="C27" s="132" t="s">
        <v>98</v>
      </c>
      <c r="D27" s="132" t="s">
        <v>910</v>
      </c>
      <c r="E27" s="132">
        <v>0</v>
      </c>
      <c r="F27" s="132">
        <v>100</v>
      </c>
      <c r="G27" s="132">
        <v>15</v>
      </c>
      <c r="H27" s="132" t="s">
        <v>1101</v>
      </c>
      <c r="I27" s="132">
        <v>1</v>
      </c>
      <c r="J27" s="132" t="s">
        <v>857</v>
      </c>
      <c r="K27" s="132" t="s">
        <v>1100</v>
      </c>
      <c r="L27" s="128" t="str">
        <f t="shared" si="0"/>
        <v>SpellData.create(SIDHOLYSHOCK,"神圣震击",100,0,15,OrderId("resurrection"),1,ORDER_TYPE_TARGET).setCCC2(150,0,15).setCCC3(200,0,15);</v>
      </c>
      <c r="M27" s="132"/>
      <c r="N27" s="132"/>
      <c r="O27" s="132"/>
      <c r="P27" s="132"/>
      <c r="Q27" s="132"/>
      <c r="R27" s="132"/>
      <c r="S27" s="132"/>
      <c r="T27" s="132"/>
      <c r="U27" s="132"/>
      <c r="V27" s="132"/>
      <c r="W27" s="132"/>
      <c r="X27" s="132"/>
      <c r="Y27" s="132"/>
    </row>
    <row r="28" spans="1:25">
      <c r="A28" s="132"/>
      <c r="B28" s="132" t="s">
        <v>351</v>
      </c>
      <c r="C28" s="132" t="s">
        <v>103</v>
      </c>
      <c r="D28" s="132" t="s">
        <v>1099</v>
      </c>
      <c r="E28" s="132">
        <v>0</v>
      </c>
      <c r="F28" s="132">
        <v>50</v>
      </c>
      <c r="G28" s="132">
        <v>20</v>
      </c>
      <c r="H28" s="132" t="s">
        <v>1066</v>
      </c>
      <c r="I28" s="132">
        <v>1</v>
      </c>
      <c r="J28" s="132" t="s">
        <v>660</v>
      </c>
      <c r="K28" s="132" t="s">
        <v>1098</v>
      </c>
      <c r="L28" s="128" t="str">
        <f t="shared" si="0"/>
        <v>SpellData.create(SIDDIVINEFAVOR,"神恩",50,0,20,OrderId("massteleport"),1,ORDER_TYPE_IMMEDIATE).setCCC2(50,0,18).setCCC3(50,0,16);</v>
      </c>
      <c r="M28" s="132"/>
      <c r="N28" s="132"/>
      <c r="O28" s="132"/>
      <c r="P28" s="132"/>
      <c r="Q28" s="132"/>
      <c r="R28" s="132"/>
      <c r="S28" s="132"/>
      <c r="T28" s="132"/>
      <c r="U28" s="132"/>
      <c r="V28" s="132"/>
      <c r="W28" s="132"/>
      <c r="X28" s="132"/>
      <c r="Y28" s="132"/>
    </row>
    <row r="29" spans="1:25">
      <c r="A29" s="132"/>
      <c r="B29" s="132" t="s">
        <v>352</v>
      </c>
      <c r="C29" s="132" t="s">
        <v>106</v>
      </c>
      <c r="D29" s="132" t="s">
        <v>1097</v>
      </c>
      <c r="E29" s="132">
        <v>0</v>
      </c>
      <c r="F29" s="132">
        <v>10</v>
      </c>
      <c r="G29" s="132">
        <v>10</v>
      </c>
      <c r="H29" s="132" t="s">
        <v>1096</v>
      </c>
      <c r="I29" s="132">
        <v>1</v>
      </c>
      <c r="J29" s="132" t="s">
        <v>857</v>
      </c>
      <c r="K29" s="132"/>
      <c r="L29" s="128" t="str">
        <f t="shared" si="0"/>
        <v>SpellData.create(SIDBEACONOFLIGHT,"圣光印记",10,0,10,OrderId("summonphoenix"),1,ORDER_TYPE_TARGET);</v>
      </c>
      <c r="M29" s="132"/>
      <c r="N29" s="132"/>
      <c r="O29" s="132"/>
      <c r="P29" s="132"/>
      <c r="Q29" s="132"/>
      <c r="R29" s="132"/>
      <c r="S29" s="132"/>
      <c r="T29" s="132"/>
      <c r="U29" s="132"/>
      <c r="V29" s="132"/>
      <c r="W29" s="132"/>
      <c r="X29" s="132"/>
      <c r="Y29" s="132"/>
    </row>
    <row r="30" spans="1:25">
      <c r="A30" s="133"/>
      <c r="B30" s="133" t="s">
        <v>434</v>
      </c>
      <c r="C30" s="133" t="s">
        <v>1095</v>
      </c>
      <c r="D30" s="133" t="s">
        <v>908</v>
      </c>
      <c r="E30" s="133">
        <v>0</v>
      </c>
      <c r="F30" s="133">
        <v>75</v>
      </c>
      <c r="G30" s="133">
        <v>1</v>
      </c>
      <c r="H30" s="133">
        <v>852063</v>
      </c>
      <c r="I30" s="133">
        <v>1</v>
      </c>
      <c r="J30" s="133" t="s">
        <v>857</v>
      </c>
      <c r="K30" s="133" t="s">
        <v>1094</v>
      </c>
      <c r="L30" s="128" t="str">
        <f t="shared" si="0"/>
        <v>SpellData.create(SIDHEAL,"治疗术",75,0,1,852063,1,ORDER_TYPE_TARGET).setCCC2(100,0,1).setCCC3(125,0,1);</v>
      </c>
      <c r="M30" s="133"/>
      <c r="N30" s="133"/>
      <c r="O30" s="133"/>
      <c r="P30" s="133"/>
      <c r="Q30" s="133"/>
      <c r="R30" s="133"/>
      <c r="S30" s="133"/>
      <c r="T30" s="133"/>
      <c r="U30" s="133"/>
      <c r="V30" s="133"/>
      <c r="W30" s="133"/>
      <c r="X30" s="133"/>
      <c r="Y30" s="133"/>
    </row>
    <row r="31" spans="1:25">
      <c r="A31" s="133"/>
      <c r="B31" s="133" t="s">
        <v>435</v>
      </c>
      <c r="C31" s="133" t="s">
        <v>119</v>
      </c>
      <c r="D31" s="133" t="s">
        <v>1093</v>
      </c>
      <c r="E31" s="133">
        <v>2.4</v>
      </c>
      <c r="F31" s="133">
        <v>100</v>
      </c>
      <c r="G31" s="133">
        <v>0</v>
      </c>
      <c r="H31" s="133" t="s">
        <v>1029</v>
      </c>
      <c r="I31" s="133">
        <v>1</v>
      </c>
      <c r="J31" s="133" t="s">
        <v>955</v>
      </c>
      <c r="K31" s="133" t="s">
        <v>1092</v>
      </c>
      <c r="L31" s="128" t="str">
        <f t="shared" si="0"/>
        <v>SpellData.create(SIDPRAYEROFHEALING,"治疗祷言",100,2.4,0,OrderId("blizzard"),1,ORDER_TYPE_POINT).setCCC2(100,2.1,0).setCCC3(100,1.8,0);</v>
      </c>
      <c r="M31" s="133"/>
      <c r="N31" s="133"/>
      <c r="O31" s="133"/>
      <c r="P31" s="133"/>
      <c r="Q31" s="133"/>
      <c r="R31" s="133"/>
      <c r="S31" s="133"/>
      <c r="T31" s="133"/>
      <c r="U31" s="133"/>
      <c r="V31" s="133"/>
      <c r="W31" s="133"/>
      <c r="X31" s="133"/>
      <c r="Y31" s="133"/>
    </row>
    <row r="32" spans="1:25">
      <c r="A32" s="133"/>
      <c r="B32" s="133" t="s">
        <v>436</v>
      </c>
      <c r="C32" s="133" t="s">
        <v>125</v>
      </c>
      <c r="D32" s="133" t="s">
        <v>906</v>
      </c>
      <c r="E32" s="133">
        <v>0</v>
      </c>
      <c r="F32" s="133">
        <v>100</v>
      </c>
      <c r="G32" s="133">
        <v>4</v>
      </c>
      <c r="H32" s="133">
        <v>852055</v>
      </c>
      <c r="I32" s="133">
        <v>1</v>
      </c>
      <c r="J32" s="133" t="s">
        <v>857</v>
      </c>
      <c r="K32" s="133" t="s">
        <v>1091</v>
      </c>
      <c r="L32" s="128" t="str">
        <f t="shared" si="0"/>
        <v>SpellData.create(SIDSHIELD,"护盾术",100,0,4,852055,1,ORDER_TYPE_TARGET).setCCC2(125,0,4).setCCC3(150,0,4);</v>
      </c>
      <c r="M32" s="133"/>
      <c r="N32" s="133"/>
      <c r="O32" s="133"/>
      <c r="P32" s="133"/>
      <c r="Q32" s="133"/>
      <c r="R32" s="133"/>
      <c r="S32" s="133"/>
      <c r="T32" s="133"/>
      <c r="U32" s="133"/>
      <c r="V32" s="133"/>
      <c r="W32" s="133"/>
      <c r="X32" s="133"/>
      <c r="Y32" s="133"/>
    </row>
    <row r="33" spans="1:25">
      <c r="A33" s="133"/>
      <c r="B33" s="133" t="s">
        <v>1090</v>
      </c>
      <c r="C33" s="133" t="s">
        <v>125</v>
      </c>
      <c r="D33" s="133" t="s">
        <v>906</v>
      </c>
      <c r="E33" s="133">
        <v>0</v>
      </c>
      <c r="F33" s="133">
        <v>0</v>
      </c>
      <c r="G33" s="133">
        <v>0</v>
      </c>
      <c r="H33" s="133">
        <v>1</v>
      </c>
      <c r="I33" s="133">
        <v>1</v>
      </c>
      <c r="J33" s="133" t="s">
        <v>857</v>
      </c>
      <c r="K33" s="133"/>
      <c r="L33" s="128" t="str">
        <f t="shared" si="0"/>
        <v>SpellData.create(BID_SHIELD,"护盾术",0,0,0,1,1,ORDER_TYPE_TARGET);</v>
      </c>
      <c r="M33" s="133"/>
      <c r="N33" s="133"/>
      <c r="O33" s="133"/>
      <c r="P33" s="133"/>
      <c r="Q33" s="133"/>
      <c r="R33" s="133"/>
      <c r="S33" s="133"/>
      <c r="T33" s="133"/>
      <c r="U33" s="133"/>
      <c r="V33" s="133"/>
      <c r="W33" s="133"/>
      <c r="X33" s="133"/>
      <c r="Y33" s="133"/>
    </row>
    <row r="34" spans="1:25">
      <c r="A34" s="133"/>
      <c r="B34" s="133" t="s">
        <v>439</v>
      </c>
      <c r="C34" s="133" t="s">
        <v>130</v>
      </c>
      <c r="D34" s="133" t="s">
        <v>1089</v>
      </c>
      <c r="E34" s="133">
        <v>0</v>
      </c>
      <c r="F34" s="133">
        <v>75</v>
      </c>
      <c r="G34" s="133">
        <v>9</v>
      </c>
      <c r="H34" s="133">
        <v>852075</v>
      </c>
      <c r="I34" s="133">
        <v>1</v>
      </c>
      <c r="J34" s="133" t="s">
        <v>857</v>
      </c>
      <c r="K34" s="133" t="s">
        <v>1088</v>
      </c>
      <c r="L34" s="128" t="str">
        <f t="shared" si="0"/>
        <v>SpellData.create(SIDPRAYEROFMENDING,"愈合祷言",75,0,9,852075,1,ORDER_TYPE_TARGET).setCCC2(85,0,7).setCCC3(95,0,5);</v>
      </c>
      <c r="M34" s="133"/>
      <c r="N34" s="133"/>
      <c r="O34" s="133"/>
      <c r="P34" s="133"/>
      <c r="Q34" s="133"/>
      <c r="R34" s="133"/>
      <c r="S34" s="133"/>
      <c r="T34" s="133"/>
      <c r="U34" s="133"/>
      <c r="V34" s="133"/>
      <c r="W34" s="133"/>
      <c r="X34" s="133"/>
      <c r="Y34" s="133"/>
    </row>
    <row r="35" spans="1:25">
      <c r="A35" s="133"/>
      <c r="B35" s="133" t="s">
        <v>443</v>
      </c>
      <c r="C35" s="133" t="s">
        <v>1087</v>
      </c>
      <c r="D35" s="133" t="s">
        <v>1086</v>
      </c>
      <c r="E35" s="133">
        <v>0</v>
      </c>
      <c r="F35" s="133">
        <v>45</v>
      </c>
      <c r="G35" s="133">
        <v>3</v>
      </c>
      <c r="H35" s="133">
        <v>852057</v>
      </c>
      <c r="I35" s="133">
        <v>1</v>
      </c>
      <c r="J35" s="133" t="s">
        <v>857</v>
      </c>
      <c r="K35" s="133" t="s">
        <v>1085</v>
      </c>
      <c r="L35" s="128" t="str">
        <f t="shared" si="0"/>
        <v>SpellData.create(SIDDISPEL,"驱散魔法",45,0,3,852057,1,ORDER_TYPE_TARGET).setCCC2(60,0,3).setCCC3(75,0,3);</v>
      </c>
      <c r="M35" s="133"/>
      <c r="N35" s="133"/>
      <c r="O35" s="133"/>
      <c r="P35" s="133"/>
      <c r="Q35" s="133"/>
      <c r="R35" s="133"/>
      <c r="S35" s="133"/>
      <c r="T35" s="133"/>
      <c r="U35" s="133"/>
      <c r="V35" s="133"/>
      <c r="W35" s="133"/>
      <c r="X35" s="133"/>
      <c r="Y35" s="133"/>
    </row>
    <row r="36" spans="1:25">
      <c r="A36" s="134"/>
      <c r="B36" s="134" t="s">
        <v>537</v>
      </c>
      <c r="C36" s="134" t="s">
        <v>149</v>
      </c>
      <c r="D36" s="134" t="s">
        <v>900</v>
      </c>
      <c r="E36" s="134">
        <v>0</v>
      </c>
      <c r="F36" s="134">
        <v>4</v>
      </c>
      <c r="G36" s="134">
        <v>5</v>
      </c>
      <c r="H36" s="134" t="s">
        <v>1006</v>
      </c>
      <c r="I36" s="134">
        <v>1</v>
      </c>
      <c r="J36" s="134" t="s">
        <v>857</v>
      </c>
      <c r="K36" s="134" t="s">
        <v>1084</v>
      </c>
      <c r="L36" s="128" t="str">
        <f t="shared" si="0"/>
        <v>SpellData.create(SIDDARKARROW,"黑箭",4,0,5,OrderId("thunderbolt"),1,ORDER_TYPE_TARGET).setCCC2(5,0,5).setCCC2(6,0,5);</v>
      </c>
      <c r="M36" s="134"/>
      <c r="N36" s="134"/>
      <c r="O36" s="134"/>
      <c r="P36" s="134"/>
      <c r="Q36" s="134"/>
      <c r="R36" s="134"/>
      <c r="S36" s="134"/>
      <c r="T36" s="134"/>
      <c r="U36" s="134"/>
      <c r="V36" s="134"/>
      <c r="W36" s="134"/>
      <c r="X36" s="134"/>
      <c r="Y36" s="134"/>
    </row>
    <row r="37" spans="1:25">
      <c r="A37" s="134"/>
      <c r="B37" s="134" t="s">
        <v>538</v>
      </c>
      <c r="C37" s="134" t="s">
        <v>152</v>
      </c>
      <c r="D37" s="134" t="s">
        <v>1083</v>
      </c>
      <c r="E37" s="134">
        <v>0</v>
      </c>
      <c r="F37" s="134">
        <v>0</v>
      </c>
      <c r="G37" s="134">
        <v>13</v>
      </c>
      <c r="H37" s="134" t="s">
        <v>866</v>
      </c>
      <c r="I37" s="134">
        <v>1</v>
      </c>
      <c r="J37" s="134" t="s">
        <v>660</v>
      </c>
      <c r="K37" s="134"/>
      <c r="L37" s="128" t="str">
        <f t="shared" si="0"/>
        <v>SpellData.create(SIDCONCERNTRATION,"专注",0,0,13,OrderId("thunderclap"),1,ORDER_TYPE_IMMEDIATE);</v>
      </c>
      <c r="M37" s="134"/>
      <c r="N37" s="134"/>
      <c r="O37" s="134"/>
      <c r="P37" s="134"/>
      <c r="Q37" s="134"/>
      <c r="R37" s="134"/>
      <c r="S37" s="134"/>
      <c r="T37" s="134"/>
      <c r="U37" s="134"/>
      <c r="V37" s="134"/>
      <c r="W37" s="134"/>
      <c r="X37" s="134"/>
      <c r="Y37" s="134"/>
    </row>
    <row r="38" spans="1:25">
      <c r="A38" s="134"/>
      <c r="B38" s="134" t="s">
        <v>539</v>
      </c>
      <c r="C38" s="134" t="s">
        <v>154</v>
      </c>
      <c r="D38" s="134" t="s">
        <v>898</v>
      </c>
      <c r="E38" s="134">
        <v>0</v>
      </c>
      <c r="F38" s="134">
        <v>0</v>
      </c>
      <c r="G38" s="134">
        <v>16</v>
      </c>
      <c r="H38" s="134" t="s">
        <v>1029</v>
      </c>
      <c r="I38" s="134">
        <v>1</v>
      </c>
      <c r="J38" s="134" t="s">
        <v>955</v>
      </c>
      <c r="K38" s="134" t="s">
        <v>1082</v>
      </c>
      <c r="L38" s="128" t="str">
        <f t="shared" si="0"/>
        <v>SpellData.create(SIDFREEZINGTRAP,"冰冻陷阱",0,0,16,OrderId("blizzard"),1,ORDER_TYPE_POINT).setCCC2(0,0,13).setCCC3(0,0,10);</v>
      </c>
      <c r="M38" s="134"/>
      <c r="N38" s="134"/>
      <c r="O38" s="134"/>
      <c r="P38" s="134"/>
      <c r="Q38" s="134"/>
      <c r="R38" s="134"/>
      <c r="S38" s="134"/>
      <c r="T38" s="134"/>
      <c r="U38" s="134"/>
      <c r="V38" s="134"/>
      <c r="W38" s="134"/>
      <c r="X38" s="134"/>
      <c r="Y38" s="134"/>
    </row>
    <row r="39" spans="1:25">
      <c r="A39" s="134"/>
      <c r="B39" s="134" t="s">
        <v>540</v>
      </c>
      <c r="C39" s="134" t="s">
        <v>1081</v>
      </c>
      <c r="D39" s="134" t="s">
        <v>1080</v>
      </c>
      <c r="E39" s="134">
        <v>0</v>
      </c>
      <c r="F39" s="134">
        <v>0</v>
      </c>
      <c r="G39" s="134">
        <v>1</v>
      </c>
      <c r="H39" s="134" t="s">
        <v>1072</v>
      </c>
      <c r="I39" s="134">
        <v>1</v>
      </c>
      <c r="J39" s="134" t="s">
        <v>660</v>
      </c>
      <c r="K39" s="134"/>
      <c r="L39" s="128" t="str">
        <f t="shared" si="0"/>
        <v>SpellData.create(SIDPOWEROFABOMINATION,"憎恶之力",0,0,1,OID_IMMOLATIONON,1,ORDER_TYPE_IMMEDIATE);</v>
      </c>
      <c r="M39" s="134"/>
      <c r="N39" s="134"/>
      <c r="O39" s="134"/>
      <c r="P39" s="134"/>
      <c r="Q39" s="134"/>
      <c r="R39" s="134"/>
      <c r="S39" s="134"/>
      <c r="T39" s="134"/>
      <c r="U39" s="134"/>
      <c r="V39" s="134"/>
      <c r="W39" s="134"/>
      <c r="X39" s="134"/>
      <c r="Y39" s="134"/>
    </row>
    <row r="40" spans="1:25">
      <c r="A40" s="134"/>
      <c r="B40" s="134" t="s">
        <v>541</v>
      </c>
      <c r="C40" s="134" t="s">
        <v>161</v>
      </c>
      <c r="D40" s="134" t="s">
        <v>1079</v>
      </c>
      <c r="E40" s="134">
        <v>0</v>
      </c>
      <c r="F40" s="134">
        <v>0</v>
      </c>
      <c r="G40" s="134">
        <v>5</v>
      </c>
      <c r="H40" s="134" t="s">
        <v>884</v>
      </c>
      <c r="I40" s="134">
        <v>1</v>
      </c>
      <c r="J40" s="134" t="s">
        <v>660</v>
      </c>
      <c r="K40" s="134"/>
      <c r="L40" s="128" t="str">
        <f t="shared" si="0"/>
        <v>SpellData.create(SIDDEATHPACT,"死亡契约",0,0,5,OrderId("stomp"),1,ORDER_TYPE_IMMEDIATE);</v>
      </c>
      <c r="M40" s="134"/>
      <c r="N40" s="134"/>
      <c r="O40" s="134"/>
      <c r="P40" s="134"/>
      <c r="Q40" s="134"/>
      <c r="R40" s="134"/>
      <c r="S40" s="134"/>
      <c r="T40" s="134"/>
      <c r="U40" s="134"/>
      <c r="V40" s="134"/>
      <c r="W40" s="134"/>
      <c r="X40" s="134"/>
      <c r="Y40" s="134"/>
    </row>
    <row r="41" spans="1:25">
      <c r="A41" s="134"/>
      <c r="B41" s="134" t="s">
        <v>1078</v>
      </c>
      <c r="C41" s="134" t="s">
        <v>163</v>
      </c>
      <c r="D41" s="134" t="s">
        <v>1077</v>
      </c>
      <c r="E41" s="134">
        <v>0</v>
      </c>
      <c r="F41" s="134">
        <v>50</v>
      </c>
      <c r="G41" s="134">
        <v>60</v>
      </c>
      <c r="H41" s="134">
        <v>852503</v>
      </c>
      <c r="I41" s="134">
        <v>1</v>
      </c>
      <c r="J41" s="134" t="s">
        <v>660</v>
      </c>
      <c r="K41" s="134" t="s">
        <v>1076</v>
      </c>
      <c r="L41" s="128" t="str">
        <f t="shared" si="0"/>
        <v>SpellData.create(SIDSUMMONGHOUL,"食尸鬼仆从",50,0,60,852503,1,ORDER_TYPE_IMMEDIATE).setCCC2(0,0,45).setCCC3(0,0,30);</v>
      </c>
      <c r="M41" s="134"/>
      <c r="N41" s="134"/>
      <c r="O41" s="134"/>
      <c r="P41" s="134"/>
      <c r="Q41" s="134"/>
      <c r="R41" s="134"/>
      <c r="S41" s="134"/>
      <c r="T41" s="134"/>
      <c r="U41" s="134"/>
      <c r="V41" s="134"/>
      <c r="W41" s="134"/>
      <c r="X41" s="134"/>
      <c r="Y41" s="134"/>
    </row>
    <row r="42" spans="1:25">
      <c r="A42" s="134"/>
      <c r="B42" s="134" t="s">
        <v>1075</v>
      </c>
      <c r="C42" s="134" t="s">
        <v>171</v>
      </c>
      <c r="D42" s="134" t="s">
        <v>1074</v>
      </c>
      <c r="E42" s="134">
        <v>0</v>
      </c>
      <c r="F42" s="134">
        <v>0</v>
      </c>
      <c r="G42" s="134">
        <v>1</v>
      </c>
      <c r="H42" s="134">
        <v>0</v>
      </c>
      <c r="I42" s="134">
        <v>1</v>
      </c>
      <c r="J42" s="134" t="s">
        <v>660</v>
      </c>
      <c r="K42" s="134"/>
      <c r="L42" s="128" t="str">
        <f t="shared" si="0"/>
        <v>SpellData.create(SIDLIFELEECH,"生命偷取",0,0,1,0,1,ORDER_TYPE_IMMEDIATE);</v>
      </c>
      <c r="M42" s="134"/>
      <c r="N42" s="134"/>
      <c r="O42" s="134"/>
      <c r="P42" s="134"/>
      <c r="Q42" s="134"/>
      <c r="R42" s="134"/>
      <c r="S42" s="134"/>
      <c r="T42" s="134"/>
      <c r="U42" s="134"/>
      <c r="V42" s="134"/>
      <c r="W42" s="134"/>
      <c r="X42" s="134"/>
      <c r="Y42" s="134"/>
    </row>
    <row r="43" spans="1:25">
      <c r="A43" s="135"/>
      <c r="B43" s="135" t="s">
        <v>575</v>
      </c>
      <c r="C43" s="135" t="s">
        <v>197</v>
      </c>
      <c r="D43" s="135" t="s">
        <v>1073</v>
      </c>
      <c r="E43" s="135">
        <v>0</v>
      </c>
      <c r="F43" s="135">
        <v>0</v>
      </c>
      <c r="G43" s="135">
        <v>1</v>
      </c>
      <c r="H43" s="135" t="s">
        <v>1072</v>
      </c>
      <c r="I43" s="135">
        <v>1</v>
      </c>
      <c r="J43" s="135" t="s">
        <v>660</v>
      </c>
      <c r="K43" s="135"/>
      <c r="L43" s="128" t="str">
        <f t="shared" si="0"/>
        <v>SpellData.create(SIDHEROICSTRIKE,"英勇打击",0,0,1,OID_IMMOLATIONON,1,ORDER_TYPE_IMMEDIATE);</v>
      </c>
      <c r="M43" s="135"/>
      <c r="N43" s="135"/>
      <c r="O43" s="135"/>
      <c r="P43" s="135"/>
      <c r="Q43" s="135"/>
      <c r="R43" s="135"/>
      <c r="S43" s="135"/>
      <c r="T43" s="135"/>
      <c r="U43" s="135"/>
      <c r="V43" s="135"/>
      <c r="W43" s="135"/>
      <c r="X43" s="135"/>
      <c r="Y43" s="135"/>
    </row>
    <row r="44" spans="1:25">
      <c r="A44" s="135"/>
      <c r="B44" s="135" t="s">
        <v>576</v>
      </c>
      <c r="C44" s="135" t="s">
        <v>192</v>
      </c>
      <c r="D44" s="135" t="s">
        <v>1071</v>
      </c>
      <c r="E44" s="135">
        <v>0</v>
      </c>
      <c r="F44" s="135">
        <v>30</v>
      </c>
      <c r="G44" s="135">
        <v>6</v>
      </c>
      <c r="H44" s="135" t="s">
        <v>1070</v>
      </c>
      <c r="I44" s="135">
        <v>1</v>
      </c>
      <c r="J44" s="135" t="s">
        <v>857</v>
      </c>
      <c r="K44" s="135"/>
      <c r="L44" s="128" t="str">
        <f t="shared" si="0"/>
        <v>SpellData.create(SIDREND,"撕裂",30,0,6,OrderId("whirlwind"),1,ORDER_TYPE_TARGET);</v>
      </c>
      <c r="M44" s="135"/>
      <c r="N44" s="135"/>
      <c r="O44" s="135"/>
      <c r="P44" s="135"/>
      <c r="Q44" s="135"/>
      <c r="R44" s="135"/>
      <c r="S44" s="135"/>
      <c r="T44" s="135"/>
      <c r="U44" s="135"/>
      <c r="V44" s="135"/>
      <c r="W44" s="135"/>
      <c r="X44" s="135"/>
      <c r="Y44" s="135"/>
    </row>
    <row r="45" spans="1:25">
      <c r="A45" s="135"/>
      <c r="B45" s="135" t="s">
        <v>577</v>
      </c>
      <c r="C45" s="135" t="s">
        <v>205</v>
      </c>
      <c r="D45" s="135" t="s">
        <v>902</v>
      </c>
      <c r="E45" s="135">
        <v>0</v>
      </c>
      <c r="F45" s="135">
        <v>0</v>
      </c>
      <c r="G45" s="135">
        <v>3.5</v>
      </c>
      <c r="H45" s="135" t="s">
        <v>1069</v>
      </c>
      <c r="I45" s="135">
        <v>1</v>
      </c>
      <c r="J45" s="135" t="s">
        <v>857</v>
      </c>
      <c r="K45" s="135"/>
      <c r="L45" s="128" t="str">
        <f t="shared" si="0"/>
        <v>SpellData.create(SIDOVERPOWER,"压制",0,0,3.5,OrderId("windwalk"),1,ORDER_TYPE_TARGET);</v>
      </c>
      <c r="M45" s="135"/>
      <c r="N45" s="135"/>
      <c r="O45" s="135"/>
      <c r="P45" s="135"/>
      <c r="Q45" s="135"/>
      <c r="R45" s="135"/>
      <c r="S45" s="135"/>
      <c r="T45" s="135"/>
      <c r="U45" s="135"/>
      <c r="V45" s="135"/>
      <c r="W45" s="135"/>
      <c r="X45" s="135"/>
      <c r="Y45" s="135"/>
    </row>
    <row r="46" spans="1:25">
      <c r="A46" s="135"/>
      <c r="B46" s="135" t="s">
        <v>578</v>
      </c>
      <c r="C46" s="135" t="s">
        <v>207</v>
      </c>
      <c r="D46" s="135" t="s">
        <v>904</v>
      </c>
      <c r="E46" s="135">
        <v>0</v>
      </c>
      <c r="F46" s="135">
        <v>15</v>
      </c>
      <c r="G46" s="135">
        <v>9</v>
      </c>
      <c r="H46" s="135" t="s">
        <v>1068</v>
      </c>
      <c r="I46" s="135">
        <v>1</v>
      </c>
      <c r="J46" s="135" t="s">
        <v>857</v>
      </c>
      <c r="K46" s="135" t="s">
        <v>1067</v>
      </c>
      <c r="L46" s="128" t="str">
        <f t="shared" si="0"/>
        <v>SpellData.create(SIDMORTALSTRIKE,"致死打击",15,0,9,OrderId("drunkenhaze"),1,ORDER_TYPE_TARGET).setCCC2(25,0,8).setCCC3(35,0,7);</v>
      </c>
      <c r="M46" s="135"/>
      <c r="N46" s="135"/>
      <c r="O46" s="135"/>
      <c r="P46" s="135"/>
      <c r="Q46" s="135"/>
      <c r="R46" s="135"/>
      <c r="S46" s="135"/>
      <c r="T46" s="135"/>
      <c r="U46" s="135"/>
      <c r="V46" s="135"/>
      <c r="W46" s="135"/>
      <c r="X46" s="135"/>
      <c r="Y46" s="135"/>
    </row>
    <row r="47" spans="1:25">
      <c r="A47" s="135"/>
      <c r="B47" s="135" t="s">
        <v>579</v>
      </c>
      <c r="C47" s="135" t="s">
        <v>211</v>
      </c>
      <c r="D47" s="135" t="s">
        <v>1057</v>
      </c>
      <c r="E47" s="135">
        <v>0</v>
      </c>
      <c r="F47" s="135">
        <v>0</v>
      </c>
      <c r="G47" s="135">
        <v>1</v>
      </c>
      <c r="H47" s="135" t="s">
        <v>1066</v>
      </c>
      <c r="I47" s="135">
        <v>1</v>
      </c>
      <c r="J47" s="135" t="s">
        <v>857</v>
      </c>
      <c r="K47" s="135"/>
      <c r="L47" s="128" t="str">
        <f t="shared" si="0"/>
        <v>SpellData.create(SIDEXECUTELEARN,"斩杀",0,0,1,OrderId("massteleport"),1,ORDER_TYPE_TARGET);</v>
      </c>
      <c r="M47" s="135"/>
      <c r="N47" s="135"/>
      <c r="O47" s="135"/>
      <c r="P47" s="135"/>
      <c r="Q47" s="135"/>
      <c r="R47" s="135"/>
      <c r="S47" s="135"/>
      <c r="T47" s="135"/>
      <c r="U47" s="135"/>
      <c r="V47" s="135"/>
      <c r="W47" s="135"/>
      <c r="X47" s="135"/>
      <c r="Y47" s="135"/>
    </row>
    <row r="48" spans="1:25">
      <c r="A48" s="135"/>
      <c r="B48" s="135" t="s">
        <v>1065</v>
      </c>
      <c r="C48" s="135" t="s">
        <v>211</v>
      </c>
      <c r="D48" s="135" t="s">
        <v>1057</v>
      </c>
      <c r="E48" s="135">
        <v>0</v>
      </c>
      <c r="F48" s="135">
        <v>0</v>
      </c>
      <c r="G48" s="135">
        <v>1</v>
      </c>
      <c r="H48" s="135" t="s">
        <v>1064</v>
      </c>
      <c r="I48" s="135">
        <v>1</v>
      </c>
      <c r="J48" s="135" t="s">
        <v>857</v>
      </c>
      <c r="K48" s="135"/>
      <c r="L48" s="128" t="str">
        <f t="shared" si="0"/>
        <v>SpellData.create(SIDEXECUTESTART,"斩杀",0,0,1,OrderId("spiritwolf"),1,ORDER_TYPE_TARGET);</v>
      </c>
      <c r="M48" s="135"/>
      <c r="N48" s="135"/>
      <c r="O48" s="135"/>
      <c r="P48" s="135"/>
      <c r="Q48" s="135"/>
      <c r="R48" s="135"/>
      <c r="S48" s="135"/>
      <c r="T48" s="135"/>
      <c r="U48" s="135"/>
      <c r="V48" s="135"/>
      <c r="W48" s="135"/>
      <c r="X48" s="135"/>
      <c r="Y48" s="135"/>
    </row>
    <row r="49" spans="1:25">
      <c r="A49" s="135"/>
      <c r="B49" s="135" t="s">
        <v>1063</v>
      </c>
      <c r="C49" s="135" t="s">
        <v>211</v>
      </c>
      <c r="D49" s="135" t="s">
        <v>1057</v>
      </c>
      <c r="E49" s="135">
        <v>0</v>
      </c>
      <c r="F49" s="135">
        <v>0</v>
      </c>
      <c r="G49" s="135">
        <v>1</v>
      </c>
      <c r="H49" s="135" t="s">
        <v>884</v>
      </c>
      <c r="I49" s="135">
        <v>1</v>
      </c>
      <c r="J49" s="135" t="s">
        <v>857</v>
      </c>
      <c r="K49" s="135"/>
      <c r="L49" s="128" t="str">
        <f t="shared" si="0"/>
        <v>SpellData.create(SIDEXECUTE1,"斩杀",0,0,1,OrderId("stomp"),1,ORDER_TYPE_TARGET);</v>
      </c>
      <c r="M49" s="135"/>
      <c r="N49" s="135"/>
      <c r="O49" s="135"/>
      <c r="P49" s="135"/>
      <c r="Q49" s="135"/>
      <c r="R49" s="135"/>
      <c r="S49" s="135"/>
      <c r="T49" s="135"/>
      <c r="U49" s="135"/>
      <c r="V49" s="135"/>
      <c r="W49" s="135"/>
      <c r="X49" s="135"/>
      <c r="Y49" s="135"/>
    </row>
    <row r="50" spans="1:25">
      <c r="A50" s="135"/>
      <c r="B50" s="135" t="s">
        <v>1062</v>
      </c>
      <c r="C50" s="135" t="s">
        <v>211</v>
      </c>
      <c r="D50" s="135" t="s">
        <v>1057</v>
      </c>
      <c r="E50" s="135">
        <v>0</v>
      </c>
      <c r="F50" s="135">
        <v>0</v>
      </c>
      <c r="G50" s="135">
        <v>1</v>
      </c>
      <c r="H50" s="135" t="s">
        <v>864</v>
      </c>
      <c r="I50" s="135">
        <v>1</v>
      </c>
      <c r="J50" s="135" t="s">
        <v>857</v>
      </c>
      <c r="K50" s="135"/>
      <c r="L50" s="128" t="str">
        <f t="shared" si="0"/>
        <v>SpellData.create(SIDEXECUTE2,"斩杀",0,0,1,OrderId("slow"),1,ORDER_TYPE_TARGET);</v>
      </c>
      <c r="M50" s="135"/>
      <c r="N50" s="135"/>
      <c r="O50" s="135"/>
      <c r="P50" s="135"/>
      <c r="Q50" s="135"/>
      <c r="R50" s="135"/>
      <c r="S50" s="135"/>
      <c r="T50" s="135"/>
      <c r="U50" s="135"/>
      <c r="V50" s="135"/>
      <c r="W50" s="135"/>
      <c r="X50" s="135"/>
      <c r="Y50" s="135"/>
    </row>
    <row r="51" spans="1:25">
      <c r="A51" s="135"/>
      <c r="B51" s="135" t="s">
        <v>1061</v>
      </c>
      <c r="C51" s="135" t="s">
        <v>211</v>
      </c>
      <c r="D51" s="135" t="s">
        <v>1057</v>
      </c>
      <c r="E51" s="135">
        <v>0</v>
      </c>
      <c r="F51" s="135">
        <v>0</v>
      </c>
      <c r="G51" s="135">
        <v>1</v>
      </c>
      <c r="H51" s="135" t="s">
        <v>661</v>
      </c>
      <c r="I51" s="135">
        <v>1</v>
      </c>
      <c r="J51" s="135" t="s">
        <v>857</v>
      </c>
      <c r="K51" s="135"/>
      <c r="L51" s="128" t="str">
        <f t="shared" si="0"/>
        <v>SpellData.create(SIDEXECUTE3,"斩杀",0,0,1,OrderId("channel"),1,ORDER_TYPE_TARGET);</v>
      </c>
      <c r="M51" s="135"/>
      <c r="N51" s="135"/>
      <c r="O51" s="135"/>
      <c r="P51" s="135"/>
      <c r="Q51" s="135"/>
      <c r="R51" s="135"/>
      <c r="S51" s="135"/>
      <c r="T51" s="135"/>
      <c r="U51" s="135"/>
      <c r="V51" s="135"/>
      <c r="W51" s="135"/>
      <c r="X51" s="135"/>
      <c r="Y51" s="135"/>
    </row>
    <row r="52" spans="1:25">
      <c r="A52" s="135"/>
      <c r="B52" s="135" t="s">
        <v>1060</v>
      </c>
      <c r="C52" s="135" t="s">
        <v>211</v>
      </c>
      <c r="D52" s="135" t="s">
        <v>1057</v>
      </c>
      <c r="E52" s="135">
        <v>0</v>
      </c>
      <c r="F52" s="135">
        <v>0</v>
      </c>
      <c r="G52" s="135">
        <v>1</v>
      </c>
      <c r="H52" s="135" t="s">
        <v>1059</v>
      </c>
      <c r="I52" s="135">
        <v>1</v>
      </c>
      <c r="J52" s="135" t="s">
        <v>857</v>
      </c>
      <c r="K52" s="135"/>
      <c r="L52" s="128" t="str">
        <f t="shared" si="0"/>
        <v>SpellData.create(SIDEXECUTE4,"斩杀",0,0,1,OrderId("voodoo"),1,ORDER_TYPE_TARGET);</v>
      </c>
      <c r="M52" s="135"/>
      <c r="N52" s="135"/>
      <c r="O52" s="135"/>
      <c r="P52" s="135"/>
      <c r="Q52" s="135"/>
      <c r="R52" s="135"/>
      <c r="S52" s="135"/>
      <c r="T52" s="135"/>
      <c r="U52" s="135"/>
      <c r="V52" s="135"/>
      <c r="W52" s="135"/>
      <c r="X52" s="135"/>
      <c r="Y52" s="135"/>
    </row>
    <row r="53" spans="1:25">
      <c r="A53" s="135"/>
      <c r="B53" s="135" t="s">
        <v>1058</v>
      </c>
      <c r="C53" s="135" t="s">
        <v>211</v>
      </c>
      <c r="D53" s="135" t="s">
        <v>1057</v>
      </c>
      <c r="E53" s="135">
        <v>0</v>
      </c>
      <c r="F53" s="135">
        <v>0</v>
      </c>
      <c r="G53" s="135">
        <v>1</v>
      </c>
      <c r="H53" s="135" t="s">
        <v>1035</v>
      </c>
      <c r="I53" s="135">
        <v>1</v>
      </c>
      <c r="J53" s="135" t="s">
        <v>857</v>
      </c>
      <c r="K53" s="135"/>
      <c r="L53" s="128" t="str">
        <f t="shared" si="0"/>
        <v>SpellData.create(SIDEXECUTEEND,"斩杀",0,0,1,OrderId("frostarmor"),1,ORDER_TYPE_TARGET);</v>
      </c>
      <c r="M53" s="135"/>
      <c r="N53" s="135"/>
      <c r="O53" s="135"/>
      <c r="P53" s="135"/>
      <c r="Q53" s="135"/>
      <c r="R53" s="135"/>
      <c r="S53" s="135"/>
      <c r="T53" s="135"/>
      <c r="U53" s="135"/>
      <c r="V53" s="135"/>
      <c r="W53" s="135"/>
      <c r="X53" s="135"/>
      <c r="Y53" s="135"/>
    </row>
    <row r="54" spans="1:25">
      <c r="A54" s="136"/>
      <c r="B54" s="136" t="s">
        <v>580</v>
      </c>
      <c r="C54" s="136" t="s">
        <v>223</v>
      </c>
      <c r="D54" s="136" t="s">
        <v>896</v>
      </c>
      <c r="E54" s="136">
        <v>2</v>
      </c>
      <c r="F54" s="136">
        <v>15</v>
      </c>
      <c r="G54" s="136">
        <v>0</v>
      </c>
      <c r="H54" s="136" t="s">
        <v>861</v>
      </c>
      <c r="I54" s="136">
        <v>1</v>
      </c>
      <c r="J54" s="136" t="s">
        <v>857</v>
      </c>
      <c r="K54" s="136" t="s">
        <v>1056</v>
      </c>
      <c r="L54" s="128" t="str">
        <f t="shared" si="0"/>
        <v>SpellData.create(SIDFROSTBOLT,"寒冰箭",15,2,0,OrderId("heal"),1,ORDER_TYPE_TARGET).setCCC2(30,2,0).setCCC3(45,2,0);</v>
      </c>
      <c r="M54" s="136"/>
      <c r="N54" s="136"/>
      <c r="O54" s="136"/>
      <c r="P54" s="136"/>
      <c r="Q54" s="136"/>
      <c r="R54" s="136"/>
      <c r="S54" s="136"/>
      <c r="T54" s="136"/>
      <c r="U54" s="136"/>
      <c r="V54" s="136"/>
      <c r="W54" s="136"/>
      <c r="X54" s="136"/>
      <c r="Y54" s="136"/>
    </row>
    <row r="55" spans="1:25">
      <c r="A55" s="136"/>
      <c r="B55" s="136" t="s">
        <v>581</v>
      </c>
      <c r="C55" s="136" t="s">
        <v>226</v>
      </c>
      <c r="D55" s="136" t="s">
        <v>1054</v>
      </c>
      <c r="E55" s="136">
        <v>5</v>
      </c>
      <c r="F55" s="136">
        <v>100</v>
      </c>
      <c r="G55" s="136">
        <v>0</v>
      </c>
      <c r="H55" s="136" t="s">
        <v>1029</v>
      </c>
      <c r="I55" s="136">
        <v>1</v>
      </c>
      <c r="J55" s="136" t="s">
        <v>955</v>
      </c>
      <c r="K55" s="136"/>
      <c r="L55" s="128" t="str">
        <f t="shared" si="0"/>
        <v>SpellData.create(SIDBLIZZARD,"暴风雪",100,5,0,OrderId("blizzard"),1,ORDER_TYPE_POINT);</v>
      </c>
      <c r="M55" s="136"/>
      <c r="N55" s="136"/>
      <c r="O55" s="136"/>
      <c r="P55" s="136"/>
      <c r="Q55" s="136"/>
      <c r="R55" s="136"/>
      <c r="S55" s="136"/>
      <c r="T55" s="136"/>
      <c r="U55" s="136"/>
      <c r="V55" s="136"/>
      <c r="W55" s="136"/>
      <c r="X55" s="136"/>
      <c r="Y55" s="136"/>
    </row>
    <row r="56" spans="1:25">
      <c r="A56" s="136"/>
      <c r="B56" s="136" t="s">
        <v>1055</v>
      </c>
      <c r="C56" s="136" t="s">
        <v>226</v>
      </c>
      <c r="D56" s="136" t="s">
        <v>1054</v>
      </c>
      <c r="E56" s="136">
        <v>0</v>
      </c>
      <c r="F56" s="136">
        <v>170</v>
      </c>
      <c r="G56" s="136">
        <v>5</v>
      </c>
      <c r="H56" s="136" t="s">
        <v>1029</v>
      </c>
      <c r="I56" s="136">
        <v>1</v>
      </c>
      <c r="J56" s="136" t="s">
        <v>955</v>
      </c>
      <c r="K56" s="136"/>
      <c r="L56" s="128" t="str">
        <f t="shared" si="0"/>
        <v>SpellData.create(SIDBLIZZARD1,"暴风雪",170,0,5,OrderId("blizzard"),1,ORDER_TYPE_POINT);</v>
      </c>
      <c r="M56" s="136"/>
      <c r="N56" s="136"/>
      <c r="O56" s="136"/>
      <c r="P56" s="136"/>
      <c r="Q56" s="136"/>
      <c r="R56" s="136"/>
      <c r="S56" s="136"/>
      <c r="T56" s="136"/>
      <c r="U56" s="136"/>
      <c r="V56" s="136"/>
      <c r="W56" s="136"/>
      <c r="X56" s="136"/>
      <c r="Y56" s="136"/>
    </row>
    <row r="57" spans="1:25">
      <c r="A57" s="136"/>
      <c r="B57" s="136" t="s">
        <v>582</v>
      </c>
      <c r="C57" s="136" t="s">
        <v>233</v>
      </c>
      <c r="D57" s="136" t="s">
        <v>1053</v>
      </c>
      <c r="E57" s="136">
        <v>0</v>
      </c>
      <c r="F57" s="136">
        <v>70</v>
      </c>
      <c r="G57" s="136">
        <v>15</v>
      </c>
      <c r="H57" s="136" t="s">
        <v>1052</v>
      </c>
      <c r="I57" s="136">
        <v>1</v>
      </c>
      <c r="J57" s="136" t="s">
        <v>660</v>
      </c>
      <c r="K57" s="136"/>
      <c r="L57" s="128" t="str">
        <f t="shared" si="0"/>
        <v>SpellData.create(SIDFROSTNOVA,"冰冻新星",70,0,15,OrderId("frostnova"),1,ORDER_TYPE_IMMEDIATE);</v>
      </c>
      <c r="M57" s="136"/>
      <c r="N57" s="136"/>
      <c r="O57" s="136"/>
      <c r="P57" s="136"/>
      <c r="Q57" s="136"/>
      <c r="R57" s="136"/>
      <c r="S57" s="136"/>
      <c r="T57" s="136"/>
      <c r="U57" s="136"/>
      <c r="V57" s="136"/>
      <c r="W57" s="136"/>
      <c r="X57" s="136"/>
      <c r="Y57" s="136"/>
    </row>
    <row r="58" spans="1:25">
      <c r="A58" s="136"/>
      <c r="B58" s="136" t="s">
        <v>583</v>
      </c>
      <c r="C58" s="136" t="s">
        <v>244</v>
      </c>
      <c r="D58" s="136" t="s">
        <v>894</v>
      </c>
      <c r="E58" s="136">
        <v>0</v>
      </c>
      <c r="F58" s="136">
        <v>25</v>
      </c>
      <c r="G58" s="136">
        <v>30</v>
      </c>
      <c r="H58" s="136" t="s">
        <v>1051</v>
      </c>
      <c r="I58" s="136">
        <v>1</v>
      </c>
      <c r="J58" s="136" t="s">
        <v>857</v>
      </c>
      <c r="K58" s="136" t="s">
        <v>1050</v>
      </c>
      <c r="L58" s="128" t="str">
        <f t="shared" si="0"/>
        <v>SpellData.create(SIDPOLYMORPH,"变形术",25,0,30,OrderId("polymorph"),1,ORDER_TYPE_TARGET).setCCC2(25,0,22).setCCC3(25,0,14);</v>
      </c>
      <c r="M58" s="136"/>
      <c r="N58" s="136"/>
      <c r="O58" s="136"/>
      <c r="P58" s="136"/>
      <c r="Q58" s="136"/>
      <c r="R58" s="136"/>
      <c r="S58" s="136"/>
      <c r="T58" s="136"/>
      <c r="U58" s="136"/>
      <c r="V58" s="136"/>
      <c r="W58" s="136"/>
      <c r="X58" s="136"/>
      <c r="Y58" s="136"/>
    </row>
    <row r="59" spans="1:25">
      <c r="A59" s="136"/>
      <c r="B59" s="136" t="s">
        <v>1049</v>
      </c>
      <c r="C59" s="136" t="s">
        <v>244</v>
      </c>
      <c r="D59" s="136" t="s">
        <v>894</v>
      </c>
      <c r="E59" s="136">
        <v>0</v>
      </c>
      <c r="F59" s="136">
        <v>25</v>
      </c>
      <c r="G59" s="136">
        <v>5</v>
      </c>
      <c r="H59" s="136" t="s">
        <v>924</v>
      </c>
      <c r="I59" s="136">
        <v>1</v>
      </c>
      <c r="J59" s="136" t="s">
        <v>857</v>
      </c>
      <c r="K59" s="136"/>
      <c r="L59" s="128" t="str">
        <f t="shared" si="0"/>
        <v>SpellData.create(SIDPOLYMORPHDUMMY,"变形术",25,0,5,OrderId("hex"),1,ORDER_TYPE_TARGET);</v>
      </c>
      <c r="M59" s="136"/>
      <c r="N59" s="136"/>
      <c r="O59" s="136"/>
      <c r="P59" s="136"/>
      <c r="Q59" s="136"/>
      <c r="R59" s="136"/>
      <c r="S59" s="136"/>
      <c r="T59" s="136"/>
      <c r="U59" s="136"/>
      <c r="V59" s="136"/>
      <c r="W59" s="136"/>
      <c r="X59" s="136"/>
      <c r="Y59" s="136"/>
    </row>
    <row r="60" spans="1:25">
      <c r="A60" s="136"/>
      <c r="B60" s="136" t="s">
        <v>584</v>
      </c>
      <c r="C60" s="136" t="s">
        <v>258</v>
      </c>
      <c r="D60" s="136" t="s">
        <v>1048</v>
      </c>
      <c r="E60" s="136">
        <v>0</v>
      </c>
      <c r="F60" s="136">
        <v>70</v>
      </c>
      <c r="G60" s="136">
        <v>6</v>
      </c>
      <c r="H60" s="136" t="s">
        <v>1003</v>
      </c>
      <c r="I60" s="136">
        <v>1</v>
      </c>
      <c r="J60" s="136" t="s">
        <v>857</v>
      </c>
      <c r="K60" s="136" t="s">
        <v>1047</v>
      </c>
      <c r="L60" s="128" t="str">
        <f t="shared" si="0"/>
        <v>SpellData.create(SIDSPELLTRANSFER,"法术转移",70,0,6,OrderId("dispel"),1,ORDER_TYPE_TARGET).setCCC2(210,0,3).setCCC3(350,0,1);</v>
      </c>
      <c r="M60" s="136"/>
      <c r="N60" s="136"/>
      <c r="O60" s="136"/>
      <c r="P60" s="136"/>
      <c r="Q60" s="136"/>
      <c r="R60" s="136"/>
      <c r="S60" s="136"/>
      <c r="T60" s="136"/>
      <c r="U60" s="136"/>
      <c r="V60" s="136"/>
      <c r="W60" s="136"/>
      <c r="X60" s="136"/>
      <c r="Y60" s="136"/>
    </row>
    <row r="61" spans="1:25">
      <c r="A61" s="136"/>
      <c r="B61" s="136" t="s">
        <v>1046</v>
      </c>
      <c r="C61" s="136" t="s">
        <v>267</v>
      </c>
      <c r="D61" s="136" t="s">
        <v>1045</v>
      </c>
      <c r="E61" s="136">
        <v>0</v>
      </c>
      <c r="F61" s="136">
        <v>0</v>
      </c>
      <c r="G61" s="136">
        <v>1</v>
      </c>
      <c r="H61" s="136" t="s">
        <v>661</v>
      </c>
      <c r="I61" s="136">
        <v>1</v>
      </c>
      <c r="J61" s="136" t="s">
        <v>857</v>
      </c>
      <c r="K61" s="136"/>
      <c r="L61" s="128" t="str">
        <f t="shared" si="0"/>
        <v>SpellData.create(SIDINTELLIGENCECHANNEL,"智慧导能",0,0,1,OrderId("channel"),1,ORDER_TYPE_TARGET);</v>
      </c>
      <c r="M61" s="136"/>
      <c r="N61" s="136"/>
      <c r="O61" s="136"/>
      <c r="P61" s="136"/>
      <c r="Q61" s="136"/>
      <c r="R61" s="136"/>
      <c r="S61" s="136"/>
      <c r="T61" s="136"/>
      <c r="U61" s="136"/>
      <c r="V61" s="136"/>
      <c r="W61" s="136"/>
      <c r="X61" s="136"/>
      <c r="Y61" s="136"/>
    </row>
    <row r="62" spans="1:25">
      <c r="A62" s="134"/>
      <c r="B62" s="134" t="s">
        <v>585</v>
      </c>
      <c r="C62" s="134" t="s">
        <v>372</v>
      </c>
      <c r="D62" s="134" t="s">
        <v>1044</v>
      </c>
      <c r="E62" s="134">
        <v>2</v>
      </c>
      <c r="F62" s="134">
        <v>10</v>
      </c>
      <c r="G62" s="134">
        <v>0</v>
      </c>
      <c r="H62" s="134" t="s">
        <v>1039</v>
      </c>
      <c r="I62" s="134">
        <v>1</v>
      </c>
      <c r="J62" s="134" t="s">
        <v>857</v>
      </c>
      <c r="K62" s="134" t="s">
        <v>1043</v>
      </c>
      <c r="L62" s="128" t="str">
        <f t="shared" si="0"/>
        <v>SpellData.create(SID_STORM_LASH,"风暴鞭笞",10,2,0,OrderId("forkedlightning"),1,ORDER_TYPE_TARGET).setCCC2(13,2,0).setCCC3(16,2,0);</v>
      </c>
      <c r="M62" s="134"/>
      <c r="N62" s="134"/>
      <c r="O62" s="134"/>
      <c r="P62" s="134"/>
      <c r="Q62" s="134"/>
      <c r="R62" s="134"/>
      <c r="S62" s="134"/>
      <c r="T62" s="134"/>
      <c r="U62" s="134"/>
      <c r="V62" s="134"/>
      <c r="W62" s="134"/>
      <c r="X62" s="134"/>
      <c r="Y62" s="134"/>
    </row>
    <row r="63" spans="1:25">
      <c r="A63" s="134"/>
      <c r="B63" s="134" t="s">
        <v>1042</v>
      </c>
      <c r="C63" s="134" t="s">
        <v>1041</v>
      </c>
      <c r="D63" s="134" t="s">
        <v>1040</v>
      </c>
      <c r="E63" s="134">
        <v>0</v>
      </c>
      <c r="F63" s="134">
        <v>0</v>
      </c>
      <c r="G63" s="134">
        <v>1</v>
      </c>
      <c r="H63" s="134" t="s">
        <v>1039</v>
      </c>
      <c r="I63" s="134">
        <v>1</v>
      </c>
      <c r="J63" s="134" t="s">
        <v>857</v>
      </c>
      <c r="K63" s="134"/>
      <c r="L63" s="128" t="str">
        <f t="shared" si="0"/>
        <v>SpellData.create(SIDSTORMSTRIKE,"风暴打击",0,0,1,OrderId("forkedlightning"),1,ORDER_TYPE_TARGET);</v>
      </c>
      <c r="M63" s="134"/>
      <c r="N63" s="134"/>
      <c r="O63" s="134"/>
      <c r="P63" s="134"/>
      <c r="Q63" s="134"/>
      <c r="R63" s="134"/>
      <c r="S63" s="134"/>
      <c r="T63" s="134"/>
      <c r="U63" s="134"/>
      <c r="V63" s="134"/>
      <c r="W63" s="134"/>
      <c r="X63" s="134"/>
      <c r="Y63" s="134"/>
    </row>
    <row r="64" spans="1:25">
      <c r="A64" s="134"/>
      <c r="B64" s="134" t="s">
        <v>586</v>
      </c>
      <c r="C64" s="134" t="s">
        <v>145</v>
      </c>
      <c r="D64" s="134" t="s">
        <v>1036</v>
      </c>
      <c r="E64" s="134">
        <v>0</v>
      </c>
      <c r="F64" s="134">
        <v>85</v>
      </c>
      <c r="G64" s="134">
        <v>9</v>
      </c>
      <c r="H64" s="134" t="s">
        <v>1006</v>
      </c>
      <c r="I64" s="134">
        <v>1</v>
      </c>
      <c r="J64" s="134" t="s">
        <v>857</v>
      </c>
      <c r="K64" s="134" t="s">
        <v>1038</v>
      </c>
      <c r="L64" s="128" t="str">
        <f t="shared" si="0"/>
        <v>SpellData.create(SIDEARTHSHOCK,"大地震击",85,0,9,OrderId("thunderbolt"),1,ORDER_TYPE_TARGET).setCCC2(95,0,9).setCCC3(105,0,9);</v>
      </c>
      <c r="M64" s="134"/>
      <c r="N64" s="134"/>
      <c r="O64" s="134"/>
      <c r="P64" s="134"/>
      <c r="Q64" s="134"/>
      <c r="R64" s="134"/>
      <c r="S64" s="134"/>
      <c r="T64" s="134"/>
      <c r="U64" s="134"/>
      <c r="V64" s="134"/>
      <c r="W64" s="134"/>
      <c r="X64" s="134"/>
      <c r="Y64" s="134"/>
    </row>
    <row r="65" spans="1:25">
      <c r="A65" s="134"/>
      <c r="B65" s="134" t="s">
        <v>1037</v>
      </c>
      <c r="C65" s="134" t="s">
        <v>145</v>
      </c>
      <c r="D65" s="134" t="s">
        <v>1036</v>
      </c>
      <c r="E65" s="134">
        <v>0</v>
      </c>
      <c r="F65" s="134">
        <v>0</v>
      </c>
      <c r="G65" s="134">
        <v>9</v>
      </c>
      <c r="H65" s="134" t="s">
        <v>1035</v>
      </c>
      <c r="I65" s="134">
        <v>1</v>
      </c>
      <c r="J65" s="134" t="s">
        <v>857</v>
      </c>
      <c r="K65" s="134" t="s">
        <v>1034</v>
      </c>
      <c r="L65" s="128" t="str">
        <f t="shared" si="0"/>
        <v>SpellData.create(SIDEARTHSHOCK1,"大地震击",0,0,9,OrderId("frostarmor"),1,ORDER_TYPE_TARGET).setCCC2(0,0,9).setCCC3(0,0,9);</v>
      </c>
      <c r="M65" s="134"/>
      <c r="N65" s="134"/>
      <c r="O65" s="134"/>
      <c r="P65" s="134"/>
      <c r="Q65" s="134"/>
      <c r="R65" s="134"/>
      <c r="S65" s="134"/>
      <c r="T65" s="134"/>
      <c r="U65" s="134"/>
      <c r="V65" s="134"/>
      <c r="W65" s="134"/>
      <c r="X65" s="134"/>
      <c r="Y65" s="134"/>
    </row>
    <row r="66" spans="1:25">
      <c r="A66" s="134"/>
      <c r="B66" s="134" t="s">
        <v>587</v>
      </c>
      <c r="C66" s="134" t="s">
        <v>146</v>
      </c>
      <c r="D66" s="134" t="s">
        <v>1033</v>
      </c>
      <c r="E66" s="134">
        <v>0</v>
      </c>
      <c r="F66" s="134">
        <v>15</v>
      </c>
      <c r="G66" s="134">
        <v>15</v>
      </c>
      <c r="H66" s="134" t="s">
        <v>1032</v>
      </c>
      <c r="I66" s="134">
        <v>1</v>
      </c>
      <c r="J66" s="134" t="s">
        <v>857</v>
      </c>
      <c r="K66" s="134"/>
      <c r="L66" s="128" t="str">
        <f t="shared" si="0"/>
        <v>SpellData.create(SIDPURGE,"净化术",15,0,15,OrderId("purge"),1,ORDER_TYPE_TARGET);</v>
      </c>
      <c r="M66" s="134"/>
      <c r="N66" s="134"/>
      <c r="O66" s="134"/>
      <c r="P66" s="134"/>
      <c r="Q66" s="134"/>
      <c r="R66" s="134"/>
      <c r="S66" s="134"/>
      <c r="T66" s="134"/>
      <c r="U66" s="134"/>
      <c r="V66" s="134"/>
      <c r="W66" s="134"/>
      <c r="X66" s="134"/>
      <c r="Y66" s="134"/>
    </row>
    <row r="67" spans="1:25">
      <c r="A67" s="134"/>
      <c r="B67" s="134" t="s">
        <v>588</v>
      </c>
      <c r="C67" s="134" t="s">
        <v>379</v>
      </c>
      <c r="D67" s="134" t="s">
        <v>1031</v>
      </c>
      <c r="E67" s="134">
        <v>0</v>
      </c>
      <c r="F67" s="134">
        <v>0</v>
      </c>
      <c r="G67" s="134">
        <v>1</v>
      </c>
      <c r="H67" s="134" t="s">
        <v>873</v>
      </c>
      <c r="I67" s="134">
        <v>1</v>
      </c>
      <c r="J67" s="134" t="s">
        <v>660</v>
      </c>
      <c r="K67" s="134"/>
      <c r="L67" s="128" t="str">
        <f t="shared" ref="L67:L130" si="1">IF(C67="N/A","//",CONCATENATE("SpellData.create(",B67,",",CHAR(34),C67,CHAR(34),",",F67,",",E67,",",G67,",",H67,",",I67,",",J67,")",K67,";"))</f>
        <v>SpellData.create(SIDENCHANTEDTOTEM,"附魔图腾",0,0,1,OrderId("healingward"),1,ORDER_TYPE_IMMEDIATE);</v>
      </c>
      <c r="M67" s="134"/>
      <c r="N67" s="134"/>
      <c r="O67" s="134"/>
      <c r="P67" s="134"/>
      <c r="Q67" s="134"/>
      <c r="R67" s="134"/>
      <c r="S67" s="134"/>
      <c r="T67" s="134"/>
      <c r="U67" s="134"/>
      <c r="V67" s="134"/>
      <c r="W67" s="134"/>
      <c r="X67" s="134"/>
      <c r="Y67" s="134"/>
    </row>
    <row r="68" spans="1:25">
      <c r="A68" s="134"/>
      <c r="B68" s="134" t="s">
        <v>1030</v>
      </c>
      <c r="C68" s="134" t="s">
        <v>455</v>
      </c>
      <c r="D68" s="134" t="s">
        <v>892</v>
      </c>
      <c r="E68" s="134">
        <v>0</v>
      </c>
      <c r="F68" s="134">
        <v>0</v>
      </c>
      <c r="G68" s="134">
        <v>10</v>
      </c>
      <c r="H68" s="134" t="s">
        <v>1029</v>
      </c>
      <c r="I68" s="134">
        <v>1</v>
      </c>
      <c r="J68" s="134" t="s">
        <v>955</v>
      </c>
      <c r="K68" s="134"/>
      <c r="L68" s="128" t="str">
        <f t="shared" si="1"/>
        <v>SpellData.create(SIDLIGHTNINGTOTEM,"闪电图腾",0,0,10,OrderId("blizzard"),1,ORDER_TYPE_POINT);</v>
      </c>
      <c r="M68" s="134"/>
      <c r="N68" s="134"/>
      <c r="O68" s="134"/>
      <c r="P68" s="134"/>
      <c r="Q68" s="134"/>
      <c r="R68" s="134"/>
      <c r="S68" s="134"/>
      <c r="T68" s="134"/>
      <c r="U68" s="134"/>
      <c r="V68" s="134"/>
      <c r="W68" s="134"/>
      <c r="X68" s="134"/>
      <c r="Y68" s="134"/>
    </row>
    <row r="69" spans="1:25">
      <c r="A69" s="134"/>
      <c r="B69" s="134" t="s">
        <v>1028</v>
      </c>
      <c r="C69" s="134" t="s">
        <v>1027</v>
      </c>
      <c r="D69" s="134" t="s">
        <v>1026</v>
      </c>
      <c r="E69" s="134">
        <v>0</v>
      </c>
      <c r="F69" s="134">
        <v>0</v>
      </c>
      <c r="G69" s="134">
        <v>10</v>
      </c>
      <c r="H69" s="134" t="s">
        <v>1025</v>
      </c>
      <c r="I69" s="134">
        <v>1</v>
      </c>
      <c r="J69" s="134" t="s">
        <v>955</v>
      </c>
      <c r="K69" s="134"/>
      <c r="L69" s="128" t="str">
        <f t="shared" si="1"/>
        <v>SpellData.create(SIDTORRENTTOTEM,"激流图腾",0,0,10,OrderId("flamestrike"),1,ORDER_TYPE_POINT);</v>
      </c>
      <c r="M69" s="134"/>
      <c r="N69" s="134"/>
      <c r="O69" s="134"/>
      <c r="P69" s="134"/>
      <c r="Q69" s="134"/>
      <c r="R69" s="134"/>
      <c r="S69" s="134"/>
      <c r="T69" s="134"/>
      <c r="U69" s="134"/>
      <c r="V69" s="134"/>
      <c r="W69" s="134"/>
      <c r="X69" s="134"/>
      <c r="Y69" s="134"/>
    </row>
    <row r="70" spans="1:25">
      <c r="A70" s="134"/>
      <c r="B70" s="134" t="s">
        <v>1024</v>
      </c>
      <c r="C70" s="134" t="s">
        <v>1023</v>
      </c>
      <c r="D70" s="134" t="s">
        <v>1022</v>
      </c>
      <c r="E70" s="134">
        <v>0</v>
      </c>
      <c r="F70" s="134">
        <v>0</v>
      </c>
      <c r="G70" s="134">
        <v>10</v>
      </c>
      <c r="H70" s="134" t="s">
        <v>1003</v>
      </c>
      <c r="I70" s="134">
        <v>1</v>
      </c>
      <c r="J70" s="134" t="s">
        <v>955</v>
      </c>
      <c r="K70" s="134"/>
      <c r="L70" s="128" t="str">
        <f t="shared" si="1"/>
        <v>SpellData.create(SIDEARTHBINDTOTEM,"地缚图腾",0,0,10,OrderId("dispel"),1,ORDER_TYPE_POINT);</v>
      </c>
      <c r="M70" s="134"/>
      <c r="N70" s="134"/>
      <c r="O70" s="134"/>
      <c r="P70" s="134"/>
      <c r="Q70" s="134"/>
      <c r="R70" s="134"/>
      <c r="S70" s="134"/>
      <c r="T70" s="134"/>
      <c r="U70" s="134"/>
      <c r="V70" s="134"/>
      <c r="W70" s="134"/>
      <c r="X70" s="134"/>
      <c r="Y70" s="134"/>
    </row>
    <row r="71" spans="1:25">
      <c r="A71" s="134"/>
      <c r="B71" s="134" t="s">
        <v>589</v>
      </c>
      <c r="C71" s="134" t="s">
        <v>147</v>
      </c>
      <c r="D71" s="134" t="s">
        <v>1021</v>
      </c>
      <c r="E71" s="134">
        <v>0</v>
      </c>
      <c r="F71" s="134">
        <v>25</v>
      </c>
      <c r="G71" s="134">
        <v>40</v>
      </c>
      <c r="H71" s="134" t="s">
        <v>1020</v>
      </c>
      <c r="I71" s="134">
        <v>1</v>
      </c>
      <c r="J71" s="134" t="s">
        <v>660</v>
      </c>
      <c r="K71" s="134"/>
      <c r="L71" s="128" t="str">
        <f t="shared" si="1"/>
        <v>SpellData.create(SID_ASCENDANCE,"升腾",25,0,40,OrderId("metamorphosis"),1,ORDER_TYPE_IMMEDIATE);</v>
      </c>
      <c r="M71" s="134"/>
      <c r="N71" s="134"/>
      <c r="O71" s="134"/>
      <c r="P71" s="134"/>
      <c r="Q71" s="134"/>
      <c r="R71" s="134"/>
      <c r="S71" s="134"/>
      <c r="T71" s="134"/>
      <c r="U71" s="134"/>
      <c r="V71" s="134"/>
      <c r="W71" s="134"/>
      <c r="X71" s="134"/>
      <c r="Y71" s="134"/>
    </row>
    <row r="72" spans="1:25">
      <c r="A72" s="131"/>
      <c r="B72" s="131" t="s">
        <v>590</v>
      </c>
      <c r="C72" s="131" t="s">
        <v>482</v>
      </c>
      <c r="D72" s="131" t="s">
        <v>1019</v>
      </c>
      <c r="E72" s="131">
        <v>0</v>
      </c>
      <c r="F72" s="131">
        <v>0</v>
      </c>
      <c r="G72" s="131">
        <v>2</v>
      </c>
      <c r="H72" s="131" t="s">
        <v>864</v>
      </c>
      <c r="I72" s="131">
        <v>1</v>
      </c>
      <c r="J72" s="131" t="s">
        <v>857</v>
      </c>
      <c r="K72" s="131"/>
      <c r="L72" s="128" t="str">
        <f t="shared" si="1"/>
        <v>SpellData.create(SIDSINISTERSTRIKE,"邪恶攻击",0,0,2,OrderId("slow"),1,ORDER_TYPE_TARGET);</v>
      </c>
      <c r="M72" s="131"/>
      <c r="N72" s="131"/>
      <c r="O72" s="131"/>
      <c r="P72" s="131"/>
      <c r="Q72" s="131"/>
      <c r="R72" s="131"/>
      <c r="S72" s="131"/>
      <c r="T72" s="131"/>
      <c r="U72" s="131"/>
      <c r="V72" s="131"/>
      <c r="W72" s="131"/>
      <c r="X72" s="131"/>
      <c r="Y72" s="131"/>
    </row>
    <row r="73" spans="1:25">
      <c r="A73" s="131"/>
      <c r="B73" s="131" t="s">
        <v>591</v>
      </c>
      <c r="C73" s="131" t="s">
        <v>491</v>
      </c>
      <c r="D73" s="131" t="s">
        <v>1018</v>
      </c>
      <c r="E73" s="131">
        <v>0</v>
      </c>
      <c r="F73" s="131">
        <v>0</v>
      </c>
      <c r="G73" s="131">
        <v>2</v>
      </c>
      <c r="H73" s="131" t="s">
        <v>943</v>
      </c>
      <c r="I73" s="131">
        <v>1</v>
      </c>
      <c r="J73" s="131" t="s">
        <v>857</v>
      </c>
      <c r="K73" s="131"/>
      <c r="L73" s="128" t="str">
        <f t="shared" si="1"/>
        <v>SpellData.create(SIDEVISCERATE,"剔骨",0,0,2,OrderId("impale"),1,ORDER_TYPE_TARGET);</v>
      </c>
      <c r="M73" s="131"/>
      <c r="N73" s="131"/>
      <c r="O73" s="131"/>
      <c r="P73" s="131"/>
      <c r="Q73" s="131"/>
      <c r="R73" s="131"/>
      <c r="S73" s="131"/>
      <c r="T73" s="131"/>
      <c r="U73" s="131"/>
      <c r="V73" s="131"/>
      <c r="W73" s="131"/>
      <c r="X73" s="131"/>
      <c r="Y73" s="131"/>
    </row>
    <row r="74" spans="1:25">
      <c r="A74" s="131"/>
      <c r="B74" s="131" t="s">
        <v>592</v>
      </c>
      <c r="C74" s="131" t="s">
        <v>497</v>
      </c>
      <c r="D74" s="131" t="s">
        <v>1017</v>
      </c>
      <c r="E74" s="131">
        <v>0</v>
      </c>
      <c r="F74" s="131">
        <v>0</v>
      </c>
      <c r="G74" s="131">
        <v>16</v>
      </c>
      <c r="H74" s="131" t="s">
        <v>1016</v>
      </c>
      <c r="I74" s="131">
        <v>1</v>
      </c>
      <c r="J74" s="131" t="s">
        <v>857</v>
      </c>
      <c r="K74" s="131"/>
      <c r="L74" s="128" t="str">
        <f t="shared" si="1"/>
        <v>SpellData.create(SIDASSAULT,"突袭",0,0,16,OrderId("deathcoil"),1,ORDER_TYPE_TARGET);</v>
      </c>
      <c r="M74" s="131"/>
      <c r="N74" s="131"/>
      <c r="O74" s="131"/>
      <c r="P74" s="131"/>
      <c r="Q74" s="131"/>
      <c r="R74" s="131"/>
      <c r="S74" s="131"/>
      <c r="T74" s="131"/>
      <c r="U74" s="131"/>
      <c r="V74" s="131"/>
      <c r="W74" s="131"/>
      <c r="X74" s="131"/>
      <c r="Y74" s="131"/>
    </row>
    <row r="75" spans="1:25">
      <c r="A75" s="131"/>
      <c r="B75" s="131" t="s">
        <v>593</v>
      </c>
      <c r="C75" s="131" t="s">
        <v>470</v>
      </c>
      <c r="D75" s="131" t="s">
        <v>882</v>
      </c>
      <c r="E75" s="131">
        <v>0</v>
      </c>
      <c r="F75" s="131">
        <v>0</v>
      </c>
      <c r="G75" s="131">
        <v>30</v>
      </c>
      <c r="H75" s="131" t="s">
        <v>1015</v>
      </c>
      <c r="I75" s="131">
        <v>1</v>
      </c>
      <c r="J75" s="131" t="s">
        <v>660</v>
      </c>
      <c r="K75" s="131" t="s">
        <v>1014</v>
      </c>
      <c r="L75" s="128" t="str">
        <f t="shared" si="1"/>
        <v>SpellData.create(SIDBLADEFLURRY,"剑舞",0,0,30,OrderId("starfall"),1,ORDER_TYPE_IMMEDIATE).setCCC2(0,0,26).setCCC2(0,0,22);</v>
      </c>
      <c r="M75" s="131"/>
      <c r="N75" s="131"/>
      <c r="O75" s="131"/>
      <c r="P75" s="131"/>
      <c r="Q75" s="131"/>
      <c r="R75" s="131"/>
      <c r="S75" s="131"/>
      <c r="T75" s="131"/>
      <c r="U75" s="131"/>
      <c r="V75" s="131"/>
      <c r="W75" s="131"/>
      <c r="X75" s="131"/>
      <c r="Y75" s="131"/>
    </row>
    <row r="76" spans="1:25">
      <c r="A76" s="131"/>
      <c r="B76" s="131" t="s">
        <v>594</v>
      </c>
      <c r="C76" s="131" t="s">
        <v>466</v>
      </c>
      <c r="D76" s="131" t="s">
        <v>888</v>
      </c>
      <c r="E76" s="131">
        <v>0</v>
      </c>
      <c r="F76" s="131">
        <v>0</v>
      </c>
      <c r="G76" s="131">
        <v>45</v>
      </c>
      <c r="H76" s="131" t="s">
        <v>1013</v>
      </c>
      <c r="I76" s="131">
        <v>1</v>
      </c>
      <c r="J76" s="131" t="s">
        <v>660</v>
      </c>
      <c r="K76" s="131" t="s">
        <v>1012</v>
      </c>
      <c r="L76" s="128" t="str">
        <f t="shared" si="1"/>
        <v>SpellData.create(SIDSTEALTH,"潜行",0,0,45,OrderId("cyclone"),1,ORDER_TYPE_IMMEDIATE).setCCC2(0,0,35).setCCC2(0,0,25);</v>
      </c>
      <c r="M76" s="131"/>
      <c r="N76" s="131"/>
      <c r="O76" s="131"/>
      <c r="P76" s="131"/>
      <c r="Q76" s="131"/>
      <c r="R76" s="131"/>
      <c r="S76" s="131"/>
      <c r="T76" s="131"/>
      <c r="U76" s="131"/>
      <c r="V76" s="131"/>
      <c r="W76" s="131"/>
      <c r="X76" s="131"/>
      <c r="Y76" s="131"/>
    </row>
    <row r="77" spans="1:25">
      <c r="A77" s="131"/>
      <c r="B77" s="131" t="s">
        <v>1011</v>
      </c>
      <c r="C77" s="131" t="s">
        <v>1010</v>
      </c>
      <c r="D77" s="131" t="s">
        <v>1009</v>
      </c>
      <c r="E77" s="131">
        <v>0</v>
      </c>
      <c r="F77" s="131">
        <v>0</v>
      </c>
      <c r="G77" s="131">
        <v>1</v>
      </c>
      <c r="H77" s="131" t="s">
        <v>1008</v>
      </c>
      <c r="I77" s="131">
        <v>1</v>
      </c>
      <c r="J77" s="131" t="s">
        <v>857</v>
      </c>
      <c r="K77" s="131"/>
      <c r="L77" s="128" t="str">
        <f t="shared" si="1"/>
        <v>SpellData.create(SIDGARROTE,"绞喉",0,0,1,OrderId("shadowstrike"),1,ORDER_TYPE_TARGET);</v>
      </c>
      <c r="M77" s="131"/>
      <c r="N77" s="131"/>
      <c r="O77" s="131"/>
      <c r="P77" s="131"/>
      <c r="Q77" s="131"/>
      <c r="R77" s="131"/>
      <c r="S77" s="131"/>
      <c r="T77" s="131"/>
      <c r="U77" s="131"/>
      <c r="V77" s="131"/>
      <c r="W77" s="131"/>
      <c r="X77" s="131"/>
      <c r="Y77" s="131"/>
    </row>
    <row r="78" spans="1:25">
      <c r="A78" s="131"/>
      <c r="B78" s="131" t="s">
        <v>1007</v>
      </c>
      <c r="C78" s="131" t="s">
        <v>886</v>
      </c>
      <c r="D78" s="131" t="s">
        <v>885</v>
      </c>
      <c r="E78" s="131">
        <v>0</v>
      </c>
      <c r="F78" s="131">
        <v>0</v>
      </c>
      <c r="G78" s="131">
        <v>1</v>
      </c>
      <c r="H78" s="131" t="s">
        <v>1006</v>
      </c>
      <c r="I78" s="131">
        <v>1</v>
      </c>
      <c r="J78" s="131" t="s">
        <v>857</v>
      </c>
      <c r="K78" s="131"/>
      <c r="L78" s="128" t="str">
        <f t="shared" si="1"/>
        <v>SpellData.create(SIDAMBUSH,"伏击",0,0,1,OrderId("thunderbolt"),1,ORDER_TYPE_TARGET);</v>
      </c>
      <c r="M78" s="131"/>
      <c r="N78" s="131"/>
      <c r="O78" s="131"/>
      <c r="P78" s="131"/>
      <c r="Q78" s="131"/>
      <c r="R78" s="131"/>
      <c r="S78" s="131"/>
      <c r="T78" s="131"/>
      <c r="U78" s="131"/>
      <c r="V78" s="131"/>
      <c r="W78" s="131"/>
      <c r="X78" s="131"/>
      <c r="Y78" s="131"/>
    </row>
    <row r="79" spans="1:25">
      <c r="A79" s="133"/>
      <c r="B79" s="133" t="s">
        <v>595</v>
      </c>
      <c r="C79" s="133" t="s">
        <v>518</v>
      </c>
      <c r="D79" s="133" t="s">
        <v>880</v>
      </c>
      <c r="E79" s="133">
        <v>0</v>
      </c>
      <c r="F79" s="133">
        <v>100</v>
      </c>
      <c r="G79" s="133">
        <v>2</v>
      </c>
      <c r="H79" s="133" t="s">
        <v>864</v>
      </c>
      <c r="I79" s="133">
        <v>1</v>
      </c>
      <c r="J79" s="133" t="s">
        <v>857</v>
      </c>
      <c r="K79" s="133" t="s">
        <v>1005</v>
      </c>
      <c r="L79" s="128" t="str">
        <f t="shared" si="1"/>
        <v>SpellData.create(SIDPAIN,"暗言字：痛",100,0,2,OrderId("slow"),1,ORDER_TYPE_TARGET).setCCC2(115,0,2).setCCC3(130,0,2);</v>
      </c>
      <c r="M79" s="133"/>
      <c r="N79" s="133"/>
      <c r="O79" s="133"/>
      <c r="P79" s="133"/>
      <c r="Q79" s="133"/>
      <c r="R79" s="133"/>
      <c r="S79" s="133"/>
      <c r="T79" s="133"/>
      <c r="U79" s="133"/>
      <c r="V79" s="133"/>
      <c r="W79" s="133"/>
      <c r="X79" s="133"/>
      <c r="Y79" s="133"/>
    </row>
    <row r="80" spans="1:25">
      <c r="A80" s="133"/>
      <c r="B80" s="133" t="s">
        <v>596</v>
      </c>
      <c r="C80" s="133" t="s">
        <v>523</v>
      </c>
      <c r="D80" s="133" t="s">
        <v>1004</v>
      </c>
      <c r="E80" s="133">
        <v>2.2999999999999998</v>
      </c>
      <c r="F80" s="133">
        <v>70</v>
      </c>
      <c r="G80" s="133">
        <v>0</v>
      </c>
      <c r="H80" s="133" t="s">
        <v>1003</v>
      </c>
      <c r="I80" s="133">
        <v>1</v>
      </c>
      <c r="J80" s="133" t="s">
        <v>857</v>
      </c>
      <c r="K80" s="133" t="s">
        <v>1002</v>
      </c>
      <c r="L80" s="128" t="str">
        <f t="shared" si="1"/>
        <v>SpellData.create(SIDMARROWSQUEEZE,"精髓榨取",70,2.3,0,OrderId("dispel"),1,ORDER_TYPE_TARGET).setCCC2(130,2.0,0).setCCC3(190,1.7,0);</v>
      </c>
      <c r="M80" s="133"/>
      <c r="N80" s="133"/>
      <c r="O80" s="133"/>
      <c r="P80" s="133"/>
      <c r="Q80" s="133"/>
      <c r="R80" s="133"/>
      <c r="S80" s="133"/>
      <c r="T80" s="133"/>
      <c r="U80" s="133"/>
      <c r="V80" s="133"/>
      <c r="W80" s="133"/>
      <c r="X80" s="133"/>
      <c r="Y80" s="133"/>
    </row>
    <row r="81" spans="1:25">
      <c r="A81" s="133"/>
      <c r="B81" s="133" t="s">
        <v>597</v>
      </c>
      <c r="C81" s="133" t="s">
        <v>524</v>
      </c>
      <c r="D81" s="133" t="s">
        <v>1001</v>
      </c>
      <c r="E81" s="133">
        <v>3</v>
      </c>
      <c r="F81" s="133">
        <v>50</v>
      </c>
      <c r="G81" s="133">
        <v>0</v>
      </c>
      <c r="H81" s="133" t="s">
        <v>861</v>
      </c>
      <c r="I81" s="133">
        <v>1</v>
      </c>
      <c r="J81" s="133" t="s">
        <v>857</v>
      </c>
      <c r="K81" s="133"/>
      <c r="L81" s="128" t="str">
        <f t="shared" si="1"/>
        <v>SpellData.create(SIDMINDFLAY,"精神鞭笞",50,3,0,OrderId("heal"),1,ORDER_TYPE_TARGET);</v>
      </c>
      <c r="M81" s="133"/>
      <c r="N81" s="133"/>
      <c r="O81" s="133"/>
      <c r="P81" s="133"/>
      <c r="Q81" s="133"/>
      <c r="R81" s="133"/>
      <c r="S81" s="133"/>
      <c r="T81" s="133"/>
      <c r="U81" s="133"/>
      <c r="V81" s="133"/>
      <c r="W81" s="133"/>
      <c r="X81" s="133"/>
      <c r="Y81" s="133"/>
    </row>
    <row r="82" spans="1:25">
      <c r="A82" s="133"/>
      <c r="B82" s="133" t="s">
        <v>598</v>
      </c>
      <c r="C82" s="133" t="s">
        <v>526</v>
      </c>
      <c r="D82" s="133" t="s">
        <v>1000</v>
      </c>
      <c r="E82" s="133">
        <v>0</v>
      </c>
      <c r="F82" s="133">
        <v>0</v>
      </c>
      <c r="G82" s="133">
        <v>7</v>
      </c>
      <c r="H82" s="133" t="s">
        <v>999</v>
      </c>
      <c r="I82" s="133">
        <v>1</v>
      </c>
      <c r="J82" s="133" t="s">
        <v>857</v>
      </c>
      <c r="K82" s="133"/>
      <c r="L82" s="128" t="str">
        <f t="shared" si="1"/>
        <v>SpellData.create(SIDDEATH,"暗言字：死",0,0,7,OrderId("innerfire"),1,ORDER_TYPE_TARGET);</v>
      </c>
      <c r="M82" s="133"/>
      <c r="N82" s="133"/>
      <c r="O82" s="133"/>
      <c r="P82" s="133"/>
      <c r="Q82" s="133"/>
      <c r="R82" s="133"/>
      <c r="S82" s="133"/>
      <c r="T82" s="133"/>
      <c r="U82" s="133"/>
      <c r="V82" s="133"/>
      <c r="W82" s="133"/>
      <c r="X82" s="133"/>
      <c r="Y82" s="133"/>
    </row>
    <row r="83" spans="1:25">
      <c r="A83" s="133"/>
      <c r="B83" s="133" t="s">
        <v>599</v>
      </c>
      <c r="C83" s="133" t="s">
        <v>531</v>
      </c>
      <c r="D83" s="133" t="s">
        <v>878</v>
      </c>
      <c r="E83" s="133">
        <v>0</v>
      </c>
      <c r="F83" s="133">
        <v>75</v>
      </c>
      <c r="G83" s="133">
        <v>12</v>
      </c>
      <c r="H83" s="133" t="s">
        <v>870</v>
      </c>
      <c r="I83" s="133">
        <v>1</v>
      </c>
      <c r="J83" s="133" t="s">
        <v>660</v>
      </c>
      <c r="K83" s="133"/>
      <c r="L83" s="128" t="str">
        <f t="shared" si="1"/>
        <v>SpellData.create(SIDTERROR,"暗言字：惧",75,0,12,OrderId("unholyfrenzy"),1,ORDER_TYPE_IMMEDIATE);</v>
      </c>
      <c r="M83" s="133"/>
      <c r="N83" s="133"/>
      <c r="O83" s="133"/>
      <c r="P83" s="133"/>
      <c r="Q83" s="133"/>
      <c r="R83" s="133"/>
      <c r="S83" s="133"/>
      <c r="T83" s="133"/>
      <c r="U83" s="133"/>
      <c r="V83" s="133"/>
      <c r="W83" s="133"/>
      <c r="X83" s="133"/>
      <c r="Y83" s="133"/>
    </row>
    <row r="84" spans="1:25">
      <c r="A84" s="131"/>
      <c r="B84" s="131" t="s">
        <v>998</v>
      </c>
      <c r="C84" s="131" t="s">
        <v>179</v>
      </c>
      <c r="D84" s="131" t="s">
        <v>180</v>
      </c>
      <c r="E84" s="131">
        <v>0</v>
      </c>
      <c r="F84" s="131">
        <v>0</v>
      </c>
      <c r="G84" s="131">
        <v>200</v>
      </c>
      <c r="H84" s="131" t="s">
        <v>661</v>
      </c>
      <c r="I84" s="131">
        <v>1</v>
      </c>
      <c r="J84" s="131" t="s">
        <v>660</v>
      </c>
      <c r="K84" s="131"/>
      <c r="L84" s="128" t="str">
        <f t="shared" si="1"/>
        <v>SpellData.create(SIDFRENZYCREEP,"激怒",0,0,200,OrderId("channel"),1,ORDER_TYPE_IMMEDIATE);</v>
      </c>
      <c r="M84" s="131"/>
      <c r="N84" s="131"/>
      <c r="O84" s="131"/>
      <c r="P84" s="131"/>
      <c r="Q84" s="131"/>
      <c r="R84" s="131"/>
      <c r="S84" s="131"/>
      <c r="T84" s="131"/>
      <c r="U84" s="131"/>
      <c r="V84" s="131"/>
      <c r="W84" s="131"/>
      <c r="X84" s="131"/>
      <c r="Y84" s="131"/>
    </row>
    <row r="85" spans="1:25">
      <c r="A85" s="131"/>
      <c r="B85" s="131" t="s">
        <v>997</v>
      </c>
      <c r="C85" s="131" t="s">
        <v>182</v>
      </c>
      <c r="D85" s="131" t="s">
        <v>183</v>
      </c>
      <c r="E85" s="131">
        <v>0</v>
      </c>
      <c r="F85" s="131">
        <v>0</v>
      </c>
      <c r="G85" s="131">
        <v>200</v>
      </c>
      <c r="H85" s="131" t="s">
        <v>936</v>
      </c>
      <c r="I85" s="131">
        <v>1</v>
      </c>
      <c r="J85" s="131" t="s">
        <v>660</v>
      </c>
      <c r="K85" s="131"/>
      <c r="L85" s="128" t="str">
        <f t="shared" si="1"/>
        <v>SpellData.create(SIDRAGECREEP,"狂暴",0,0,200,OrderId("charm"),1,ORDER_TYPE_IMMEDIATE);</v>
      </c>
      <c r="M85" s="131"/>
      <c r="N85" s="131"/>
      <c r="O85" s="131"/>
      <c r="P85" s="131"/>
      <c r="Q85" s="131"/>
      <c r="R85" s="131"/>
      <c r="S85" s="131"/>
      <c r="T85" s="131"/>
      <c r="U85" s="131"/>
      <c r="V85" s="131"/>
      <c r="W85" s="131"/>
      <c r="X85" s="131"/>
      <c r="Y85" s="131"/>
    </row>
    <row r="86" spans="1:25">
      <c r="A86" s="133"/>
      <c r="B86" s="133" t="s">
        <v>996</v>
      </c>
      <c r="C86" s="133" t="s">
        <v>65</v>
      </c>
      <c r="D86" s="133" t="s">
        <v>995</v>
      </c>
      <c r="E86" s="133">
        <v>0</v>
      </c>
      <c r="F86" s="133">
        <v>0</v>
      </c>
      <c r="G86" s="133">
        <v>1</v>
      </c>
      <c r="H86" s="133" t="s">
        <v>859</v>
      </c>
      <c r="I86" s="133">
        <v>1</v>
      </c>
      <c r="J86" s="133" t="s">
        <v>857</v>
      </c>
      <c r="K86" s="133"/>
      <c r="L86" s="128" t="str">
        <f t="shared" si="1"/>
        <v>SpellData.create(SID_GRIP_OF_STATIC_ELECTRICITY,"静电之握",0,0,1,OrderId("healingwave"),1,ORDER_TYPE_TARGET);</v>
      </c>
      <c r="M86" s="133"/>
      <c r="N86" s="133"/>
      <c r="O86" s="133"/>
      <c r="P86" s="133"/>
      <c r="Q86" s="133"/>
      <c r="R86" s="133"/>
      <c r="S86" s="133"/>
      <c r="T86" s="133"/>
      <c r="U86" s="133"/>
      <c r="V86" s="133"/>
      <c r="W86" s="133"/>
      <c r="X86" s="133"/>
      <c r="Y86" s="133"/>
    </row>
    <row r="87" spans="1:25">
      <c r="A87" s="133"/>
      <c r="B87" s="133" t="s">
        <v>994</v>
      </c>
      <c r="C87" s="133" t="s">
        <v>70</v>
      </c>
      <c r="D87" s="133" t="s">
        <v>993</v>
      </c>
      <c r="E87" s="133">
        <v>0</v>
      </c>
      <c r="F87" s="133">
        <v>0</v>
      </c>
      <c r="G87" s="133">
        <v>10</v>
      </c>
      <c r="H87" s="133" t="s">
        <v>936</v>
      </c>
      <c r="I87" s="133">
        <v>1</v>
      </c>
      <c r="J87" s="133" t="s">
        <v>857</v>
      </c>
      <c r="K87" s="133"/>
      <c r="L87" s="128" t="str">
        <f t="shared" si="1"/>
        <v>SpellData.create(SID_PULSE_BOMB,"脉冲爆弹",0,0,10,OrderId("charm"),1,ORDER_TYPE_TARGET);</v>
      </c>
      <c r="M87" s="133"/>
      <c r="N87" s="133"/>
      <c r="O87" s="133"/>
      <c r="P87" s="133"/>
      <c r="Q87" s="133"/>
      <c r="R87" s="133"/>
      <c r="S87" s="133"/>
      <c r="T87" s="133"/>
      <c r="U87" s="133"/>
      <c r="V87" s="133"/>
      <c r="W87" s="133"/>
      <c r="X87" s="133"/>
      <c r="Y87" s="133"/>
    </row>
    <row r="88" spans="1:25">
      <c r="A88" s="133"/>
      <c r="B88" s="133" t="s">
        <v>992</v>
      </c>
      <c r="C88" s="133" t="s">
        <v>73</v>
      </c>
      <c r="D88" s="133" t="s">
        <v>991</v>
      </c>
      <c r="E88" s="133">
        <v>10</v>
      </c>
      <c r="F88" s="133">
        <v>0</v>
      </c>
      <c r="G88" s="133">
        <v>25</v>
      </c>
      <c r="H88" s="133" t="s">
        <v>861</v>
      </c>
      <c r="I88" s="133">
        <v>2</v>
      </c>
      <c r="J88" s="133" t="s">
        <v>857</v>
      </c>
      <c r="K88" s="133"/>
      <c r="L88" s="128" t="str">
        <f t="shared" si="1"/>
        <v>SpellData.create(SID_LASER_BEAM,"激光射线",0,10,25,OrderId("heal"),2,ORDER_TYPE_TARGET);</v>
      </c>
      <c r="M88" s="133"/>
      <c r="N88" s="133"/>
      <c r="O88" s="133"/>
      <c r="P88" s="133"/>
      <c r="Q88" s="133"/>
      <c r="R88" s="133"/>
      <c r="S88" s="133"/>
      <c r="T88" s="133"/>
      <c r="U88" s="133"/>
      <c r="V88" s="133"/>
      <c r="W88" s="133"/>
      <c r="X88" s="133"/>
      <c r="Y88" s="133"/>
    </row>
    <row r="89" spans="1:25">
      <c r="A89" s="133"/>
      <c r="B89" s="133" t="s">
        <v>990</v>
      </c>
      <c r="C89" s="133" t="s">
        <v>77</v>
      </c>
      <c r="D89" s="133" t="s">
        <v>989</v>
      </c>
      <c r="E89" s="133">
        <v>0</v>
      </c>
      <c r="F89" s="133">
        <v>0</v>
      </c>
      <c r="G89" s="133">
        <v>0</v>
      </c>
      <c r="H89" s="133" t="s">
        <v>962</v>
      </c>
      <c r="I89" s="133">
        <v>1</v>
      </c>
      <c r="J89" s="133" t="s">
        <v>660</v>
      </c>
      <c r="K89" s="133"/>
      <c r="L89" s="128" t="str">
        <f t="shared" si="1"/>
        <v>SpellData.create(SID_TINKER_MORPH,"坦克形态",0,0,0,OID_BEARFORM,1,ORDER_TYPE_IMMEDIATE);</v>
      </c>
      <c r="M89" s="133"/>
      <c r="N89" s="133"/>
      <c r="O89" s="133"/>
      <c r="P89" s="133"/>
      <c r="Q89" s="133"/>
      <c r="R89" s="133"/>
      <c r="S89" s="133"/>
      <c r="T89" s="133"/>
      <c r="U89" s="133"/>
      <c r="V89" s="133"/>
      <c r="W89" s="133"/>
      <c r="X89" s="133"/>
      <c r="Y89" s="133"/>
    </row>
    <row r="90" spans="1:25">
      <c r="A90" s="133"/>
      <c r="B90" s="133" t="s">
        <v>988</v>
      </c>
      <c r="C90" s="133" t="s">
        <v>79</v>
      </c>
      <c r="D90" s="133" t="s">
        <v>987</v>
      </c>
      <c r="E90" s="133">
        <v>0</v>
      </c>
      <c r="F90" s="133">
        <v>0</v>
      </c>
      <c r="G90" s="133">
        <v>1</v>
      </c>
      <c r="H90" s="133" t="s">
        <v>986</v>
      </c>
      <c r="I90" s="133">
        <v>1</v>
      </c>
      <c r="J90" s="133" t="s">
        <v>660</v>
      </c>
      <c r="K90" s="133"/>
      <c r="L90" s="128" t="str">
        <f t="shared" si="1"/>
        <v>SpellData.create(SID_LIGHTNING_SHIELD,"闪电护盾",0,0,1,OrderId("lightningshield"),1,ORDER_TYPE_IMMEDIATE);</v>
      </c>
      <c r="M90" s="133"/>
      <c r="N90" s="133"/>
      <c r="O90" s="133"/>
      <c r="P90" s="133"/>
      <c r="Q90" s="133"/>
      <c r="R90" s="133"/>
      <c r="S90" s="133"/>
      <c r="T90" s="133"/>
      <c r="U90" s="133"/>
      <c r="V90" s="133"/>
      <c r="W90" s="133"/>
      <c r="X90" s="133"/>
      <c r="Y90" s="133"/>
    </row>
    <row r="91" spans="1:25">
      <c r="A91" s="133"/>
      <c r="B91" s="133" t="s">
        <v>985</v>
      </c>
      <c r="C91" s="133" t="s">
        <v>82</v>
      </c>
      <c r="D91" s="133" t="s">
        <v>984</v>
      </c>
      <c r="E91" s="133">
        <v>0</v>
      </c>
      <c r="F91" s="133">
        <v>0</v>
      </c>
      <c r="G91" s="133">
        <v>10</v>
      </c>
      <c r="H91" s="133" t="s">
        <v>980</v>
      </c>
      <c r="I91" s="133">
        <v>1</v>
      </c>
      <c r="J91" s="133" t="s">
        <v>660</v>
      </c>
      <c r="K91" s="133"/>
      <c r="L91" s="128" t="str">
        <f t="shared" si="1"/>
        <v>SpellData.create(SID_POCKET_FACTORY,"口袋工厂",0,0,10,OrderId("summonfactory"),1,ORDER_TYPE_IMMEDIATE);</v>
      </c>
      <c r="M91" s="133"/>
      <c r="N91" s="133"/>
      <c r="O91" s="133"/>
      <c r="P91" s="133"/>
      <c r="Q91" s="133"/>
      <c r="R91" s="133"/>
      <c r="S91" s="133"/>
      <c r="T91" s="133"/>
      <c r="U91" s="133"/>
      <c r="V91" s="133"/>
      <c r="W91" s="133"/>
      <c r="X91" s="133"/>
      <c r="Y91" s="133"/>
    </row>
    <row r="92" spans="1:25">
      <c r="A92" s="133"/>
      <c r="B92" s="133" t="s">
        <v>983</v>
      </c>
      <c r="C92" s="133" t="s">
        <v>982</v>
      </c>
      <c r="D92" s="133" t="s">
        <v>981</v>
      </c>
      <c r="E92" s="133">
        <v>4</v>
      </c>
      <c r="F92" s="133">
        <v>0</v>
      </c>
      <c r="G92" s="133">
        <v>1</v>
      </c>
      <c r="H92" s="133" t="s">
        <v>980</v>
      </c>
      <c r="I92" s="133">
        <v>2</v>
      </c>
      <c r="J92" s="133" t="s">
        <v>660</v>
      </c>
      <c r="K92" s="133"/>
      <c r="L92" s="128" t="str">
        <f t="shared" si="1"/>
        <v>SpellData.create(SID_SUMMON_CLOCKWORK_GOBLIN,"生产人工地精",0,4,1,OrderId("summonfactory"),2,ORDER_TYPE_IMMEDIATE);</v>
      </c>
      <c r="M92" s="133"/>
      <c r="N92" s="133"/>
      <c r="O92" s="133"/>
      <c r="P92" s="133"/>
      <c r="Q92" s="133"/>
      <c r="R92" s="133"/>
      <c r="S92" s="133"/>
      <c r="T92" s="133"/>
      <c r="U92" s="133"/>
      <c r="V92" s="133"/>
      <c r="W92" s="133"/>
      <c r="X92" s="133"/>
      <c r="Y92" s="133"/>
    </row>
    <row r="93" spans="1:25">
      <c r="A93" s="133"/>
      <c r="B93" s="133" t="s">
        <v>979</v>
      </c>
      <c r="C93" s="133" t="s">
        <v>978</v>
      </c>
      <c r="D93" s="133" t="s">
        <v>977</v>
      </c>
      <c r="E93" s="133">
        <v>3</v>
      </c>
      <c r="F93" s="133">
        <v>0</v>
      </c>
      <c r="G93" s="133">
        <v>1</v>
      </c>
      <c r="H93" s="133" t="s">
        <v>976</v>
      </c>
      <c r="I93" s="133">
        <v>2</v>
      </c>
      <c r="J93" s="133" t="s">
        <v>857</v>
      </c>
      <c r="K93" s="133"/>
      <c r="L93" s="128" t="str">
        <f t="shared" si="1"/>
        <v>SpellData.create(SID_SELF_DESTRUCT,"自爆",0,3,1,OrderId("selfdestruct"),2,ORDER_TYPE_TARGET);</v>
      </c>
      <c r="M93" s="133"/>
      <c r="N93" s="133"/>
      <c r="O93" s="133"/>
      <c r="P93" s="133"/>
      <c r="Q93" s="133"/>
      <c r="R93" s="133"/>
      <c r="S93" s="133"/>
      <c r="T93" s="133"/>
      <c r="U93" s="133"/>
      <c r="V93" s="133"/>
      <c r="W93" s="133"/>
      <c r="X93" s="133"/>
      <c r="Y93" s="133"/>
    </row>
    <row r="94" spans="1:25">
      <c r="A94" s="133"/>
      <c r="B94" s="133" t="s">
        <v>975</v>
      </c>
      <c r="C94" s="133" t="s">
        <v>133</v>
      </c>
      <c r="D94" s="133" t="s">
        <v>974</v>
      </c>
      <c r="E94" s="133">
        <v>1</v>
      </c>
      <c r="F94" s="133">
        <v>0</v>
      </c>
      <c r="G94" s="133">
        <v>1</v>
      </c>
      <c r="H94" s="133" t="s">
        <v>973</v>
      </c>
      <c r="I94" s="133">
        <v>2</v>
      </c>
      <c r="J94" s="133" t="s">
        <v>660</v>
      </c>
      <c r="K94" s="133"/>
      <c r="L94" s="128" t="str">
        <f t="shared" si="1"/>
        <v>SpellData.create(SID_CLUSTER_ROCKETS,"火箭群",0,1,1,OrderId("clusterrockets"),2,ORDER_TYPE_IMMEDIATE);</v>
      </c>
      <c r="M94" s="133"/>
      <c r="N94" s="133"/>
      <c r="O94" s="133"/>
      <c r="P94" s="133"/>
      <c r="Q94" s="133"/>
      <c r="R94" s="133"/>
      <c r="S94" s="133"/>
      <c r="T94" s="133"/>
      <c r="U94" s="133"/>
      <c r="V94" s="133"/>
      <c r="W94" s="133"/>
      <c r="X94" s="133"/>
      <c r="Y94" s="133"/>
    </row>
    <row r="95" spans="1:25">
      <c r="A95" s="134"/>
      <c r="B95" s="134" t="s">
        <v>972</v>
      </c>
      <c r="C95" s="134" t="s">
        <v>164</v>
      </c>
      <c r="D95" s="134" t="s">
        <v>165</v>
      </c>
      <c r="E95" s="134">
        <v>0</v>
      </c>
      <c r="F95" s="134">
        <v>100</v>
      </c>
      <c r="G95" s="134">
        <v>7</v>
      </c>
      <c r="H95" s="134">
        <v>852063</v>
      </c>
      <c r="I95" s="134">
        <v>1</v>
      </c>
      <c r="J95" s="134" t="s">
        <v>857</v>
      </c>
      <c r="K95" s="134"/>
      <c r="L95" s="128" t="str">
        <f t="shared" si="1"/>
        <v>SpellData.create(SID_FUCKED_LIGHTNING,"叉状闪电",100,0,7,852063,1,ORDER_TYPE_TARGET);</v>
      </c>
      <c r="M95" s="134"/>
      <c r="N95" s="134"/>
      <c r="O95" s="134"/>
      <c r="P95" s="134"/>
      <c r="Q95" s="134"/>
      <c r="R95" s="134"/>
      <c r="S95" s="134"/>
      <c r="T95" s="134"/>
      <c r="U95" s="134"/>
      <c r="V95" s="134"/>
      <c r="W95" s="134"/>
      <c r="X95" s="134"/>
      <c r="Y95" s="134"/>
    </row>
    <row r="96" spans="1:25">
      <c r="A96" s="134"/>
      <c r="B96" s="134" t="s">
        <v>971</v>
      </c>
      <c r="C96" s="134" t="s">
        <v>168</v>
      </c>
      <c r="D96" s="134" t="s">
        <v>169</v>
      </c>
      <c r="E96" s="134">
        <v>0</v>
      </c>
      <c r="F96" s="134">
        <v>100</v>
      </c>
      <c r="G96" s="134">
        <v>14</v>
      </c>
      <c r="H96" s="134">
        <v>852555</v>
      </c>
      <c r="I96" s="134">
        <v>1</v>
      </c>
      <c r="J96" s="134" t="s">
        <v>857</v>
      </c>
      <c r="K96" s="134"/>
      <c r="L96" s="128" t="str">
        <f t="shared" si="1"/>
        <v>SpellData.create(SID_STRONG_BREEZE,"强风",100,0,14,852555,1,ORDER_TYPE_TARGET);</v>
      </c>
      <c r="M96" s="134"/>
      <c r="N96" s="134"/>
      <c r="O96" s="134"/>
      <c r="P96" s="134"/>
      <c r="Q96" s="134"/>
      <c r="R96" s="134"/>
      <c r="S96" s="134"/>
      <c r="T96" s="134"/>
      <c r="U96" s="134"/>
      <c r="V96" s="134"/>
      <c r="W96" s="134"/>
      <c r="X96" s="134"/>
      <c r="Y96" s="134"/>
    </row>
    <row r="97" spans="1:25">
      <c r="A97" s="134"/>
      <c r="B97" s="134" t="s">
        <v>970</v>
      </c>
      <c r="C97" s="134" t="s">
        <v>172</v>
      </c>
      <c r="D97" s="134" t="s">
        <v>173</v>
      </c>
      <c r="E97" s="134">
        <v>0</v>
      </c>
      <c r="F97" s="134">
        <v>100</v>
      </c>
      <c r="G97" s="134">
        <v>30</v>
      </c>
      <c r="H97" s="134">
        <v>852066</v>
      </c>
      <c r="I97" s="134">
        <v>1</v>
      </c>
      <c r="J97" s="134" t="s">
        <v>660</v>
      </c>
      <c r="K97" s="134"/>
      <c r="L97" s="128" t="str">
        <f t="shared" si="1"/>
        <v>SpellData.create(SID_SUMMON_SERPENTS,"召唤飞蛇",100,0,30,852066,1,ORDER_TYPE_IMMEDIATE);</v>
      </c>
      <c r="M97" s="134"/>
      <c r="N97" s="134"/>
      <c r="O97" s="134"/>
      <c r="P97" s="134"/>
      <c r="Q97" s="134"/>
      <c r="R97" s="134"/>
      <c r="S97" s="134"/>
      <c r="T97" s="134"/>
      <c r="U97" s="134"/>
      <c r="V97" s="134"/>
      <c r="W97" s="134"/>
      <c r="X97" s="134"/>
      <c r="Y97" s="134"/>
    </row>
    <row r="98" spans="1:25">
      <c r="A98" s="134"/>
      <c r="B98" s="134" t="s">
        <v>969</v>
      </c>
      <c r="C98" s="134" t="s">
        <v>175</v>
      </c>
      <c r="D98" s="134" t="s">
        <v>176</v>
      </c>
      <c r="E98" s="134">
        <v>10</v>
      </c>
      <c r="F98" s="134">
        <v>0</v>
      </c>
      <c r="G98" s="134">
        <v>40</v>
      </c>
      <c r="H98" s="134">
        <v>852069</v>
      </c>
      <c r="I98" s="134">
        <v>2</v>
      </c>
      <c r="J98" s="134" t="s">
        <v>857</v>
      </c>
      <c r="K98" s="134"/>
      <c r="L98" s="128" t="str">
        <f t="shared" si="1"/>
        <v>SpellData.create(SID_THUNDER_STORM,"雷电风暴",0,10,40,852069,2,ORDER_TYPE_TARGET);</v>
      </c>
      <c r="M98" s="134"/>
      <c r="N98" s="134"/>
      <c r="O98" s="134"/>
      <c r="P98" s="134"/>
      <c r="Q98" s="134"/>
      <c r="R98" s="134"/>
      <c r="S98" s="134"/>
      <c r="T98" s="134"/>
      <c r="U98" s="134"/>
      <c r="V98" s="134"/>
      <c r="W98" s="134"/>
      <c r="X98" s="134"/>
      <c r="Y98" s="134"/>
    </row>
    <row r="99" spans="1:25">
      <c r="A99" s="132"/>
      <c r="B99" s="132" t="s">
        <v>968</v>
      </c>
      <c r="C99" s="132" t="s">
        <v>189</v>
      </c>
      <c r="D99" s="132" t="s">
        <v>967</v>
      </c>
      <c r="E99" s="132">
        <v>3.5</v>
      </c>
      <c r="F99" s="132">
        <v>0</v>
      </c>
      <c r="G99" s="132">
        <v>5</v>
      </c>
      <c r="H99" s="132" t="s">
        <v>861</v>
      </c>
      <c r="I99" s="132">
        <v>1</v>
      </c>
      <c r="J99" s="132" t="s">
        <v>857</v>
      </c>
      <c r="K99" s="132"/>
      <c r="L99" s="128" t="str">
        <f t="shared" si="1"/>
        <v>SpellData.create(SIDALKALINEWATER,"盐碱之水",0,3.5,5,OrderId("heal"),1,ORDER_TYPE_TARGET);</v>
      </c>
      <c r="M99" s="132"/>
      <c r="N99" s="132"/>
      <c r="O99" s="132"/>
      <c r="P99" s="132"/>
      <c r="Q99" s="132"/>
      <c r="R99" s="132"/>
      <c r="S99" s="132"/>
      <c r="T99" s="132"/>
      <c r="U99" s="132"/>
      <c r="V99" s="132"/>
      <c r="W99" s="132"/>
      <c r="X99" s="132"/>
      <c r="Y99" s="132"/>
    </row>
    <row r="100" spans="1:25">
      <c r="A100" s="132"/>
      <c r="B100" s="132" t="s">
        <v>966</v>
      </c>
      <c r="C100" s="132" t="s">
        <v>190</v>
      </c>
      <c r="D100" s="132" t="s">
        <v>191</v>
      </c>
      <c r="E100" s="132">
        <v>0</v>
      </c>
      <c r="F100" s="132">
        <v>0</v>
      </c>
      <c r="G100" s="132">
        <v>12</v>
      </c>
      <c r="H100" s="132" t="s">
        <v>864</v>
      </c>
      <c r="I100" s="132">
        <v>1</v>
      </c>
      <c r="J100" s="132" t="s">
        <v>857</v>
      </c>
      <c r="K100" s="132"/>
      <c r="L100" s="128" t="str">
        <f t="shared" si="1"/>
        <v>SpellData.create(SIDTIDE,"潮汐",0,0,12,OrderId("slow"),1,ORDER_TYPE_TARGET);</v>
      </c>
      <c r="M100" s="132"/>
      <c r="N100" s="132"/>
      <c r="O100" s="132"/>
      <c r="P100" s="132"/>
      <c r="Q100" s="132"/>
      <c r="R100" s="132"/>
      <c r="S100" s="132"/>
      <c r="T100" s="132"/>
      <c r="U100" s="132"/>
      <c r="V100" s="132"/>
      <c r="W100" s="132"/>
      <c r="X100" s="132"/>
      <c r="Y100" s="132"/>
    </row>
    <row r="101" spans="1:25">
      <c r="A101" s="132"/>
      <c r="B101" s="132" t="s">
        <v>965</v>
      </c>
      <c r="C101" s="132" t="s">
        <v>964</v>
      </c>
      <c r="D101" s="132" t="s">
        <v>963</v>
      </c>
      <c r="E101" s="132">
        <v>0</v>
      </c>
      <c r="F101" s="132">
        <v>0</v>
      </c>
      <c r="G101" s="132">
        <v>35</v>
      </c>
      <c r="H101" s="132" t="s">
        <v>962</v>
      </c>
      <c r="I101" s="132">
        <v>1</v>
      </c>
      <c r="J101" s="132" t="s">
        <v>660</v>
      </c>
      <c r="K101" s="132"/>
      <c r="L101" s="128" t="str">
        <f t="shared" si="1"/>
        <v>SpellData.create(SIDTIDEBARONMORPH,"潮汐形态",0,0,35,OID_BEARFORM,1,ORDER_TYPE_IMMEDIATE);</v>
      </c>
      <c r="M101" s="132"/>
      <c r="N101" s="132"/>
      <c r="O101" s="132"/>
      <c r="P101" s="132"/>
      <c r="Q101" s="132"/>
      <c r="R101" s="132"/>
      <c r="S101" s="132"/>
      <c r="T101" s="132"/>
      <c r="U101" s="132"/>
      <c r="V101" s="132"/>
      <c r="W101" s="132"/>
      <c r="X101" s="132"/>
      <c r="Y101" s="132"/>
    </row>
    <row r="102" spans="1:25">
      <c r="A102" s="132"/>
      <c r="B102" s="132" t="s">
        <v>961</v>
      </c>
      <c r="C102" s="132" t="s">
        <v>192</v>
      </c>
      <c r="D102" s="132" t="s">
        <v>960</v>
      </c>
      <c r="E102" s="132">
        <v>0</v>
      </c>
      <c r="F102" s="132">
        <v>0</v>
      </c>
      <c r="G102" s="132">
        <v>12</v>
      </c>
      <c r="H102" s="132" t="s">
        <v>864</v>
      </c>
      <c r="I102" s="132">
        <v>1</v>
      </c>
      <c r="J102" s="132" t="s">
        <v>857</v>
      </c>
      <c r="K102" s="132"/>
      <c r="L102" s="128" t="str">
        <f t="shared" si="1"/>
        <v>SpellData.create(SIDTEARUP,"撕裂",0,0,12,OrderId("slow"),1,ORDER_TYPE_TARGET);</v>
      </c>
      <c r="M102" s="132"/>
      <c r="N102" s="132"/>
      <c r="O102" s="132"/>
      <c r="P102" s="132"/>
      <c r="Q102" s="132"/>
      <c r="R102" s="132"/>
      <c r="S102" s="132"/>
      <c r="T102" s="132"/>
      <c r="U102" s="132"/>
      <c r="V102" s="132"/>
      <c r="W102" s="132"/>
      <c r="X102" s="132"/>
      <c r="Y102" s="132"/>
    </row>
    <row r="103" spans="1:25">
      <c r="A103" s="132"/>
      <c r="B103" s="132" t="s">
        <v>959</v>
      </c>
      <c r="C103" s="132" t="s">
        <v>194</v>
      </c>
      <c r="D103" s="132" t="s">
        <v>195</v>
      </c>
      <c r="E103" s="132">
        <v>0</v>
      </c>
      <c r="F103" s="132">
        <v>0</v>
      </c>
      <c r="G103" s="132">
        <v>15</v>
      </c>
      <c r="H103" s="132" t="s">
        <v>661</v>
      </c>
      <c r="I103" s="132">
        <v>1</v>
      </c>
      <c r="J103" s="132" t="s">
        <v>857</v>
      </c>
      <c r="K103" s="132"/>
      <c r="L103" s="128" t="str">
        <f t="shared" si="1"/>
        <v>SpellData.create(SIDLANCINATE,"刺裂",0,0,15,OrderId("channel"),1,ORDER_TYPE_TARGET);</v>
      </c>
      <c r="M103" s="132"/>
      <c r="N103" s="132"/>
      <c r="O103" s="132"/>
      <c r="P103" s="132"/>
      <c r="Q103" s="132"/>
      <c r="R103" s="132"/>
      <c r="S103" s="132"/>
      <c r="T103" s="132"/>
      <c r="U103" s="132"/>
      <c r="V103" s="132"/>
      <c r="W103" s="132"/>
      <c r="X103" s="132"/>
      <c r="Y103" s="132"/>
    </row>
    <row r="104" spans="1:25">
      <c r="A104" s="132"/>
      <c r="B104" s="132" t="s">
        <v>958</v>
      </c>
      <c r="C104" s="132" t="s">
        <v>196</v>
      </c>
      <c r="D104" s="132" t="s">
        <v>198</v>
      </c>
      <c r="E104" s="132">
        <v>0</v>
      </c>
      <c r="F104" s="132">
        <v>0</v>
      </c>
      <c r="G104" s="132">
        <v>25</v>
      </c>
      <c r="H104" s="132" t="s">
        <v>943</v>
      </c>
      <c r="I104" s="132">
        <v>1</v>
      </c>
      <c r="J104" s="132" t="s">
        <v>660</v>
      </c>
      <c r="K104" s="132"/>
      <c r="L104" s="128" t="str">
        <f t="shared" si="1"/>
        <v>SpellData.create(SIDRASPYROAR,"刺耳咆哮",0,0,25,OrderId("impale"),1,ORDER_TYPE_IMMEDIATE);</v>
      </c>
      <c r="M104" s="132"/>
      <c r="N104" s="132"/>
      <c r="O104" s="132"/>
      <c r="P104" s="132"/>
      <c r="Q104" s="132"/>
      <c r="R104" s="132"/>
      <c r="S104" s="132"/>
      <c r="T104" s="132"/>
      <c r="U104" s="132"/>
      <c r="V104" s="132"/>
      <c r="W104" s="132"/>
      <c r="X104" s="132"/>
      <c r="Y104" s="132"/>
    </row>
    <row r="105" spans="1:25">
      <c r="A105" s="132"/>
      <c r="B105" s="132" t="s">
        <v>957</v>
      </c>
      <c r="C105" s="132" t="s">
        <v>196</v>
      </c>
      <c r="D105" s="132" t="s">
        <v>198</v>
      </c>
      <c r="E105" s="132">
        <v>0</v>
      </c>
      <c r="F105" s="132">
        <v>0</v>
      </c>
      <c r="G105" s="132">
        <v>1</v>
      </c>
      <c r="H105" s="132" t="s">
        <v>956</v>
      </c>
      <c r="I105" s="132">
        <v>1</v>
      </c>
      <c r="J105" s="132" t="s">
        <v>955</v>
      </c>
      <c r="K105" s="132"/>
      <c r="L105" s="128" t="str">
        <f t="shared" si="1"/>
        <v>SpellData.create(SIDRASPYROARDUMMY,"刺耳咆哮",0,0,1,OrderId("silence"),1,ORDER_TYPE_POINT);</v>
      </c>
      <c r="M105" s="132"/>
      <c r="N105" s="132"/>
      <c r="O105" s="132"/>
      <c r="P105" s="132"/>
      <c r="Q105" s="132"/>
      <c r="R105" s="132"/>
      <c r="S105" s="132"/>
      <c r="T105" s="132"/>
      <c r="U105" s="132"/>
      <c r="V105" s="132"/>
      <c r="W105" s="132"/>
      <c r="X105" s="132"/>
      <c r="Y105" s="132"/>
    </row>
    <row r="106" spans="1:25">
      <c r="A106" s="136"/>
      <c r="B106" s="136" t="s">
        <v>954</v>
      </c>
      <c r="C106" s="136" t="s">
        <v>202</v>
      </c>
      <c r="D106" s="136" t="s">
        <v>953</v>
      </c>
      <c r="E106" s="136">
        <v>0</v>
      </c>
      <c r="F106" s="136">
        <v>100</v>
      </c>
      <c r="G106" s="136">
        <v>5</v>
      </c>
      <c r="H106" s="136" t="s">
        <v>868</v>
      </c>
      <c r="I106" s="136">
        <v>1</v>
      </c>
      <c r="J106" s="136" t="s">
        <v>857</v>
      </c>
      <c r="K106" s="136"/>
      <c r="L106" s="128" t="str">
        <f t="shared" si="1"/>
        <v>SpellData.create(SIDFLAMETHROW,"火焰喷射",100,0,5,OrderId("sleep"),1,ORDER_TYPE_TARGET);</v>
      </c>
      <c r="M106" s="136"/>
      <c r="N106" s="136"/>
      <c r="O106" s="136"/>
      <c r="P106" s="136"/>
      <c r="Q106" s="136"/>
      <c r="R106" s="136"/>
      <c r="S106" s="136"/>
      <c r="T106" s="136"/>
      <c r="U106" s="136"/>
      <c r="V106" s="136"/>
      <c r="W106" s="136"/>
      <c r="X106" s="136"/>
      <c r="Y106" s="136"/>
    </row>
    <row r="107" spans="1:25">
      <c r="A107" s="136"/>
      <c r="B107" s="136" t="s">
        <v>952</v>
      </c>
      <c r="C107" s="136" t="s">
        <v>203</v>
      </c>
      <c r="D107" s="136" t="s">
        <v>951</v>
      </c>
      <c r="E107" s="136">
        <v>10</v>
      </c>
      <c r="F107" s="136">
        <v>100</v>
      </c>
      <c r="G107" s="136">
        <v>40</v>
      </c>
      <c r="H107" s="136" t="s">
        <v>864</v>
      </c>
      <c r="I107" s="136">
        <v>2</v>
      </c>
      <c r="J107" s="136" t="s">
        <v>660</v>
      </c>
      <c r="K107" s="136"/>
      <c r="L107" s="128" t="str">
        <f t="shared" si="1"/>
        <v>SpellData.create(SIDFLAMEBOMB,"火焰炸弹",100,10,40,OrderId("slow"),2,ORDER_TYPE_IMMEDIATE);</v>
      </c>
      <c r="M107" s="136"/>
      <c r="N107" s="136"/>
      <c r="O107" s="136"/>
      <c r="P107" s="136"/>
      <c r="Q107" s="136"/>
      <c r="R107" s="136"/>
      <c r="S107" s="136"/>
      <c r="T107" s="136"/>
      <c r="U107" s="136"/>
      <c r="V107" s="136"/>
      <c r="W107" s="136"/>
      <c r="X107" s="136"/>
      <c r="Y107" s="136"/>
    </row>
    <row r="108" spans="1:25">
      <c r="A108" s="136"/>
      <c r="B108" s="136" t="s">
        <v>950</v>
      </c>
      <c r="C108" s="136" t="s">
        <v>206</v>
      </c>
      <c r="D108" s="136" t="s">
        <v>949</v>
      </c>
      <c r="E108" s="136">
        <v>10</v>
      </c>
      <c r="F108" s="136">
        <v>100</v>
      </c>
      <c r="G108" s="136">
        <v>30</v>
      </c>
      <c r="H108" s="136" t="s">
        <v>948</v>
      </c>
      <c r="I108" s="136">
        <v>1</v>
      </c>
      <c r="J108" s="136" t="s">
        <v>660</v>
      </c>
      <c r="K108" s="136"/>
      <c r="L108" s="128" t="str">
        <f t="shared" si="1"/>
        <v>SpellData.create(SIDSUMMONLAVASPAWN,"召唤炎魔",100,10,30,OrderId("soulburn"),1,ORDER_TYPE_IMMEDIATE);</v>
      </c>
      <c r="M108" s="136"/>
      <c r="N108" s="136"/>
      <c r="O108" s="136"/>
      <c r="P108" s="136"/>
      <c r="Q108" s="136"/>
      <c r="R108" s="136"/>
      <c r="S108" s="136"/>
      <c r="T108" s="136"/>
      <c r="U108" s="136"/>
      <c r="V108" s="136"/>
      <c r="W108" s="136"/>
      <c r="X108" s="136"/>
      <c r="Y108" s="136"/>
    </row>
    <row r="109" spans="1:25">
      <c r="A109" s="136"/>
      <c r="B109" s="136" t="s">
        <v>947</v>
      </c>
      <c r="C109" s="136" t="s">
        <v>179</v>
      </c>
      <c r="D109" s="136" t="s">
        <v>180</v>
      </c>
      <c r="E109" s="136">
        <v>0</v>
      </c>
      <c r="F109" s="136">
        <v>0</v>
      </c>
      <c r="G109" s="136">
        <v>200</v>
      </c>
      <c r="H109" s="136" t="s">
        <v>884</v>
      </c>
      <c r="I109" s="136">
        <v>1</v>
      </c>
      <c r="J109" s="136" t="s">
        <v>660</v>
      </c>
      <c r="K109" s="136"/>
      <c r="L109" s="128" t="str">
        <f t="shared" si="1"/>
        <v>SpellData.create(SIDFRENZYWARLOCK,"激怒",0,0,200,OrderId("stomp"),1,ORDER_TYPE_IMMEDIATE);</v>
      </c>
      <c r="M109" s="136"/>
      <c r="N109" s="136"/>
      <c r="O109" s="136"/>
      <c r="P109" s="136"/>
      <c r="Q109" s="136"/>
      <c r="R109" s="136"/>
      <c r="S109" s="136"/>
      <c r="T109" s="136"/>
      <c r="U109" s="136"/>
      <c r="V109" s="136"/>
      <c r="W109" s="136"/>
      <c r="X109" s="136"/>
      <c r="Y109" s="136"/>
    </row>
    <row r="110" spans="1:25">
      <c r="A110" s="134"/>
      <c r="B110" s="134" t="s">
        <v>946</v>
      </c>
      <c r="C110" s="134" t="s">
        <v>945</v>
      </c>
      <c r="D110" s="134" t="s">
        <v>944</v>
      </c>
      <c r="E110" s="134">
        <v>0</v>
      </c>
      <c r="F110" s="134">
        <v>0</v>
      </c>
      <c r="G110" s="134">
        <v>15</v>
      </c>
      <c r="H110" s="134" t="s">
        <v>943</v>
      </c>
      <c r="I110" s="134">
        <v>1</v>
      </c>
      <c r="J110" s="134" t="s">
        <v>857</v>
      </c>
      <c r="K110" s="134"/>
      <c r="L110" s="128" t="str">
        <f t="shared" si="1"/>
        <v>SpellData.create(SID_IMPALE,"穿刺",0,0,15,OrderId("impale"),1,ORDER_TYPE_TARGET);</v>
      </c>
      <c r="M110" s="134"/>
      <c r="N110" s="134"/>
      <c r="O110" s="134"/>
      <c r="P110" s="134"/>
      <c r="Q110" s="134"/>
      <c r="R110" s="134"/>
      <c r="S110" s="134"/>
      <c r="T110" s="134"/>
      <c r="U110" s="134"/>
      <c r="V110" s="134"/>
      <c r="W110" s="134"/>
      <c r="X110" s="134"/>
      <c r="Y110" s="134"/>
    </row>
    <row r="111" spans="1:25">
      <c r="A111" s="134"/>
      <c r="B111" s="134" t="s">
        <v>942</v>
      </c>
      <c r="C111" s="134" t="s">
        <v>941</v>
      </c>
      <c r="D111" s="134" t="s">
        <v>940</v>
      </c>
      <c r="E111" s="134">
        <v>0</v>
      </c>
      <c r="F111" s="134">
        <v>0</v>
      </c>
      <c r="G111" s="134">
        <v>25</v>
      </c>
      <c r="H111" s="134" t="s">
        <v>864</v>
      </c>
      <c r="I111" s="134">
        <v>1</v>
      </c>
      <c r="J111" s="134" t="s">
        <v>660</v>
      </c>
      <c r="K111" s="134"/>
      <c r="L111" s="128" t="str">
        <f t="shared" si="1"/>
        <v>SpellData.create(SID_SUMMON_POISONOUS_CRAWLER,"召唤剧毒爬行者",0,0,25,OrderId("slow"),1,ORDER_TYPE_IMMEDIATE);</v>
      </c>
      <c r="M111" s="134"/>
      <c r="N111" s="134"/>
      <c r="O111" s="134"/>
      <c r="P111" s="134"/>
      <c r="Q111" s="134"/>
      <c r="R111" s="134"/>
      <c r="S111" s="134"/>
      <c r="T111" s="134"/>
      <c r="U111" s="134"/>
      <c r="V111" s="134"/>
      <c r="W111" s="134"/>
      <c r="X111" s="134"/>
      <c r="Y111" s="134"/>
    </row>
    <row r="112" spans="1:25">
      <c r="A112" s="134"/>
      <c r="B112" s="134" t="s">
        <v>939</v>
      </c>
      <c r="C112" s="134" t="s">
        <v>938</v>
      </c>
      <c r="D112" s="134" t="s">
        <v>937</v>
      </c>
      <c r="E112" s="134">
        <v>0</v>
      </c>
      <c r="F112" s="134">
        <v>0</v>
      </c>
      <c r="G112" s="134">
        <v>15</v>
      </c>
      <c r="H112" s="134" t="s">
        <v>936</v>
      </c>
      <c r="I112" s="134">
        <v>1</v>
      </c>
      <c r="J112" s="134" t="s">
        <v>660</v>
      </c>
      <c r="K112" s="134"/>
      <c r="L112" s="128" t="str">
        <f t="shared" si="1"/>
        <v>SpellData.create(SID_SUMMON_ABOMINATION,"召唤憎恶",0,0,15,OrderId("charm"),1,ORDER_TYPE_IMMEDIATE);</v>
      </c>
      <c r="M112" s="134"/>
      <c r="N112" s="134"/>
      <c r="O112" s="134"/>
      <c r="P112" s="134"/>
      <c r="Q112" s="134"/>
      <c r="R112" s="134"/>
      <c r="S112" s="134"/>
      <c r="T112" s="134"/>
      <c r="U112" s="134"/>
      <c r="V112" s="134"/>
      <c r="W112" s="134"/>
      <c r="X112" s="134"/>
      <c r="Y112" s="134"/>
    </row>
    <row r="113" spans="1:25">
      <c r="A113" s="134"/>
      <c r="B113" s="134" t="s">
        <v>935</v>
      </c>
      <c r="C113" s="134" t="s">
        <v>934</v>
      </c>
      <c r="D113" s="134" t="s">
        <v>933</v>
      </c>
      <c r="E113" s="134">
        <v>0</v>
      </c>
      <c r="F113" s="134">
        <v>0</v>
      </c>
      <c r="G113" s="134">
        <v>15</v>
      </c>
      <c r="H113" s="134" t="s">
        <v>932</v>
      </c>
      <c r="I113" s="134">
        <v>1</v>
      </c>
      <c r="J113" s="134" t="s">
        <v>660</v>
      </c>
      <c r="K113" s="134"/>
      <c r="L113" s="128" t="str">
        <f t="shared" si="1"/>
        <v>SpellData.create(SID_SUMMON_WRAITH,"召唤怨灵",0,0,15,OrderId("invisibility"),1,ORDER_TYPE_IMMEDIATE);</v>
      </c>
      <c r="M113" s="134"/>
      <c r="N113" s="134"/>
      <c r="O113" s="134"/>
      <c r="P113" s="134"/>
      <c r="Q113" s="134"/>
      <c r="R113" s="134"/>
      <c r="S113" s="134"/>
      <c r="T113" s="134"/>
      <c r="U113" s="134"/>
      <c r="V113" s="134"/>
      <c r="W113" s="134"/>
      <c r="X113" s="134"/>
      <c r="Y113" s="134"/>
    </row>
    <row r="114" spans="1:25">
      <c r="A114" s="134"/>
      <c r="B114" s="134" t="s">
        <v>931</v>
      </c>
      <c r="C114" s="134" t="s">
        <v>930</v>
      </c>
      <c r="D114" s="134" t="s">
        <v>929</v>
      </c>
      <c r="E114" s="134">
        <v>5</v>
      </c>
      <c r="F114" s="134">
        <v>0</v>
      </c>
      <c r="G114" s="134">
        <v>25</v>
      </c>
      <c r="H114" s="134" t="s">
        <v>868</v>
      </c>
      <c r="I114" s="134">
        <v>2</v>
      </c>
      <c r="J114" s="134" t="s">
        <v>660</v>
      </c>
      <c r="K114" s="134"/>
      <c r="L114" s="128" t="str">
        <f t="shared" si="1"/>
        <v>SpellData.create(SID_LIFE_SIPHON,"生命虹吸",0,5,25,OrderId("sleep"),2,ORDER_TYPE_IMMEDIATE);</v>
      </c>
      <c r="M114" s="134"/>
      <c r="N114" s="134"/>
      <c r="O114" s="134"/>
      <c r="P114" s="134"/>
      <c r="Q114" s="134"/>
      <c r="R114" s="134"/>
      <c r="S114" s="134"/>
      <c r="T114" s="134"/>
      <c r="U114" s="134"/>
      <c r="V114" s="134"/>
      <c r="W114" s="134"/>
      <c r="X114" s="134"/>
      <c r="Y114" s="134"/>
    </row>
    <row r="115" spans="1:25">
      <c r="A115" s="133"/>
      <c r="B115" s="133" t="s">
        <v>928</v>
      </c>
      <c r="C115" s="133" t="s">
        <v>398</v>
      </c>
      <c r="D115" s="133" t="s">
        <v>927</v>
      </c>
      <c r="E115" s="133">
        <v>10</v>
      </c>
      <c r="F115" s="133">
        <v>50</v>
      </c>
      <c r="G115" s="133">
        <v>40</v>
      </c>
      <c r="H115" s="133" t="s">
        <v>861</v>
      </c>
      <c r="I115" s="133">
        <v>2</v>
      </c>
      <c r="J115" s="133" t="s">
        <v>660</v>
      </c>
      <c r="K115" s="133"/>
      <c r="L115" s="128" t="str">
        <f t="shared" si="1"/>
        <v>SpellData.create(SIDSPIRITBOLT,"灵魂之箭",50,10,40,OrderId("heal"),2,ORDER_TYPE_IMMEDIATE);</v>
      </c>
      <c r="M115" s="133"/>
      <c r="N115" s="133"/>
      <c r="O115" s="133"/>
      <c r="P115" s="133"/>
      <c r="Q115" s="133"/>
      <c r="R115" s="133"/>
      <c r="S115" s="133"/>
      <c r="T115" s="133"/>
      <c r="U115" s="133"/>
      <c r="V115" s="133"/>
      <c r="W115" s="133"/>
      <c r="X115" s="133"/>
      <c r="Y115" s="133"/>
    </row>
    <row r="116" spans="1:25">
      <c r="A116" s="133"/>
      <c r="B116" s="133" t="s">
        <v>926</v>
      </c>
      <c r="C116" s="133" t="s">
        <v>400</v>
      </c>
      <c r="D116" s="133" t="s">
        <v>925</v>
      </c>
      <c r="E116" s="133">
        <v>0</v>
      </c>
      <c r="F116" s="133">
        <v>0</v>
      </c>
      <c r="G116" s="133">
        <v>35</v>
      </c>
      <c r="H116" s="133" t="s">
        <v>924</v>
      </c>
      <c r="I116" s="133">
        <v>1</v>
      </c>
      <c r="J116" s="133" t="s">
        <v>660</v>
      </c>
      <c r="K116" s="133"/>
      <c r="L116" s="128" t="str">
        <f t="shared" si="1"/>
        <v>SpellData.create(SIDSPIRITHARVEST,"灵魂收割",0,0,35,OrderId("hex"),1,ORDER_TYPE_IMMEDIATE);</v>
      </c>
      <c r="M116" s="133"/>
      <c r="N116" s="133"/>
      <c r="O116" s="133"/>
      <c r="P116" s="133"/>
      <c r="Q116" s="133"/>
      <c r="R116" s="133"/>
      <c r="S116" s="133"/>
      <c r="T116" s="133"/>
      <c r="U116" s="133"/>
      <c r="V116" s="133"/>
      <c r="W116" s="133"/>
      <c r="X116" s="133"/>
      <c r="Y116" s="133"/>
    </row>
    <row r="117" spans="1:25">
      <c r="A117" s="133"/>
      <c r="B117" s="133" t="s">
        <v>923</v>
      </c>
      <c r="C117" s="133" t="s">
        <v>12</v>
      </c>
      <c r="D117" s="133" t="s">
        <v>601</v>
      </c>
      <c r="E117" s="133">
        <v>0</v>
      </c>
      <c r="F117" s="133">
        <v>100</v>
      </c>
      <c r="G117" s="133">
        <v>10</v>
      </c>
      <c r="H117" s="133" t="s">
        <v>864</v>
      </c>
      <c r="I117" s="133">
        <v>1</v>
      </c>
      <c r="J117" s="133" t="s">
        <v>660</v>
      </c>
      <c r="K117" s="133"/>
      <c r="L117" s="128" t="str">
        <f t="shared" si="1"/>
        <v>SpellData.create(SIDSUNFIRESTORMHEX,"阳炎风暴",100,0,10,OrderId("slow"),1,ORDER_TYPE_IMMEDIATE);</v>
      </c>
      <c r="M117" s="133"/>
      <c r="N117" s="133"/>
      <c r="O117" s="133"/>
      <c r="P117" s="133"/>
      <c r="Q117" s="133"/>
      <c r="R117" s="133"/>
      <c r="S117" s="133"/>
      <c r="T117" s="133"/>
      <c r="U117" s="133"/>
      <c r="V117" s="133"/>
      <c r="W117" s="133"/>
      <c r="X117" s="133"/>
      <c r="Y117" s="133"/>
    </row>
    <row r="118" spans="1:25">
      <c r="A118" s="133"/>
      <c r="B118" s="133" t="s">
        <v>922</v>
      </c>
      <c r="C118" s="133" t="s">
        <v>19</v>
      </c>
      <c r="D118" s="133" t="s">
        <v>604</v>
      </c>
      <c r="E118" s="133">
        <v>0</v>
      </c>
      <c r="F118" s="133">
        <v>0</v>
      </c>
      <c r="G118" s="133">
        <v>10</v>
      </c>
      <c r="H118" s="133" t="s">
        <v>868</v>
      </c>
      <c r="I118" s="133">
        <v>1</v>
      </c>
      <c r="J118" s="133" t="s">
        <v>660</v>
      </c>
      <c r="K118" s="133"/>
      <c r="L118" s="128" t="str">
        <f t="shared" si="1"/>
        <v>SpellData.create(SIDSHIELDOFSINDOREIHEX,"辛多雷之盾",0,0,10,OrderId("sleep"),1,ORDER_TYPE_IMMEDIATE);</v>
      </c>
      <c r="M118" s="133"/>
      <c r="N118" s="133"/>
      <c r="O118" s="133"/>
      <c r="P118" s="133"/>
      <c r="Q118" s="133"/>
      <c r="R118" s="133"/>
      <c r="S118" s="133"/>
      <c r="T118" s="133"/>
      <c r="U118" s="133"/>
      <c r="V118" s="133"/>
      <c r="W118" s="133"/>
      <c r="X118" s="133"/>
      <c r="Y118" s="133"/>
    </row>
    <row r="119" spans="1:25">
      <c r="A119" s="133"/>
      <c r="B119" s="133" t="s">
        <v>921</v>
      </c>
      <c r="C119" s="133" t="s">
        <v>26</v>
      </c>
      <c r="D119" s="133" t="s">
        <v>920</v>
      </c>
      <c r="E119" s="133">
        <v>0</v>
      </c>
      <c r="F119" s="133">
        <v>0</v>
      </c>
      <c r="G119" s="133">
        <v>10</v>
      </c>
      <c r="H119" s="133" t="s">
        <v>868</v>
      </c>
      <c r="I119" s="133">
        <v>1</v>
      </c>
      <c r="J119" s="133" t="s">
        <v>660</v>
      </c>
      <c r="K119" s="133"/>
      <c r="L119" s="128" t="str">
        <f t="shared" si="1"/>
        <v>SpellData.create(SID_SAVAGE_ROAR_HEX,"野蛮咆哮",0,0,10,OrderId("sleep"),1,ORDER_TYPE_IMMEDIATE);</v>
      </c>
      <c r="M119" s="133"/>
      <c r="N119" s="133"/>
      <c r="O119" s="133"/>
      <c r="P119" s="133"/>
      <c r="Q119" s="133"/>
      <c r="R119" s="133"/>
      <c r="S119" s="133"/>
      <c r="T119" s="133"/>
      <c r="U119" s="133"/>
      <c r="V119" s="133"/>
      <c r="W119" s="133"/>
      <c r="X119" s="133"/>
      <c r="Y119" s="133"/>
    </row>
    <row r="120" spans="1:25">
      <c r="A120" s="133"/>
      <c r="B120" s="133" t="s">
        <v>919</v>
      </c>
      <c r="C120" s="133" t="s">
        <v>32</v>
      </c>
      <c r="D120" s="133" t="s">
        <v>918</v>
      </c>
      <c r="E120" s="133">
        <v>0</v>
      </c>
      <c r="F120" s="133">
        <v>0</v>
      </c>
      <c r="G120" s="133">
        <v>12</v>
      </c>
      <c r="H120" s="133" t="s">
        <v>864</v>
      </c>
      <c r="I120" s="133">
        <v>1</v>
      </c>
      <c r="J120" s="133" t="s">
        <v>660</v>
      </c>
      <c r="K120" s="133"/>
      <c r="L120" s="128" t="str">
        <f t="shared" si="1"/>
        <v>SpellData.create(SID_NATURAL_REFLEX_HEX,"自然反射",0,0,12,OrderId("slow"),1,ORDER_TYPE_IMMEDIATE);</v>
      </c>
      <c r="M120" s="133"/>
      <c r="N120" s="133"/>
      <c r="O120" s="133"/>
      <c r="P120" s="133"/>
      <c r="Q120" s="133"/>
      <c r="R120" s="133"/>
      <c r="S120" s="133"/>
      <c r="T120" s="133"/>
      <c r="U120" s="133"/>
      <c r="V120" s="133"/>
      <c r="W120" s="133"/>
      <c r="X120" s="133"/>
      <c r="Y120" s="133"/>
    </row>
    <row r="121" spans="1:25">
      <c r="A121" s="133"/>
      <c r="B121" s="133" t="s">
        <v>917</v>
      </c>
      <c r="C121" s="133" t="s">
        <v>52</v>
      </c>
      <c r="D121" s="133" t="s">
        <v>916</v>
      </c>
      <c r="E121" s="133">
        <v>8</v>
      </c>
      <c r="F121" s="133">
        <v>100</v>
      </c>
      <c r="G121" s="133">
        <v>10</v>
      </c>
      <c r="H121" s="133" t="s">
        <v>864</v>
      </c>
      <c r="I121" s="133">
        <v>1</v>
      </c>
      <c r="J121" s="133" t="s">
        <v>660</v>
      </c>
      <c r="K121" s="133"/>
      <c r="L121" s="128" t="str">
        <f t="shared" si="1"/>
        <v>SpellData.create(SIDTRANQUILITYHEX,"宁静",100,8,10,OrderId("slow"),1,ORDER_TYPE_IMMEDIATE);</v>
      </c>
      <c r="M121" s="133"/>
      <c r="N121" s="133"/>
      <c r="O121" s="133"/>
      <c r="P121" s="133"/>
      <c r="Q121" s="133"/>
      <c r="R121" s="133"/>
      <c r="S121" s="133"/>
      <c r="T121" s="133"/>
      <c r="U121" s="133"/>
      <c r="V121" s="133"/>
      <c r="W121" s="133"/>
      <c r="X121" s="133"/>
      <c r="Y121" s="133"/>
    </row>
    <row r="122" spans="1:25">
      <c r="A122" s="133"/>
      <c r="B122" s="133" t="s">
        <v>915</v>
      </c>
      <c r="C122" s="133" t="s">
        <v>44</v>
      </c>
      <c r="D122" s="133" t="s">
        <v>914</v>
      </c>
      <c r="E122" s="133">
        <v>0</v>
      </c>
      <c r="F122" s="133">
        <v>25</v>
      </c>
      <c r="G122" s="133">
        <v>10</v>
      </c>
      <c r="H122" s="133" t="s">
        <v>868</v>
      </c>
      <c r="I122" s="133">
        <v>1</v>
      </c>
      <c r="J122" s="133" t="s">
        <v>857</v>
      </c>
      <c r="K122" s="133"/>
      <c r="L122" s="128" t="str">
        <f t="shared" si="1"/>
        <v>SpellData.create(SIDLIFEBLOOMHEX,"生命绽放",25,0,10,OrderId("sleep"),1,ORDER_TYPE_TARGET);</v>
      </c>
      <c r="M122" s="133"/>
      <c r="N122" s="133"/>
      <c r="O122" s="133"/>
      <c r="P122" s="133"/>
      <c r="Q122" s="133"/>
      <c r="R122" s="133"/>
      <c r="S122" s="133"/>
      <c r="T122" s="133"/>
      <c r="U122" s="133"/>
      <c r="V122" s="133"/>
      <c r="W122" s="133"/>
      <c r="X122" s="133"/>
      <c r="Y122" s="133"/>
    </row>
    <row r="123" spans="1:25">
      <c r="A123" s="133"/>
      <c r="B123" s="133" t="s">
        <v>913</v>
      </c>
      <c r="C123" s="133" t="s">
        <v>93</v>
      </c>
      <c r="D123" s="133" t="s">
        <v>912</v>
      </c>
      <c r="E123" s="133">
        <v>4</v>
      </c>
      <c r="F123" s="133">
        <v>100</v>
      </c>
      <c r="G123" s="133">
        <v>10</v>
      </c>
      <c r="H123" s="133" t="s">
        <v>864</v>
      </c>
      <c r="I123" s="133">
        <v>1</v>
      </c>
      <c r="J123" s="133" t="s">
        <v>857</v>
      </c>
      <c r="K123" s="133"/>
      <c r="L123" s="128" t="str">
        <f t="shared" si="1"/>
        <v>SpellData.create(SIDHOLYBOLTHEX,"圣光术",100,4,10,OrderId("slow"),1,ORDER_TYPE_TARGET);</v>
      </c>
      <c r="M123" s="133"/>
      <c r="N123" s="133"/>
      <c r="O123" s="133"/>
      <c r="P123" s="133"/>
      <c r="Q123" s="133"/>
      <c r="R123" s="133"/>
      <c r="S123" s="133"/>
      <c r="T123" s="133"/>
      <c r="U123" s="133"/>
      <c r="V123" s="133"/>
      <c r="W123" s="133"/>
      <c r="X123" s="133"/>
      <c r="Y123" s="133"/>
    </row>
    <row r="124" spans="1:25">
      <c r="A124" s="133"/>
      <c r="B124" s="133" t="s">
        <v>911</v>
      </c>
      <c r="C124" s="133" t="s">
        <v>98</v>
      </c>
      <c r="D124" s="133" t="s">
        <v>910</v>
      </c>
      <c r="E124" s="133">
        <v>0</v>
      </c>
      <c r="F124" s="133">
        <v>50</v>
      </c>
      <c r="G124" s="133">
        <v>10</v>
      </c>
      <c r="H124" s="133" t="s">
        <v>868</v>
      </c>
      <c r="I124" s="133">
        <v>1</v>
      </c>
      <c r="J124" s="133" t="s">
        <v>857</v>
      </c>
      <c r="K124" s="133"/>
      <c r="L124" s="128" t="str">
        <f t="shared" si="1"/>
        <v>SpellData.create(SIDHOLYSHOCKHEX,"神圣震击",50,0,10,OrderId("sleep"),1,ORDER_TYPE_TARGET);</v>
      </c>
      <c r="M124" s="133"/>
      <c r="N124" s="133"/>
      <c r="O124" s="133"/>
      <c r="P124" s="133"/>
      <c r="Q124" s="133"/>
      <c r="R124" s="133"/>
      <c r="S124" s="133"/>
      <c r="T124" s="133"/>
      <c r="U124" s="133"/>
      <c r="V124" s="133"/>
      <c r="W124" s="133"/>
      <c r="X124" s="133"/>
      <c r="Y124" s="133"/>
    </row>
    <row r="125" spans="1:25">
      <c r="A125" s="133"/>
      <c r="B125" s="133" t="s">
        <v>909</v>
      </c>
      <c r="C125" s="133" t="s">
        <v>115</v>
      </c>
      <c r="D125" s="133" t="s">
        <v>908</v>
      </c>
      <c r="E125" s="133">
        <v>0</v>
      </c>
      <c r="F125" s="133">
        <v>50</v>
      </c>
      <c r="G125" s="133">
        <v>10</v>
      </c>
      <c r="H125" s="133" t="s">
        <v>864</v>
      </c>
      <c r="I125" s="133">
        <v>1</v>
      </c>
      <c r="J125" s="133" t="s">
        <v>857</v>
      </c>
      <c r="K125" s="133"/>
      <c r="L125" s="128" t="str">
        <f t="shared" si="1"/>
        <v>SpellData.create(SIDHEALHEX,"医疗术",50,0,10,OrderId("slow"),1,ORDER_TYPE_TARGET);</v>
      </c>
      <c r="M125" s="133"/>
      <c r="N125" s="133"/>
      <c r="O125" s="133"/>
      <c r="P125" s="133"/>
      <c r="Q125" s="133"/>
      <c r="R125" s="133"/>
      <c r="S125" s="133"/>
      <c r="T125" s="133"/>
      <c r="U125" s="133"/>
      <c r="V125" s="133"/>
      <c r="W125" s="133"/>
      <c r="X125" s="133"/>
      <c r="Y125" s="133"/>
    </row>
    <row r="126" spans="1:25">
      <c r="A126" s="133"/>
      <c r="B126" s="133" t="s">
        <v>907</v>
      </c>
      <c r="C126" s="133" t="s">
        <v>125</v>
      </c>
      <c r="D126" s="133" t="s">
        <v>906</v>
      </c>
      <c r="E126" s="133">
        <v>0</v>
      </c>
      <c r="F126" s="133">
        <v>100</v>
      </c>
      <c r="G126" s="133">
        <v>10</v>
      </c>
      <c r="H126" s="133" t="s">
        <v>868</v>
      </c>
      <c r="I126" s="133">
        <v>1</v>
      </c>
      <c r="J126" s="133" t="s">
        <v>857</v>
      </c>
      <c r="K126" s="133"/>
      <c r="L126" s="128" t="str">
        <f t="shared" si="1"/>
        <v>SpellData.create(SIDSHIELDHEX,"护盾术",100,0,10,OrderId("sleep"),1,ORDER_TYPE_TARGET);</v>
      </c>
      <c r="M126" s="133"/>
      <c r="N126" s="133"/>
      <c r="O126" s="133"/>
      <c r="P126" s="133"/>
      <c r="Q126" s="133"/>
      <c r="R126" s="133"/>
      <c r="S126" s="133"/>
      <c r="T126" s="133"/>
      <c r="U126" s="133"/>
      <c r="V126" s="133"/>
      <c r="W126" s="133"/>
      <c r="X126" s="133"/>
      <c r="Y126" s="133"/>
    </row>
    <row r="127" spans="1:25">
      <c r="A127" s="133"/>
      <c r="B127" s="133" t="s">
        <v>905</v>
      </c>
      <c r="C127" s="133" t="s">
        <v>207</v>
      </c>
      <c r="D127" s="133" t="s">
        <v>904</v>
      </c>
      <c r="E127" s="133">
        <v>0</v>
      </c>
      <c r="F127" s="133">
        <v>0</v>
      </c>
      <c r="G127" s="133">
        <v>10</v>
      </c>
      <c r="H127" s="133" t="s">
        <v>864</v>
      </c>
      <c r="I127" s="133">
        <v>1</v>
      </c>
      <c r="J127" s="133" t="s">
        <v>857</v>
      </c>
      <c r="K127" s="133"/>
      <c r="L127" s="128" t="str">
        <f t="shared" si="1"/>
        <v>SpellData.create(SIDMORTALSTRIKEHEX,"致死打击",0,0,10,OrderId("slow"),1,ORDER_TYPE_TARGET);</v>
      </c>
      <c r="M127" s="133"/>
      <c r="N127" s="133"/>
      <c r="O127" s="133"/>
      <c r="P127" s="133"/>
      <c r="Q127" s="133"/>
      <c r="R127" s="133"/>
      <c r="S127" s="133"/>
      <c r="T127" s="133"/>
      <c r="U127" s="133"/>
      <c r="V127" s="133"/>
      <c r="W127" s="133"/>
      <c r="X127" s="133"/>
      <c r="Y127" s="133"/>
    </row>
    <row r="128" spans="1:25">
      <c r="A128" s="133"/>
      <c r="B128" s="133" t="s">
        <v>903</v>
      </c>
      <c r="C128" s="133" t="s">
        <v>205</v>
      </c>
      <c r="D128" s="133" t="s">
        <v>902</v>
      </c>
      <c r="E128" s="133">
        <v>0</v>
      </c>
      <c r="F128" s="133">
        <v>0</v>
      </c>
      <c r="G128" s="133">
        <v>7</v>
      </c>
      <c r="H128" s="133" t="s">
        <v>868</v>
      </c>
      <c r="I128" s="133">
        <v>1</v>
      </c>
      <c r="J128" s="133" t="s">
        <v>857</v>
      </c>
      <c r="K128" s="133"/>
      <c r="L128" s="128" t="str">
        <f t="shared" si="1"/>
        <v>SpellData.create(SIDOVERPOWERHEX,"压制",0,0,7,OrderId("sleep"),1,ORDER_TYPE_TARGET);</v>
      </c>
      <c r="M128" s="133"/>
      <c r="N128" s="133"/>
      <c r="O128" s="133"/>
      <c r="P128" s="133"/>
      <c r="Q128" s="133"/>
      <c r="R128" s="133"/>
      <c r="S128" s="133"/>
      <c r="T128" s="133"/>
      <c r="U128" s="133"/>
      <c r="V128" s="133"/>
      <c r="W128" s="133"/>
      <c r="X128" s="133"/>
      <c r="Y128" s="133"/>
    </row>
    <row r="129" spans="1:25">
      <c r="A129" s="133"/>
      <c r="B129" s="133" t="s">
        <v>901</v>
      </c>
      <c r="C129" s="133" t="s">
        <v>149</v>
      </c>
      <c r="D129" s="133" t="s">
        <v>900</v>
      </c>
      <c r="E129" s="133">
        <v>0</v>
      </c>
      <c r="F129" s="133">
        <v>0</v>
      </c>
      <c r="G129" s="133">
        <v>4</v>
      </c>
      <c r="H129" s="133" t="s">
        <v>864</v>
      </c>
      <c r="I129" s="133">
        <v>1</v>
      </c>
      <c r="J129" s="133" t="s">
        <v>857</v>
      </c>
      <c r="K129" s="133"/>
      <c r="L129" s="128" t="str">
        <f t="shared" si="1"/>
        <v>SpellData.create(SIDDARKARROWHEX,"黑箭",0,0,4,OrderId("slow"),1,ORDER_TYPE_TARGET);</v>
      </c>
      <c r="M129" s="133"/>
      <c r="N129" s="133"/>
      <c r="O129" s="133"/>
      <c r="P129" s="133"/>
      <c r="Q129" s="133"/>
      <c r="R129" s="133"/>
      <c r="S129" s="133"/>
      <c r="T129" s="133"/>
      <c r="U129" s="133"/>
      <c r="V129" s="133"/>
      <c r="W129" s="133"/>
      <c r="X129" s="133"/>
      <c r="Y129" s="133"/>
    </row>
    <row r="130" spans="1:25">
      <c r="A130" s="133"/>
      <c r="B130" s="133" t="s">
        <v>899</v>
      </c>
      <c r="C130" s="133" t="s">
        <v>154</v>
      </c>
      <c r="D130" s="133" t="s">
        <v>898</v>
      </c>
      <c r="E130" s="133">
        <v>0</v>
      </c>
      <c r="F130" s="133">
        <v>0</v>
      </c>
      <c r="G130" s="133">
        <v>10</v>
      </c>
      <c r="H130" s="133" t="s">
        <v>868</v>
      </c>
      <c r="I130" s="133">
        <v>1</v>
      </c>
      <c r="J130" s="133" t="s">
        <v>660</v>
      </c>
      <c r="K130" s="133"/>
      <c r="L130" s="128" t="str">
        <f t="shared" si="1"/>
        <v>SpellData.create(SIDFREEZINGTRAPHEX,"冰冻陷阱",0,0,10,OrderId("sleep"),1,ORDER_TYPE_IMMEDIATE);</v>
      </c>
      <c r="M130" s="133"/>
      <c r="N130" s="133"/>
      <c r="O130" s="133"/>
      <c r="P130" s="133"/>
      <c r="Q130" s="133"/>
      <c r="R130" s="133"/>
      <c r="S130" s="133"/>
      <c r="T130" s="133"/>
      <c r="U130" s="133"/>
      <c r="V130" s="133"/>
      <c r="W130" s="133"/>
      <c r="X130" s="133"/>
      <c r="Y130" s="133"/>
    </row>
    <row r="131" spans="1:25">
      <c r="A131" s="133"/>
      <c r="B131" s="133" t="s">
        <v>897</v>
      </c>
      <c r="C131" s="133" t="s">
        <v>223</v>
      </c>
      <c r="D131" s="133" t="s">
        <v>896</v>
      </c>
      <c r="E131" s="133">
        <v>3</v>
      </c>
      <c r="F131" s="133">
        <v>50</v>
      </c>
      <c r="G131" s="133">
        <v>5</v>
      </c>
      <c r="H131" s="133" t="s">
        <v>864</v>
      </c>
      <c r="I131" s="133">
        <v>1</v>
      </c>
      <c r="J131" s="133" t="s">
        <v>857</v>
      </c>
      <c r="K131" s="133"/>
      <c r="L131" s="128" t="str">
        <f t="shared" ref="L131:L206" si="2">IF(C131="N/A","//",CONCATENATE("SpellData.create(",B131,",",CHAR(34),C131,CHAR(34),",",F131,",",E131,",",G131,",",H131,",",I131,",",J131,")",K131,";"))</f>
        <v>SpellData.create(SIDFROSTBOLTHEX,"寒冰箭",50,3,5,OrderId("slow"),1,ORDER_TYPE_TARGET);</v>
      </c>
      <c r="M131" s="133"/>
      <c r="N131" s="133"/>
      <c r="O131" s="133"/>
      <c r="P131" s="133"/>
      <c r="Q131" s="133"/>
      <c r="R131" s="133"/>
      <c r="S131" s="133"/>
      <c r="T131" s="133"/>
      <c r="U131" s="133"/>
      <c r="V131" s="133"/>
      <c r="W131" s="133"/>
      <c r="X131" s="133"/>
      <c r="Y131" s="133"/>
    </row>
    <row r="132" spans="1:25">
      <c r="A132" s="133"/>
      <c r="B132" s="133" t="s">
        <v>895</v>
      </c>
      <c r="C132" s="133" t="s">
        <v>244</v>
      </c>
      <c r="D132" s="133" t="s">
        <v>894</v>
      </c>
      <c r="E132" s="133">
        <v>0</v>
      </c>
      <c r="F132" s="133">
        <v>50</v>
      </c>
      <c r="G132" s="133">
        <v>10</v>
      </c>
      <c r="H132" s="133" t="s">
        <v>868</v>
      </c>
      <c r="I132" s="133">
        <v>1</v>
      </c>
      <c r="J132" s="133" t="s">
        <v>857</v>
      </c>
      <c r="K132" s="133"/>
      <c r="L132" s="128" t="str">
        <f t="shared" si="2"/>
        <v>SpellData.create(SIDPOLYMORPHHEX,"变形术",50,0,10,OrderId("sleep"),1,ORDER_TYPE_TARGET);</v>
      </c>
      <c r="M132" s="133"/>
      <c r="N132" s="133"/>
      <c r="O132" s="133"/>
      <c r="P132" s="133"/>
      <c r="Q132" s="133"/>
      <c r="R132" s="133"/>
      <c r="S132" s="133"/>
      <c r="T132" s="133"/>
      <c r="U132" s="133"/>
      <c r="V132" s="133"/>
      <c r="W132" s="133"/>
      <c r="X132" s="133"/>
      <c r="Y132" s="133"/>
    </row>
    <row r="133" spans="1:25">
      <c r="A133" s="133"/>
      <c r="B133" s="133" t="s">
        <v>893</v>
      </c>
      <c r="C133" s="133" t="s">
        <v>455</v>
      </c>
      <c r="D133" s="133" t="s">
        <v>892</v>
      </c>
      <c r="E133" s="133">
        <v>0</v>
      </c>
      <c r="F133" s="133">
        <v>0</v>
      </c>
      <c r="G133" s="133">
        <v>10</v>
      </c>
      <c r="H133" s="133" t="s">
        <v>864</v>
      </c>
      <c r="I133" s="133">
        <v>1</v>
      </c>
      <c r="J133" s="133" t="s">
        <v>660</v>
      </c>
      <c r="K133" s="133"/>
      <c r="L133" s="128" t="str">
        <f t="shared" si="2"/>
        <v>SpellData.create(SIDLIGHTNINGTOTEMHEX,"闪电图腾",0,0,10,OrderId("slow"),1,ORDER_TYPE_IMMEDIATE);</v>
      </c>
      <c r="M133" s="133"/>
      <c r="N133" s="133"/>
      <c r="O133" s="133"/>
      <c r="P133" s="133"/>
      <c r="Q133" s="133"/>
      <c r="R133" s="133"/>
      <c r="S133" s="133"/>
      <c r="T133" s="133"/>
      <c r="U133" s="133"/>
      <c r="V133" s="133"/>
      <c r="W133" s="133"/>
      <c r="X133" s="133"/>
      <c r="Y133" s="133"/>
    </row>
    <row r="134" spans="1:25">
      <c r="A134" s="133"/>
      <c r="B134" s="133" t="s">
        <v>891</v>
      </c>
      <c r="C134" s="133" t="s">
        <v>460</v>
      </c>
      <c r="D134" s="133" t="s">
        <v>890</v>
      </c>
      <c r="E134" s="133">
        <v>0</v>
      </c>
      <c r="F134" s="133">
        <v>100</v>
      </c>
      <c r="G134" s="133">
        <v>15</v>
      </c>
      <c r="H134" s="133" t="s">
        <v>868</v>
      </c>
      <c r="I134" s="133">
        <v>1</v>
      </c>
      <c r="J134" s="133" t="s">
        <v>660</v>
      </c>
      <c r="K134" s="133"/>
      <c r="L134" s="128" t="str">
        <f t="shared" si="2"/>
        <v>SpellData.create(SIDCHARGEHEX,"充能",100,0,15,OrderId("sleep"),1,ORDER_TYPE_IMMEDIATE);</v>
      </c>
      <c r="M134" s="133"/>
      <c r="N134" s="133"/>
      <c r="O134" s="133"/>
      <c r="P134" s="133"/>
      <c r="Q134" s="133"/>
      <c r="R134" s="133"/>
      <c r="S134" s="133"/>
      <c r="T134" s="133"/>
      <c r="U134" s="133"/>
      <c r="V134" s="133"/>
      <c r="W134" s="133"/>
      <c r="X134" s="133"/>
      <c r="Y134" s="133"/>
    </row>
    <row r="135" spans="1:25">
      <c r="A135" s="133"/>
      <c r="B135" s="133" t="s">
        <v>889</v>
      </c>
      <c r="C135" s="133" t="s">
        <v>466</v>
      </c>
      <c r="D135" s="133" t="s">
        <v>888</v>
      </c>
      <c r="E135" s="133">
        <v>0</v>
      </c>
      <c r="F135" s="133">
        <v>0</v>
      </c>
      <c r="G135" s="133">
        <v>15</v>
      </c>
      <c r="H135" s="133" t="s">
        <v>864</v>
      </c>
      <c r="I135" s="133">
        <v>1</v>
      </c>
      <c r="J135" s="133" t="s">
        <v>857</v>
      </c>
      <c r="K135" s="133"/>
      <c r="L135" s="128" t="str">
        <f t="shared" si="2"/>
        <v>SpellData.create(SIDSTEALTHHEX,"潜行",0,0,15,OrderId("slow"),1,ORDER_TYPE_TARGET);</v>
      </c>
      <c r="M135" s="133"/>
      <c r="N135" s="133"/>
      <c r="O135" s="133"/>
      <c r="P135" s="133"/>
      <c r="Q135" s="133"/>
      <c r="R135" s="133"/>
      <c r="S135" s="133"/>
      <c r="T135" s="133"/>
      <c r="U135" s="133"/>
      <c r="V135" s="133"/>
      <c r="W135" s="133"/>
      <c r="X135" s="133"/>
      <c r="Y135" s="133"/>
    </row>
    <row r="136" spans="1:25">
      <c r="A136" s="133"/>
      <c r="B136" s="133" t="s">
        <v>887</v>
      </c>
      <c r="C136" s="133" t="s">
        <v>886</v>
      </c>
      <c r="D136" s="133" t="s">
        <v>885</v>
      </c>
      <c r="E136" s="133">
        <v>0</v>
      </c>
      <c r="F136" s="133">
        <v>0</v>
      </c>
      <c r="G136" s="133">
        <v>1</v>
      </c>
      <c r="H136" s="133" t="s">
        <v>884</v>
      </c>
      <c r="I136" s="133">
        <v>1</v>
      </c>
      <c r="J136" s="133" t="s">
        <v>857</v>
      </c>
      <c r="K136" s="133"/>
      <c r="L136" s="128" t="str">
        <f t="shared" si="2"/>
        <v>SpellData.create(SIDSTEALTHAMBUSH,"伏击",0,0,1,OrderId("stomp"),1,ORDER_TYPE_TARGET);</v>
      </c>
      <c r="M136" s="133"/>
      <c r="N136" s="133"/>
      <c r="O136" s="133"/>
      <c r="P136" s="133"/>
      <c r="Q136" s="133"/>
      <c r="R136" s="133"/>
      <c r="S136" s="133"/>
      <c r="T136" s="133"/>
      <c r="U136" s="133"/>
      <c r="V136" s="133"/>
      <c r="W136" s="133"/>
      <c r="X136" s="133"/>
      <c r="Y136" s="133"/>
    </row>
    <row r="137" spans="1:25">
      <c r="A137" s="133"/>
      <c r="B137" s="133" t="s">
        <v>883</v>
      </c>
      <c r="C137" s="133" t="s">
        <v>470</v>
      </c>
      <c r="D137" s="133" t="s">
        <v>882</v>
      </c>
      <c r="E137" s="133">
        <v>0</v>
      </c>
      <c r="F137" s="133">
        <v>0</v>
      </c>
      <c r="G137" s="133">
        <v>10</v>
      </c>
      <c r="H137" s="133" t="s">
        <v>868</v>
      </c>
      <c r="I137" s="133">
        <v>1</v>
      </c>
      <c r="J137" s="133" t="s">
        <v>660</v>
      </c>
      <c r="K137" s="133"/>
      <c r="L137" s="128" t="str">
        <f t="shared" si="2"/>
        <v>SpellData.create(SIDBLADEFLURRYHEX,"剑舞",0,0,10,OrderId("sleep"),1,ORDER_TYPE_IMMEDIATE);</v>
      </c>
      <c r="M137" s="133"/>
      <c r="N137" s="133"/>
      <c r="O137" s="133"/>
      <c r="P137" s="133"/>
      <c r="Q137" s="133"/>
      <c r="R137" s="133"/>
      <c r="S137" s="133"/>
      <c r="T137" s="133"/>
      <c r="U137" s="133"/>
      <c r="V137" s="133"/>
      <c r="W137" s="133"/>
      <c r="X137" s="133"/>
      <c r="Y137" s="133"/>
    </row>
    <row r="138" spans="1:25">
      <c r="A138" s="133"/>
      <c r="B138" s="133" t="s">
        <v>881</v>
      </c>
      <c r="C138" s="133" t="s">
        <v>518</v>
      </c>
      <c r="D138" s="133" t="s">
        <v>880</v>
      </c>
      <c r="E138" s="133">
        <v>0</v>
      </c>
      <c r="F138" s="133">
        <v>100</v>
      </c>
      <c r="G138" s="133">
        <v>15</v>
      </c>
      <c r="H138" s="133" t="s">
        <v>864</v>
      </c>
      <c r="I138" s="133">
        <v>1</v>
      </c>
      <c r="J138" s="133" t="s">
        <v>857</v>
      </c>
      <c r="K138" s="133"/>
      <c r="L138" s="128" t="str">
        <f t="shared" si="2"/>
        <v>SpellData.create(SIDPAINHEX,"暗言字：痛",100,0,15,OrderId("slow"),1,ORDER_TYPE_TARGET);</v>
      </c>
      <c r="M138" s="133"/>
      <c r="N138" s="133"/>
      <c r="O138" s="133"/>
      <c r="P138" s="133"/>
      <c r="Q138" s="133"/>
      <c r="R138" s="133"/>
      <c r="S138" s="133"/>
      <c r="T138" s="133"/>
      <c r="U138" s="133"/>
      <c r="V138" s="133"/>
      <c r="W138" s="133"/>
      <c r="X138" s="133"/>
      <c r="Y138" s="133"/>
    </row>
    <row r="139" spans="1:25">
      <c r="A139" s="133"/>
      <c r="B139" s="133" t="s">
        <v>879</v>
      </c>
      <c r="C139" s="133" t="s">
        <v>531</v>
      </c>
      <c r="D139" s="133" t="s">
        <v>878</v>
      </c>
      <c r="E139" s="133">
        <v>0</v>
      </c>
      <c r="F139" s="133">
        <v>100</v>
      </c>
      <c r="G139" s="133">
        <v>10</v>
      </c>
      <c r="H139" s="133" t="s">
        <v>868</v>
      </c>
      <c r="I139" s="133">
        <v>1</v>
      </c>
      <c r="J139" s="133" t="s">
        <v>660</v>
      </c>
      <c r="K139" s="133"/>
      <c r="L139" s="128" t="str">
        <f t="shared" si="2"/>
        <v>SpellData.create(SIDTERRORHEX,"暗言字：惧",100,0,10,OrderId("sleep"),1,ORDER_TYPE_IMMEDIATE);</v>
      </c>
      <c r="M139" s="133"/>
      <c r="N139" s="133"/>
      <c r="O139" s="133"/>
      <c r="P139" s="133"/>
      <c r="Q139" s="133"/>
      <c r="R139" s="133"/>
      <c r="S139" s="133"/>
      <c r="T139" s="133"/>
      <c r="U139" s="133"/>
      <c r="V139" s="133"/>
      <c r="W139" s="133"/>
      <c r="X139" s="133"/>
      <c r="Y139" s="133"/>
    </row>
    <row r="140" spans="1:25">
      <c r="A140" s="134">
        <v>2</v>
      </c>
      <c r="B140" s="134" t="s">
        <v>877</v>
      </c>
      <c r="C140" s="137" t="str">
        <f ca="1">INDIRECT("CreepAbilities!E"&amp;$A140)</f>
        <v>毒刺(被动)</v>
      </c>
      <c r="D140" s="137" t="str">
        <f ca="1">INDIRECT("CreepAbilities!F"&amp;$A140)</f>
        <v>Sting</v>
      </c>
      <c r="E140" s="137">
        <f ca="1">INDIRECT("CreepAbilities!K"&amp;$A140)</f>
        <v>0</v>
      </c>
      <c r="F140" s="137" t="str">
        <f ca="1">INDIRECT("CreepAbilities!O"&amp;$A140)</f>
        <v>N</v>
      </c>
      <c r="G140" s="137">
        <f ca="1">INDIRECT("CreepAbilities!Q"&amp;$A140)</f>
        <v>0</v>
      </c>
      <c r="H140" s="137" t="str">
        <f ca="1">IF(INDIRECT("CreepAbilities!X"&amp;A140)=0,0,CONCATENATE("OrderId(",CHAR(34),INDIRECT("CreepAbilities!X"&amp;A140),CHAR(34),")"))</f>
        <v>OrderId("物理状态：受到周期性的法术伤害。")</v>
      </c>
      <c r="I140" s="134">
        <v>1</v>
      </c>
      <c r="J140" s="134" t="s">
        <v>857</v>
      </c>
      <c r="K140" s="134"/>
      <c r="L140" s="128" t="str">
        <f t="shared" ca="1" si="2"/>
        <v>SpellData.create(SID_LIGHTNING_BOLT,"毒刺(被动)",N,0,0,OrderId("物理状态：受到周期性的法术伤害。"),1,ORDER_TYPE_TARGET);</v>
      </c>
      <c r="M140" s="134"/>
      <c r="N140" s="134"/>
      <c r="O140" s="134"/>
      <c r="P140" s="134"/>
      <c r="Q140" s="134"/>
      <c r="R140" s="134"/>
      <c r="S140" s="134"/>
      <c r="T140" s="134"/>
      <c r="U140" s="134"/>
      <c r="V140" s="134"/>
      <c r="W140" s="134"/>
      <c r="X140" s="134"/>
      <c r="Y140" s="134"/>
    </row>
    <row r="141" spans="1:25">
      <c r="A141" s="134">
        <v>3</v>
      </c>
      <c r="B141" s="134" t="s">
        <v>876</v>
      </c>
      <c r="C141" s="137" t="str">
        <f t="shared" ref="C141:C165" ca="1" si="3">INDIRECT("CreepAbilities!E"&amp;$A141)</f>
        <v>闪电箭</v>
      </c>
      <c r="D141" s="137" t="str">
        <f t="shared" ref="D141:D165" ca="1" si="4">INDIRECT("CreepAbilities!F"&amp;$A141)</f>
        <v>Lightning Bolt</v>
      </c>
      <c r="E141" s="137">
        <f t="shared" ref="E141:E165" ca="1" si="5">INDIRECT("CreepAbilities!K"&amp;$A141)</f>
        <v>75</v>
      </c>
      <c r="F141" s="137">
        <f t="shared" ref="F141:F165" ca="1" si="6">INDIRECT("CreepAbilities!O"&amp;$A141)</f>
        <v>0</v>
      </c>
      <c r="G141" s="137">
        <f t="shared" ref="G141:G165" ca="1" si="7">INDIRECT("CreepAbilities!Q"&amp;$A141)</f>
        <v>0</v>
      </c>
      <c r="H141" s="137" t="str">
        <f t="shared" ref="H141:H165" ca="1" si="8">IF(INDIRECT("CreepAbilities!X"&amp;A141)=0,0,CONCATENATE("OrderId(",CHAR(34),INDIRECT("CreepAbilities!X"&amp;A141),CHAR(34),")"))</f>
        <v>OrderId("物理状态：")</v>
      </c>
      <c r="I141" s="134">
        <v>1</v>
      </c>
      <c r="J141" s="134" t="s">
        <v>857</v>
      </c>
      <c r="K141" s="134"/>
      <c r="L141" s="128" t="str">
        <f t="shared" ca="1" si="2"/>
        <v>SpellData.create(SID_FROST_SHOCK,"闪电箭",0,75,0,OrderId("物理状态："),1,ORDER_TYPE_TARGET);</v>
      </c>
      <c r="M141" s="134"/>
      <c r="N141" s="134"/>
      <c r="O141" s="134"/>
      <c r="P141" s="134"/>
      <c r="Q141" s="134"/>
      <c r="R141" s="134"/>
      <c r="S141" s="134"/>
      <c r="T141" s="134"/>
      <c r="U141" s="134"/>
      <c r="V141" s="134"/>
      <c r="W141" s="134"/>
      <c r="X141" s="134"/>
      <c r="Y141" s="134"/>
    </row>
    <row r="142" spans="1:25">
      <c r="A142" s="134">
        <v>4</v>
      </c>
      <c r="B142" s="134" t="s">
        <v>875</v>
      </c>
      <c r="C142" s="137" t="str">
        <f t="shared" ca="1" si="3"/>
        <v>冰霜冲击</v>
      </c>
      <c r="D142" s="137" t="str">
        <f t="shared" ca="1" si="4"/>
        <v>Frost Shock</v>
      </c>
      <c r="E142" s="137">
        <f t="shared" ca="1" si="5"/>
        <v>0</v>
      </c>
      <c r="F142" s="137" t="str">
        <f t="shared" ca="1" si="6"/>
        <v>N</v>
      </c>
      <c r="G142" s="137">
        <f t="shared" ca="1" si="7"/>
        <v>0</v>
      </c>
      <c r="H142" s="137" t="str">
        <f t="shared" ca="1" si="8"/>
        <v>OrderId("|cff6666ff魔法|r状态：攻击速度降低，移动速度降低。")</v>
      </c>
      <c r="I142" s="134">
        <v>1</v>
      </c>
      <c r="J142" s="134" t="s">
        <v>857</v>
      </c>
      <c r="K142" s="134"/>
      <c r="L142" s="128" t="str">
        <f t="shared" ca="1" si="2"/>
        <v>SpellData.create(SID_CHAIN_HEALING,"冰霜冲击",N,0,0,OrderId("|cff6666ff魔法|r状态：攻击速度降低，移动速度降低。"),1,ORDER_TYPE_TARGET);</v>
      </c>
      <c r="M142" s="134"/>
      <c r="N142" s="134"/>
      <c r="O142" s="134"/>
      <c r="P142" s="134"/>
      <c r="Q142" s="134"/>
      <c r="R142" s="134"/>
      <c r="S142" s="134"/>
      <c r="T142" s="134"/>
      <c r="U142" s="134"/>
      <c r="V142" s="134"/>
      <c r="W142" s="134"/>
      <c r="X142" s="134"/>
      <c r="Y142" s="134"/>
    </row>
    <row r="143" spans="1:25">
      <c r="A143" s="134">
        <v>5</v>
      </c>
      <c r="B143" s="134" t="s">
        <v>874</v>
      </c>
      <c r="C143" s="137" t="str">
        <f t="shared" ca="1" si="3"/>
        <v>治疗链</v>
      </c>
      <c r="D143" s="137" t="str">
        <f t="shared" ca="1" si="4"/>
        <v>Chain Healing</v>
      </c>
      <c r="E143" s="137">
        <f t="shared" ca="1" si="5"/>
        <v>200</v>
      </c>
      <c r="F143" s="137">
        <f t="shared" ca="1" si="6"/>
        <v>0</v>
      </c>
      <c r="G143" s="137">
        <f t="shared" ca="1" si="7"/>
        <v>0</v>
      </c>
      <c r="H143" s="137" t="str">
        <f t="shared" ca="1" si="8"/>
        <v>OrderId("物理状态：")</v>
      </c>
      <c r="I143" s="134">
        <v>1</v>
      </c>
      <c r="J143" s="134" t="s">
        <v>660</v>
      </c>
      <c r="K143" s="134"/>
      <c r="L143" s="128" t="str">
        <f t="shared" ca="1" si="2"/>
        <v>SpellData.create(SID_HEALING_WARD,"治疗链",0,200,0,OrderId("物理状态："),1,ORDER_TYPE_IMMEDIATE);</v>
      </c>
      <c r="M143" s="134"/>
      <c r="N143" s="134"/>
      <c r="O143" s="134"/>
      <c r="P143" s="134"/>
      <c r="Q143" s="134"/>
      <c r="R143" s="134"/>
      <c r="S143" s="134"/>
      <c r="T143" s="134"/>
      <c r="U143" s="134"/>
      <c r="V143" s="134"/>
      <c r="W143" s="134"/>
      <c r="X143" s="134"/>
      <c r="Y143" s="134"/>
    </row>
    <row r="144" spans="1:25">
      <c r="A144" s="134">
        <v>6</v>
      </c>
      <c r="B144" s="134" t="s">
        <v>872</v>
      </c>
      <c r="C144" s="137" t="str">
        <f t="shared" ca="1" si="3"/>
        <v>治疗守卫</v>
      </c>
      <c r="D144" s="137" t="str">
        <f t="shared" ca="1" si="4"/>
        <v>Healing Ward</v>
      </c>
      <c r="E144" s="137">
        <f t="shared" ca="1" si="5"/>
        <v>100</v>
      </c>
      <c r="F144" s="137">
        <f t="shared" ca="1" si="6"/>
        <v>0</v>
      </c>
      <c r="G144" s="137">
        <f t="shared" ca="1" si="7"/>
        <v>0</v>
      </c>
      <c r="H144" s="137" t="str">
        <f t="shared" ca="1" si="8"/>
        <v>OrderId("物理状态：")</v>
      </c>
      <c r="I144" s="134">
        <v>1</v>
      </c>
      <c r="J144" s="134" t="s">
        <v>660</v>
      </c>
      <c r="K144" s="134"/>
      <c r="L144" s="128" t="str">
        <f t="shared" ca="1" si="2"/>
        <v>SpellData.create(SID_PROTECTION_WARD,"治疗守卫",0,100,0,OrderId("物理状态："),1,ORDER_TYPE_IMMEDIATE);</v>
      </c>
      <c r="M144" s="134"/>
      <c r="N144" s="134"/>
      <c r="O144" s="134"/>
      <c r="P144" s="134"/>
      <c r="Q144" s="134"/>
      <c r="R144" s="134"/>
      <c r="S144" s="134"/>
      <c r="T144" s="134"/>
      <c r="U144" s="134"/>
      <c r="V144" s="134"/>
      <c r="W144" s="134"/>
      <c r="X144" s="134"/>
      <c r="Y144" s="134"/>
    </row>
    <row r="145" spans="1:25">
      <c r="A145" s="134">
        <v>7</v>
      </c>
      <c r="B145" s="134" t="s">
        <v>871</v>
      </c>
      <c r="C145" s="137" t="str">
        <f t="shared" ca="1" si="3"/>
        <v>防护守卫</v>
      </c>
      <c r="D145" s="137" t="str">
        <f t="shared" ca="1" si="4"/>
        <v>Protection Ward</v>
      </c>
      <c r="E145" s="137">
        <f t="shared" ca="1" si="5"/>
        <v>100</v>
      </c>
      <c r="F145" s="137" t="str">
        <f t="shared" ca="1" si="6"/>
        <v>P</v>
      </c>
      <c r="G145" s="137">
        <f t="shared" ca="1" si="7"/>
        <v>0</v>
      </c>
      <c r="H145" s="137" t="str">
        <f t="shared" ca="1" si="8"/>
        <v>OrderId("物理状态：受到的伤害降低。")</v>
      </c>
      <c r="I145" s="134">
        <v>1</v>
      </c>
      <c r="J145" s="134" t="s">
        <v>660</v>
      </c>
      <c r="K145" s="134"/>
      <c r="L145" s="128" t="str">
        <f t="shared" ca="1" si="2"/>
        <v>SpellData.create(SID_NAGA_FRENZY,"防护守卫",P,100,0,OrderId("物理状态：受到的伤害降低。"),1,ORDER_TYPE_IMMEDIATE);</v>
      </c>
      <c r="M145" s="134"/>
      <c r="N145" s="134"/>
      <c r="O145" s="134"/>
      <c r="P145" s="134"/>
      <c r="Q145" s="134"/>
      <c r="R145" s="134"/>
      <c r="S145" s="134"/>
      <c r="T145" s="134"/>
      <c r="U145" s="134"/>
      <c r="V145" s="134"/>
      <c r="W145" s="134"/>
      <c r="X145" s="134"/>
      <c r="Y145" s="134"/>
    </row>
    <row r="146" spans="1:25">
      <c r="A146" s="134">
        <v>8</v>
      </c>
      <c r="B146" s="134" t="s">
        <v>869</v>
      </c>
      <c r="C146" s="137" t="str">
        <f t="shared" ca="1" si="3"/>
        <v>充能之息</v>
      </c>
      <c r="D146" s="137" t="str">
        <f t="shared" ca="1" si="4"/>
        <v>Charged Breath</v>
      </c>
      <c r="E146" s="137">
        <f t="shared" ca="1" si="5"/>
        <v>0</v>
      </c>
      <c r="F146" s="137">
        <f t="shared" ca="1" si="6"/>
        <v>0</v>
      </c>
      <c r="G146" s="137">
        <f t="shared" ca="1" si="7"/>
        <v>0</v>
      </c>
      <c r="H146" s="137" t="str">
        <f t="shared" ca="1" si="8"/>
        <v>OrderId("物理状态：")</v>
      </c>
      <c r="I146" s="134">
        <v>1</v>
      </c>
      <c r="J146" s="134" t="s">
        <v>857</v>
      </c>
      <c r="K146" s="134"/>
      <c r="L146" s="128" t="str">
        <f t="shared" ca="1" si="2"/>
        <v>SpellData.create(SID_ARMOR_CRUSHING,"充能之息",0,0,0,OrderId("物理状态："),1,ORDER_TYPE_TARGET);</v>
      </c>
      <c r="M146" s="134"/>
      <c r="N146" s="134"/>
      <c r="O146" s="134"/>
      <c r="P146" s="134"/>
      <c r="Q146" s="134"/>
      <c r="R146" s="134"/>
      <c r="S146" s="134"/>
      <c r="T146" s="134"/>
      <c r="U146" s="134"/>
      <c r="V146" s="134"/>
      <c r="W146" s="134"/>
      <c r="X146" s="134"/>
      <c r="Y146" s="134"/>
    </row>
    <row r="147" spans="1:25">
      <c r="A147" s="134">
        <v>9</v>
      </c>
      <c r="B147" s="134" t="s">
        <v>867</v>
      </c>
      <c r="C147" s="137" t="str">
        <f t="shared" ca="1" si="3"/>
        <v>法力汲取</v>
      </c>
      <c r="D147" s="137" t="str">
        <f t="shared" ca="1" si="4"/>
        <v>Mana Leech</v>
      </c>
      <c r="E147" s="137">
        <f t="shared" ca="1" si="5"/>
        <v>0</v>
      </c>
      <c r="F147" s="137">
        <f t="shared" ca="1" si="6"/>
        <v>0</v>
      </c>
      <c r="G147" s="137">
        <f t="shared" ca="1" si="7"/>
        <v>0</v>
      </c>
      <c r="H147" s="137" t="str">
        <f t="shared" ca="1" si="8"/>
        <v>OrderId("物理状态：")</v>
      </c>
      <c r="I147" s="134">
        <v>1</v>
      </c>
      <c r="J147" s="134" t="s">
        <v>660</v>
      </c>
      <c r="K147" s="134"/>
      <c r="L147" s="128" t="str">
        <f t="shared" ca="1" si="2"/>
        <v>SpellData.create(SID_THUNDER_CLAP,"法力汲取",0,0,0,OrderId("物理状态："),1,ORDER_TYPE_IMMEDIATE);</v>
      </c>
      <c r="M147" s="134"/>
      <c r="N147" s="134"/>
      <c r="O147" s="134"/>
      <c r="P147" s="134"/>
      <c r="Q147" s="134"/>
      <c r="R147" s="134"/>
      <c r="S147" s="134"/>
      <c r="T147" s="134"/>
      <c r="U147" s="134"/>
      <c r="V147" s="134"/>
      <c r="W147" s="134"/>
      <c r="X147" s="134"/>
      <c r="Y147" s="134"/>
    </row>
    <row r="148" spans="1:25">
      <c r="A148" s="134">
        <v>10</v>
      </c>
      <c r="B148" s="134" t="s">
        <v>865</v>
      </c>
      <c r="C148" s="137" t="str">
        <f t="shared" ca="1" si="3"/>
        <v>狂乱</v>
      </c>
      <c r="D148" s="137" t="str">
        <f t="shared" ca="1" si="4"/>
        <v>Naga Frenzy</v>
      </c>
      <c r="E148" s="137">
        <f t="shared" ca="1" si="5"/>
        <v>0</v>
      </c>
      <c r="F148" s="137" t="str">
        <f t="shared" ca="1" si="6"/>
        <v>P</v>
      </c>
      <c r="G148" s="137">
        <f t="shared" ca="1" si="7"/>
        <v>0</v>
      </c>
      <c r="H148" s="137" t="str">
        <f t="shared" ca="1" si="8"/>
        <v>OrderId("|cff6666ff魔法|r状态：攻击速度提高。")</v>
      </c>
      <c r="I148" s="134">
        <v>1</v>
      </c>
      <c r="J148" s="134" t="s">
        <v>660</v>
      </c>
      <c r="K148" s="134"/>
      <c r="L148" s="128" t="str">
        <f t="shared" ca="1" si="2"/>
        <v>SpellData.create(SID_RAGE_ROAR,"狂乱",P,0,0,OrderId("|cff6666ff魔法|r状态：攻击速度提高。"),1,ORDER_TYPE_IMMEDIATE);</v>
      </c>
      <c r="M148" s="134"/>
      <c r="N148" s="134"/>
      <c r="O148" s="134"/>
      <c r="P148" s="134"/>
      <c r="Q148" s="134"/>
      <c r="R148" s="134"/>
      <c r="S148" s="134"/>
      <c r="T148" s="134"/>
      <c r="U148" s="134"/>
      <c r="V148" s="134"/>
      <c r="W148" s="134"/>
      <c r="X148" s="134"/>
      <c r="Y148" s="134"/>
    </row>
    <row r="149" spans="1:25">
      <c r="A149" s="134">
        <v>11</v>
      </c>
      <c r="B149" s="134" t="s">
        <v>863</v>
      </c>
      <c r="C149" s="137" t="str">
        <f t="shared" ca="1" si="3"/>
        <v>压碎护甲</v>
      </c>
      <c r="D149" s="137" t="str">
        <f t="shared" ca="1" si="4"/>
        <v>Armor Crushing</v>
      </c>
      <c r="E149" s="137">
        <f t="shared" ca="1" si="5"/>
        <v>0</v>
      </c>
      <c r="F149" s="137" t="str">
        <f t="shared" ca="1" si="6"/>
        <v>N</v>
      </c>
      <c r="G149" s="137">
        <f t="shared" ca="1" si="7"/>
        <v>0</v>
      </c>
      <c r="H149" s="137" t="str">
        <f t="shared" ca="1" si="8"/>
        <v>OrderId("物理状态：物理免伤降低。")</v>
      </c>
      <c r="I149" s="134">
        <v>1</v>
      </c>
      <c r="J149" s="134" t="s">
        <v>660</v>
      </c>
      <c r="K149" s="134"/>
      <c r="L149" s="128" t="str">
        <f t="shared" ca="1" si="2"/>
        <v>SpellData.create(SID_STING,"压碎护甲",N,0,0,OrderId("物理状态：物理免伤降低。"),1,ORDER_TYPE_IMMEDIATE);</v>
      </c>
      <c r="M149" s="134"/>
      <c r="N149" s="134"/>
      <c r="O149" s="134"/>
      <c r="P149" s="134"/>
      <c r="Q149" s="134"/>
      <c r="R149" s="134"/>
      <c r="S149" s="134"/>
      <c r="T149" s="134"/>
      <c r="U149" s="134"/>
      <c r="V149" s="134"/>
      <c r="W149" s="134"/>
      <c r="X149" s="134"/>
      <c r="Y149" s="134"/>
    </row>
    <row r="150" spans="1:25">
      <c r="A150" s="134">
        <v>13</v>
      </c>
      <c r="B150" s="134" t="s">
        <v>862</v>
      </c>
      <c r="C150" s="137" t="str">
        <f t="shared" ca="1" si="3"/>
        <v>狂怒咆哮</v>
      </c>
      <c r="D150" s="137" t="str">
        <f t="shared" ca="1" si="4"/>
        <v>Rage Roar</v>
      </c>
      <c r="E150" s="137">
        <f t="shared" ca="1" si="5"/>
        <v>0</v>
      </c>
      <c r="F150" s="137" t="str">
        <f t="shared" ca="1" si="6"/>
        <v>N</v>
      </c>
      <c r="G150" s="137">
        <f t="shared" ca="1" si="7"/>
        <v>0</v>
      </c>
      <c r="H150" s="137" t="str">
        <f t="shared" ca="1" si="8"/>
        <v>OrderId("物理状态：受到的伤害提高。")</v>
      </c>
      <c r="I150" s="134">
        <v>1</v>
      </c>
      <c r="J150" s="134" t="s">
        <v>660</v>
      </c>
      <c r="K150" s="134"/>
      <c r="L150" s="128" t="str">
        <f t="shared" ca="1" si="2"/>
        <v>SpellData.create(SID_CHARGED_BREATH,"狂怒咆哮",N,0,0,OrderId("物理状态：受到的伤害提高。"),1,ORDER_TYPE_IMMEDIATE);</v>
      </c>
      <c r="M150" s="134"/>
      <c r="N150" s="134"/>
      <c r="O150" s="134"/>
      <c r="P150" s="134"/>
      <c r="Q150" s="134"/>
      <c r="R150" s="134"/>
      <c r="S150" s="134"/>
      <c r="T150" s="134"/>
      <c r="U150" s="134"/>
      <c r="V150" s="134"/>
      <c r="W150" s="134"/>
      <c r="X150" s="134"/>
      <c r="Y150" s="134"/>
    </row>
    <row r="151" spans="1:25">
      <c r="A151" s="134">
        <v>14</v>
      </c>
      <c r="B151" s="134" t="s">
        <v>860</v>
      </c>
      <c r="C151" s="137" t="str">
        <f t="shared" ca="1" si="3"/>
        <v>邪恶狂热</v>
      </c>
      <c r="D151" s="137" t="str">
        <f t="shared" ca="1" si="4"/>
        <v>Unholy Frenzy</v>
      </c>
      <c r="E151" s="137">
        <f t="shared" ca="1" si="5"/>
        <v>0</v>
      </c>
      <c r="F151" s="137" t="str">
        <f t="shared" ca="1" si="6"/>
        <v>P</v>
      </c>
      <c r="G151" s="137">
        <f t="shared" ca="1" si="7"/>
        <v>0</v>
      </c>
      <c r="H151" s="137" t="str">
        <f t="shared" ca="1" si="8"/>
        <v>OrderId("|cff6666ff魔法|r状态：攻击速度提高。")</v>
      </c>
      <c r="I151" s="134">
        <v>1</v>
      </c>
      <c r="J151" s="134" t="s">
        <v>857</v>
      </c>
      <c r="K151" s="134"/>
      <c r="L151" s="128" t="str">
        <f t="shared" ca="1" si="2"/>
        <v>SpellData.create(SID_MANA_LEECH,"邪恶狂热",P,0,0,OrderId("|cff6666ff魔法|r状态：攻击速度提高。"),1,ORDER_TYPE_TARGET);</v>
      </c>
      <c r="M151" s="134"/>
      <c r="N151" s="134"/>
      <c r="O151" s="134"/>
      <c r="P151" s="134"/>
      <c r="Q151" s="134"/>
      <c r="R151" s="134"/>
      <c r="S151" s="134"/>
      <c r="T151" s="134"/>
      <c r="U151" s="134"/>
      <c r="V151" s="134"/>
      <c r="W151" s="134"/>
      <c r="X151" s="134"/>
      <c r="Y151" s="134"/>
    </row>
    <row r="152" spans="1:25">
      <c r="A152" s="134">
        <v>15</v>
      </c>
      <c r="B152" s="134" t="s">
        <v>1270</v>
      </c>
      <c r="C152" s="137" t="str">
        <f t="shared" ca="1" si="3"/>
        <v>混乱跳跃</v>
      </c>
      <c r="D152" s="137" t="str">
        <f t="shared" ca="1" si="4"/>
        <v>Chaos Leap</v>
      </c>
      <c r="E152" s="137">
        <f t="shared" ca="1" si="5"/>
        <v>0</v>
      </c>
      <c r="F152" s="137" t="str">
        <f t="shared" ca="1" si="6"/>
        <v>N</v>
      </c>
      <c r="G152" s="137">
        <f t="shared" ca="1" si="7"/>
        <v>0</v>
      </c>
      <c r="H152" s="137" t="str">
        <f t="shared" ca="1" si="8"/>
        <v>OrderId("物理状态：造成的仇恨值提高。")</v>
      </c>
      <c r="I152" s="134">
        <v>1</v>
      </c>
      <c r="J152" s="134" t="s">
        <v>660</v>
      </c>
      <c r="K152" s="134"/>
      <c r="L152" s="128" t="str">
        <f t="shared" ca="1" si="2"/>
        <v>SpellData.create(SID_UNHOLY_FRENZY,"混乱跳跃",N,0,0,OrderId("物理状态：造成的仇恨值提高。"),1,ORDER_TYPE_IMMEDIATE);</v>
      </c>
      <c r="M152" s="134"/>
      <c r="N152" s="134"/>
      <c r="O152" s="134"/>
      <c r="P152" s="134"/>
      <c r="Q152" s="134"/>
      <c r="R152" s="134"/>
      <c r="S152" s="134"/>
      <c r="T152" s="134"/>
      <c r="U152" s="134"/>
      <c r="V152" s="134"/>
      <c r="W152" s="134"/>
      <c r="X152" s="134"/>
      <c r="Y152" s="134"/>
    </row>
    <row r="153" spans="1:25">
      <c r="A153" s="134">
        <v>16</v>
      </c>
      <c r="B153" s="134" t="s">
        <v>1273</v>
      </c>
      <c r="C153" s="137" t="str">
        <f t="shared" ca="1" si="3"/>
        <v>战争践踏</v>
      </c>
      <c r="D153" s="137" t="str">
        <f t="shared" ca="1" si="4"/>
        <v>War Stomp</v>
      </c>
      <c r="E153" s="137">
        <f t="shared" ca="1" si="5"/>
        <v>0</v>
      </c>
      <c r="F153" s="137">
        <f t="shared" ca="1" si="6"/>
        <v>0</v>
      </c>
      <c r="G153" s="137" t="str">
        <f t="shared" ca="1" si="7"/>
        <v>deals 300 physical damage to all player units within range. stun 3 seconds.</v>
      </c>
      <c r="H153" s="137" t="str">
        <f t="shared" ca="1" si="8"/>
        <v>OrderId("物理状态：")</v>
      </c>
      <c r="I153" s="134">
        <v>1</v>
      </c>
      <c r="J153" s="134" t="s">
        <v>857</v>
      </c>
      <c r="K153" s="134"/>
      <c r="L153" s="128" t="str">
        <f t="shared" ca="1" si="2"/>
        <v>SpellData.create(SID_CHAOS_LEAP,"战争践踏",0,0,deals 300 physical damage to all player units within range. stun 3 seconds.,OrderId("物理状态："),1,ORDER_TYPE_TARGET);</v>
      </c>
      <c r="M153" s="134"/>
      <c r="N153" s="134"/>
      <c r="O153" s="134"/>
      <c r="P153" s="134"/>
      <c r="Q153" s="134"/>
      <c r="R153" s="134"/>
      <c r="S153" s="134"/>
      <c r="T153" s="134"/>
      <c r="U153" s="134"/>
      <c r="V153" s="134"/>
      <c r="W153" s="134"/>
      <c r="X153" s="134"/>
      <c r="Y153" s="134"/>
    </row>
    <row r="154" spans="1:25">
      <c r="A154" s="134">
        <v>17</v>
      </c>
      <c r="B154" s="134" t="s">
        <v>1277</v>
      </c>
      <c r="C154" s="137" t="str">
        <f t="shared" ca="1" si="3"/>
        <v>战斗命令</v>
      </c>
      <c r="D154" s="137" t="str">
        <f t="shared" ca="1" si="4"/>
        <v>Battle Command</v>
      </c>
      <c r="E154" s="137">
        <f t="shared" ca="1" si="5"/>
        <v>0</v>
      </c>
      <c r="F154" s="137" t="str">
        <f t="shared" ca="1" si="6"/>
        <v>P</v>
      </c>
      <c r="G154" s="137" t="str">
        <f t="shared" ca="1" si="7"/>
        <v>target ally deals 100% more damage</v>
      </c>
      <c r="H154" s="137" t="str">
        <f t="shared" ca="1" si="8"/>
        <v>OrderId("|cff6666ff魔法|r状态：造成的伤害提高。")</v>
      </c>
      <c r="I154" s="134">
        <v>1</v>
      </c>
      <c r="J154" s="134" t="s">
        <v>660</v>
      </c>
      <c r="K154" s="134"/>
      <c r="L154" s="128" t="str">
        <f t="shared" ca="1" si="2"/>
        <v>SpellData.create(SID_WAR_STOMP,"战斗命令",P,0,target ally deals 100% more damage,OrderId("|cff6666ff魔法|r状态：造成的伤害提高。"),1,ORDER_TYPE_IMMEDIATE);</v>
      </c>
      <c r="M154" s="134"/>
      <c r="N154" s="134"/>
      <c r="O154" s="134"/>
      <c r="P154" s="134"/>
      <c r="Q154" s="134"/>
      <c r="R154" s="134"/>
      <c r="S154" s="134"/>
      <c r="T154" s="134"/>
      <c r="U154" s="134"/>
      <c r="V154" s="134"/>
      <c r="W154" s="134"/>
      <c r="X154" s="134"/>
      <c r="Y154" s="134"/>
    </row>
    <row r="155" spans="1:25">
      <c r="A155" s="134">
        <v>18</v>
      </c>
      <c r="B155" s="134" t="s">
        <v>1278</v>
      </c>
      <c r="C155" s="137" t="str">
        <f t="shared" ca="1" si="3"/>
        <v>炽热疾速</v>
      </c>
      <c r="D155" s="137" t="str">
        <f t="shared" ca="1" si="4"/>
        <v>Blazing Haste</v>
      </c>
      <c r="E155" s="137">
        <f t="shared" ca="1" si="5"/>
        <v>75</v>
      </c>
      <c r="F155" s="137" t="str">
        <f t="shared" ca="1" si="6"/>
        <v>P</v>
      </c>
      <c r="G155" s="137">
        <f t="shared" ca="1" si="7"/>
        <v>0</v>
      </c>
      <c r="H155" s="137" t="str">
        <f t="shared" ca="1" si="8"/>
        <v>OrderId("|cff6666ff魔法|r状态：法术急速提高，移动速度提高。")</v>
      </c>
      <c r="I155" s="134">
        <v>1</v>
      </c>
      <c r="J155" s="134" t="s">
        <v>857</v>
      </c>
      <c r="K155" s="134"/>
      <c r="L155" s="128" t="str">
        <f t="shared" ca="1" si="2"/>
        <v>SpellData.create(SID_BATTLE_COMMAND,"炽热疾速",P,75,0,OrderId("|cff6666ff魔法|r状态：法术急速提高，移动速度提高。"),1,ORDER_TYPE_TARGET);</v>
      </c>
      <c r="M155" s="134"/>
      <c r="N155" s="134"/>
      <c r="O155" s="134"/>
      <c r="P155" s="134"/>
      <c r="Q155" s="134"/>
      <c r="R155" s="134"/>
      <c r="S155" s="134"/>
      <c r="T155" s="134"/>
      <c r="U155" s="134"/>
      <c r="V155" s="134"/>
      <c r="W155" s="134"/>
      <c r="X155" s="134"/>
      <c r="Y155" s="134"/>
    </row>
    <row r="156" spans="1:25" s="139" customFormat="1">
      <c r="A156" s="138">
        <v>19</v>
      </c>
      <c r="B156" s="138" t="s">
        <v>858</v>
      </c>
      <c r="C156" s="137" t="str">
        <f t="shared" ca="1" si="3"/>
        <v>连珠火球</v>
      </c>
      <c r="D156" s="137" t="str">
        <f t="shared" ca="1" si="4"/>
        <v>Fire Ball</v>
      </c>
      <c r="E156" s="137">
        <f t="shared" ca="1" si="5"/>
        <v>100</v>
      </c>
      <c r="F156" s="137">
        <f t="shared" ca="1" si="6"/>
        <v>0</v>
      </c>
      <c r="G156" s="137">
        <f t="shared" ca="1" si="7"/>
        <v>0</v>
      </c>
      <c r="H156" s="137" t="str">
        <f t="shared" ca="1" si="8"/>
        <v>OrderId("物理状态：")</v>
      </c>
      <c r="I156" s="138">
        <v>1</v>
      </c>
      <c r="J156" s="138" t="s">
        <v>857</v>
      </c>
      <c r="K156" s="138"/>
      <c r="L156" s="128" t="str">
        <f t="shared" ca="1" si="2"/>
        <v>SpellData.create(SID_BLAZING_HASTE,"连珠火球",0,100,0,OrderId("物理状态："),1,ORDER_TYPE_TARGET);</v>
      </c>
      <c r="M156" s="138"/>
      <c r="N156" s="138"/>
      <c r="O156" s="138"/>
      <c r="P156" s="138"/>
      <c r="Q156" s="138"/>
      <c r="R156" s="138"/>
      <c r="S156" s="138"/>
      <c r="T156" s="138"/>
      <c r="U156" s="138"/>
      <c r="V156" s="138"/>
      <c r="W156" s="138"/>
      <c r="X156" s="138"/>
      <c r="Y156" s="138"/>
    </row>
    <row r="157" spans="1:25" s="139" customFormat="1">
      <c r="A157" s="138">
        <v>20</v>
      </c>
      <c r="B157" s="138" t="s">
        <v>1279</v>
      </c>
      <c r="C157" s="137" t="str">
        <f t="shared" ca="1" si="3"/>
        <v>烈焰震击</v>
      </c>
      <c r="D157" s="137" t="str">
        <f t="shared" ca="1" si="4"/>
        <v>Flame Shock</v>
      </c>
      <c r="E157" s="137">
        <f t="shared" ca="1" si="5"/>
        <v>50</v>
      </c>
      <c r="F157" s="137" t="str">
        <f t="shared" ca="1" si="6"/>
        <v>N</v>
      </c>
      <c r="G157" s="137" t="str">
        <f t="shared" ca="1" si="7"/>
        <v>deals 400 magical damage to target, then deals 400 magical damage to target every 2 seconds.</v>
      </c>
      <c r="H157" s="137" t="str">
        <f t="shared" ca="1" si="8"/>
        <v>OrderId("|cff6666ff魔法|r状态：受到周期性的法术伤害。")</v>
      </c>
      <c r="I157" s="138">
        <v>1</v>
      </c>
      <c r="J157" s="134" t="s">
        <v>660</v>
      </c>
      <c r="K157" s="138"/>
      <c r="L157" s="128" t="str">
        <f t="shared" ca="1" si="2"/>
        <v>SpellData.create(SID_FIRE_BALL,"烈焰震击",N,50,deals 400 magical damage to target, then deals 400 magical damage to target every 2 seconds.,OrderId("|cff6666ff魔法|r状态：受到周期性的法术伤害。"),1,ORDER_TYPE_IMMEDIATE);</v>
      </c>
      <c r="M157" s="138"/>
      <c r="N157" s="138"/>
      <c r="O157" s="138"/>
      <c r="P157" s="138"/>
      <c r="Q157" s="138"/>
      <c r="R157" s="138"/>
      <c r="S157" s="138"/>
      <c r="T157" s="138"/>
      <c r="U157" s="138"/>
      <c r="V157" s="138"/>
      <c r="W157" s="138"/>
      <c r="X157" s="138"/>
      <c r="Y157" s="138"/>
    </row>
    <row r="158" spans="1:25" s="139" customFormat="1">
      <c r="A158" s="138">
        <v>21</v>
      </c>
      <c r="B158" s="138" t="s">
        <v>1280</v>
      </c>
      <c r="C158" s="137" t="str">
        <f t="shared" ca="1" si="3"/>
        <v>瘟疫(被动)</v>
      </c>
      <c r="D158" s="137" t="str">
        <f t="shared" ca="1" si="4"/>
        <v>Plague</v>
      </c>
      <c r="E158" s="137">
        <f t="shared" ca="1" si="5"/>
        <v>0</v>
      </c>
      <c r="F158" s="137" t="str">
        <f t="shared" ca="1" si="6"/>
        <v>N</v>
      </c>
      <c r="G158" s="137">
        <f t="shared" ca="1" si="7"/>
        <v>0</v>
      </c>
      <c r="H158" s="137" t="str">
        <f t="shared" ca="1" si="8"/>
        <v>OrderId("物理状态：受到周期性的法术伤害。")</v>
      </c>
      <c r="I158" s="138">
        <v>1</v>
      </c>
      <c r="J158" s="138" t="s">
        <v>857</v>
      </c>
      <c r="K158" s="138"/>
      <c r="L158" s="128" t="str">
        <f t="shared" ca="1" si="2"/>
        <v>SpellData.create(SID_FLAME_SHOCK,"瘟疫(被动)",N,0,0,OrderId("物理状态：受到周期性的法术伤害。"),1,ORDER_TYPE_TARGET);</v>
      </c>
      <c r="M158" s="138"/>
      <c r="N158" s="138"/>
      <c r="O158" s="138"/>
      <c r="P158" s="138"/>
      <c r="Q158" s="138"/>
      <c r="R158" s="138"/>
      <c r="S158" s="138"/>
      <c r="T158" s="138"/>
      <c r="U158" s="138"/>
      <c r="V158" s="138"/>
      <c r="W158" s="138"/>
      <c r="X158" s="138"/>
      <c r="Y158" s="138"/>
    </row>
    <row r="159" spans="1:25" s="139" customFormat="1">
      <c r="A159" s="138">
        <v>23</v>
      </c>
      <c r="B159" s="138" t="s">
        <v>1338</v>
      </c>
      <c r="C159" s="137" t="str">
        <f t="shared" ca="1" si="3"/>
        <v>啃食</v>
      </c>
      <c r="D159" s="137" t="str">
        <f t="shared" ca="1" si="4"/>
        <v>Gnaw</v>
      </c>
      <c r="E159" s="137">
        <f t="shared" ca="1" si="5"/>
        <v>0</v>
      </c>
      <c r="F159" s="137" t="str">
        <f t="shared" ca="1" si="6"/>
        <v>N</v>
      </c>
      <c r="G159" s="137">
        <f t="shared" ca="1" si="7"/>
        <v>0</v>
      </c>
      <c r="H159" s="137" t="str">
        <f t="shared" ca="1" si="8"/>
        <v>OrderId("物理状态：受到周期性的物理伤害。")</v>
      </c>
      <c r="I159" s="138">
        <v>1</v>
      </c>
      <c r="J159" s="138" t="s">
        <v>857</v>
      </c>
      <c r="K159" s="138"/>
      <c r="L159" s="128" t="str">
        <f ca="1">IF(C159="N/A","//",CONCATENATE("SpellData.create(",B159,",",CHAR(34),C159,CHAR(34),",",F159,",",E159,",",G159,",",H159,",",I159,",",J159,")",K159,";"))</f>
        <v>SpellData.create(SID_PARASITE,"啃食",N,0,0,OrderId("物理状态：受到周期性的物理伤害。"),1,ORDER_TYPE_TARGET);</v>
      </c>
      <c r="M159" s="138"/>
      <c r="N159" s="138"/>
      <c r="O159" s="138"/>
      <c r="P159" s="138"/>
      <c r="Q159" s="138"/>
      <c r="R159" s="138"/>
      <c r="S159" s="138"/>
      <c r="T159" s="138"/>
      <c r="U159" s="138"/>
      <c r="V159" s="138"/>
      <c r="W159" s="138"/>
      <c r="X159" s="138"/>
      <c r="Y159" s="138"/>
    </row>
    <row r="160" spans="1:25" s="139" customFormat="1">
      <c r="A160" s="138">
        <v>24</v>
      </c>
      <c r="B160" s="138" t="s">
        <v>1334</v>
      </c>
      <c r="C160" s="137" t="str">
        <f t="shared" ca="1" si="3"/>
        <v>反射光环</v>
      </c>
      <c r="D160" s="137" t="str">
        <f t="shared" ca="1" si="4"/>
        <v>Reflection Aura</v>
      </c>
      <c r="E160" s="137">
        <f t="shared" ca="1" si="5"/>
        <v>0</v>
      </c>
      <c r="F160" s="137" t="str">
        <f t="shared" ca="1" si="6"/>
        <v>P</v>
      </c>
      <c r="G160" s="137">
        <f t="shared" ca="1" si="7"/>
        <v>0</v>
      </c>
      <c r="H160" s="137" t="str">
        <f t="shared" ca="1" si="8"/>
        <v>OrderId("物理状态：可以反射指向你的法术。")</v>
      </c>
      <c r="I160" s="138">
        <v>2</v>
      </c>
      <c r="J160" s="138" t="s">
        <v>857</v>
      </c>
      <c r="K160" s="138"/>
      <c r="L160" s="128" t="str">
        <f t="shared" ca="1" si="2"/>
        <v>SpellData.create(SID_GNAW,"反射光环",P,0,0,OrderId("物理状态：可以反射指向你的法术。"),2,ORDER_TYPE_TARGET);</v>
      </c>
      <c r="M160" s="138"/>
      <c r="N160" s="138"/>
      <c r="O160" s="138"/>
      <c r="P160" s="138"/>
      <c r="Q160" s="138"/>
      <c r="R160" s="138"/>
      <c r="S160" s="138"/>
      <c r="T160" s="138"/>
      <c r="U160" s="138"/>
      <c r="V160" s="138"/>
      <c r="W160" s="138"/>
      <c r="X160" s="138"/>
      <c r="Y160" s="138"/>
    </row>
    <row r="161" spans="1:25" s="139" customFormat="1">
      <c r="A161" s="138">
        <v>26</v>
      </c>
      <c r="B161" s="138" t="s">
        <v>1331</v>
      </c>
      <c r="C161" s="137" t="str">
        <f t="shared" ca="1" si="3"/>
        <v>冰冻坟墓</v>
      </c>
      <c r="D161" s="137" t="str">
        <f t="shared" ca="1" si="4"/>
        <v>Frost Grave</v>
      </c>
      <c r="E161" s="137">
        <f t="shared" ca="1" si="5"/>
        <v>0</v>
      </c>
      <c r="F161" s="137" t="str">
        <f t="shared" ca="1" si="6"/>
        <v>N</v>
      </c>
      <c r="G161" s="137">
        <f t="shared" ca="1" si="7"/>
        <v>0</v>
      </c>
      <c r="H161" s="137" t="str">
        <f t="shared" ca="1" si="8"/>
        <v>OrderId("|cff6666ff魔法|r状态：昏迷，受到周期性的法术伤害。")</v>
      </c>
      <c r="I161" s="138">
        <v>1</v>
      </c>
      <c r="J161" s="138" t="s">
        <v>955</v>
      </c>
      <c r="K161" s="138"/>
      <c r="L161" s="128" t="str">
        <f t="shared" ca="1" si="2"/>
        <v>SpellData.create(SID_MANA_TAP,"冰冻坟墓",N,0,0,OrderId("|cff6666ff魔法|r状态：昏迷，受到周期性的法术伤害。"),1,ORDER_TYPE_POINT);</v>
      </c>
      <c r="M161" s="138"/>
      <c r="N161" s="138"/>
      <c r="O161" s="138"/>
      <c r="P161" s="138"/>
      <c r="Q161" s="138"/>
      <c r="R161" s="138"/>
      <c r="S161" s="138"/>
      <c r="T161" s="138"/>
      <c r="U161" s="138"/>
      <c r="V161" s="138"/>
      <c r="W161" s="138"/>
      <c r="X161" s="138"/>
      <c r="Y161" s="138"/>
    </row>
    <row r="162" spans="1:25" s="139" customFormat="1">
      <c r="A162" s="138">
        <v>27</v>
      </c>
      <c r="B162" s="138" t="s">
        <v>1328</v>
      </c>
      <c r="C162" s="137" t="str">
        <f t="shared" ca="1" si="3"/>
        <v>死亡凋零</v>
      </c>
      <c r="D162" s="137" t="str">
        <f t="shared" ca="1" si="4"/>
        <v>Death and Decay</v>
      </c>
      <c r="E162" s="137">
        <f t="shared" ca="1" si="5"/>
        <v>0</v>
      </c>
      <c r="F162" s="137">
        <f t="shared" ca="1" si="6"/>
        <v>0</v>
      </c>
      <c r="G162" s="137">
        <f t="shared" ca="1" si="7"/>
        <v>0</v>
      </c>
      <c r="H162" s="137" t="str">
        <f t="shared" ca="1" si="8"/>
        <v>OrderId("物理状态：")</v>
      </c>
      <c r="I162" s="138">
        <v>1</v>
      </c>
      <c r="J162" s="138" t="s">
        <v>857</v>
      </c>
      <c r="K162" s="138"/>
      <c r="L162" s="128" t="str">
        <f t="shared" ca="1" si="2"/>
        <v>SpellData.create(SID_FROST_GRAVE,"死亡凋零",0,0,0,OrderId("物理状态："),1,ORDER_TYPE_TARGET);</v>
      </c>
      <c r="M162" s="138"/>
      <c r="N162" s="138"/>
      <c r="O162" s="138"/>
      <c r="P162" s="138"/>
      <c r="Q162" s="138"/>
      <c r="R162" s="138"/>
      <c r="S162" s="138"/>
      <c r="T162" s="138"/>
      <c r="U162" s="138"/>
      <c r="V162" s="138"/>
      <c r="W162" s="138"/>
      <c r="X162" s="138"/>
      <c r="Y162" s="138"/>
    </row>
    <row r="163" spans="1:25" s="139" customFormat="1">
      <c r="A163" s="138">
        <v>28</v>
      </c>
      <c r="B163" s="138" t="s">
        <v>1327</v>
      </c>
      <c r="C163" s="137" t="str">
        <f t="shared" ca="1" si="3"/>
        <v>虚空之箭</v>
      </c>
      <c r="D163" s="137" t="str">
        <f t="shared" ca="1" si="4"/>
        <v>Nether Bolt</v>
      </c>
      <c r="E163" s="137">
        <f t="shared" ca="1" si="5"/>
        <v>0</v>
      </c>
      <c r="F163" s="137">
        <f t="shared" ca="1" si="6"/>
        <v>0</v>
      </c>
      <c r="G163" s="137">
        <f t="shared" ca="1" si="7"/>
        <v>0</v>
      </c>
      <c r="H163" s="137" t="str">
        <f t="shared" ca="1" si="8"/>
        <v>OrderId("物理状态：")</v>
      </c>
      <c r="I163" s="138">
        <v>1</v>
      </c>
      <c r="J163" s="138" t="s">
        <v>857</v>
      </c>
      <c r="K163" s="138"/>
      <c r="L163" s="128" t="str">
        <f t="shared" ca="1" si="2"/>
        <v>SpellData.create(SID_DEATH_AND_DECAY,"虚空之箭",0,0,0,OrderId("物理状态："),1,ORDER_TYPE_TARGET);</v>
      </c>
      <c r="M163" s="138"/>
      <c r="N163" s="138"/>
      <c r="O163" s="138"/>
      <c r="P163" s="138"/>
      <c r="Q163" s="138"/>
      <c r="R163" s="138"/>
      <c r="S163" s="138"/>
      <c r="T163" s="138"/>
      <c r="U163" s="138"/>
      <c r="V163" s="138"/>
      <c r="W163" s="138"/>
      <c r="X163" s="138"/>
      <c r="Y163" s="138"/>
    </row>
    <row r="164" spans="1:25" s="139" customFormat="1">
      <c r="A164" s="138">
        <v>29</v>
      </c>
      <c r="B164" s="138" t="s">
        <v>1490</v>
      </c>
      <c r="C164" s="137" t="str">
        <f t="shared" ca="1" si="3"/>
        <v>暗影转换</v>
      </c>
      <c r="D164" s="137" t="str">
        <f t="shared" ca="1" si="4"/>
        <v>Shadow Shift</v>
      </c>
      <c r="E164" s="137">
        <f t="shared" ca="1" si="5"/>
        <v>0</v>
      </c>
      <c r="F164" s="137">
        <f t="shared" ca="1" si="6"/>
        <v>0</v>
      </c>
      <c r="G164" s="137">
        <f t="shared" ca="1" si="7"/>
        <v>0</v>
      </c>
      <c r="H164" s="137" t="str">
        <f t="shared" ca="1" si="8"/>
        <v>OrderId("物理状态：")</v>
      </c>
      <c r="I164" s="138">
        <v>1</v>
      </c>
      <c r="J164" s="138" t="s">
        <v>857</v>
      </c>
      <c r="K164" s="138"/>
      <c r="L164" s="128" t="str">
        <f t="shared" ca="1" si="2"/>
        <v>SpellData.create(SID_NETHER_BOLT,"暗影转换",0,0,0,OrderId("物理状态："),1,ORDER_TYPE_TARGET);</v>
      </c>
      <c r="M164" s="138"/>
      <c r="N164" s="138"/>
      <c r="O164" s="138"/>
      <c r="P164" s="138"/>
      <c r="Q164" s="138"/>
      <c r="R164" s="138"/>
      <c r="S164" s="138"/>
      <c r="T164" s="138"/>
      <c r="U164" s="138"/>
      <c r="V164" s="138"/>
      <c r="W164" s="138"/>
      <c r="X164" s="138"/>
      <c r="Y164" s="138"/>
    </row>
    <row r="165" spans="1:25" s="139" customFormat="1">
      <c r="A165" s="138">
        <v>39</v>
      </c>
      <c r="B165" s="138" t="s">
        <v>1341</v>
      </c>
      <c r="C165" s="137" t="str">
        <f t="shared" ca="1" si="3"/>
        <v>燃烧(被动)</v>
      </c>
      <c r="D165" s="137" t="str">
        <f t="shared" ca="1" si="4"/>
        <v>Burning</v>
      </c>
      <c r="E165" s="137">
        <f t="shared" ca="1" si="5"/>
        <v>0</v>
      </c>
      <c r="F165" s="137">
        <f t="shared" ca="1" si="6"/>
        <v>0</v>
      </c>
      <c r="G165" s="137">
        <f t="shared" ca="1" si="7"/>
        <v>0</v>
      </c>
      <c r="H165" s="137" t="str">
        <f t="shared" ca="1" si="8"/>
        <v>OrderId("物理状态：")</v>
      </c>
      <c r="I165" s="138">
        <v>1</v>
      </c>
      <c r="J165" s="138" t="s">
        <v>955</v>
      </c>
      <c r="K165" s="138"/>
      <c r="L165" s="128" t="str">
        <f t="shared" ca="1" si="2"/>
        <v>SpellData.create(SID_METEOR,"燃烧(被动)",0,0,0,OrderId("物理状态："),1,ORDER_TYPE_POINT);</v>
      </c>
      <c r="M165" s="138"/>
      <c r="N165" s="138"/>
      <c r="O165" s="138"/>
      <c r="P165" s="138"/>
      <c r="Q165" s="138"/>
      <c r="R165" s="138"/>
      <c r="S165" s="138"/>
      <c r="T165" s="138"/>
      <c r="U165" s="138"/>
      <c r="V165" s="138"/>
      <c r="W165" s="138"/>
      <c r="X165" s="138"/>
      <c r="Y165" s="138"/>
    </row>
    <row r="166" spans="1:25" s="141" customFormat="1">
      <c r="A166" s="140"/>
      <c r="B166" s="140" t="s">
        <v>856</v>
      </c>
      <c r="C166" s="140" t="s">
        <v>855</v>
      </c>
      <c r="D166" s="140" t="s">
        <v>854</v>
      </c>
      <c r="E166" s="140">
        <v>0</v>
      </c>
      <c r="F166" s="140">
        <v>0</v>
      </c>
      <c r="G166" s="140">
        <v>1</v>
      </c>
      <c r="H166" s="140" t="s">
        <v>661</v>
      </c>
      <c r="I166" s="140">
        <v>1</v>
      </c>
      <c r="J166" s="140" t="s">
        <v>660</v>
      </c>
      <c r="K166" s="140"/>
      <c r="L166" s="128" t="str">
        <f t="shared" si="2"/>
        <v>SpellData.create(SIDCALLTOARMS,"战斗召唤",0,0,1,OrderId("channel"),1,ORDER_TYPE_IMMEDIATE);</v>
      </c>
      <c r="M166" s="140"/>
      <c r="N166" s="140"/>
      <c r="O166" s="140"/>
      <c r="P166" s="140"/>
      <c r="Q166" s="140"/>
      <c r="R166" s="140"/>
      <c r="S166" s="140"/>
      <c r="T166" s="140"/>
      <c r="U166" s="140"/>
      <c r="V166" s="140"/>
      <c r="W166" s="140"/>
      <c r="X166" s="140"/>
      <c r="Y166" s="140"/>
    </row>
    <row r="167" spans="1:25" s="141" customFormat="1">
      <c r="A167" s="140"/>
      <c r="B167" s="140" t="s">
        <v>853</v>
      </c>
      <c r="C167" s="140" t="s">
        <v>852</v>
      </c>
      <c r="D167" s="140" t="s">
        <v>851</v>
      </c>
      <c r="E167" s="140">
        <v>0</v>
      </c>
      <c r="F167" s="140">
        <v>0</v>
      </c>
      <c r="G167" s="140">
        <v>1</v>
      </c>
      <c r="H167" s="140" t="s">
        <v>661</v>
      </c>
      <c r="I167" s="140">
        <v>1</v>
      </c>
      <c r="J167" s="140" t="s">
        <v>660</v>
      </c>
      <c r="K167" s="140"/>
      <c r="L167" s="128" t="str">
        <f t="shared" si="2"/>
        <v>SpellData.create(SID_CTHUNS_DERANGEMENT,"上古狂乱",0,0,1,OrderId("channel"),1,ORDER_TYPE_IMMEDIATE);</v>
      </c>
      <c r="M167" s="140"/>
      <c r="N167" s="140"/>
      <c r="O167" s="140"/>
      <c r="P167" s="140"/>
      <c r="Q167" s="140"/>
      <c r="R167" s="140"/>
      <c r="S167" s="140"/>
      <c r="T167" s="140"/>
      <c r="U167" s="140"/>
      <c r="V167" s="140"/>
      <c r="W167" s="140"/>
      <c r="X167" s="140"/>
      <c r="Y167" s="140"/>
    </row>
    <row r="168" spans="1:25" s="141" customFormat="1">
      <c r="A168" s="140"/>
      <c r="B168" s="140" t="s">
        <v>850</v>
      </c>
      <c r="C168" s="140" t="s">
        <v>849</v>
      </c>
      <c r="D168" s="140" t="s">
        <v>848</v>
      </c>
      <c r="E168" s="140">
        <v>0</v>
      </c>
      <c r="F168" s="140">
        <v>0</v>
      </c>
      <c r="G168" s="140">
        <v>1</v>
      </c>
      <c r="H168" s="140" t="s">
        <v>661</v>
      </c>
      <c r="I168" s="140">
        <v>1</v>
      </c>
      <c r="J168" s="140" t="s">
        <v>660</v>
      </c>
      <c r="K168" s="140"/>
      <c r="L168" s="128" t="str">
        <f t="shared" si="2"/>
        <v>SpellData.create(SIDENIGMA,"谜团",0,0,1,OrderId("channel"),1,ORDER_TYPE_IMMEDIATE);</v>
      </c>
      <c r="M168" s="140"/>
      <c r="N168" s="140"/>
      <c r="O168" s="140"/>
      <c r="P168" s="140"/>
      <c r="Q168" s="140"/>
      <c r="R168" s="140"/>
      <c r="S168" s="140"/>
      <c r="T168" s="140"/>
      <c r="U168" s="140"/>
      <c r="V168" s="140"/>
      <c r="W168" s="140"/>
      <c r="X168" s="140"/>
      <c r="Y168" s="140"/>
    </row>
    <row r="169" spans="1:25" s="141" customFormat="1">
      <c r="A169" s="140"/>
      <c r="B169" s="140" t="s">
        <v>847</v>
      </c>
      <c r="C169" s="140" t="s">
        <v>846</v>
      </c>
      <c r="D169" s="140" t="s">
        <v>845</v>
      </c>
      <c r="E169" s="140">
        <v>0</v>
      </c>
      <c r="F169" s="140">
        <v>0</v>
      </c>
      <c r="G169" s="140">
        <v>1</v>
      </c>
      <c r="H169" s="140" t="s">
        <v>661</v>
      </c>
      <c r="I169" s="140">
        <v>1</v>
      </c>
      <c r="J169" s="140" t="s">
        <v>660</v>
      </c>
      <c r="K169" s="140"/>
      <c r="L169" s="128" t="str">
        <f t="shared" si="2"/>
        <v>SpellData.create(SID_GOBLIN_ROCKET_BOOTS_LIMITED_EDITION,"地精火箭靴",0,0,1,OrderId("channel"),1,ORDER_TYPE_IMMEDIATE);</v>
      </c>
      <c r="M169" s="140"/>
      <c r="N169" s="140"/>
      <c r="O169" s="140"/>
      <c r="P169" s="140"/>
      <c r="Q169" s="140"/>
      <c r="R169" s="140"/>
      <c r="S169" s="140"/>
      <c r="T169" s="140"/>
      <c r="U169" s="140"/>
      <c r="V169" s="140"/>
      <c r="W169" s="140"/>
      <c r="X169" s="140"/>
      <c r="Y169" s="140"/>
    </row>
    <row r="170" spans="1:25" s="141" customFormat="1">
      <c r="A170" s="140"/>
      <c r="B170" s="140" t="s">
        <v>844</v>
      </c>
      <c r="C170" s="140" t="s">
        <v>843</v>
      </c>
      <c r="D170" s="140" t="s">
        <v>842</v>
      </c>
      <c r="E170" s="140">
        <v>0</v>
      </c>
      <c r="F170" s="140">
        <v>0</v>
      </c>
      <c r="G170" s="140">
        <v>1</v>
      </c>
      <c r="H170" s="140" t="s">
        <v>661</v>
      </c>
      <c r="I170" s="140">
        <v>1</v>
      </c>
      <c r="J170" s="140" t="s">
        <v>660</v>
      </c>
      <c r="K170" s="140"/>
      <c r="L170" s="128" t="str">
        <f t="shared" si="2"/>
        <v>SpellData.create(SID_HEALTH_STONE,"医疗石",0,0,1,OrderId("channel"),1,ORDER_TYPE_IMMEDIATE);</v>
      </c>
      <c r="M170" s="140"/>
      <c r="N170" s="140"/>
      <c r="O170" s="140"/>
      <c r="P170" s="140"/>
      <c r="Q170" s="140"/>
      <c r="R170" s="140"/>
      <c r="S170" s="140"/>
      <c r="T170" s="140"/>
      <c r="U170" s="140"/>
      <c r="V170" s="140"/>
      <c r="W170" s="140"/>
      <c r="X170" s="140"/>
      <c r="Y170" s="140"/>
    </row>
    <row r="171" spans="1:25" s="141" customFormat="1">
      <c r="A171" s="140"/>
      <c r="B171" s="140" t="s">
        <v>841</v>
      </c>
      <c r="C171" s="140" t="s">
        <v>840</v>
      </c>
      <c r="D171" s="140" t="s">
        <v>839</v>
      </c>
      <c r="E171" s="140">
        <v>0</v>
      </c>
      <c r="F171" s="140">
        <v>0</v>
      </c>
      <c r="G171" s="140">
        <v>1</v>
      </c>
      <c r="H171" s="140" t="s">
        <v>661</v>
      </c>
      <c r="I171" s="140">
        <v>1</v>
      </c>
      <c r="J171" s="140" t="s">
        <v>660</v>
      </c>
      <c r="K171" s="140"/>
      <c r="L171" s="128" t="str">
        <f t="shared" si="2"/>
        <v>SpellData.create(SID_MANA_STONE,"魔法石",0,0,1,OrderId("channel"),1,ORDER_TYPE_IMMEDIATE);</v>
      </c>
      <c r="M171" s="140"/>
      <c r="N171" s="140"/>
      <c r="O171" s="140"/>
      <c r="P171" s="140"/>
      <c r="Q171" s="140"/>
      <c r="R171" s="140"/>
      <c r="S171" s="140"/>
      <c r="T171" s="140"/>
      <c r="U171" s="140"/>
      <c r="V171" s="140"/>
      <c r="W171" s="140"/>
      <c r="X171" s="140"/>
      <c r="Y171" s="140"/>
    </row>
    <row r="172" spans="1:25" s="141" customFormat="1">
      <c r="A172" s="140"/>
      <c r="B172" s="140" t="s">
        <v>838</v>
      </c>
      <c r="C172" s="140" t="s">
        <v>837</v>
      </c>
      <c r="D172" s="140" t="s">
        <v>836</v>
      </c>
      <c r="E172" s="140">
        <v>0</v>
      </c>
      <c r="F172" s="140">
        <v>0</v>
      </c>
      <c r="G172" s="140">
        <v>1</v>
      </c>
      <c r="H172" s="140" t="s">
        <v>661</v>
      </c>
      <c r="I172" s="140">
        <v>1</v>
      </c>
      <c r="J172" s="140" t="s">
        <v>660</v>
      </c>
      <c r="K172" s="140"/>
      <c r="L172" s="128" t="str">
        <f t="shared" si="2"/>
        <v>SpellData.create(SID_HEX_SHRUNKEN_HEAD,"妖术之颅",0,0,1,OrderId("channel"),1,ORDER_TYPE_IMMEDIATE);</v>
      </c>
      <c r="M172" s="140"/>
      <c r="N172" s="140"/>
      <c r="O172" s="140"/>
      <c r="P172" s="140"/>
      <c r="Q172" s="140"/>
      <c r="R172" s="140"/>
      <c r="S172" s="140"/>
      <c r="T172" s="140"/>
      <c r="U172" s="140"/>
      <c r="V172" s="140"/>
      <c r="W172" s="140"/>
      <c r="X172" s="140"/>
      <c r="Y172" s="140"/>
    </row>
    <row r="173" spans="1:25" s="141" customFormat="1">
      <c r="A173" s="140"/>
      <c r="B173" s="140" t="s">
        <v>835</v>
      </c>
      <c r="C173" s="140" t="s">
        <v>834</v>
      </c>
      <c r="D173" s="140" t="s">
        <v>833</v>
      </c>
      <c r="E173" s="140">
        <v>0</v>
      </c>
      <c r="F173" s="140">
        <v>0</v>
      </c>
      <c r="G173" s="140">
        <v>1</v>
      </c>
      <c r="H173" s="140" t="s">
        <v>661</v>
      </c>
      <c r="I173" s="140">
        <v>1</v>
      </c>
      <c r="J173" s="140" t="s">
        <v>660</v>
      </c>
      <c r="K173" s="140"/>
      <c r="L173" s="128" t="str">
        <f t="shared" si="2"/>
        <v>SpellData.create(SID_ICON_OF_THE_UNGLAZED_CRESCENT,"无光的新月徽记",0,0,1,OrderId("channel"),1,ORDER_TYPE_IMMEDIATE);</v>
      </c>
      <c r="M173" s="140"/>
      <c r="N173" s="140"/>
      <c r="O173" s="140"/>
      <c r="P173" s="140"/>
      <c r="Q173" s="140"/>
      <c r="R173" s="140"/>
      <c r="S173" s="140"/>
      <c r="T173" s="140"/>
      <c r="U173" s="140"/>
      <c r="V173" s="140"/>
      <c r="W173" s="140"/>
      <c r="X173" s="140"/>
      <c r="Y173" s="140"/>
    </row>
    <row r="174" spans="1:25" s="141" customFormat="1">
      <c r="A174" s="140"/>
      <c r="B174" s="140" t="s">
        <v>832</v>
      </c>
      <c r="C174" s="140" t="s">
        <v>831</v>
      </c>
      <c r="D174" s="140" t="s">
        <v>830</v>
      </c>
      <c r="E174" s="140">
        <v>0</v>
      </c>
      <c r="F174" s="140">
        <v>0</v>
      </c>
      <c r="G174" s="140">
        <v>1</v>
      </c>
      <c r="H174" s="140" t="s">
        <v>661</v>
      </c>
      <c r="I174" s="140">
        <v>1</v>
      </c>
      <c r="J174" s="140" t="s">
        <v>660</v>
      </c>
      <c r="K174" s="140"/>
      <c r="L174" s="128" t="str">
        <f t="shared" si="2"/>
        <v>SpellData.create(SIDLIGHTSJUSTICE,"圣光的正义",0,0,1,OrderId("channel"),1,ORDER_TYPE_IMMEDIATE);</v>
      </c>
      <c r="M174" s="140"/>
      <c r="N174" s="140"/>
      <c r="O174" s="140"/>
      <c r="P174" s="140"/>
      <c r="Q174" s="140"/>
      <c r="R174" s="140"/>
      <c r="S174" s="140"/>
      <c r="T174" s="140"/>
      <c r="U174" s="140"/>
      <c r="V174" s="140"/>
      <c r="W174" s="140"/>
      <c r="X174" s="140"/>
      <c r="Y174" s="140"/>
    </row>
    <row r="175" spans="1:25" s="141" customFormat="1">
      <c r="A175" s="140"/>
      <c r="B175" s="140" t="s">
        <v>829</v>
      </c>
      <c r="C175" s="140" t="s">
        <v>828</v>
      </c>
      <c r="D175" s="140" t="s">
        <v>827</v>
      </c>
      <c r="E175" s="140">
        <v>0</v>
      </c>
      <c r="F175" s="140">
        <v>0</v>
      </c>
      <c r="G175" s="140">
        <v>1</v>
      </c>
      <c r="H175" s="140" t="s">
        <v>661</v>
      </c>
      <c r="I175" s="140">
        <v>1</v>
      </c>
      <c r="J175" s="140" t="s">
        <v>660</v>
      </c>
      <c r="K175" s="140"/>
      <c r="L175" s="128" t="str">
        <f t="shared" si="2"/>
        <v>SpellData.create(SID_MOROES_LUCKY_GEAR,"莫罗斯的幸运怀表",0,0,1,OrderId("channel"),1,ORDER_TYPE_IMMEDIATE);</v>
      </c>
      <c r="M175" s="140"/>
      <c r="N175" s="140"/>
      <c r="O175" s="140"/>
      <c r="P175" s="140"/>
      <c r="Q175" s="140"/>
      <c r="R175" s="140"/>
      <c r="S175" s="140"/>
      <c r="T175" s="140"/>
      <c r="U175" s="140"/>
      <c r="V175" s="140"/>
      <c r="W175" s="140"/>
      <c r="X175" s="140"/>
      <c r="Y175" s="140"/>
    </row>
    <row r="176" spans="1:25" s="141" customFormat="1">
      <c r="A176" s="140"/>
      <c r="B176" s="140" t="s">
        <v>826</v>
      </c>
      <c r="C176" s="140" t="s">
        <v>825</v>
      </c>
      <c r="D176" s="140" t="s">
        <v>824</v>
      </c>
      <c r="E176" s="140">
        <v>0</v>
      </c>
      <c r="F176" s="140">
        <v>0</v>
      </c>
      <c r="G176" s="140">
        <v>1</v>
      </c>
      <c r="H176" s="140" t="s">
        <v>661</v>
      </c>
      <c r="I176" s="140">
        <v>1</v>
      </c>
      <c r="J176" s="140" t="s">
        <v>660</v>
      </c>
      <c r="K176" s="140"/>
      <c r="L176" s="128" t="str">
        <f t="shared" si="2"/>
        <v>SpellData.create(SIDREFORGEDBADGEOFTENACITY,"重铸的坚韧徽章",0,0,1,OrderId("channel"),1,ORDER_TYPE_IMMEDIATE);</v>
      </c>
      <c r="M176" s="140"/>
      <c r="N176" s="140"/>
      <c r="O176" s="140"/>
      <c r="P176" s="140"/>
      <c r="Q176" s="140"/>
      <c r="R176" s="140"/>
      <c r="S176" s="140"/>
      <c r="T176" s="140"/>
      <c r="U176" s="140"/>
      <c r="V176" s="140"/>
      <c r="W176" s="140"/>
      <c r="X176" s="140"/>
      <c r="Y176" s="140"/>
    </row>
    <row r="177" spans="1:25" s="141" customFormat="1">
      <c r="A177" s="140"/>
      <c r="B177" s="140" t="s">
        <v>823</v>
      </c>
      <c r="C177" s="140" t="s">
        <v>822</v>
      </c>
      <c r="D177" s="140" t="s">
        <v>821</v>
      </c>
      <c r="E177" s="140">
        <v>0</v>
      </c>
      <c r="F177" s="140">
        <v>0</v>
      </c>
      <c r="G177" s="140">
        <v>1</v>
      </c>
      <c r="H177" s="140" t="s">
        <v>661</v>
      </c>
      <c r="I177" s="140">
        <v>1</v>
      </c>
      <c r="J177" s="140" t="s">
        <v>660</v>
      </c>
      <c r="K177" s="140"/>
      <c r="L177" s="128" t="str">
        <f t="shared" si="2"/>
        <v>SpellData.create(SID_TYRAELS_MIGHT,"正义天使之力",0,0,1,OrderId("channel"),1,ORDER_TYPE_IMMEDIATE);</v>
      </c>
      <c r="M177" s="140"/>
      <c r="N177" s="140"/>
      <c r="O177" s="140"/>
      <c r="P177" s="140"/>
      <c r="Q177" s="140"/>
      <c r="R177" s="140"/>
      <c r="S177" s="140"/>
      <c r="T177" s="140"/>
      <c r="U177" s="140"/>
      <c r="V177" s="140"/>
      <c r="W177" s="140"/>
      <c r="X177" s="140"/>
      <c r="Y177" s="140"/>
    </row>
    <row r="178" spans="1:25" s="141" customFormat="1">
      <c r="A178" s="140"/>
      <c r="B178" s="140" t="s">
        <v>820</v>
      </c>
      <c r="C178" s="140" t="s">
        <v>819</v>
      </c>
      <c r="D178" s="140" t="s">
        <v>818</v>
      </c>
      <c r="E178" s="140">
        <v>0</v>
      </c>
      <c r="F178" s="140">
        <v>0</v>
      </c>
      <c r="G178" s="140">
        <v>1</v>
      </c>
      <c r="H178" s="140" t="s">
        <v>661</v>
      </c>
      <c r="I178" s="140">
        <v>1</v>
      </c>
      <c r="J178" s="140" t="s">
        <v>660</v>
      </c>
      <c r="K178" s="140"/>
      <c r="L178" s="128" t="str">
        <f t="shared" si="2"/>
        <v>SpellData.create(SID_VOODOO_VIAL,"巫毒瓶",0,0,1,OrderId("channel"),1,ORDER_TYPE_IMMEDIATE);</v>
      </c>
      <c r="M178" s="140"/>
      <c r="N178" s="140"/>
      <c r="O178" s="140"/>
      <c r="P178" s="140"/>
      <c r="Q178" s="140"/>
      <c r="R178" s="140"/>
      <c r="S178" s="140"/>
      <c r="T178" s="140"/>
      <c r="U178" s="140"/>
      <c r="V178" s="140"/>
      <c r="W178" s="140"/>
      <c r="X178" s="140"/>
      <c r="Y178" s="140"/>
    </row>
    <row r="179" spans="1:25">
      <c r="A179" s="133"/>
      <c r="B179" s="133" t="s">
        <v>817</v>
      </c>
      <c r="C179" s="133" t="s">
        <v>816</v>
      </c>
      <c r="D179" s="133" t="s">
        <v>815</v>
      </c>
      <c r="E179" s="133">
        <v>0</v>
      </c>
      <c r="F179" s="133">
        <v>0</v>
      </c>
      <c r="G179" s="133">
        <v>1</v>
      </c>
      <c r="H179" s="133" t="s">
        <v>661</v>
      </c>
      <c r="I179" s="133">
        <v>1</v>
      </c>
      <c r="J179" s="133" t="s">
        <v>660</v>
      </c>
      <c r="K179" s="133"/>
      <c r="L179" s="128" t="str">
        <f t="shared" si="2"/>
        <v>SpellData.create(SID_ARMAGEDDON_SCROLL,"末日审判",0,0,1,OrderId("channel"),1,ORDER_TYPE_IMMEDIATE);</v>
      </c>
      <c r="M179" s="133"/>
      <c r="N179" s="133"/>
      <c r="O179" s="133"/>
      <c r="P179" s="133"/>
      <c r="Q179" s="133"/>
      <c r="R179" s="133"/>
      <c r="S179" s="133"/>
      <c r="T179" s="133"/>
      <c r="U179" s="133"/>
      <c r="V179" s="133"/>
      <c r="W179" s="133"/>
      <c r="X179" s="133"/>
      <c r="Y179" s="133"/>
    </row>
    <row r="180" spans="1:25">
      <c r="A180" s="133"/>
      <c r="B180" s="133" t="s">
        <v>814</v>
      </c>
      <c r="C180" s="133" t="s">
        <v>813</v>
      </c>
      <c r="D180" s="133" t="s">
        <v>812</v>
      </c>
      <c r="E180" s="133">
        <v>0</v>
      </c>
      <c r="F180" s="133">
        <v>0</v>
      </c>
      <c r="G180" s="133">
        <v>1</v>
      </c>
      <c r="H180" s="133" t="s">
        <v>661</v>
      </c>
      <c r="I180" s="133">
        <v>1</v>
      </c>
      <c r="J180" s="133" t="s">
        <v>660</v>
      </c>
      <c r="K180" s="133"/>
      <c r="L180" s="128" t="str">
        <f t="shared" si="2"/>
        <v>SpellData.create(SID_ARANS_COUNTER_SPELL_SCROLL,"埃兰的反制卷轴",0,0,1,OrderId("channel"),1,ORDER_TYPE_IMMEDIATE);</v>
      </c>
      <c r="M180" s="133"/>
      <c r="N180" s="133"/>
      <c r="O180" s="133"/>
      <c r="P180" s="133"/>
      <c r="Q180" s="133"/>
      <c r="R180" s="133"/>
      <c r="S180" s="133"/>
      <c r="T180" s="133"/>
      <c r="U180" s="133"/>
      <c r="V180" s="133"/>
      <c r="W180" s="133"/>
      <c r="X180" s="133"/>
      <c r="Y180" s="133"/>
    </row>
    <row r="181" spans="1:25">
      <c r="A181" s="133"/>
      <c r="B181" s="133" t="s">
        <v>811</v>
      </c>
      <c r="C181" s="133" t="s">
        <v>810</v>
      </c>
      <c r="D181" s="133" t="s">
        <v>809</v>
      </c>
      <c r="E181" s="133">
        <v>0</v>
      </c>
      <c r="F181" s="133">
        <v>0</v>
      </c>
      <c r="G181" s="133">
        <v>1</v>
      </c>
      <c r="H181" s="133" t="s">
        <v>661</v>
      </c>
      <c r="I181" s="133">
        <v>1</v>
      </c>
      <c r="J181" s="133" t="s">
        <v>660</v>
      </c>
      <c r="K181" s="133"/>
      <c r="L181" s="128" t="str">
        <f t="shared" si="2"/>
        <v>SpellData.create(SID_BANSHEE_SCROLL,"女妖之嚎卷轴",0,0,1,OrderId("channel"),1,ORDER_TYPE_IMMEDIATE);</v>
      </c>
      <c r="M181" s="133"/>
      <c r="N181" s="133"/>
      <c r="O181" s="133"/>
      <c r="P181" s="133"/>
      <c r="Q181" s="133"/>
      <c r="R181" s="133"/>
      <c r="S181" s="133"/>
      <c r="T181" s="133"/>
      <c r="U181" s="133"/>
      <c r="V181" s="133"/>
      <c r="W181" s="133"/>
      <c r="X181" s="133"/>
      <c r="Y181" s="133"/>
    </row>
    <row r="182" spans="1:25">
      <c r="A182" s="133"/>
      <c r="B182" s="133" t="s">
        <v>808</v>
      </c>
      <c r="C182" s="133" t="s">
        <v>807</v>
      </c>
      <c r="D182" s="133" t="s">
        <v>806</v>
      </c>
      <c r="E182" s="133">
        <v>0</v>
      </c>
      <c r="F182" s="133">
        <v>0</v>
      </c>
      <c r="G182" s="133">
        <v>1</v>
      </c>
      <c r="H182" s="133" t="s">
        <v>661</v>
      </c>
      <c r="I182" s="133">
        <v>1</v>
      </c>
      <c r="J182" s="133" t="s">
        <v>660</v>
      </c>
      <c r="K182" s="133"/>
      <c r="L182" s="128" t="str">
        <f t="shared" si="2"/>
        <v>SpellData.create(SID_CORRUPTION_SCROLL,"腐蚀卷轴",0,0,1,OrderId("channel"),1,ORDER_TYPE_IMMEDIATE);</v>
      </c>
      <c r="M182" s="133"/>
      <c r="N182" s="133"/>
      <c r="O182" s="133"/>
      <c r="P182" s="133"/>
      <c r="Q182" s="133"/>
      <c r="R182" s="133"/>
      <c r="S182" s="133"/>
      <c r="T182" s="133"/>
      <c r="U182" s="133"/>
      <c r="V182" s="133"/>
      <c r="W182" s="133"/>
      <c r="X182" s="133"/>
      <c r="Y182" s="133"/>
    </row>
    <row r="183" spans="1:25">
      <c r="A183" s="133"/>
      <c r="B183" s="133" t="s">
        <v>805</v>
      </c>
      <c r="C183" s="133" t="s">
        <v>804</v>
      </c>
      <c r="D183" s="133" t="s">
        <v>803</v>
      </c>
      <c r="E183" s="133">
        <v>0</v>
      </c>
      <c r="F183" s="133">
        <v>0</v>
      </c>
      <c r="G183" s="133">
        <v>1</v>
      </c>
      <c r="H183" s="133" t="s">
        <v>661</v>
      </c>
      <c r="I183" s="133">
        <v>1</v>
      </c>
      <c r="J183" s="133" t="s">
        <v>660</v>
      </c>
      <c r="K183" s="133"/>
      <c r="L183" s="128" t="str">
        <f t="shared" si="2"/>
        <v>SpellData.create(SID_DEFEND_SCROLL,"守护卷轴",0,0,1,OrderId("channel"),1,ORDER_TYPE_IMMEDIATE);</v>
      </c>
      <c r="M183" s="133"/>
      <c r="N183" s="133"/>
      <c r="O183" s="133"/>
      <c r="P183" s="133"/>
      <c r="Q183" s="133"/>
      <c r="R183" s="133"/>
      <c r="S183" s="133"/>
      <c r="T183" s="133"/>
      <c r="U183" s="133"/>
      <c r="V183" s="133"/>
      <c r="W183" s="133"/>
      <c r="X183" s="133"/>
      <c r="Y183" s="133"/>
    </row>
    <row r="184" spans="1:25">
      <c r="A184" s="133"/>
      <c r="B184" s="133" t="s">
        <v>802</v>
      </c>
      <c r="C184" s="133" t="s">
        <v>801</v>
      </c>
      <c r="D184" s="133" t="s">
        <v>800</v>
      </c>
      <c r="E184" s="133">
        <v>0</v>
      </c>
      <c r="F184" s="133">
        <v>0</v>
      </c>
      <c r="G184" s="133">
        <v>1</v>
      </c>
      <c r="H184" s="133" t="s">
        <v>661</v>
      </c>
      <c r="I184" s="133">
        <v>1</v>
      </c>
      <c r="J184" s="133" t="s">
        <v>660</v>
      </c>
      <c r="K184" s="133"/>
      <c r="L184" s="128" t="str">
        <f t="shared" si="2"/>
        <v>SpellData.create(SID_FRENZY_SCROLL,"狂热卷轴",0,0,1,OrderId("channel"),1,ORDER_TYPE_IMMEDIATE);</v>
      </c>
      <c r="M184" s="133"/>
      <c r="N184" s="133"/>
      <c r="O184" s="133"/>
      <c r="P184" s="133"/>
      <c r="Q184" s="133"/>
      <c r="R184" s="133"/>
      <c r="S184" s="133"/>
      <c r="T184" s="133"/>
      <c r="U184" s="133"/>
      <c r="V184" s="133"/>
      <c r="W184" s="133"/>
      <c r="X184" s="133"/>
      <c r="Y184" s="133"/>
    </row>
    <row r="185" spans="1:25">
      <c r="A185" s="133"/>
      <c r="B185" s="133" t="s">
        <v>799</v>
      </c>
      <c r="C185" s="133" t="s">
        <v>798</v>
      </c>
      <c r="D185" s="133" t="s">
        <v>797</v>
      </c>
      <c r="E185" s="133">
        <v>0</v>
      </c>
      <c r="F185" s="133">
        <v>0</v>
      </c>
      <c r="G185" s="133">
        <v>1</v>
      </c>
      <c r="H185" s="133" t="s">
        <v>661</v>
      </c>
      <c r="I185" s="133">
        <v>1</v>
      </c>
      <c r="J185" s="133" t="s">
        <v>660</v>
      </c>
      <c r="K185" s="133"/>
      <c r="L185" s="128" t="str">
        <f t="shared" si="2"/>
        <v>SpellData.create(SID_HEAL_SCROLL,"医疗卷轴",0,0,1,OrderId("channel"),1,ORDER_TYPE_IMMEDIATE);</v>
      </c>
      <c r="M185" s="133"/>
      <c r="N185" s="133"/>
      <c r="O185" s="133"/>
      <c r="P185" s="133"/>
      <c r="Q185" s="133"/>
      <c r="R185" s="133"/>
      <c r="S185" s="133"/>
      <c r="T185" s="133"/>
      <c r="U185" s="133"/>
      <c r="V185" s="133"/>
      <c r="W185" s="133"/>
      <c r="X185" s="133"/>
      <c r="Y185" s="133"/>
    </row>
    <row r="186" spans="1:25">
      <c r="A186" s="133"/>
      <c r="B186" s="133" t="s">
        <v>796</v>
      </c>
      <c r="C186" s="133" t="s">
        <v>795</v>
      </c>
      <c r="D186" s="133" t="s">
        <v>794</v>
      </c>
      <c r="E186" s="133">
        <v>0</v>
      </c>
      <c r="F186" s="133">
        <v>0</v>
      </c>
      <c r="G186" s="133">
        <v>1</v>
      </c>
      <c r="H186" s="133" t="s">
        <v>661</v>
      </c>
      <c r="I186" s="133">
        <v>1</v>
      </c>
      <c r="J186" s="133" t="s">
        <v>660</v>
      </c>
      <c r="K186" s="133"/>
      <c r="L186" s="128" t="str">
        <f t="shared" si="2"/>
        <v>SpellData.create(SID_MANA_SCROLL,"魔法卷轴",0,0,1,OrderId("channel"),1,ORDER_TYPE_IMMEDIATE);</v>
      </c>
      <c r="M186" s="133"/>
      <c r="N186" s="133"/>
      <c r="O186" s="133"/>
      <c r="P186" s="133"/>
      <c r="Q186" s="133"/>
      <c r="R186" s="133"/>
      <c r="S186" s="133"/>
      <c r="T186" s="133"/>
      <c r="U186" s="133"/>
      <c r="V186" s="133"/>
      <c r="W186" s="133"/>
      <c r="X186" s="133"/>
      <c r="Y186" s="133"/>
    </row>
    <row r="187" spans="1:25">
      <c r="A187" s="133"/>
      <c r="B187" s="133" t="s">
        <v>793</v>
      </c>
      <c r="C187" s="133" t="s">
        <v>792</v>
      </c>
      <c r="D187" s="133" t="s">
        <v>791</v>
      </c>
      <c r="E187" s="133">
        <v>0</v>
      </c>
      <c r="F187" s="133">
        <v>0</v>
      </c>
      <c r="G187" s="133">
        <v>1</v>
      </c>
      <c r="H187" s="133" t="s">
        <v>661</v>
      </c>
      <c r="I187" s="133">
        <v>1</v>
      </c>
      <c r="J187" s="133" t="s">
        <v>660</v>
      </c>
      <c r="K187" s="133"/>
      <c r="L187" s="128" t="str">
        <f t="shared" si="2"/>
        <v>SpellData.create(SID_MASS_DISPEL_SCROLL,"大型驱魔卷轴",0,0,1,OrderId("channel"),1,ORDER_TYPE_IMMEDIATE);</v>
      </c>
      <c r="M187" s="133"/>
      <c r="N187" s="133"/>
      <c r="O187" s="133"/>
      <c r="P187" s="133"/>
      <c r="Q187" s="133"/>
      <c r="R187" s="133"/>
      <c r="S187" s="133"/>
      <c r="T187" s="133"/>
      <c r="U187" s="133"/>
      <c r="V187" s="133"/>
      <c r="W187" s="133"/>
      <c r="X187" s="133"/>
      <c r="Y187" s="133"/>
    </row>
    <row r="188" spans="1:25">
      <c r="A188" s="133"/>
      <c r="B188" s="133" t="s">
        <v>790</v>
      </c>
      <c r="C188" s="133" t="s">
        <v>789</v>
      </c>
      <c r="D188" s="133" t="s">
        <v>788</v>
      </c>
      <c r="E188" s="133">
        <v>0</v>
      </c>
      <c r="F188" s="133">
        <v>0</v>
      </c>
      <c r="G188" s="133">
        <v>1</v>
      </c>
      <c r="H188" s="133" t="s">
        <v>661</v>
      </c>
      <c r="I188" s="133">
        <v>1</v>
      </c>
      <c r="J188" s="133" t="s">
        <v>660</v>
      </c>
      <c r="K188" s="133"/>
      <c r="L188" s="128" t="str">
        <f t="shared" si="2"/>
        <v>SpellData.create(SID_MASS_TELEPORT_SCROLL,"群体传送卷轴",0,0,1,OrderId("channel"),1,ORDER_TYPE_IMMEDIATE);</v>
      </c>
      <c r="M188" s="133"/>
      <c r="N188" s="133"/>
      <c r="O188" s="133"/>
      <c r="P188" s="133"/>
      <c r="Q188" s="133"/>
      <c r="R188" s="133"/>
      <c r="S188" s="133"/>
      <c r="T188" s="133"/>
      <c r="U188" s="133"/>
      <c r="V188" s="133"/>
      <c r="W188" s="133"/>
      <c r="X188" s="133"/>
      <c r="Y188" s="133"/>
    </row>
    <row r="189" spans="1:25">
      <c r="A189" s="133"/>
      <c r="B189" s="133" t="s">
        <v>787</v>
      </c>
      <c r="C189" s="133" t="s">
        <v>786</v>
      </c>
      <c r="D189" s="133" t="s">
        <v>785</v>
      </c>
      <c r="E189" s="133">
        <v>0</v>
      </c>
      <c r="F189" s="133">
        <v>0</v>
      </c>
      <c r="G189" s="133">
        <v>1</v>
      </c>
      <c r="H189" s="133" t="s">
        <v>661</v>
      </c>
      <c r="I189" s="133">
        <v>1</v>
      </c>
      <c r="J189" s="133" t="s">
        <v>660</v>
      </c>
      <c r="K189" s="133"/>
      <c r="L189" s="128" t="str">
        <f t="shared" si="2"/>
        <v>SpellData.create(SID_ROAR_SCROLL,"野兽卷轴",0,0,1,OrderId("channel"),1,ORDER_TYPE_IMMEDIATE);</v>
      </c>
      <c r="M189" s="133"/>
      <c r="N189" s="133"/>
      <c r="O189" s="133"/>
      <c r="P189" s="133"/>
      <c r="Q189" s="133"/>
      <c r="R189" s="133"/>
      <c r="S189" s="133"/>
      <c r="T189" s="133"/>
      <c r="U189" s="133"/>
      <c r="V189" s="133"/>
      <c r="W189" s="133"/>
      <c r="X189" s="133"/>
      <c r="Y189" s="133"/>
    </row>
    <row r="190" spans="1:25">
      <c r="A190" s="133"/>
      <c r="B190" s="133" t="s">
        <v>784</v>
      </c>
      <c r="C190" s="133" t="s">
        <v>783</v>
      </c>
      <c r="D190" s="133" t="s">
        <v>782</v>
      </c>
      <c r="E190" s="133">
        <v>0</v>
      </c>
      <c r="F190" s="133">
        <v>0</v>
      </c>
      <c r="G190" s="133">
        <v>1</v>
      </c>
      <c r="H190" s="133" t="s">
        <v>661</v>
      </c>
      <c r="I190" s="133">
        <v>1</v>
      </c>
      <c r="J190" s="133" t="s">
        <v>660</v>
      </c>
      <c r="K190" s="133"/>
      <c r="L190" s="128" t="str">
        <f t="shared" si="2"/>
        <v>SpellData.create(SID_SANCTUARY_SCROLL,"庇护所卷轴",0,0,1,OrderId("channel"),1,ORDER_TYPE_IMMEDIATE);</v>
      </c>
      <c r="M190" s="133"/>
      <c r="N190" s="133"/>
      <c r="O190" s="133"/>
      <c r="P190" s="133"/>
      <c r="Q190" s="133"/>
      <c r="R190" s="133"/>
      <c r="S190" s="133"/>
      <c r="T190" s="133"/>
      <c r="U190" s="133"/>
      <c r="V190" s="133"/>
      <c r="W190" s="133"/>
      <c r="X190" s="133"/>
      <c r="Y190" s="133"/>
    </row>
    <row r="191" spans="1:25">
      <c r="A191" s="133"/>
      <c r="B191" s="133" t="s">
        <v>781</v>
      </c>
      <c r="C191" s="133" t="s">
        <v>780</v>
      </c>
      <c r="D191" s="133" t="s">
        <v>779</v>
      </c>
      <c r="E191" s="133">
        <v>0</v>
      </c>
      <c r="F191" s="133">
        <v>0</v>
      </c>
      <c r="G191" s="133">
        <v>1</v>
      </c>
      <c r="H191" s="133" t="s">
        <v>661</v>
      </c>
      <c r="I191" s="133">
        <v>1</v>
      </c>
      <c r="J191" s="133" t="s">
        <v>660</v>
      </c>
      <c r="K191" s="133"/>
      <c r="L191" s="128" t="str">
        <f t="shared" si="2"/>
        <v>SpellData.create(SID_SLAYER_SCROLL,"杀戮卷轴",0,0,1,OrderId("channel"),1,ORDER_TYPE_IMMEDIATE);</v>
      </c>
      <c r="M191" s="133"/>
      <c r="N191" s="133"/>
      <c r="O191" s="133"/>
      <c r="P191" s="133"/>
      <c r="Q191" s="133"/>
      <c r="R191" s="133"/>
      <c r="S191" s="133"/>
      <c r="T191" s="133"/>
      <c r="U191" s="133"/>
      <c r="V191" s="133"/>
      <c r="W191" s="133"/>
      <c r="X191" s="133"/>
      <c r="Y191" s="133"/>
    </row>
    <row r="192" spans="1:25">
      <c r="A192" s="133"/>
      <c r="B192" s="133" t="s">
        <v>778</v>
      </c>
      <c r="C192" s="133" t="s">
        <v>777</v>
      </c>
      <c r="D192" s="133" t="s">
        <v>776</v>
      </c>
      <c r="E192" s="133">
        <v>0</v>
      </c>
      <c r="F192" s="133">
        <v>0</v>
      </c>
      <c r="G192" s="133">
        <v>1</v>
      </c>
      <c r="H192" s="133" t="s">
        <v>661</v>
      </c>
      <c r="I192" s="133">
        <v>1</v>
      </c>
      <c r="J192" s="133" t="s">
        <v>660</v>
      </c>
      <c r="K192" s="133"/>
      <c r="L192" s="128" t="str">
        <f t="shared" si="2"/>
        <v>SpellData.create(SID_SPEED_SCROLL,"加速卷轴",0,0,1,OrderId("channel"),1,ORDER_TYPE_IMMEDIATE);</v>
      </c>
      <c r="M192" s="133"/>
      <c r="N192" s="133"/>
      <c r="O192" s="133"/>
      <c r="P192" s="133"/>
      <c r="Q192" s="133"/>
      <c r="R192" s="133"/>
      <c r="S192" s="133"/>
      <c r="T192" s="133"/>
      <c r="U192" s="133"/>
      <c r="V192" s="133"/>
      <c r="W192" s="133"/>
      <c r="X192" s="133"/>
      <c r="Y192" s="133"/>
    </row>
    <row r="193" spans="1:25">
      <c r="A193" s="133"/>
      <c r="B193" s="133" t="s">
        <v>775</v>
      </c>
      <c r="C193" s="133" t="s">
        <v>774</v>
      </c>
      <c r="D193" s="133" t="s">
        <v>773</v>
      </c>
      <c r="E193" s="133">
        <v>0</v>
      </c>
      <c r="F193" s="133">
        <v>0</v>
      </c>
      <c r="G193" s="133">
        <v>1</v>
      </c>
      <c r="H193" s="133" t="s">
        <v>661</v>
      </c>
      <c r="I193" s="133">
        <v>1</v>
      </c>
      <c r="J193" s="133" t="s">
        <v>660</v>
      </c>
      <c r="K193" s="133"/>
      <c r="L193" s="128" t="str">
        <f t="shared" si="2"/>
        <v>SpellData.create(SID_SPELL_REFLECTION_SCROLL,"绝缘卷轴",0,0,1,OrderId("channel"),1,ORDER_TYPE_IMMEDIATE);</v>
      </c>
      <c r="M193" s="133"/>
      <c r="N193" s="133"/>
      <c r="O193" s="133"/>
      <c r="P193" s="133"/>
      <c r="Q193" s="133"/>
      <c r="R193" s="133"/>
      <c r="S193" s="133"/>
      <c r="T193" s="133"/>
      <c r="U193" s="133"/>
      <c r="V193" s="133"/>
      <c r="W193" s="133"/>
      <c r="X193" s="133"/>
      <c r="Y193" s="133"/>
    </row>
    <row r="194" spans="1:25">
      <c r="A194" s="133"/>
      <c r="B194" s="133" t="s">
        <v>772</v>
      </c>
      <c r="C194" s="133" t="s">
        <v>771</v>
      </c>
      <c r="D194" s="133" t="s">
        <v>770</v>
      </c>
      <c r="E194" s="133">
        <v>0</v>
      </c>
      <c r="F194" s="133">
        <v>0</v>
      </c>
      <c r="G194" s="133">
        <v>1</v>
      </c>
      <c r="H194" s="133" t="s">
        <v>661</v>
      </c>
      <c r="I194" s="133">
        <v>1</v>
      </c>
      <c r="J194" s="133" t="s">
        <v>660</v>
      </c>
      <c r="K194" s="133"/>
      <c r="L194" s="128" t="str">
        <f t="shared" si="2"/>
        <v>SpellData.create(SID_WEAKEN_CURSE_SCROLL,"虚弱诅咒卷轴",0,0,1,OrderId("channel"),1,ORDER_TYPE_IMMEDIATE);</v>
      </c>
      <c r="M194" s="133"/>
      <c r="N194" s="133"/>
      <c r="O194" s="133"/>
      <c r="P194" s="133"/>
      <c r="Q194" s="133"/>
      <c r="R194" s="133"/>
      <c r="S194" s="133"/>
      <c r="T194" s="133"/>
      <c r="U194" s="133"/>
      <c r="V194" s="133"/>
      <c r="W194" s="133"/>
      <c r="X194" s="133"/>
      <c r="Y194" s="133"/>
    </row>
    <row r="195" spans="1:25">
      <c r="A195" s="134"/>
      <c r="B195" s="134" t="s">
        <v>769</v>
      </c>
      <c r="C195" s="134" t="s">
        <v>768</v>
      </c>
      <c r="D195" s="134" t="s">
        <v>767</v>
      </c>
      <c r="E195" s="134">
        <v>0</v>
      </c>
      <c r="F195" s="134">
        <v>0</v>
      </c>
      <c r="G195" s="134">
        <v>1</v>
      </c>
      <c r="H195" s="134" t="s">
        <v>661</v>
      </c>
      <c r="I195" s="134">
        <v>1</v>
      </c>
      <c r="J195" s="134" t="s">
        <v>660</v>
      </c>
      <c r="K195" s="134"/>
      <c r="L195" s="128" t="str">
        <f t="shared" si="2"/>
        <v>SpellData.create(SID_LIFE_POTION,"生命药水",0,0,1,OrderId("channel"),1,ORDER_TYPE_IMMEDIATE);</v>
      </c>
      <c r="M195" s="134"/>
      <c r="N195" s="134"/>
      <c r="O195" s="134"/>
      <c r="P195" s="134"/>
      <c r="Q195" s="134"/>
      <c r="R195" s="134"/>
      <c r="S195" s="134"/>
      <c r="T195" s="134"/>
      <c r="U195" s="134"/>
      <c r="V195" s="134"/>
      <c r="W195" s="134"/>
      <c r="X195" s="134"/>
      <c r="Y195" s="134"/>
    </row>
    <row r="196" spans="1:25">
      <c r="A196" s="134"/>
      <c r="B196" s="134" t="s">
        <v>766</v>
      </c>
      <c r="C196" s="134" t="s">
        <v>765</v>
      </c>
      <c r="D196" s="134" t="s">
        <v>764</v>
      </c>
      <c r="E196" s="134">
        <v>0</v>
      </c>
      <c r="F196" s="134">
        <v>0</v>
      </c>
      <c r="G196" s="134">
        <v>1</v>
      </c>
      <c r="H196" s="134" t="s">
        <v>661</v>
      </c>
      <c r="I196" s="134">
        <v>1</v>
      </c>
      <c r="J196" s="134" t="s">
        <v>660</v>
      </c>
      <c r="K196" s="134"/>
      <c r="L196" s="128" t="str">
        <f t="shared" si="2"/>
        <v>SpellData.create(SID_MANA_POTION,"魔法药水",0,0,1,OrderId("channel"),1,ORDER_TYPE_IMMEDIATE);</v>
      </c>
      <c r="M196" s="134"/>
      <c r="N196" s="134"/>
      <c r="O196" s="134"/>
      <c r="P196" s="134"/>
      <c r="Q196" s="134"/>
      <c r="R196" s="134"/>
      <c r="S196" s="134"/>
      <c r="T196" s="134"/>
      <c r="U196" s="134"/>
      <c r="V196" s="134"/>
      <c r="W196" s="134"/>
      <c r="X196" s="134"/>
      <c r="Y196" s="134"/>
    </row>
    <row r="197" spans="1:25">
      <c r="A197" s="134"/>
      <c r="B197" s="134" t="s">
        <v>763</v>
      </c>
      <c r="C197" s="134" t="s">
        <v>762</v>
      </c>
      <c r="D197" s="134" t="s">
        <v>761</v>
      </c>
      <c r="E197" s="134">
        <v>0</v>
      </c>
      <c r="F197" s="134">
        <v>0</v>
      </c>
      <c r="G197" s="134">
        <v>1</v>
      </c>
      <c r="H197" s="134" t="s">
        <v>661</v>
      </c>
      <c r="I197" s="134">
        <v>1</v>
      </c>
      <c r="J197" s="134" t="s">
        <v>660</v>
      </c>
      <c r="K197" s="134"/>
      <c r="L197" s="128" t="str">
        <f t="shared" si="2"/>
        <v>SpellData.create(SID_LEECH_POTION,"吸血药水",0,0,1,OrderId("channel"),1,ORDER_TYPE_IMMEDIATE);</v>
      </c>
      <c r="M197" s="134"/>
      <c r="N197" s="134"/>
      <c r="O197" s="134"/>
      <c r="P197" s="134"/>
      <c r="Q197" s="134"/>
      <c r="R197" s="134"/>
      <c r="S197" s="134"/>
      <c r="T197" s="134"/>
      <c r="U197" s="134"/>
      <c r="V197" s="134"/>
      <c r="W197" s="134"/>
      <c r="X197" s="134"/>
      <c r="Y197" s="134"/>
    </row>
    <row r="198" spans="1:25">
      <c r="A198" s="134"/>
      <c r="B198" s="134" t="s">
        <v>760</v>
      </c>
      <c r="C198" s="134" t="s">
        <v>759</v>
      </c>
      <c r="D198" s="134" t="s">
        <v>758</v>
      </c>
      <c r="E198" s="134">
        <v>0</v>
      </c>
      <c r="F198" s="134">
        <v>0</v>
      </c>
      <c r="G198" s="134">
        <v>1</v>
      </c>
      <c r="H198" s="134" t="s">
        <v>661</v>
      </c>
      <c r="I198" s="134">
        <v>1</v>
      </c>
      <c r="J198" s="134" t="s">
        <v>660</v>
      </c>
      <c r="K198" s="134"/>
      <c r="L198" s="128" t="str">
        <f t="shared" si="2"/>
        <v>SpellData.create(SID_LIFE_REGEN_POTION,"再生药水",0,0,1,OrderId("channel"),1,ORDER_TYPE_IMMEDIATE);</v>
      </c>
      <c r="M198" s="134"/>
      <c r="N198" s="134"/>
      <c r="O198" s="134"/>
      <c r="P198" s="134"/>
      <c r="Q198" s="134"/>
      <c r="R198" s="134"/>
      <c r="S198" s="134"/>
      <c r="T198" s="134"/>
      <c r="U198" s="134"/>
      <c r="V198" s="134"/>
      <c r="W198" s="134"/>
      <c r="X198" s="134"/>
      <c r="Y198" s="134"/>
    </row>
    <row r="199" spans="1:25">
      <c r="A199" s="134"/>
      <c r="B199" s="134" t="s">
        <v>757</v>
      </c>
      <c r="C199" s="134" t="s">
        <v>756</v>
      </c>
      <c r="D199" s="134" t="s">
        <v>755</v>
      </c>
      <c r="E199" s="134">
        <v>0</v>
      </c>
      <c r="F199" s="134">
        <v>0</v>
      </c>
      <c r="G199" s="134">
        <v>1</v>
      </c>
      <c r="H199" s="134" t="s">
        <v>661</v>
      </c>
      <c r="I199" s="134">
        <v>1</v>
      </c>
      <c r="J199" s="134" t="s">
        <v>660</v>
      </c>
      <c r="K199" s="134"/>
      <c r="L199" s="128" t="str">
        <f t="shared" si="2"/>
        <v>SpellData.create(SID_MANA_REGEN_POTION,"清晰预兆药水",0,0,1,OrderId("channel"),1,ORDER_TYPE_IMMEDIATE);</v>
      </c>
      <c r="M199" s="134"/>
      <c r="N199" s="134"/>
      <c r="O199" s="134"/>
      <c r="P199" s="134"/>
      <c r="Q199" s="134"/>
      <c r="R199" s="134"/>
      <c r="S199" s="134"/>
      <c r="T199" s="134"/>
      <c r="U199" s="134"/>
      <c r="V199" s="134"/>
      <c r="W199" s="134"/>
      <c r="X199" s="134"/>
      <c r="Y199" s="134"/>
    </row>
    <row r="200" spans="1:25">
      <c r="A200" s="134"/>
      <c r="B200" s="134" t="s">
        <v>754</v>
      </c>
      <c r="C200" s="134" t="s">
        <v>753</v>
      </c>
      <c r="D200" s="134" t="s">
        <v>752</v>
      </c>
      <c r="E200" s="134">
        <v>0</v>
      </c>
      <c r="F200" s="134">
        <v>0</v>
      </c>
      <c r="G200" s="134">
        <v>1</v>
      </c>
      <c r="H200" s="134" t="s">
        <v>661</v>
      </c>
      <c r="I200" s="134">
        <v>1</v>
      </c>
      <c r="J200" s="134" t="s">
        <v>660</v>
      </c>
      <c r="K200" s="134"/>
      <c r="L200" s="128" t="str">
        <f t="shared" si="2"/>
        <v>SpellData.create(SID_MANA_SOURCE_POTION,"魔力之源",0,0,1,OrderId("channel"),1,ORDER_TYPE_IMMEDIATE);</v>
      </c>
      <c r="M200" s="134"/>
      <c r="N200" s="134"/>
      <c r="O200" s="134"/>
      <c r="P200" s="134"/>
      <c r="Q200" s="134"/>
      <c r="R200" s="134"/>
      <c r="S200" s="134"/>
      <c r="T200" s="134"/>
      <c r="U200" s="134"/>
      <c r="V200" s="134"/>
      <c r="W200" s="134"/>
      <c r="X200" s="134"/>
      <c r="Y200" s="134"/>
    </row>
    <row r="201" spans="1:25">
      <c r="A201" s="134"/>
      <c r="B201" s="134" t="s">
        <v>751</v>
      </c>
      <c r="C201" s="134" t="s">
        <v>750</v>
      </c>
      <c r="D201" s="134" t="s">
        <v>749</v>
      </c>
      <c r="E201" s="134">
        <v>0</v>
      </c>
      <c r="F201" s="134">
        <v>0</v>
      </c>
      <c r="G201" s="134">
        <v>1</v>
      </c>
      <c r="H201" s="134" t="s">
        <v>661</v>
      </c>
      <c r="I201" s="134">
        <v>1</v>
      </c>
      <c r="J201" s="134" t="s">
        <v>660</v>
      </c>
      <c r="K201" s="134"/>
      <c r="L201" s="128" t="str">
        <f t="shared" si="2"/>
        <v>SpellData.create(SID_TRANQUILITY_POTION,"宁静药水",0,0,1,OrderId("channel"),1,ORDER_TYPE_IMMEDIATE);</v>
      </c>
      <c r="M201" s="134"/>
      <c r="N201" s="134"/>
      <c r="O201" s="134"/>
      <c r="P201" s="134"/>
      <c r="Q201" s="134"/>
      <c r="R201" s="134"/>
      <c r="S201" s="134"/>
      <c r="T201" s="134"/>
      <c r="U201" s="134"/>
      <c r="V201" s="134"/>
      <c r="W201" s="134"/>
      <c r="X201" s="134"/>
      <c r="Y201" s="134"/>
    </row>
    <row r="202" spans="1:25">
      <c r="A202" s="134"/>
      <c r="B202" s="134" t="s">
        <v>748</v>
      </c>
      <c r="C202" s="134" t="s">
        <v>747</v>
      </c>
      <c r="D202" s="134" t="s">
        <v>746</v>
      </c>
      <c r="E202" s="134">
        <v>0</v>
      </c>
      <c r="F202" s="134">
        <v>0</v>
      </c>
      <c r="G202" s="134">
        <v>1</v>
      </c>
      <c r="H202" s="134" t="s">
        <v>661</v>
      </c>
      <c r="I202" s="134">
        <v>1</v>
      </c>
      <c r="J202" s="134" t="s">
        <v>660</v>
      </c>
      <c r="K202" s="134"/>
      <c r="L202" s="128" t="str">
        <f t="shared" si="2"/>
        <v>SpellData.create(SID_BIG_LIFE_POTION,"大生命药水",0,0,1,OrderId("channel"),1,ORDER_TYPE_IMMEDIATE);</v>
      </c>
      <c r="M202" s="134"/>
      <c r="N202" s="134"/>
      <c r="O202" s="134"/>
      <c r="P202" s="134"/>
      <c r="Q202" s="134"/>
      <c r="R202" s="134"/>
      <c r="S202" s="134"/>
      <c r="T202" s="134"/>
      <c r="U202" s="134"/>
      <c r="V202" s="134"/>
      <c r="W202" s="134"/>
      <c r="X202" s="134"/>
      <c r="Y202" s="134"/>
    </row>
    <row r="203" spans="1:25">
      <c r="A203" s="134"/>
      <c r="B203" s="134" t="s">
        <v>745</v>
      </c>
      <c r="C203" s="134" t="s">
        <v>744</v>
      </c>
      <c r="D203" s="134" t="s">
        <v>743</v>
      </c>
      <c r="E203" s="134">
        <v>0</v>
      </c>
      <c r="F203" s="134">
        <v>0</v>
      </c>
      <c r="G203" s="134">
        <v>1</v>
      </c>
      <c r="H203" s="134" t="s">
        <v>661</v>
      </c>
      <c r="I203" s="134">
        <v>1</v>
      </c>
      <c r="J203" s="134" t="s">
        <v>660</v>
      </c>
      <c r="K203" s="134"/>
      <c r="L203" s="128" t="str">
        <f t="shared" si="2"/>
        <v>SpellData.create(SID_ARCH_MAGE_POTION,"魔导师药水",0,0,1,OrderId("channel"),1,ORDER_TYPE_IMMEDIATE);</v>
      </c>
      <c r="M203" s="134"/>
      <c r="N203" s="134"/>
      <c r="O203" s="134"/>
      <c r="P203" s="134"/>
      <c r="Q203" s="134"/>
      <c r="R203" s="134"/>
      <c r="S203" s="134"/>
      <c r="T203" s="134"/>
      <c r="U203" s="134"/>
      <c r="V203" s="134"/>
      <c r="W203" s="134"/>
      <c r="X203" s="134"/>
      <c r="Y203" s="134"/>
    </row>
    <row r="204" spans="1:25">
      <c r="A204" s="134"/>
      <c r="B204" s="134" t="s">
        <v>742</v>
      </c>
      <c r="C204" s="134" t="s">
        <v>741</v>
      </c>
      <c r="D204" s="134" t="s">
        <v>740</v>
      </c>
      <c r="E204" s="134">
        <v>0</v>
      </c>
      <c r="F204" s="134">
        <v>0</v>
      </c>
      <c r="G204" s="134">
        <v>1</v>
      </c>
      <c r="H204" s="134" t="s">
        <v>661</v>
      </c>
      <c r="I204" s="134">
        <v>1</v>
      </c>
      <c r="J204" s="134" t="s">
        <v>660</v>
      </c>
      <c r="K204" s="134"/>
      <c r="L204" s="128" t="str">
        <f t="shared" si="2"/>
        <v>SpellData.create(SID_COMBAT_MASTER_POTION,"战斗大师药水",0,0,1,OrderId("channel"),1,ORDER_TYPE_IMMEDIATE);</v>
      </c>
      <c r="M204" s="134"/>
      <c r="N204" s="134"/>
      <c r="O204" s="134"/>
      <c r="P204" s="134"/>
      <c r="Q204" s="134"/>
      <c r="R204" s="134"/>
      <c r="S204" s="134"/>
      <c r="T204" s="134"/>
      <c r="U204" s="134"/>
      <c r="V204" s="134"/>
      <c r="W204" s="134"/>
      <c r="X204" s="134"/>
      <c r="Y204" s="134"/>
    </row>
    <row r="205" spans="1:25">
      <c r="A205" s="134"/>
      <c r="B205" s="134" t="s">
        <v>739</v>
      </c>
      <c r="C205" s="134" t="s">
        <v>738</v>
      </c>
      <c r="D205" s="134" t="s">
        <v>737</v>
      </c>
      <c r="E205" s="134">
        <v>0</v>
      </c>
      <c r="F205" s="134">
        <v>0</v>
      </c>
      <c r="G205" s="134">
        <v>1</v>
      </c>
      <c r="H205" s="134" t="s">
        <v>661</v>
      </c>
      <c r="I205" s="134">
        <v>1</v>
      </c>
      <c r="J205" s="134" t="s">
        <v>660</v>
      </c>
      <c r="K205" s="134"/>
      <c r="L205" s="128" t="str">
        <f t="shared" si="2"/>
        <v>SpellData.create(SID_EMPERORS_NEW_POTION,"皇帝的新药",0,0,1,OrderId("channel"),1,ORDER_TYPE_IMMEDIATE);</v>
      </c>
      <c r="M205" s="134"/>
      <c r="N205" s="134"/>
      <c r="O205" s="134"/>
      <c r="P205" s="134"/>
      <c r="Q205" s="134"/>
      <c r="R205" s="134"/>
      <c r="S205" s="134"/>
      <c r="T205" s="134"/>
      <c r="U205" s="134"/>
      <c r="V205" s="134"/>
      <c r="W205" s="134"/>
      <c r="X205" s="134"/>
      <c r="Y205" s="134"/>
    </row>
    <row r="206" spans="1:25">
      <c r="A206" s="134"/>
      <c r="B206" s="134" t="s">
        <v>736</v>
      </c>
      <c r="C206" s="134" t="s">
        <v>735</v>
      </c>
      <c r="D206" s="134" t="s">
        <v>734</v>
      </c>
      <c r="E206" s="134">
        <v>0</v>
      </c>
      <c r="F206" s="134">
        <v>0</v>
      </c>
      <c r="G206" s="134">
        <v>1</v>
      </c>
      <c r="H206" s="134" t="s">
        <v>661</v>
      </c>
      <c r="I206" s="134">
        <v>1</v>
      </c>
      <c r="J206" s="134" t="s">
        <v>660</v>
      </c>
      <c r="K206" s="134"/>
      <c r="L206" s="128" t="str">
        <f t="shared" si="2"/>
        <v>SpellData.create(SID_TRANSFER_POTION,"转换药水",0,0,1,OrderId("channel"),1,ORDER_TYPE_IMMEDIATE);</v>
      </c>
      <c r="M206" s="134"/>
      <c r="N206" s="134"/>
      <c r="O206" s="134"/>
      <c r="P206" s="134"/>
      <c r="Q206" s="134"/>
      <c r="R206" s="134"/>
      <c r="S206" s="134"/>
      <c r="T206" s="134"/>
      <c r="U206" s="134"/>
      <c r="V206" s="134"/>
      <c r="W206" s="134"/>
      <c r="X206" s="134"/>
      <c r="Y206" s="134"/>
    </row>
    <row r="207" spans="1:25">
      <c r="A207" s="134"/>
      <c r="B207" s="134" t="s">
        <v>733</v>
      </c>
      <c r="C207" s="134" t="s">
        <v>732</v>
      </c>
      <c r="D207" s="134" t="s">
        <v>731</v>
      </c>
      <c r="E207" s="134">
        <v>0</v>
      </c>
      <c r="F207" s="134">
        <v>0</v>
      </c>
      <c r="G207" s="134">
        <v>1</v>
      </c>
      <c r="H207" s="134" t="s">
        <v>661</v>
      </c>
      <c r="I207" s="134">
        <v>1</v>
      </c>
      <c r="J207" s="134" t="s">
        <v>660</v>
      </c>
      <c r="K207" s="134"/>
      <c r="L207" s="128" t="str">
        <f t="shared" ref="L207:L230" si="9">IF(C207="N/A","//",CONCATENATE("SpellData.create(",B207,",",CHAR(34),C207,CHAR(34),",",F207,",",E207,",",G207,",",H207,",",I207,",",J207,")",K207,";"))</f>
        <v>SpellData.create(SID_SHIELD_POTION,"护盾药水",0,0,1,OrderId("channel"),1,ORDER_TYPE_IMMEDIATE);</v>
      </c>
      <c r="M207" s="134"/>
      <c r="N207" s="134"/>
      <c r="O207" s="134"/>
      <c r="P207" s="134"/>
      <c r="Q207" s="134"/>
      <c r="R207" s="134"/>
      <c r="S207" s="134"/>
      <c r="T207" s="134"/>
      <c r="U207" s="134"/>
      <c r="V207" s="134"/>
      <c r="W207" s="134"/>
      <c r="X207" s="134"/>
      <c r="Y207" s="134"/>
    </row>
    <row r="208" spans="1:25">
      <c r="A208" s="134"/>
      <c r="B208" s="134" t="s">
        <v>730</v>
      </c>
      <c r="C208" s="134" t="s">
        <v>729</v>
      </c>
      <c r="D208" s="134" t="s">
        <v>728</v>
      </c>
      <c r="E208" s="134">
        <v>0</v>
      </c>
      <c r="F208" s="134">
        <v>0</v>
      </c>
      <c r="G208" s="134">
        <v>1</v>
      </c>
      <c r="H208" s="134" t="s">
        <v>661</v>
      </c>
      <c r="I208" s="134">
        <v>1</v>
      </c>
      <c r="J208" s="134" t="s">
        <v>660</v>
      </c>
      <c r="K208" s="134"/>
      <c r="L208" s="128" t="str">
        <f t="shared" si="9"/>
        <v>SpellData.create(SID_FORTRESS_POTION,"壁垒药水",0,0,1,OrderId("channel"),1,ORDER_TYPE_IMMEDIATE);</v>
      </c>
      <c r="M208" s="134"/>
      <c r="N208" s="134"/>
      <c r="O208" s="134"/>
      <c r="P208" s="134"/>
      <c r="Q208" s="134"/>
      <c r="R208" s="134"/>
      <c r="S208" s="134"/>
      <c r="T208" s="134"/>
      <c r="U208" s="134"/>
      <c r="V208" s="134"/>
      <c r="W208" s="134"/>
      <c r="X208" s="134"/>
      <c r="Y208" s="134"/>
    </row>
    <row r="209" spans="1:25">
      <c r="A209" s="134"/>
      <c r="B209" s="134" t="s">
        <v>727</v>
      </c>
      <c r="C209" s="134" t="s">
        <v>726</v>
      </c>
      <c r="D209" s="134" t="s">
        <v>725</v>
      </c>
      <c r="E209" s="134">
        <v>0</v>
      </c>
      <c r="F209" s="134">
        <v>0</v>
      </c>
      <c r="G209" s="134">
        <v>1</v>
      </c>
      <c r="H209" s="134" t="s">
        <v>661</v>
      </c>
      <c r="I209" s="134">
        <v>1</v>
      </c>
      <c r="J209" s="134" t="s">
        <v>660</v>
      </c>
      <c r="K209" s="134"/>
      <c r="L209" s="128" t="str">
        <f t="shared" si="9"/>
        <v>SpellData.create(SID_DODGE_POTION,"闪避药水",0,0,1,OrderId("channel"),1,ORDER_TYPE_IMMEDIATE);</v>
      </c>
      <c r="M209" s="134"/>
      <c r="N209" s="134"/>
      <c r="O209" s="134"/>
      <c r="P209" s="134"/>
      <c r="Q209" s="134"/>
      <c r="R209" s="134"/>
      <c r="S209" s="134"/>
      <c r="T209" s="134"/>
      <c r="U209" s="134"/>
      <c r="V209" s="134"/>
      <c r="W209" s="134"/>
      <c r="X209" s="134"/>
      <c r="Y209" s="134"/>
    </row>
    <row r="210" spans="1:25">
      <c r="A210" s="134"/>
      <c r="B210" s="134" t="s">
        <v>724</v>
      </c>
      <c r="C210" s="134" t="s">
        <v>723</v>
      </c>
      <c r="D210" s="134" t="s">
        <v>722</v>
      </c>
      <c r="E210" s="134">
        <v>0</v>
      </c>
      <c r="F210" s="134">
        <v>0</v>
      </c>
      <c r="G210" s="134">
        <v>1</v>
      </c>
      <c r="H210" s="134" t="s">
        <v>661</v>
      </c>
      <c r="I210" s="134">
        <v>1</v>
      </c>
      <c r="J210" s="134" t="s">
        <v>660</v>
      </c>
      <c r="K210" s="134"/>
      <c r="L210" s="128" t="str">
        <f t="shared" si="9"/>
        <v>SpellData.create(SID_SMALL_INVUL_POTION,"小无敌药水",0,0,1,OrderId("channel"),1,ORDER_TYPE_IMMEDIATE);</v>
      </c>
      <c r="M210" s="134"/>
      <c r="N210" s="134"/>
      <c r="O210" s="134"/>
      <c r="P210" s="134"/>
      <c r="Q210" s="134"/>
      <c r="R210" s="134"/>
      <c r="S210" s="134"/>
      <c r="T210" s="134"/>
      <c r="U210" s="134"/>
      <c r="V210" s="134"/>
      <c r="W210" s="134"/>
      <c r="X210" s="134"/>
      <c r="Y210" s="134"/>
    </row>
    <row r="211" spans="1:25">
      <c r="A211" s="134"/>
      <c r="B211" s="134" t="s">
        <v>721</v>
      </c>
      <c r="C211" s="134" t="s">
        <v>720</v>
      </c>
      <c r="D211" s="134" t="s">
        <v>719</v>
      </c>
      <c r="E211" s="134">
        <v>0</v>
      </c>
      <c r="F211" s="134">
        <v>0</v>
      </c>
      <c r="G211" s="134">
        <v>1</v>
      </c>
      <c r="H211" s="134" t="s">
        <v>661</v>
      </c>
      <c r="I211" s="134">
        <v>1</v>
      </c>
      <c r="J211" s="134" t="s">
        <v>660</v>
      </c>
      <c r="K211" s="134"/>
      <c r="L211" s="128" t="str">
        <f t="shared" si="9"/>
        <v>SpellData.create(SID_INVUL_POTION,"无敌药水",0,0,1,OrderId("channel"),1,ORDER_TYPE_IMMEDIATE);</v>
      </c>
      <c r="M211" s="134"/>
      <c r="N211" s="134"/>
      <c r="O211" s="134"/>
      <c r="P211" s="134"/>
      <c r="Q211" s="134"/>
      <c r="R211" s="134"/>
      <c r="S211" s="134"/>
      <c r="T211" s="134"/>
      <c r="U211" s="134"/>
      <c r="V211" s="134"/>
      <c r="W211" s="134"/>
      <c r="X211" s="134"/>
      <c r="Y211" s="134"/>
    </row>
    <row r="212" spans="1:25">
      <c r="A212" s="134"/>
      <c r="B212" s="134" t="s">
        <v>718</v>
      </c>
      <c r="C212" s="134" t="s">
        <v>717</v>
      </c>
      <c r="D212" s="134" t="s">
        <v>716</v>
      </c>
      <c r="E212" s="134">
        <v>0</v>
      </c>
      <c r="F212" s="134">
        <v>0</v>
      </c>
      <c r="G212" s="134">
        <v>1</v>
      </c>
      <c r="H212" s="134" t="s">
        <v>661</v>
      </c>
      <c r="I212" s="134">
        <v>1</v>
      </c>
      <c r="J212" s="134" t="s">
        <v>660</v>
      </c>
      <c r="K212" s="134"/>
      <c r="L212" s="128" t="str">
        <f t="shared" si="9"/>
        <v>SpellData.create(SID_STONE_SKIN_POTION,"石皮药水",0,0,1,OrderId("channel"),1,ORDER_TYPE_IMMEDIATE);</v>
      </c>
      <c r="M212" s="134"/>
      <c r="N212" s="134"/>
      <c r="O212" s="134"/>
      <c r="P212" s="134"/>
      <c r="Q212" s="134"/>
      <c r="R212" s="134"/>
      <c r="S212" s="134"/>
      <c r="T212" s="134"/>
      <c r="U212" s="134"/>
      <c r="V212" s="134"/>
      <c r="W212" s="134"/>
      <c r="X212" s="134"/>
      <c r="Y212" s="134"/>
    </row>
    <row r="213" spans="1:25">
      <c r="A213" s="134"/>
      <c r="B213" s="134" t="s">
        <v>715</v>
      </c>
      <c r="C213" s="134" t="s">
        <v>714</v>
      </c>
      <c r="D213" s="134" t="s">
        <v>713</v>
      </c>
      <c r="E213" s="134">
        <v>0</v>
      </c>
      <c r="F213" s="134">
        <v>0</v>
      </c>
      <c r="G213" s="134">
        <v>1</v>
      </c>
      <c r="H213" s="134" t="s">
        <v>661</v>
      </c>
      <c r="I213" s="134">
        <v>1</v>
      </c>
      <c r="J213" s="134" t="s">
        <v>660</v>
      </c>
      <c r="K213" s="134"/>
      <c r="L213" s="128" t="str">
        <f t="shared" si="9"/>
        <v>SpellData.create(SID_SPELL_POWER_POTION,"法能药水",0,0,1,OrderId("channel"),1,ORDER_TYPE_IMMEDIATE);</v>
      </c>
      <c r="M213" s="134"/>
      <c r="N213" s="134"/>
      <c r="O213" s="134"/>
      <c r="P213" s="134"/>
      <c r="Q213" s="134"/>
      <c r="R213" s="134"/>
      <c r="S213" s="134"/>
      <c r="T213" s="134"/>
      <c r="U213" s="134"/>
      <c r="V213" s="134"/>
      <c r="W213" s="134"/>
      <c r="X213" s="134"/>
      <c r="Y213" s="134"/>
    </row>
    <row r="214" spans="1:25">
      <c r="A214" s="134"/>
      <c r="B214" s="134" t="s">
        <v>712</v>
      </c>
      <c r="C214" s="134" t="s">
        <v>711</v>
      </c>
      <c r="D214" s="134" t="s">
        <v>710</v>
      </c>
      <c r="E214" s="134">
        <v>0</v>
      </c>
      <c r="F214" s="134">
        <v>0</v>
      </c>
      <c r="G214" s="134">
        <v>1</v>
      </c>
      <c r="H214" s="134" t="s">
        <v>661</v>
      </c>
      <c r="I214" s="134">
        <v>1</v>
      </c>
      <c r="J214" s="134" t="s">
        <v>660</v>
      </c>
      <c r="K214" s="134"/>
      <c r="L214" s="128" t="str">
        <f t="shared" si="9"/>
        <v>SpellData.create(SID_SPELL_MASTER_POTION,"法术掌控药水",0,0,1,OrderId("channel"),1,ORDER_TYPE_IMMEDIATE);</v>
      </c>
      <c r="M214" s="134"/>
      <c r="N214" s="134"/>
      <c r="O214" s="134"/>
      <c r="P214" s="134"/>
      <c r="Q214" s="134"/>
      <c r="R214" s="134"/>
      <c r="S214" s="134"/>
      <c r="T214" s="134"/>
      <c r="U214" s="134"/>
      <c r="V214" s="134"/>
      <c r="W214" s="134"/>
      <c r="X214" s="134"/>
      <c r="Y214" s="134"/>
    </row>
    <row r="215" spans="1:25">
      <c r="A215" s="134"/>
      <c r="B215" s="134" t="s">
        <v>709</v>
      </c>
      <c r="C215" s="134" t="s">
        <v>708</v>
      </c>
      <c r="D215" s="134" t="s">
        <v>707</v>
      </c>
      <c r="E215" s="134">
        <v>0</v>
      </c>
      <c r="F215" s="134">
        <v>0</v>
      </c>
      <c r="G215" s="134">
        <v>1</v>
      </c>
      <c r="H215" s="134" t="s">
        <v>661</v>
      </c>
      <c r="I215" s="134">
        <v>1</v>
      </c>
      <c r="J215" s="134" t="s">
        <v>660</v>
      </c>
      <c r="K215" s="134"/>
      <c r="L215" s="128" t="str">
        <f t="shared" si="9"/>
        <v>SpellData.create(SID_ARCANE_POTION,"秘法药剂",0,0,1,OrderId("channel"),1,ORDER_TYPE_IMMEDIATE);</v>
      </c>
      <c r="M215" s="134"/>
      <c r="N215" s="134"/>
      <c r="O215" s="134"/>
      <c r="P215" s="134"/>
      <c r="Q215" s="134"/>
      <c r="R215" s="134"/>
      <c r="S215" s="134"/>
      <c r="T215" s="134"/>
      <c r="U215" s="134"/>
      <c r="V215" s="134"/>
      <c r="W215" s="134"/>
      <c r="X215" s="134"/>
      <c r="Y215" s="134"/>
    </row>
    <row r="216" spans="1:25">
      <c r="A216" s="134"/>
      <c r="B216" s="134" t="s">
        <v>706</v>
      </c>
      <c r="C216" s="134" t="s">
        <v>705</v>
      </c>
      <c r="D216" s="134" t="s">
        <v>704</v>
      </c>
      <c r="E216" s="134">
        <v>0</v>
      </c>
      <c r="F216" s="134">
        <v>0</v>
      </c>
      <c r="G216" s="134">
        <v>1</v>
      </c>
      <c r="H216" s="134" t="s">
        <v>661</v>
      </c>
      <c r="I216" s="134">
        <v>1</v>
      </c>
      <c r="J216" s="134" t="s">
        <v>660</v>
      </c>
      <c r="K216" s="134"/>
      <c r="L216" s="128" t="str">
        <f t="shared" si="9"/>
        <v>SpellData.create(SID_ANGRY_CAST_POTION,"愤怒施法药水",0,0,1,OrderId("channel"),1,ORDER_TYPE_IMMEDIATE);</v>
      </c>
      <c r="M216" s="134"/>
      <c r="N216" s="134"/>
      <c r="O216" s="134"/>
      <c r="P216" s="134"/>
      <c r="Q216" s="134"/>
      <c r="R216" s="134"/>
      <c r="S216" s="134"/>
      <c r="T216" s="134"/>
      <c r="U216" s="134"/>
      <c r="V216" s="134"/>
      <c r="W216" s="134"/>
      <c r="X216" s="134"/>
      <c r="Y216" s="134"/>
    </row>
    <row r="217" spans="1:25">
      <c r="A217" s="134"/>
      <c r="B217" s="134" t="s">
        <v>703</v>
      </c>
      <c r="C217" s="134" t="s">
        <v>702</v>
      </c>
      <c r="D217" s="134" t="s">
        <v>701</v>
      </c>
      <c r="E217" s="134">
        <v>0</v>
      </c>
      <c r="F217" s="134">
        <v>0</v>
      </c>
      <c r="G217" s="134">
        <v>1</v>
      </c>
      <c r="H217" s="134" t="s">
        <v>661</v>
      </c>
      <c r="I217" s="134">
        <v>1</v>
      </c>
      <c r="J217" s="134" t="s">
        <v>660</v>
      </c>
      <c r="K217" s="134"/>
      <c r="L217" s="128" t="str">
        <f t="shared" si="9"/>
        <v>SpellData.create(SID_SPELL_PIERCE_POTION,"法术穿透药水",0,0,1,OrderId("channel"),1,ORDER_TYPE_IMMEDIATE);</v>
      </c>
      <c r="M217" s="134"/>
      <c r="N217" s="134"/>
      <c r="O217" s="134"/>
      <c r="P217" s="134"/>
      <c r="Q217" s="134"/>
      <c r="R217" s="134"/>
      <c r="S217" s="134"/>
      <c r="T217" s="134"/>
      <c r="U217" s="134"/>
      <c r="V217" s="134"/>
      <c r="W217" s="134"/>
      <c r="X217" s="134"/>
      <c r="Y217" s="134"/>
    </row>
    <row r="218" spans="1:25">
      <c r="A218" s="134"/>
      <c r="B218" s="134" t="s">
        <v>700</v>
      </c>
      <c r="C218" s="134" t="s">
        <v>699</v>
      </c>
      <c r="D218" s="134" t="s">
        <v>698</v>
      </c>
      <c r="E218" s="134">
        <v>0</v>
      </c>
      <c r="F218" s="134">
        <v>0</v>
      </c>
      <c r="G218" s="134">
        <v>1</v>
      </c>
      <c r="H218" s="134" t="s">
        <v>661</v>
      </c>
      <c r="I218" s="134">
        <v>1</v>
      </c>
      <c r="J218" s="134" t="s">
        <v>660</v>
      </c>
      <c r="K218" s="134"/>
      <c r="L218" s="128" t="str">
        <f t="shared" si="9"/>
        <v>SpellData.create(SID_UNSTABLE_POTION,"不稳定的药水",0,0,1,OrderId("channel"),1,ORDER_TYPE_IMMEDIATE);</v>
      </c>
      <c r="M218" s="134"/>
      <c r="N218" s="134"/>
      <c r="O218" s="134"/>
      <c r="P218" s="134"/>
      <c r="Q218" s="134"/>
      <c r="R218" s="134"/>
      <c r="S218" s="134"/>
      <c r="T218" s="134"/>
      <c r="U218" s="134"/>
      <c r="V218" s="134"/>
      <c r="W218" s="134"/>
      <c r="X218" s="134"/>
      <c r="Y218" s="134"/>
    </row>
    <row r="219" spans="1:25">
      <c r="A219" s="134"/>
      <c r="B219" s="134" t="s">
        <v>697</v>
      </c>
      <c r="C219" s="134" t="s">
        <v>696</v>
      </c>
      <c r="D219" s="134" t="s">
        <v>695</v>
      </c>
      <c r="E219" s="134">
        <v>0</v>
      </c>
      <c r="F219" s="134">
        <v>0</v>
      </c>
      <c r="G219" s="134">
        <v>1</v>
      </c>
      <c r="H219" s="134" t="s">
        <v>661</v>
      </c>
      <c r="I219" s="134">
        <v>1</v>
      </c>
      <c r="J219" s="134" t="s">
        <v>660</v>
      </c>
      <c r="K219" s="134"/>
      <c r="L219" s="128" t="str">
        <f t="shared" si="9"/>
        <v>SpellData.create(SID_AGILITY_POTION,"敏捷药水",0,0,1,OrderId("channel"),1,ORDER_TYPE_IMMEDIATE);</v>
      </c>
      <c r="M219" s="134"/>
      <c r="N219" s="134"/>
      <c r="O219" s="134"/>
      <c r="P219" s="134"/>
      <c r="Q219" s="134"/>
      <c r="R219" s="134"/>
      <c r="S219" s="134"/>
      <c r="T219" s="134"/>
      <c r="U219" s="134"/>
      <c r="V219" s="134"/>
      <c r="W219" s="134"/>
      <c r="X219" s="134"/>
      <c r="Y219" s="134"/>
    </row>
    <row r="220" spans="1:25">
      <c r="A220" s="134"/>
      <c r="B220" s="134" t="s">
        <v>694</v>
      </c>
      <c r="C220" s="134" t="s">
        <v>693</v>
      </c>
      <c r="D220" s="134" t="s">
        <v>692</v>
      </c>
      <c r="E220" s="134">
        <v>0</v>
      </c>
      <c r="F220" s="134">
        <v>0</v>
      </c>
      <c r="G220" s="134">
        <v>1</v>
      </c>
      <c r="H220" s="134" t="s">
        <v>661</v>
      </c>
      <c r="I220" s="134">
        <v>1</v>
      </c>
      <c r="J220" s="134" t="s">
        <v>660</v>
      </c>
      <c r="K220" s="134"/>
      <c r="L220" s="128" t="str">
        <f t="shared" si="9"/>
        <v>SpellData.create(SID_ACUTE_POTION,"敏锐药水",0,0,1,OrderId("channel"),1,ORDER_TYPE_IMMEDIATE);</v>
      </c>
      <c r="M220" s="134"/>
      <c r="N220" s="134"/>
      <c r="O220" s="134"/>
      <c r="P220" s="134"/>
      <c r="Q220" s="134"/>
      <c r="R220" s="134"/>
      <c r="S220" s="134"/>
      <c r="T220" s="134"/>
      <c r="U220" s="134"/>
      <c r="V220" s="134"/>
      <c r="W220" s="134"/>
      <c r="X220" s="134"/>
      <c r="Y220" s="134"/>
    </row>
    <row r="221" spans="1:25">
      <c r="A221" s="134"/>
      <c r="B221" s="134" t="s">
        <v>691</v>
      </c>
      <c r="C221" s="134" t="s">
        <v>690</v>
      </c>
      <c r="D221" s="134" t="s">
        <v>689</v>
      </c>
      <c r="E221" s="134">
        <v>0</v>
      </c>
      <c r="F221" s="134">
        <v>0</v>
      </c>
      <c r="G221" s="134">
        <v>1</v>
      </c>
      <c r="H221" s="134" t="s">
        <v>661</v>
      </c>
      <c r="I221" s="134">
        <v>1</v>
      </c>
      <c r="J221" s="134" t="s">
        <v>660</v>
      </c>
      <c r="K221" s="134"/>
      <c r="L221" s="128" t="str">
        <f t="shared" si="9"/>
        <v>SpellData.create(SID_DEXTERITY_POTION,"迅捷药水",0,0,1,OrderId("channel"),1,ORDER_TYPE_IMMEDIATE);</v>
      </c>
      <c r="M221" s="134"/>
      <c r="N221" s="134"/>
      <c r="O221" s="134"/>
      <c r="P221" s="134"/>
      <c r="Q221" s="134"/>
      <c r="R221" s="134"/>
      <c r="S221" s="134"/>
      <c r="T221" s="134"/>
      <c r="U221" s="134"/>
      <c r="V221" s="134"/>
      <c r="W221" s="134"/>
      <c r="X221" s="134"/>
      <c r="Y221" s="134"/>
    </row>
    <row r="222" spans="1:25">
      <c r="A222" s="133"/>
      <c r="B222" s="133" t="s">
        <v>688</v>
      </c>
      <c r="C222" s="133" t="s">
        <v>687</v>
      </c>
      <c r="D222" s="133" t="s">
        <v>686</v>
      </c>
      <c r="E222" s="133">
        <v>0</v>
      </c>
      <c r="F222" s="133">
        <v>0</v>
      </c>
      <c r="G222" s="133">
        <v>1</v>
      </c>
      <c r="H222" s="133" t="s">
        <v>661</v>
      </c>
      <c r="I222" s="133">
        <v>1</v>
      </c>
      <c r="J222" s="133" t="s">
        <v>660</v>
      </c>
      <c r="K222" s="133"/>
      <c r="L222" s="128" t="str">
        <f t="shared" si="9"/>
        <v>SpellData.create(SID_CHARM_OF_SIMPLE_HEAL,"简易治疗符咒",0,0,1,OrderId("channel"),1,ORDER_TYPE_IMMEDIATE);</v>
      </c>
      <c r="M222" s="133"/>
      <c r="N222" s="133"/>
      <c r="O222" s="133"/>
      <c r="P222" s="133"/>
      <c r="Q222" s="133"/>
      <c r="R222" s="133"/>
      <c r="S222" s="133"/>
      <c r="T222" s="133"/>
      <c r="U222" s="133"/>
      <c r="V222" s="133"/>
      <c r="W222" s="133"/>
      <c r="X222" s="133"/>
      <c r="Y222" s="133"/>
    </row>
    <row r="223" spans="1:25">
      <c r="A223" s="133"/>
      <c r="B223" s="133" t="s">
        <v>685</v>
      </c>
      <c r="C223" s="133" t="s">
        <v>684</v>
      </c>
      <c r="D223" s="133" t="s">
        <v>683</v>
      </c>
      <c r="E223" s="133">
        <v>0</v>
      </c>
      <c r="F223" s="133">
        <v>0</v>
      </c>
      <c r="G223" s="133">
        <v>1</v>
      </c>
      <c r="H223" s="133" t="s">
        <v>661</v>
      </c>
      <c r="I223" s="133">
        <v>1</v>
      </c>
      <c r="J223" s="133" t="s">
        <v>660</v>
      </c>
      <c r="K223" s="133"/>
      <c r="L223" s="128" t="str">
        <f t="shared" si="9"/>
        <v>SpellData.create(SID_CHARM_OF_DISPEL,"驱散术符咒",0,0,1,OrderId("channel"),1,ORDER_TYPE_IMMEDIATE);</v>
      </c>
      <c r="M223" s="133"/>
      <c r="N223" s="133"/>
      <c r="O223" s="133"/>
      <c r="P223" s="133"/>
      <c r="Q223" s="133"/>
      <c r="R223" s="133"/>
      <c r="S223" s="133"/>
      <c r="T223" s="133"/>
      <c r="U223" s="133"/>
      <c r="V223" s="133"/>
      <c r="W223" s="133"/>
      <c r="X223" s="133"/>
      <c r="Y223" s="133"/>
    </row>
    <row r="224" spans="1:25">
      <c r="A224" s="133"/>
      <c r="B224" s="133" t="s">
        <v>682</v>
      </c>
      <c r="C224" s="133" t="s">
        <v>681</v>
      </c>
      <c r="D224" s="133" t="s">
        <v>680</v>
      </c>
      <c r="E224" s="133">
        <v>0</v>
      </c>
      <c r="F224" s="133">
        <v>0</v>
      </c>
      <c r="G224" s="133">
        <v>1</v>
      </c>
      <c r="H224" s="133" t="s">
        <v>661</v>
      </c>
      <c r="I224" s="133">
        <v>1</v>
      </c>
      <c r="J224" s="133" t="s">
        <v>660</v>
      </c>
      <c r="K224" s="133"/>
      <c r="L224" s="128" t="str">
        <f t="shared" si="9"/>
        <v>SpellData.create(SID_CHARM_OF_HEALING_WARD,"治疗结界符咒",0,0,1,OrderId("channel"),1,ORDER_TYPE_IMMEDIATE);</v>
      </c>
      <c r="M224" s="133"/>
      <c r="N224" s="133"/>
      <c r="O224" s="133"/>
      <c r="P224" s="133"/>
      <c r="Q224" s="133"/>
      <c r="R224" s="133"/>
      <c r="S224" s="133"/>
      <c r="T224" s="133"/>
      <c r="U224" s="133"/>
      <c r="V224" s="133"/>
      <c r="W224" s="133"/>
      <c r="X224" s="133"/>
      <c r="Y224" s="133"/>
    </row>
    <row r="225" spans="1:25">
      <c r="A225" s="133"/>
      <c r="B225" s="133" t="s">
        <v>679</v>
      </c>
      <c r="C225" s="133" t="s">
        <v>678</v>
      </c>
      <c r="D225" s="133" t="s">
        <v>677</v>
      </c>
      <c r="E225" s="133">
        <v>0</v>
      </c>
      <c r="F225" s="133">
        <v>0</v>
      </c>
      <c r="G225" s="133">
        <v>1</v>
      </c>
      <c r="H225" s="133" t="s">
        <v>661</v>
      </c>
      <c r="I225" s="133">
        <v>1</v>
      </c>
      <c r="J225" s="133" t="s">
        <v>660</v>
      </c>
      <c r="K225" s="133"/>
      <c r="L225" s="128" t="str">
        <f t="shared" si="9"/>
        <v>SpellData.create(SID_CHARM_OF_INNER_FIRE,"心灵之火符咒",0,0,1,OrderId("channel"),1,ORDER_TYPE_IMMEDIATE);</v>
      </c>
      <c r="M225" s="133"/>
      <c r="N225" s="133"/>
      <c r="O225" s="133"/>
      <c r="P225" s="133"/>
      <c r="Q225" s="133"/>
      <c r="R225" s="133"/>
      <c r="S225" s="133"/>
      <c r="T225" s="133"/>
      <c r="U225" s="133"/>
      <c r="V225" s="133"/>
      <c r="W225" s="133"/>
      <c r="X225" s="133"/>
      <c r="Y225" s="133"/>
    </row>
    <row r="226" spans="1:25">
      <c r="A226" s="133"/>
      <c r="B226" s="133" t="s">
        <v>676</v>
      </c>
      <c r="C226" s="133" t="s">
        <v>675</v>
      </c>
      <c r="D226" s="133" t="s">
        <v>674</v>
      </c>
      <c r="E226" s="133">
        <v>0</v>
      </c>
      <c r="F226" s="133">
        <v>0</v>
      </c>
      <c r="G226" s="133">
        <v>1</v>
      </c>
      <c r="H226" s="133" t="s">
        <v>661</v>
      </c>
      <c r="I226" s="133">
        <v>1</v>
      </c>
      <c r="J226" s="133" t="s">
        <v>660</v>
      </c>
      <c r="K226" s="133"/>
      <c r="L226" s="128" t="str">
        <f t="shared" si="9"/>
        <v>SpellData.create(SID_CHARM_OF_CHAIN_LIGHTNING,"闪电链符咒",0,0,1,OrderId("channel"),1,ORDER_TYPE_IMMEDIATE);</v>
      </c>
      <c r="M226" s="133"/>
      <c r="N226" s="133"/>
      <c r="O226" s="133"/>
      <c r="P226" s="133"/>
      <c r="Q226" s="133"/>
      <c r="R226" s="133"/>
      <c r="S226" s="133"/>
      <c r="T226" s="133"/>
      <c r="U226" s="133"/>
      <c r="V226" s="133"/>
      <c r="W226" s="133"/>
      <c r="X226" s="133"/>
      <c r="Y226" s="133"/>
    </row>
    <row r="227" spans="1:25">
      <c r="A227" s="133"/>
      <c r="B227" s="133" t="s">
        <v>673</v>
      </c>
      <c r="C227" s="133" t="s">
        <v>672</v>
      </c>
      <c r="D227" s="133" t="s">
        <v>671</v>
      </c>
      <c r="E227" s="133">
        <v>0</v>
      </c>
      <c r="F227" s="133">
        <v>0</v>
      </c>
      <c r="G227" s="133">
        <v>1</v>
      </c>
      <c r="H227" s="133" t="s">
        <v>661</v>
      </c>
      <c r="I227" s="133">
        <v>1</v>
      </c>
      <c r="J227" s="133" t="s">
        <v>660</v>
      </c>
      <c r="K227" s="133"/>
      <c r="L227" s="128" t="str">
        <f t="shared" si="9"/>
        <v>SpellData.create(SID_CHARM_OF_DEATH_FINGER,"死亡之指符咒",0,0,1,OrderId("channel"),1,ORDER_TYPE_IMMEDIATE);</v>
      </c>
      <c r="M227" s="133"/>
      <c r="N227" s="133"/>
      <c r="O227" s="133"/>
      <c r="P227" s="133"/>
      <c r="Q227" s="133"/>
      <c r="R227" s="133"/>
      <c r="S227" s="133"/>
      <c r="T227" s="133"/>
      <c r="U227" s="133"/>
      <c r="V227" s="133"/>
      <c r="W227" s="133"/>
      <c r="X227" s="133"/>
      <c r="Y227" s="133"/>
    </row>
    <row r="228" spans="1:25">
      <c r="A228" s="133"/>
      <c r="B228" s="133" t="s">
        <v>670</v>
      </c>
      <c r="C228" s="133" t="s">
        <v>669</v>
      </c>
      <c r="D228" s="133" t="s">
        <v>668</v>
      </c>
      <c r="E228" s="133">
        <v>0</v>
      </c>
      <c r="F228" s="133">
        <v>0</v>
      </c>
      <c r="G228" s="133">
        <v>1</v>
      </c>
      <c r="H228" s="133" t="s">
        <v>661</v>
      </c>
      <c r="I228" s="133">
        <v>1</v>
      </c>
      <c r="J228" s="133" t="s">
        <v>660</v>
      </c>
      <c r="K228" s="133"/>
      <c r="L228" s="128" t="str">
        <f t="shared" si="9"/>
        <v>SpellData.create(SID_CHARM_OF_SIPHON_LIFE,"生命虹吸符咒",0,0,1,OrderId("channel"),1,ORDER_TYPE_IMMEDIATE);</v>
      </c>
      <c r="M228" s="133"/>
      <c r="N228" s="133"/>
      <c r="O228" s="133"/>
      <c r="P228" s="133"/>
      <c r="Q228" s="133"/>
      <c r="R228" s="133"/>
      <c r="S228" s="133"/>
      <c r="T228" s="133"/>
      <c r="U228" s="133"/>
      <c r="V228" s="133"/>
      <c r="W228" s="133"/>
      <c r="X228" s="133"/>
      <c r="Y228" s="133"/>
    </row>
    <row r="229" spans="1:25">
      <c r="A229" s="133"/>
      <c r="B229" s="133" t="s">
        <v>667</v>
      </c>
      <c r="C229" s="133" t="s">
        <v>666</v>
      </c>
      <c r="D229" s="133" t="s">
        <v>665</v>
      </c>
      <c r="E229" s="133">
        <v>0</v>
      </c>
      <c r="F229" s="133">
        <v>0</v>
      </c>
      <c r="G229" s="133">
        <v>1</v>
      </c>
      <c r="H229" s="133" t="s">
        <v>661</v>
      </c>
      <c r="I229" s="133">
        <v>1</v>
      </c>
      <c r="J229" s="133" t="s">
        <v>660</v>
      </c>
      <c r="K229" s="133"/>
      <c r="L229" s="128" t="str">
        <f t="shared" si="9"/>
        <v>SpellData.create(SID_DEMONIC_RUNE,"恶魔符文",0,0,1,OrderId("channel"),1,ORDER_TYPE_IMMEDIATE);</v>
      </c>
      <c r="M229" s="133"/>
      <c r="N229" s="133"/>
      <c r="O229" s="133"/>
      <c r="P229" s="133"/>
      <c r="Q229" s="133"/>
      <c r="R229" s="133"/>
      <c r="S229" s="133"/>
      <c r="T229" s="133"/>
      <c r="U229" s="133"/>
      <c r="V229" s="133"/>
      <c r="W229" s="133"/>
      <c r="X229" s="133"/>
      <c r="Y229" s="133"/>
    </row>
    <row r="230" spans="1:25">
      <c r="A230" s="133"/>
      <c r="B230" s="133" t="s">
        <v>664</v>
      </c>
      <c r="C230" s="133" t="s">
        <v>663</v>
      </c>
      <c r="D230" s="133" t="s">
        <v>662</v>
      </c>
      <c r="E230" s="133">
        <v>0</v>
      </c>
      <c r="F230" s="133">
        <v>0</v>
      </c>
      <c r="G230" s="133">
        <v>1</v>
      </c>
      <c r="H230" s="133" t="s">
        <v>661</v>
      </c>
      <c r="I230" s="133">
        <v>1</v>
      </c>
      <c r="J230" s="133" t="s">
        <v>660</v>
      </c>
      <c r="K230" s="133"/>
      <c r="L230" s="128" t="str">
        <f t="shared" si="9"/>
        <v>SpellData.create(SID_STRANGE_WAND,"奇异的魔杖",0,0,1,OrderId("channel"),1,ORDER_TYPE_IMMEDIATE);</v>
      </c>
      <c r="M230" s="133"/>
      <c r="N230" s="133"/>
      <c r="O230" s="133"/>
      <c r="P230" s="133"/>
      <c r="Q230" s="133"/>
      <c r="R230" s="133"/>
      <c r="S230" s="133"/>
      <c r="T230" s="133"/>
      <c r="U230" s="133"/>
      <c r="V230" s="133"/>
      <c r="W230" s="133"/>
      <c r="X230" s="133"/>
      <c r="Y230" s="133"/>
    </row>
    <row r="231" spans="1:25">
      <c r="L231" s="128"/>
    </row>
    <row r="232" spans="1:25">
      <c r="L232" s="128"/>
    </row>
    <row r="233" spans="1:25">
      <c r="L233" s="128"/>
    </row>
    <row r="234" spans="1:25">
      <c r="L234" s="128"/>
    </row>
    <row r="235" spans="1:25">
      <c r="L235" s="128"/>
    </row>
    <row r="236" spans="1:25">
      <c r="L236" s="128"/>
    </row>
    <row r="237" spans="1:25">
      <c r="L237" s="128"/>
    </row>
    <row r="238" spans="1:25">
      <c r="L238" s="128"/>
    </row>
    <row r="239" spans="1:25">
      <c r="L239" s="128"/>
    </row>
    <row r="240" spans="1:25">
      <c r="L240" s="128"/>
    </row>
    <row r="241" spans="12:12">
      <c r="L241" s="128"/>
    </row>
    <row r="242" spans="12:12">
      <c r="L242" s="128"/>
    </row>
    <row r="243" spans="12:12">
      <c r="L243" s="128"/>
    </row>
    <row r="244" spans="12:12">
      <c r="L244" s="128"/>
    </row>
    <row r="245" spans="12:12">
      <c r="L245" s="128"/>
    </row>
    <row r="246" spans="12:12">
      <c r="L246" s="128"/>
    </row>
    <row r="247" spans="12:12">
      <c r="L247" s="128"/>
    </row>
    <row r="248" spans="12:12">
      <c r="L248" s="128"/>
    </row>
    <row r="249" spans="12:12">
      <c r="L249" s="128"/>
    </row>
    <row r="250" spans="12:12">
      <c r="L250" s="128"/>
    </row>
    <row r="251" spans="12:12">
      <c r="L251" s="128"/>
    </row>
    <row r="252" spans="12:12">
      <c r="L252" s="128"/>
    </row>
    <row r="253" spans="12:12">
      <c r="L253" s="128"/>
    </row>
    <row r="254" spans="12:12">
      <c r="L254" s="128"/>
    </row>
    <row r="255" spans="12:12">
      <c r="L255" s="128"/>
    </row>
    <row r="256" spans="12:12">
      <c r="L256" s="128"/>
    </row>
    <row r="257" spans="12:12">
      <c r="L257" s="128"/>
    </row>
    <row r="258" spans="12:12">
      <c r="L258" s="128"/>
    </row>
    <row r="259" spans="12:12">
      <c r="L259" s="128"/>
    </row>
    <row r="260" spans="12:12">
      <c r="L260" s="128"/>
    </row>
    <row r="261" spans="12:12">
      <c r="L261" s="128"/>
    </row>
    <row r="262" spans="12:12">
      <c r="L262" s="128"/>
    </row>
    <row r="263" spans="12:12">
      <c r="L263" s="128"/>
    </row>
    <row r="264" spans="12:12">
      <c r="L264" s="128"/>
    </row>
    <row r="265" spans="12:12">
      <c r="L265" s="128"/>
    </row>
    <row r="266" spans="12:12">
      <c r="L266" s="128"/>
    </row>
    <row r="267" spans="12:12">
      <c r="L267" s="128"/>
    </row>
    <row r="268" spans="12:12">
      <c r="L268" s="128"/>
    </row>
    <row r="269" spans="12:12">
      <c r="L269" s="128"/>
    </row>
    <row r="270" spans="12:12">
      <c r="L270" s="128"/>
    </row>
    <row r="271" spans="12:12">
      <c r="L271" s="128"/>
    </row>
    <row r="272" spans="12:12">
      <c r="L272" s="128"/>
    </row>
    <row r="273" spans="12:12">
      <c r="L273" s="128"/>
    </row>
    <row r="274" spans="12:12">
      <c r="L274" s="128"/>
    </row>
    <row r="275" spans="12:12">
      <c r="L275" s="128"/>
    </row>
    <row r="276" spans="12:12">
      <c r="L276" s="128"/>
    </row>
    <row r="277" spans="12:12">
      <c r="L277" s="128"/>
    </row>
    <row r="278" spans="12:12">
      <c r="L278" s="128"/>
    </row>
    <row r="279" spans="12:12">
      <c r="L279" s="128"/>
    </row>
    <row r="280" spans="12:12">
      <c r="L280" s="128"/>
    </row>
    <row r="281" spans="12:12">
      <c r="L281" s="128"/>
    </row>
    <row r="282" spans="12:12">
      <c r="L282" s="128"/>
    </row>
    <row r="283" spans="12:12">
      <c r="L283" s="128"/>
    </row>
    <row r="284" spans="12:12">
      <c r="L284" s="128"/>
    </row>
    <row r="285" spans="12:12">
      <c r="L285" s="128"/>
    </row>
    <row r="286" spans="12:12">
      <c r="L286" s="128"/>
    </row>
    <row r="287" spans="12:12">
      <c r="L287" s="128"/>
    </row>
    <row r="288" spans="12:12">
      <c r="L288" s="128"/>
    </row>
    <row r="289" spans="12:12">
      <c r="L289" s="128"/>
    </row>
    <row r="290" spans="12:12">
      <c r="L290" s="128"/>
    </row>
    <row r="291" spans="12:12">
      <c r="L291" s="128"/>
    </row>
    <row r="292" spans="12:12">
      <c r="L292" s="128"/>
    </row>
    <row r="293" spans="12:12">
      <c r="L293" s="128"/>
    </row>
    <row r="294" spans="12:12">
      <c r="L294" s="128"/>
    </row>
    <row r="295" spans="12:12">
      <c r="L295" s="128"/>
    </row>
    <row r="296" spans="12:12">
      <c r="L296" s="128"/>
    </row>
    <row r="297" spans="12:12">
      <c r="L297" s="128"/>
    </row>
    <row r="298" spans="12:12">
      <c r="L298" s="128"/>
    </row>
    <row r="299" spans="12:12">
      <c r="L299" s="128"/>
    </row>
    <row r="300" spans="12:12">
      <c r="L300" s="128"/>
    </row>
    <row r="301" spans="12:12">
      <c r="L301" s="128"/>
    </row>
    <row r="302" spans="12:12">
      <c r="L302" s="128"/>
    </row>
    <row r="303" spans="12:12">
      <c r="L303" s="128"/>
    </row>
    <row r="304" spans="12:12">
      <c r="L304" s="128"/>
    </row>
    <row r="305" spans="12:12">
      <c r="L305" s="128"/>
    </row>
    <row r="306" spans="12:12">
      <c r="L306" s="128"/>
    </row>
    <row r="307" spans="12:12">
      <c r="L307" s="128"/>
    </row>
    <row r="308" spans="12:12">
      <c r="L308" s="128"/>
    </row>
    <row r="309" spans="12:12">
      <c r="L309" s="128"/>
    </row>
    <row r="310" spans="12:12">
      <c r="L310" s="128"/>
    </row>
    <row r="311" spans="12:12">
      <c r="L311" s="128"/>
    </row>
    <row r="312" spans="12:12">
      <c r="L312" s="128"/>
    </row>
    <row r="313" spans="12:12">
      <c r="L313" s="128"/>
    </row>
    <row r="314" spans="12:12">
      <c r="L314" s="128"/>
    </row>
    <row r="315" spans="12:12">
      <c r="L315" s="128"/>
    </row>
    <row r="316" spans="12:12">
      <c r="L316" s="128"/>
    </row>
    <row r="317" spans="12:12">
      <c r="L317" s="128"/>
    </row>
    <row r="318" spans="12:12">
      <c r="L318" s="128"/>
    </row>
    <row r="319" spans="12:12">
      <c r="L319" s="128"/>
    </row>
    <row r="320" spans="12:12">
      <c r="L320" s="128"/>
    </row>
    <row r="321" spans="12:12">
      <c r="L321" s="128"/>
    </row>
    <row r="322" spans="12:12">
      <c r="L322" s="128"/>
    </row>
    <row r="323" spans="12:12">
      <c r="L323" s="128"/>
    </row>
    <row r="324" spans="12:12">
      <c r="L324" s="128"/>
    </row>
    <row r="325" spans="12:12">
      <c r="L325" s="128"/>
    </row>
    <row r="326" spans="12:12">
      <c r="L326" s="128"/>
    </row>
    <row r="327" spans="12:12">
      <c r="L327" s="128"/>
    </row>
    <row r="328" spans="12:12">
      <c r="L328" s="128"/>
    </row>
    <row r="329" spans="12:12">
      <c r="L329" s="128"/>
    </row>
    <row r="330" spans="12:12">
      <c r="L330" s="128"/>
    </row>
    <row r="331" spans="12:12">
      <c r="L331" s="128"/>
    </row>
    <row r="332" spans="12:12">
      <c r="L332" s="128"/>
    </row>
    <row r="333" spans="12:12">
      <c r="L333" s="128"/>
    </row>
    <row r="334" spans="12:12">
      <c r="L334" s="128"/>
    </row>
    <row r="335" spans="12:12">
      <c r="L335" s="128"/>
    </row>
    <row r="336" spans="12:12">
      <c r="L336" s="128"/>
    </row>
    <row r="337" spans="12:12">
      <c r="L337" s="128"/>
    </row>
    <row r="338" spans="12:12">
      <c r="L338" s="128"/>
    </row>
    <row r="339" spans="12:12">
      <c r="L339" s="128"/>
    </row>
    <row r="340" spans="12:12">
      <c r="L340" s="128"/>
    </row>
    <row r="341" spans="12:12">
      <c r="L341" s="128"/>
    </row>
    <row r="342" spans="12:12">
      <c r="L342" s="128"/>
    </row>
    <row r="343" spans="12:12">
      <c r="L343" s="128"/>
    </row>
    <row r="344" spans="12:12">
      <c r="L344" s="128"/>
    </row>
    <row r="345" spans="12:12">
      <c r="L345" s="128"/>
    </row>
    <row r="346" spans="12:12">
      <c r="L346" s="128"/>
    </row>
    <row r="347" spans="12:12">
      <c r="L347" s="128"/>
    </row>
    <row r="348" spans="12:12">
      <c r="L348" s="128"/>
    </row>
    <row r="349" spans="12:12">
      <c r="L349" s="128"/>
    </row>
    <row r="350" spans="12:12">
      <c r="L350" s="128"/>
    </row>
    <row r="351" spans="12:12">
      <c r="L351" s="128"/>
    </row>
    <row r="352" spans="12:12">
      <c r="L352" s="128"/>
    </row>
    <row r="353" spans="12:12">
      <c r="L353" s="128"/>
    </row>
    <row r="354" spans="12:12">
      <c r="L354" s="128"/>
    </row>
    <row r="355" spans="12:12">
      <c r="L355" s="128"/>
    </row>
    <row r="356" spans="12:12">
      <c r="L356" s="128"/>
    </row>
    <row r="357" spans="12:12">
      <c r="L357" s="128"/>
    </row>
    <row r="358" spans="12:12">
      <c r="L358" s="128"/>
    </row>
    <row r="359" spans="12:12">
      <c r="L359" s="128"/>
    </row>
    <row r="360" spans="12:12">
      <c r="L360" s="128"/>
    </row>
    <row r="361" spans="12:12">
      <c r="L361" s="128"/>
    </row>
    <row r="362" spans="12:12">
      <c r="L362" s="128"/>
    </row>
    <row r="363" spans="12:12">
      <c r="L363" s="128"/>
    </row>
    <row r="364" spans="12:12">
      <c r="L364" s="128"/>
    </row>
    <row r="365" spans="12:12">
      <c r="L365" s="128"/>
    </row>
    <row r="366" spans="12:12">
      <c r="L366" s="128"/>
    </row>
    <row r="367" spans="12:12">
      <c r="L367" s="128"/>
    </row>
    <row r="368" spans="12:12">
      <c r="L368" s="128"/>
    </row>
    <row r="369" spans="12:12">
      <c r="L369" s="128"/>
    </row>
    <row r="370" spans="12:12">
      <c r="L370" s="128"/>
    </row>
    <row r="371" spans="12:12">
      <c r="L371" s="128"/>
    </row>
    <row r="372" spans="12:12">
      <c r="L372" s="128"/>
    </row>
    <row r="373" spans="12:12">
      <c r="L373" s="128"/>
    </row>
    <row r="374" spans="12:12">
      <c r="L374" s="128"/>
    </row>
    <row r="375" spans="12:12">
      <c r="L375" s="128"/>
    </row>
    <row r="376" spans="12:12">
      <c r="L376" s="128"/>
    </row>
    <row r="377" spans="12:12">
      <c r="L377" s="128"/>
    </row>
    <row r="378" spans="12:12">
      <c r="L378" s="128"/>
    </row>
    <row r="379" spans="12:12">
      <c r="L379" s="128"/>
    </row>
    <row r="380" spans="12:12">
      <c r="L380" s="128"/>
    </row>
    <row r="381" spans="12:12">
      <c r="L381" s="128"/>
    </row>
    <row r="382" spans="12:12">
      <c r="L382" s="128"/>
    </row>
    <row r="383" spans="12:12">
      <c r="L383" s="128"/>
    </row>
    <row r="384" spans="12:12">
      <c r="L384" s="128"/>
    </row>
    <row r="385" spans="12:12">
      <c r="L385" s="128"/>
    </row>
    <row r="386" spans="12:12">
      <c r="L386" s="128"/>
    </row>
    <row r="387" spans="12:12">
      <c r="L387" s="128"/>
    </row>
    <row r="388" spans="12:12">
      <c r="L388" s="128"/>
    </row>
    <row r="389" spans="12:12">
      <c r="L389" s="128"/>
    </row>
    <row r="390" spans="12:12">
      <c r="L390" s="128"/>
    </row>
    <row r="391" spans="12:12">
      <c r="L391" s="128"/>
    </row>
    <row r="392" spans="12:12">
      <c r="L392" s="128"/>
    </row>
    <row r="393" spans="12:12">
      <c r="L393" s="128"/>
    </row>
    <row r="394" spans="12:12">
      <c r="L394" s="128"/>
    </row>
    <row r="395" spans="12:12">
      <c r="L395" s="128"/>
    </row>
    <row r="396" spans="12:12">
      <c r="L396" s="128"/>
    </row>
    <row r="397" spans="12:12">
      <c r="L397" s="128"/>
    </row>
    <row r="398" spans="12:12">
      <c r="L398" s="128"/>
    </row>
    <row r="399" spans="12:12">
      <c r="L399" s="128"/>
    </row>
    <row r="400" spans="12:12">
      <c r="L400" s="128"/>
    </row>
    <row r="401" spans="12:12">
      <c r="L401" s="128"/>
    </row>
    <row r="402" spans="12:12">
      <c r="L402" s="128"/>
    </row>
    <row r="403" spans="12:12">
      <c r="L403" s="128"/>
    </row>
    <row r="404" spans="12:12">
      <c r="L404" s="128"/>
    </row>
    <row r="405" spans="12:12">
      <c r="L405" s="128"/>
    </row>
    <row r="406" spans="12:12">
      <c r="L406" s="128"/>
    </row>
    <row r="407" spans="12:12">
      <c r="L407" s="128"/>
    </row>
    <row r="408" spans="12:12">
      <c r="L408" s="128"/>
    </row>
    <row r="409" spans="12:12">
      <c r="L409" s="128"/>
    </row>
    <row r="410" spans="12:12">
      <c r="L410" s="128"/>
    </row>
    <row r="411" spans="12:12">
      <c r="L411" s="128"/>
    </row>
    <row r="412" spans="12:12">
      <c r="L412" s="128"/>
    </row>
    <row r="413" spans="12:12">
      <c r="L413" s="128"/>
    </row>
    <row r="414" spans="12:12">
      <c r="L414" s="128"/>
    </row>
    <row r="415" spans="12:12">
      <c r="L415" s="128"/>
    </row>
    <row r="416" spans="12:12">
      <c r="L416" s="128"/>
    </row>
    <row r="417" spans="12:12">
      <c r="L417" s="128"/>
    </row>
    <row r="418" spans="12:12">
      <c r="L418" s="128"/>
    </row>
    <row r="419" spans="12:12">
      <c r="L419" s="128"/>
    </row>
    <row r="420" spans="12:12">
      <c r="L420" s="128"/>
    </row>
    <row r="421" spans="12:12">
      <c r="L421" s="128"/>
    </row>
    <row r="422" spans="12:12">
      <c r="L422" s="128"/>
    </row>
    <row r="423" spans="12:12">
      <c r="L423" s="128"/>
    </row>
    <row r="424" spans="12:12">
      <c r="L424" s="128"/>
    </row>
    <row r="425" spans="12:12">
      <c r="L425" s="128"/>
    </row>
    <row r="426" spans="12:12">
      <c r="L426" s="128"/>
    </row>
    <row r="427" spans="12:12">
      <c r="L427" s="128"/>
    </row>
    <row r="428" spans="12:12">
      <c r="L428" s="128"/>
    </row>
    <row r="429" spans="12:12">
      <c r="L429" s="128"/>
    </row>
    <row r="430" spans="12:12">
      <c r="L430" s="128"/>
    </row>
    <row r="431" spans="12:12">
      <c r="L431" s="128"/>
    </row>
    <row r="432" spans="12:12">
      <c r="L432" s="128"/>
    </row>
    <row r="433" spans="12:12">
      <c r="L433" s="128"/>
    </row>
    <row r="434" spans="12:12">
      <c r="L434" s="128"/>
    </row>
    <row r="435" spans="12:12">
      <c r="L435" s="128"/>
    </row>
    <row r="436" spans="12:12">
      <c r="L436" s="128"/>
    </row>
    <row r="437" spans="12:12">
      <c r="L437" s="128"/>
    </row>
    <row r="438" spans="12:12">
      <c r="L438" s="128"/>
    </row>
    <row r="439" spans="12:12">
      <c r="L439" s="128"/>
    </row>
    <row r="440" spans="12:12">
      <c r="L440" s="128"/>
    </row>
    <row r="441" spans="12:12">
      <c r="L441" s="128"/>
    </row>
    <row r="442" spans="12:12">
      <c r="L442" s="128"/>
    </row>
    <row r="443" spans="12:12">
      <c r="L443" s="128"/>
    </row>
    <row r="444" spans="12:12">
      <c r="L444" s="128"/>
    </row>
    <row r="445" spans="12:12">
      <c r="L445" s="128"/>
    </row>
    <row r="446" spans="12:12">
      <c r="L446" s="128"/>
    </row>
    <row r="447" spans="12:12">
      <c r="L447" s="128"/>
    </row>
    <row r="448" spans="12:12">
      <c r="L448" s="128"/>
    </row>
    <row r="449" spans="12:12">
      <c r="L449" s="128"/>
    </row>
    <row r="450" spans="12:12">
      <c r="L450" s="128"/>
    </row>
    <row r="451" spans="12:12">
      <c r="L451" s="128"/>
    </row>
    <row r="452" spans="12:12">
      <c r="L452" s="128"/>
    </row>
    <row r="453" spans="12:12">
      <c r="L453" s="128"/>
    </row>
    <row r="454" spans="12:12">
      <c r="L454" s="128"/>
    </row>
    <row r="455" spans="12:12">
      <c r="L455" s="128"/>
    </row>
    <row r="456" spans="12:12">
      <c r="L456" s="128"/>
    </row>
    <row r="457" spans="12:12">
      <c r="L457" s="128"/>
    </row>
    <row r="458" spans="12:12">
      <c r="L458" s="128"/>
    </row>
    <row r="459" spans="12:12">
      <c r="L459" s="128"/>
    </row>
    <row r="460" spans="12:12">
      <c r="L460" s="128"/>
    </row>
    <row r="461" spans="12:12">
      <c r="L461" s="128"/>
    </row>
    <row r="462" spans="12:12">
      <c r="L462" s="128"/>
    </row>
    <row r="463" spans="12:12">
      <c r="L463" s="128"/>
    </row>
    <row r="464" spans="12:12">
      <c r="L464" s="128"/>
    </row>
    <row r="465" spans="12:12">
      <c r="L465" s="128"/>
    </row>
    <row r="466" spans="12:12">
      <c r="L466" s="128"/>
    </row>
    <row r="467" spans="12:12">
      <c r="L467" s="128"/>
    </row>
    <row r="468" spans="12:12">
      <c r="L468" s="128"/>
    </row>
    <row r="469" spans="12:12">
      <c r="L469" s="128"/>
    </row>
    <row r="470" spans="12:12">
      <c r="L470" s="128"/>
    </row>
    <row r="471" spans="12:12">
      <c r="L471" s="128"/>
    </row>
    <row r="472" spans="12:12">
      <c r="L472" s="128"/>
    </row>
    <row r="473" spans="12:12">
      <c r="L473" s="128"/>
    </row>
    <row r="474" spans="12:12">
      <c r="L474" s="128"/>
    </row>
    <row r="475" spans="12:12">
      <c r="L475" s="128"/>
    </row>
    <row r="476" spans="12:12">
      <c r="L476" s="128"/>
    </row>
    <row r="477" spans="12:12">
      <c r="L477" s="128"/>
    </row>
    <row r="478" spans="12:12">
      <c r="L478" s="128"/>
    </row>
    <row r="479" spans="12:12">
      <c r="L479" s="128"/>
    </row>
    <row r="480" spans="12:12">
      <c r="L480" s="128"/>
    </row>
    <row r="481" spans="12:12">
      <c r="L481" s="128"/>
    </row>
    <row r="482" spans="12:12">
      <c r="L482" s="128"/>
    </row>
    <row r="483" spans="12:12">
      <c r="L483" s="128"/>
    </row>
    <row r="484" spans="12:12">
      <c r="L484" s="128"/>
    </row>
    <row r="485" spans="12:12">
      <c r="L485" s="128"/>
    </row>
    <row r="486" spans="12:12">
      <c r="L486" s="128"/>
    </row>
    <row r="487" spans="12:12">
      <c r="L487" s="128"/>
    </row>
    <row r="488" spans="12:12">
      <c r="L488" s="128"/>
    </row>
    <row r="489" spans="12:12">
      <c r="L489" s="128"/>
    </row>
    <row r="490" spans="12:12">
      <c r="L490" s="128"/>
    </row>
    <row r="491" spans="12:12">
      <c r="L491" s="128"/>
    </row>
    <row r="492" spans="12:12">
      <c r="L492" s="128"/>
    </row>
    <row r="493" spans="12:12">
      <c r="L493" s="128"/>
    </row>
    <row r="494" spans="12:12">
      <c r="L494" s="128"/>
    </row>
    <row r="495" spans="12:12">
      <c r="L495" s="128"/>
    </row>
    <row r="496" spans="12:12">
      <c r="L496" s="128"/>
    </row>
    <row r="497" spans="12:12">
      <c r="L497" s="128"/>
    </row>
    <row r="498" spans="12:12">
      <c r="L498" s="128"/>
    </row>
    <row r="499" spans="12:12">
      <c r="L499" s="128"/>
    </row>
    <row r="500" spans="12:12">
      <c r="L500" s="128"/>
    </row>
    <row r="501" spans="12:12">
      <c r="L501" s="128"/>
    </row>
    <row r="502" spans="12:12">
      <c r="L502" s="128"/>
    </row>
    <row r="503" spans="12:12">
      <c r="L503" s="128"/>
    </row>
    <row r="504" spans="12:12">
      <c r="L504" s="128"/>
    </row>
    <row r="505" spans="12:12">
      <c r="L505" s="128"/>
    </row>
    <row r="506" spans="12:12">
      <c r="L506" s="128"/>
    </row>
    <row r="507" spans="12:12">
      <c r="L507" s="128"/>
    </row>
    <row r="508" spans="12:12">
      <c r="L508" s="128"/>
    </row>
    <row r="509" spans="12:12">
      <c r="L509" s="128"/>
    </row>
    <row r="510" spans="12:12">
      <c r="L510" s="128"/>
    </row>
    <row r="511" spans="12:12">
      <c r="L511" s="128"/>
    </row>
    <row r="512" spans="12:12">
      <c r="L512" s="128"/>
    </row>
    <row r="513" spans="12:12">
      <c r="L513" s="128"/>
    </row>
    <row r="514" spans="12:12">
      <c r="L514" s="128"/>
    </row>
    <row r="515" spans="12:12">
      <c r="L515" s="128"/>
    </row>
    <row r="516" spans="12:12">
      <c r="L516" s="128"/>
    </row>
    <row r="517" spans="12:12">
      <c r="L517" s="128"/>
    </row>
    <row r="518" spans="12:12">
      <c r="L518" s="128"/>
    </row>
    <row r="519" spans="12:12">
      <c r="L519" s="128"/>
    </row>
    <row r="520" spans="12:12">
      <c r="L520" s="128"/>
    </row>
    <row r="521" spans="12:12">
      <c r="L521" s="128"/>
    </row>
    <row r="522" spans="12:12">
      <c r="L522" s="128"/>
    </row>
    <row r="523" spans="12:12">
      <c r="L523" s="128"/>
    </row>
    <row r="524" spans="12:12">
      <c r="L524" s="128"/>
    </row>
    <row r="525" spans="12:12">
      <c r="L525" s="128"/>
    </row>
    <row r="526" spans="12:12">
      <c r="L526" s="128"/>
    </row>
    <row r="527" spans="12:12">
      <c r="L527" s="128"/>
    </row>
    <row r="528" spans="12:12">
      <c r="L528" s="128"/>
    </row>
    <row r="529" spans="12:12">
      <c r="L529" s="128"/>
    </row>
    <row r="530" spans="12:12">
      <c r="L530" s="128"/>
    </row>
    <row r="531" spans="12:12">
      <c r="L531" s="128"/>
    </row>
    <row r="532" spans="12:12">
      <c r="L532" s="128"/>
    </row>
    <row r="533" spans="12:12">
      <c r="L533" s="128"/>
    </row>
    <row r="534" spans="12:12">
      <c r="L534" s="128"/>
    </row>
    <row r="535" spans="12:12">
      <c r="L535" s="128"/>
    </row>
    <row r="536" spans="12:12">
      <c r="L536" s="128"/>
    </row>
    <row r="537" spans="12:12">
      <c r="L537" s="128"/>
    </row>
    <row r="538" spans="12:12">
      <c r="L538" s="128"/>
    </row>
    <row r="539" spans="12:12">
      <c r="L539" s="128"/>
    </row>
    <row r="540" spans="12:12">
      <c r="L540" s="128"/>
    </row>
    <row r="541" spans="12:12">
      <c r="L541" s="128"/>
    </row>
    <row r="542" spans="12:12">
      <c r="L542" s="128"/>
    </row>
    <row r="543" spans="12:12">
      <c r="L543" s="128"/>
    </row>
    <row r="544" spans="12:12">
      <c r="L544" s="128"/>
    </row>
    <row r="545" spans="12:12">
      <c r="L545" s="128"/>
    </row>
    <row r="546" spans="12:12">
      <c r="L546" s="128"/>
    </row>
    <row r="547" spans="12:12">
      <c r="L547" s="128"/>
    </row>
    <row r="548" spans="12:12">
      <c r="L548" s="128"/>
    </row>
    <row r="549" spans="12:12">
      <c r="L549" s="128"/>
    </row>
    <row r="550" spans="12:12">
      <c r="L550" s="128"/>
    </row>
    <row r="551" spans="12:12">
      <c r="L551" s="128"/>
    </row>
    <row r="552" spans="12:12">
      <c r="L552" s="128"/>
    </row>
    <row r="553" spans="12:12">
      <c r="L553" s="128"/>
    </row>
    <row r="554" spans="12:12">
      <c r="L554" s="128"/>
    </row>
    <row r="555" spans="12:12">
      <c r="L555" s="128"/>
    </row>
    <row r="556" spans="12:12">
      <c r="L556" s="128"/>
    </row>
    <row r="557" spans="12:12">
      <c r="L557" s="128"/>
    </row>
    <row r="558" spans="12:12">
      <c r="L558" s="128"/>
    </row>
    <row r="559" spans="12:12">
      <c r="L559" s="128"/>
    </row>
    <row r="560" spans="12:12">
      <c r="L560" s="128"/>
    </row>
    <row r="561" spans="12:12">
      <c r="L561" s="128"/>
    </row>
    <row r="562" spans="12:12">
      <c r="L562" s="128"/>
    </row>
    <row r="563" spans="12:12">
      <c r="L563" s="128"/>
    </row>
    <row r="564" spans="12:12">
      <c r="L564" s="128"/>
    </row>
    <row r="565" spans="12:12">
      <c r="L565" s="128"/>
    </row>
    <row r="566" spans="12:12">
      <c r="L566" s="128"/>
    </row>
    <row r="567" spans="12:12">
      <c r="L567" s="128"/>
    </row>
    <row r="568" spans="12:12">
      <c r="L568" s="128"/>
    </row>
    <row r="569" spans="12:12">
      <c r="L569" s="128"/>
    </row>
    <row r="570" spans="12:12">
      <c r="L570" s="128"/>
    </row>
    <row r="571" spans="12:12">
      <c r="L571" s="128"/>
    </row>
    <row r="572" spans="12:12">
      <c r="L572" s="128"/>
    </row>
    <row r="573" spans="12:12">
      <c r="L573" s="128"/>
    </row>
    <row r="574" spans="12:12">
      <c r="L574" s="128"/>
    </row>
    <row r="575" spans="12:12">
      <c r="L575" s="128"/>
    </row>
    <row r="576" spans="12:12">
      <c r="L576" s="128"/>
    </row>
    <row r="577" spans="12:12">
      <c r="L577" s="128"/>
    </row>
    <row r="578" spans="12:12">
      <c r="L578" s="128"/>
    </row>
    <row r="579" spans="12:12">
      <c r="L579" s="128"/>
    </row>
    <row r="580" spans="12:12">
      <c r="L580" s="128"/>
    </row>
    <row r="581" spans="12:12">
      <c r="L581" s="128"/>
    </row>
    <row r="582" spans="12:12">
      <c r="L582" s="128"/>
    </row>
    <row r="583" spans="12:12">
      <c r="L583" s="128"/>
    </row>
    <row r="584" spans="12:12">
      <c r="L584" s="128"/>
    </row>
    <row r="585" spans="12:12">
      <c r="L585" s="128"/>
    </row>
    <row r="586" spans="12:12">
      <c r="L586" s="128"/>
    </row>
    <row r="587" spans="12:12">
      <c r="L587" s="128"/>
    </row>
    <row r="588" spans="12:12">
      <c r="L588" s="128"/>
    </row>
    <row r="589" spans="12:12">
      <c r="L589" s="128"/>
    </row>
    <row r="590" spans="12:12">
      <c r="L590" s="128"/>
    </row>
    <row r="591" spans="12:12">
      <c r="L591" s="128"/>
    </row>
    <row r="592" spans="12:12">
      <c r="L592" s="128"/>
    </row>
    <row r="593" spans="12:12">
      <c r="L593" s="128"/>
    </row>
    <row r="594" spans="12:12">
      <c r="L594" s="128"/>
    </row>
    <row r="595" spans="12:12">
      <c r="L595" s="128"/>
    </row>
    <row r="596" spans="12:12">
      <c r="L596" s="128"/>
    </row>
    <row r="597" spans="12:12">
      <c r="L597" s="128"/>
    </row>
    <row r="598" spans="12:12">
      <c r="L598" s="128"/>
    </row>
    <row r="599" spans="12:12">
      <c r="L599" s="128"/>
    </row>
    <row r="600" spans="12:12">
      <c r="L600" s="128"/>
    </row>
    <row r="601" spans="12:12">
      <c r="L601" s="128"/>
    </row>
    <row r="602" spans="12:12">
      <c r="L602" s="128"/>
    </row>
    <row r="603" spans="12:12">
      <c r="L603" s="128"/>
    </row>
    <row r="604" spans="12:12">
      <c r="L604" s="128"/>
    </row>
    <row r="605" spans="12:12">
      <c r="L605" s="128"/>
    </row>
    <row r="606" spans="12:12">
      <c r="L606" s="128"/>
    </row>
    <row r="607" spans="12:12">
      <c r="L607" s="128"/>
    </row>
    <row r="608" spans="12:12">
      <c r="L608" s="128"/>
    </row>
    <row r="609" spans="12:12">
      <c r="L609" s="128"/>
    </row>
    <row r="610" spans="12:12">
      <c r="L610" s="128"/>
    </row>
    <row r="611" spans="12:12">
      <c r="L611" s="128"/>
    </row>
    <row r="612" spans="12:12">
      <c r="L612" s="128"/>
    </row>
    <row r="613" spans="12:12">
      <c r="L613" s="128"/>
    </row>
    <row r="614" spans="12:12">
      <c r="L614" s="128"/>
    </row>
    <row r="615" spans="12:12">
      <c r="L615" s="128"/>
    </row>
    <row r="616" spans="12:12">
      <c r="L616" s="128"/>
    </row>
    <row r="617" spans="12:12">
      <c r="L617" s="128"/>
    </row>
    <row r="618" spans="12:12">
      <c r="L618" s="128"/>
    </row>
    <row r="619" spans="12:12">
      <c r="L619" s="128"/>
    </row>
    <row r="620" spans="12:12">
      <c r="L620" s="128"/>
    </row>
    <row r="621" spans="12:12">
      <c r="L621" s="128"/>
    </row>
    <row r="622" spans="12:12">
      <c r="L622" s="128"/>
    </row>
    <row r="623" spans="12:12">
      <c r="L623" s="128"/>
    </row>
    <row r="624" spans="12:12">
      <c r="L624" s="128"/>
    </row>
    <row r="625" spans="12:12">
      <c r="L625" s="128"/>
    </row>
    <row r="626" spans="12:12">
      <c r="L626" s="128"/>
    </row>
    <row r="627" spans="12:12">
      <c r="L627" s="128"/>
    </row>
    <row r="628" spans="12:12">
      <c r="L628" s="128"/>
    </row>
    <row r="629" spans="12:12">
      <c r="L629" s="128"/>
    </row>
    <row r="630" spans="12:12">
      <c r="L630" s="128"/>
    </row>
    <row r="631" spans="12:12">
      <c r="L631" s="128"/>
    </row>
    <row r="632" spans="12:12">
      <c r="L632" s="128"/>
    </row>
    <row r="633" spans="12:12">
      <c r="L633" s="128"/>
    </row>
    <row r="634" spans="12:12">
      <c r="L634" s="128"/>
    </row>
    <row r="635" spans="12:12">
      <c r="L635" s="128"/>
    </row>
    <row r="636" spans="12:12">
      <c r="L636" s="128"/>
    </row>
    <row r="637" spans="12:12">
      <c r="L637" s="128"/>
    </row>
    <row r="638" spans="12:12">
      <c r="L638" s="128"/>
    </row>
    <row r="639" spans="12:12">
      <c r="L639" s="128"/>
    </row>
    <row r="640" spans="12:12">
      <c r="L640" s="128"/>
    </row>
    <row r="641" spans="12:12">
      <c r="L641" s="128"/>
    </row>
    <row r="642" spans="12:12">
      <c r="L642" s="128"/>
    </row>
    <row r="643" spans="12:12">
      <c r="L643" s="128"/>
    </row>
    <row r="644" spans="12:12">
      <c r="L644" s="128"/>
    </row>
    <row r="645" spans="12:12">
      <c r="L645" s="128"/>
    </row>
    <row r="646" spans="12:12">
      <c r="L646" s="128"/>
    </row>
    <row r="647" spans="12:12">
      <c r="L647" s="128"/>
    </row>
    <row r="648" spans="12:12">
      <c r="L648" s="128"/>
    </row>
    <row r="649" spans="12:12">
      <c r="L649" s="128"/>
    </row>
    <row r="650" spans="12:12">
      <c r="L650" s="128"/>
    </row>
    <row r="651" spans="12:12">
      <c r="L651" s="128"/>
    </row>
    <row r="652" spans="12:12">
      <c r="L652" s="128"/>
    </row>
    <row r="653" spans="12:12">
      <c r="L653" s="128"/>
    </row>
    <row r="654" spans="12:12">
      <c r="L654" s="128"/>
    </row>
    <row r="655" spans="12:12">
      <c r="L655" s="128"/>
    </row>
    <row r="656" spans="12:12">
      <c r="L656" s="128"/>
    </row>
    <row r="657" spans="12:12">
      <c r="L657" s="128"/>
    </row>
    <row r="658" spans="12:12">
      <c r="L658" s="128"/>
    </row>
    <row r="659" spans="12:12">
      <c r="L659" s="128"/>
    </row>
    <row r="660" spans="12:12">
      <c r="L660" s="128"/>
    </row>
    <row r="661" spans="12:12">
      <c r="L661" s="128"/>
    </row>
    <row r="662" spans="12:12">
      <c r="L662" s="128"/>
    </row>
    <row r="663" spans="12:12">
      <c r="L663" s="128"/>
    </row>
    <row r="664" spans="12:12">
      <c r="L664" s="128"/>
    </row>
    <row r="665" spans="12:12">
      <c r="L665" s="128"/>
    </row>
    <row r="666" spans="12:12">
      <c r="L666" s="128"/>
    </row>
    <row r="667" spans="12:12">
      <c r="L667" s="128"/>
    </row>
    <row r="668" spans="12:12">
      <c r="L668" s="128"/>
    </row>
    <row r="669" spans="12:12">
      <c r="L669" s="128"/>
    </row>
    <row r="670" spans="12:12">
      <c r="L670" s="128"/>
    </row>
    <row r="671" spans="12:12">
      <c r="L671" s="128"/>
    </row>
    <row r="672" spans="12:12">
      <c r="L672" s="128"/>
    </row>
    <row r="673" spans="12:12">
      <c r="L673" s="128"/>
    </row>
    <row r="674" spans="12:12">
      <c r="L674" s="128"/>
    </row>
    <row r="675" spans="12:12">
      <c r="L675" s="128"/>
    </row>
    <row r="676" spans="12:12">
      <c r="L676" s="128"/>
    </row>
    <row r="677" spans="12:12">
      <c r="L677" s="128"/>
    </row>
    <row r="678" spans="12:12">
      <c r="L678" s="128"/>
    </row>
    <row r="679" spans="12:12">
      <c r="L679" s="128"/>
    </row>
    <row r="680" spans="12:12">
      <c r="L680" s="128"/>
    </row>
    <row r="681" spans="12:12">
      <c r="L681" s="128"/>
    </row>
    <row r="682" spans="12:12">
      <c r="L682" s="128"/>
    </row>
    <row r="683" spans="12:12">
      <c r="L683" s="128"/>
    </row>
    <row r="684" spans="12:12">
      <c r="L684" s="128"/>
    </row>
    <row r="685" spans="12:12">
      <c r="L685" s="128"/>
    </row>
    <row r="686" spans="12:12">
      <c r="L686" s="128"/>
    </row>
    <row r="687" spans="12:12">
      <c r="L687" s="128"/>
    </row>
    <row r="688" spans="12:12">
      <c r="L688" s="128"/>
    </row>
    <row r="689" spans="12:12">
      <c r="L689" s="128"/>
    </row>
    <row r="690" spans="12:12">
      <c r="L690" s="128"/>
    </row>
    <row r="691" spans="12:12">
      <c r="L691" s="128"/>
    </row>
    <row r="692" spans="12:12">
      <c r="L692" s="128"/>
    </row>
    <row r="693" spans="12:12">
      <c r="L693" s="128"/>
    </row>
    <row r="694" spans="12:12">
      <c r="L694" s="128"/>
    </row>
    <row r="695" spans="12:12">
      <c r="L695" s="128"/>
    </row>
    <row r="696" spans="12:12">
      <c r="L696" s="128"/>
    </row>
    <row r="697" spans="12:12">
      <c r="L697" s="128"/>
    </row>
    <row r="698" spans="12:12">
      <c r="L698" s="128"/>
    </row>
    <row r="699" spans="12:12">
      <c r="L699" s="128"/>
    </row>
    <row r="700" spans="12:12">
      <c r="L700" s="128"/>
    </row>
    <row r="701" spans="12:12">
      <c r="L701" s="128"/>
    </row>
    <row r="702" spans="12:12">
      <c r="L702" s="128"/>
    </row>
    <row r="703" spans="12:12">
      <c r="L703" s="128"/>
    </row>
    <row r="704" spans="12:12">
      <c r="L704" s="128"/>
    </row>
    <row r="705" spans="12:12">
      <c r="L705" s="128"/>
    </row>
    <row r="706" spans="12:12">
      <c r="L706" s="128"/>
    </row>
    <row r="707" spans="12:12">
      <c r="L707" s="128"/>
    </row>
    <row r="708" spans="12:12">
      <c r="L708" s="128"/>
    </row>
    <row r="709" spans="12:12">
      <c r="L709" s="128"/>
    </row>
    <row r="710" spans="12:12">
      <c r="L710" s="128"/>
    </row>
    <row r="711" spans="12:12">
      <c r="L711" s="128"/>
    </row>
    <row r="712" spans="12:12">
      <c r="L712" s="128"/>
    </row>
    <row r="713" spans="12:12">
      <c r="L713" s="128"/>
    </row>
    <row r="714" spans="12:12">
      <c r="L714" s="128"/>
    </row>
    <row r="715" spans="12:12">
      <c r="L715" s="128"/>
    </row>
    <row r="716" spans="12:12">
      <c r="L716" s="128"/>
    </row>
    <row r="717" spans="12:12">
      <c r="L717" s="128"/>
    </row>
    <row r="718" spans="12:12">
      <c r="L718" s="128"/>
    </row>
    <row r="719" spans="12:12">
      <c r="L719" s="128"/>
    </row>
    <row r="720" spans="12:12">
      <c r="L720" s="128"/>
    </row>
    <row r="721" spans="12:12">
      <c r="L721" s="128"/>
    </row>
    <row r="722" spans="12:12">
      <c r="L722" s="128"/>
    </row>
    <row r="723" spans="12:12">
      <c r="L723" s="128"/>
    </row>
    <row r="724" spans="12:12">
      <c r="L724" s="128"/>
    </row>
    <row r="725" spans="12:12">
      <c r="L725" s="128"/>
    </row>
    <row r="726" spans="12:12">
      <c r="L726" s="128"/>
    </row>
    <row r="727" spans="12:12">
      <c r="L727" s="128"/>
    </row>
    <row r="728" spans="12:12">
      <c r="L728" s="128"/>
    </row>
    <row r="729" spans="12:12">
      <c r="L729" s="128"/>
    </row>
    <row r="730" spans="12:12">
      <c r="L730" s="128"/>
    </row>
    <row r="731" spans="12:12">
      <c r="L731" s="128"/>
    </row>
    <row r="732" spans="12:12">
      <c r="L732" s="128"/>
    </row>
    <row r="733" spans="12:12">
      <c r="L733" s="128"/>
    </row>
    <row r="734" spans="12:12">
      <c r="L734" s="128"/>
    </row>
    <row r="735" spans="12:12">
      <c r="L735" s="128"/>
    </row>
    <row r="736" spans="12:12">
      <c r="L736" s="128"/>
    </row>
    <row r="737" spans="12:12">
      <c r="L737" s="128"/>
    </row>
    <row r="738" spans="12:12">
      <c r="L738" s="128"/>
    </row>
    <row r="739" spans="12:12">
      <c r="L739" s="128"/>
    </row>
    <row r="740" spans="12:12">
      <c r="L740" s="128"/>
    </row>
    <row r="741" spans="12:12">
      <c r="L741" s="128"/>
    </row>
    <row r="742" spans="12:12">
      <c r="L742" s="128"/>
    </row>
    <row r="743" spans="12:12">
      <c r="L743" s="128"/>
    </row>
    <row r="744" spans="12:12">
      <c r="L744" s="128"/>
    </row>
    <row r="745" spans="12:12">
      <c r="L745" s="128"/>
    </row>
    <row r="746" spans="12:12">
      <c r="L746" s="128"/>
    </row>
    <row r="747" spans="12:12">
      <c r="L747" s="128"/>
    </row>
    <row r="748" spans="12:12">
      <c r="L748" s="128"/>
    </row>
    <row r="749" spans="12:12">
      <c r="L749" s="128"/>
    </row>
    <row r="750" spans="12:12">
      <c r="L750" s="128"/>
    </row>
    <row r="751" spans="12:12">
      <c r="L751" s="128"/>
    </row>
    <row r="752" spans="12:12">
      <c r="L752" s="128"/>
    </row>
    <row r="753" spans="12:12">
      <c r="L753" s="128"/>
    </row>
    <row r="754" spans="12:12">
      <c r="L754" s="128"/>
    </row>
    <row r="755" spans="12:12">
      <c r="L755" s="128"/>
    </row>
    <row r="756" spans="12:12">
      <c r="L756" s="128"/>
    </row>
    <row r="757" spans="12:12">
      <c r="L757" s="128"/>
    </row>
    <row r="758" spans="12:12">
      <c r="L758" s="128"/>
    </row>
    <row r="759" spans="12:12">
      <c r="L759" s="128"/>
    </row>
    <row r="760" spans="12:12">
      <c r="L760" s="128"/>
    </row>
    <row r="761" spans="12:12">
      <c r="L761" s="128"/>
    </row>
    <row r="762" spans="12:12">
      <c r="L762" s="128"/>
    </row>
    <row r="763" spans="12:12">
      <c r="L763" s="128"/>
    </row>
    <row r="764" spans="12:12">
      <c r="L764" s="128"/>
    </row>
    <row r="765" spans="12:12">
      <c r="L765" s="128"/>
    </row>
    <row r="766" spans="12:12">
      <c r="L766" s="128"/>
    </row>
    <row r="767" spans="12:12">
      <c r="L767" s="128"/>
    </row>
    <row r="768" spans="12:12">
      <c r="L768" s="128"/>
    </row>
    <row r="769" spans="12:12">
      <c r="L769" s="128"/>
    </row>
    <row r="770" spans="12:12">
      <c r="L770" s="128"/>
    </row>
    <row r="771" spans="12:12">
      <c r="L771" s="128"/>
    </row>
    <row r="772" spans="12:12">
      <c r="L772" s="128"/>
    </row>
    <row r="773" spans="12:12">
      <c r="L773" s="128"/>
    </row>
    <row r="774" spans="12:12">
      <c r="L774" s="128"/>
    </row>
    <row r="775" spans="12:12">
      <c r="L775" s="128"/>
    </row>
    <row r="776" spans="12:12">
      <c r="L776" s="128"/>
    </row>
    <row r="777" spans="12:12">
      <c r="L777" s="128"/>
    </row>
    <row r="778" spans="12:12">
      <c r="L778" s="128"/>
    </row>
    <row r="779" spans="12:12">
      <c r="L779" s="128"/>
    </row>
    <row r="780" spans="12:12">
      <c r="L780" s="128"/>
    </row>
    <row r="781" spans="12:12">
      <c r="L781" s="128"/>
    </row>
    <row r="782" spans="12:12">
      <c r="L782" s="128"/>
    </row>
    <row r="783" spans="12:12">
      <c r="L783" s="128"/>
    </row>
    <row r="784" spans="12:12">
      <c r="L784" s="128"/>
    </row>
    <row r="785" spans="12:12">
      <c r="L785" s="128"/>
    </row>
    <row r="786" spans="12:12">
      <c r="L786" s="128"/>
    </row>
    <row r="787" spans="12:12">
      <c r="L787" s="128"/>
    </row>
    <row r="788" spans="12:12">
      <c r="L788" s="128"/>
    </row>
    <row r="789" spans="12:12">
      <c r="L789" s="128"/>
    </row>
    <row r="790" spans="12:12">
      <c r="L790" s="128"/>
    </row>
    <row r="791" spans="12:12">
      <c r="L791" s="128"/>
    </row>
    <row r="792" spans="12:12">
      <c r="L792" s="128"/>
    </row>
    <row r="793" spans="12:12">
      <c r="L793" s="128"/>
    </row>
    <row r="794" spans="12:12">
      <c r="L794" s="128"/>
    </row>
    <row r="795" spans="12:12">
      <c r="L795" s="128"/>
    </row>
    <row r="796" spans="12:12">
      <c r="L796" s="128"/>
    </row>
    <row r="797" spans="12:12">
      <c r="L797" s="128"/>
    </row>
    <row r="798" spans="12:12">
      <c r="L798" s="128"/>
    </row>
    <row r="799" spans="12:12">
      <c r="L799" s="128"/>
    </row>
    <row r="800" spans="12:12">
      <c r="L800" s="128"/>
    </row>
    <row r="801" spans="12:12">
      <c r="L801" s="128"/>
    </row>
    <row r="802" spans="12:12">
      <c r="L802" s="128"/>
    </row>
    <row r="803" spans="12:12">
      <c r="L803" s="128"/>
    </row>
    <row r="804" spans="12:12">
      <c r="L804" s="128"/>
    </row>
    <row r="805" spans="12:12">
      <c r="L805" s="128"/>
    </row>
    <row r="806" spans="12:12">
      <c r="L806" s="128"/>
    </row>
    <row r="807" spans="12:12">
      <c r="L807" s="128"/>
    </row>
    <row r="808" spans="12:12">
      <c r="L808" s="128"/>
    </row>
    <row r="809" spans="12:12">
      <c r="L809" s="128"/>
    </row>
    <row r="810" spans="12:12">
      <c r="L810" s="128"/>
    </row>
    <row r="811" spans="12:12">
      <c r="L811" s="128"/>
    </row>
    <row r="812" spans="12:12">
      <c r="L812" s="128"/>
    </row>
    <row r="813" spans="12:12">
      <c r="L813" s="128"/>
    </row>
    <row r="814" spans="12:12">
      <c r="L814" s="128"/>
    </row>
    <row r="815" spans="12:12">
      <c r="L815" s="128"/>
    </row>
    <row r="816" spans="12:12">
      <c r="L816" s="128"/>
    </row>
    <row r="817" spans="12:12">
      <c r="L817" s="128"/>
    </row>
    <row r="818" spans="12:12">
      <c r="L818" s="128"/>
    </row>
    <row r="819" spans="12:12">
      <c r="L819" s="128"/>
    </row>
    <row r="820" spans="12:12">
      <c r="L820" s="128"/>
    </row>
    <row r="821" spans="12:12">
      <c r="L821" s="128"/>
    </row>
    <row r="822" spans="12:12">
      <c r="L822" s="128"/>
    </row>
    <row r="823" spans="12:12">
      <c r="L823" s="128"/>
    </row>
    <row r="824" spans="12:12">
      <c r="L824" s="128"/>
    </row>
    <row r="825" spans="12:12">
      <c r="L825" s="128"/>
    </row>
    <row r="826" spans="12:12">
      <c r="L826" s="128"/>
    </row>
    <row r="827" spans="12:12">
      <c r="L827" s="128"/>
    </row>
    <row r="828" spans="12:12">
      <c r="L828" s="128"/>
    </row>
    <row r="829" spans="12:12">
      <c r="L829" s="128"/>
    </row>
    <row r="830" spans="12:12">
      <c r="L830" s="128"/>
    </row>
    <row r="831" spans="12:12">
      <c r="L831" s="128"/>
    </row>
    <row r="832" spans="12:12">
      <c r="L832" s="128"/>
    </row>
    <row r="833" spans="12:12">
      <c r="L833" s="128"/>
    </row>
    <row r="834" spans="12:12">
      <c r="L834" s="128"/>
    </row>
    <row r="835" spans="12:12">
      <c r="L835" s="128"/>
    </row>
    <row r="836" spans="12:12">
      <c r="L836" s="128"/>
    </row>
    <row r="837" spans="12:12">
      <c r="L837" s="128"/>
    </row>
    <row r="838" spans="12:12">
      <c r="L838" s="128"/>
    </row>
    <row r="839" spans="12:12">
      <c r="L839" s="128"/>
    </row>
    <row r="840" spans="12:12">
      <c r="L840" s="128"/>
    </row>
    <row r="841" spans="12:12">
      <c r="L841" s="128"/>
    </row>
    <row r="842" spans="12:12">
      <c r="L842" s="128"/>
    </row>
    <row r="843" spans="12:12">
      <c r="L843" s="128"/>
    </row>
    <row r="844" spans="12:12">
      <c r="L844" s="128"/>
    </row>
    <row r="845" spans="12:12">
      <c r="L845" s="128"/>
    </row>
    <row r="846" spans="12:12">
      <c r="L846" s="128"/>
    </row>
    <row r="847" spans="12:12">
      <c r="L847" s="128"/>
    </row>
    <row r="848" spans="12:12">
      <c r="L848" s="128"/>
    </row>
    <row r="849" spans="12:12">
      <c r="L849" s="128"/>
    </row>
    <row r="850" spans="12:12">
      <c r="L850" s="128"/>
    </row>
    <row r="851" spans="12:12">
      <c r="L851" s="128"/>
    </row>
    <row r="852" spans="12:12">
      <c r="L852" s="128"/>
    </row>
    <row r="853" spans="12:12">
      <c r="L853" s="128"/>
    </row>
    <row r="854" spans="12:12">
      <c r="L854" s="128"/>
    </row>
    <row r="855" spans="12:12">
      <c r="L855" s="128"/>
    </row>
    <row r="856" spans="12:12">
      <c r="L856" s="128"/>
    </row>
    <row r="857" spans="12:12">
      <c r="L857" s="128"/>
    </row>
    <row r="858" spans="12:12">
      <c r="L858" s="128"/>
    </row>
    <row r="859" spans="12:12">
      <c r="L859" s="128"/>
    </row>
    <row r="860" spans="12:12">
      <c r="L860" s="128"/>
    </row>
    <row r="861" spans="12:12">
      <c r="L861" s="128"/>
    </row>
    <row r="862" spans="12:12">
      <c r="L862" s="128"/>
    </row>
    <row r="863" spans="12:12">
      <c r="L863" s="128"/>
    </row>
    <row r="864" spans="12:12">
      <c r="L864" s="128"/>
    </row>
    <row r="865" spans="12:12">
      <c r="L865" s="128"/>
    </row>
    <row r="866" spans="12:12">
      <c r="L866" s="128"/>
    </row>
    <row r="867" spans="12:12">
      <c r="L867" s="128"/>
    </row>
    <row r="868" spans="12:12">
      <c r="L868" s="128"/>
    </row>
    <row r="869" spans="12:12">
      <c r="L869" s="128"/>
    </row>
    <row r="870" spans="12:12">
      <c r="L870" s="128"/>
    </row>
    <row r="871" spans="12:12">
      <c r="L871" s="128"/>
    </row>
    <row r="872" spans="12:12">
      <c r="L872" s="128"/>
    </row>
    <row r="873" spans="12:12">
      <c r="L873" s="128"/>
    </row>
    <row r="874" spans="12:12">
      <c r="L874" s="128"/>
    </row>
    <row r="875" spans="12:12">
      <c r="L875" s="128"/>
    </row>
    <row r="876" spans="12:12">
      <c r="L876" s="128"/>
    </row>
    <row r="877" spans="12:12">
      <c r="L877" s="128"/>
    </row>
    <row r="878" spans="12:12">
      <c r="L878" s="128"/>
    </row>
    <row r="879" spans="12:12">
      <c r="L879" s="128"/>
    </row>
    <row r="880" spans="12:12">
      <c r="L880" s="128"/>
    </row>
    <row r="881" spans="12:12">
      <c r="L881" s="128"/>
    </row>
    <row r="882" spans="12:12">
      <c r="L882" s="128"/>
    </row>
    <row r="883" spans="12:12">
      <c r="L883" s="128"/>
    </row>
    <row r="884" spans="12:12">
      <c r="L884" s="128"/>
    </row>
    <row r="885" spans="12:12">
      <c r="L885" s="128"/>
    </row>
    <row r="886" spans="12:12">
      <c r="L886" s="128"/>
    </row>
    <row r="887" spans="12:12">
      <c r="L887" s="128"/>
    </row>
    <row r="888" spans="12:12">
      <c r="L888" s="128"/>
    </row>
    <row r="889" spans="12:12">
      <c r="L889" s="128"/>
    </row>
    <row r="890" spans="12:12">
      <c r="L890" s="128"/>
    </row>
    <row r="891" spans="12:12">
      <c r="L891" s="128"/>
    </row>
    <row r="892" spans="12:12">
      <c r="L892" s="128"/>
    </row>
    <row r="893" spans="12:12">
      <c r="L893" s="128"/>
    </row>
    <row r="894" spans="12:12">
      <c r="L894" s="128"/>
    </row>
    <row r="895" spans="12:12">
      <c r="L895" s="128"/>
    </row>
    <row r="896" spans="12:12">
      <c r="L896" s="128"/>
    </row>
    <row r="897" spans="12:12">
      <c r="L897" s="128"/>
    </row>
    <row r="898" spans="12:12">
      <c r="L898" s="128"/>
    </row>
    <row r="899" spans="12:12">
      <c r="L899" s="128"/>
    </row>
    <row r="900" spans="12:12">
      <c r="L900" s="128"/>
    </row>
    <row r="901" spans="12:12">
      <c r="L901" s="128"/>
    </row>
    <row r="902" spans="12:12">
      <c r="L902" s="128"/>
    </row>
    <row r="903" spans="12:12">
      <c r="L903" s="128"/>
    </row>
    <row r="904" spans="12:12">
      <c r="L904" s="128"/>
    </row>
    <row r="905" spans="12:12">
      <c r="L905" s="128"/>
    </row>
    <row r="906" spans="12:12">
      <c r="L906" s="128"/>
    </row>
    <row r="907" spans="12:12">
      <c r="L907" s="128"/>
    </row>
    <row r="908" spans="12:12">
      <c r="L908" s="128"/>
    </row>
    <row r="909" spans="12:12">
      <c r="L909" s="128"/>
    </row>
    <row r="910" spans="12:12">
      <c r="L910" s="128"/>
    </row>
    <row r="911" spans="12:12">
      <c r="L911" s="128"/>
    </row>
    <row r="912" spans="12:12">
      <c r="L912" s="128"/>
    </row>
    <row r="913" spans="12:12">
      <c r="L913" s="128"/>
    </row>
    <row r="914" spans="12:12">
      <c r="L914" s="128"/>
    </row>
    <row r="915" spans="12:12">
      <c r="L915" s="128"/>
    </row>
    <row r="916" spans="12:12">
      <c r="L916" s="128"/>
    </row>
    <row r="917" spans="12:12">
      <c r="L917" s="128"/>
    </row>
    <row r="918" spans="12:12">
      <c r="L918" s="128"/>
    </row>
    <row r="919" spans="12:12">
      <c r="L919" s="128"/>
    </row>
    <row r="920" spans="12:12">
      <c r="L920" s="128"/>
    </row>
    <row r="921" spans="12:12">
      <c r="L921" s="128"/>
    </row>
    <row r="922" spans="12:12">
      <c r="L922" s="128"/>
    </row>
    <row r="923" spans="12:12">
      <c r="L923" s="128"/>
    </row>
    <row r="924" spans="12:12">
      <c r="L924" s="128"/>
    </row>
    <row r="925" spans="12:12">
      <c r="L925" s="128"/>
    </row>
    <row r="926" spans="12:12">
      <c r="L926" s="128"/>
    </row>
    <row r="927" spans="12:12">
      <c r="L927" s="128"/>
    </row>
    <row r="928" spans="12:12">
      <c r="L928" s="128"/>
    </row>
    <row r="929" spans="12:12">
      <c r="L929" s="128"/>
    </row>
    <row r="930" spans="12:12">
      <c r="L930" s="128"/>
    </row>
    <row r="931" spans="12:12">
      <c r="L931" s="128"/>
    </row>
    <row r="932" spans="12:12">
      <c r="L932" s="128"/>
    </row>
    <row r="933" spans="12:12">
      <c r="L933" s="128"/>
    </row>
    <row r="934" spans="12:12">
      <c r="L934" s="128"/>
    </row>
    <row r="935" spans="12:12">
      <c r="L935" s="128"/>
    </row>
    <row r="936" spans="12:12">
      <c r="L936" s="128"/>
    </row>
    <row r="937" spans="12:12">
      <c r="L937" s="128"/>
    </row>
    <row r="938" spans="12:12">
      <c r="L938" s="128"/>
    </row>
    <row r="939" spans="12:12">
      <c r="L939" s="128"/>
    </row>
    <row r="940" spans="12:12">
      <c r="L940" s="128"/>
    </row>
    <row r="941" spans="12:12">
      <c r="L941" s="128"/>
    </row>
    <row r="942" spans="12:12">
      <c r="L942" s="128"/>
    </row>
    <row r="943" spans="12:12">
      <c r="L943" s="128"/>
    </row>
    <row r="944" spans="12:12">
      <c r="L944" s="128"/>
    </row>
    <row r="945" spans="12:12">
      <c r="L945" s="128"/>
    </row>
    <row r="946" spans="12:12">
      <c r="L946" s="128"/>
    </row>
    <row r="947" spans="12:12">
      <c r="L947" s="128"/>
    </row>
    <row r="948" spans="12:12">
      <c r="L948" s="128"/>
    </row>
    <row r="949" spans="12:12">
      <c r="L949" s="128"/>
    </row>
    <row r="950" spans="12:12">
      <c r="L950" s="128"/>
    </row>
    <row r="951" spans="12:12">
      <c r="L951" s="128"/>
    </row>
    <row r="952" spans="12:12">
      <c r="L952" s="128"/>
    </row>
    <row r="953" spans="12:12">
      <c r="L953" s="128"/>
    </row>
    <row r="954" spans="12:12">
      <c r="L954" s="128"/>
    </row>
    <row r="955" spans="12:12">
      <c r="L955" s="128"/>
    </row>
    <row r="956" spans="12:12">
      <c r="L956" s="128"/>
    </row>
    <row r="957" spans="12:12">
      <c r="L957" s="128"/>
    </row>
    <row r="958" spans="12:12">
      <c r="L958" s="128"/>
    </row>
    <row r="959" spans="12:12">
      <c r="L959" s="128"/>
    </row>
    <row r="960" spans="12:12">
      <c r="L960" s="128"/>
    </row>
    <row r="961" spans="12:12">
      <c r="L961" s="128"/>
    </row>
    <row r="962" spans="12:12">
      <c r="L962" s="128"/>
    </row>
    <row r="963" spans="12:12">
      <c r="L963" s="128"/>
    </row>
    <row r="964" spans="12:12">
      <c r="L964" s="128"/>
    </row>
    <row r="965" spans="12:12">
      <c r="L965" s="128"/>
    </row>
    <row r="966" spans="12:12">
      <c r="L966" s="128"/>
    </row>
    <row r="967" spans="12:12">
      <c r="L967" s="128"/>
    </row>
    <row r="968" spans="12:12">
      <c r="L968" s="128"/>
    </row>
    <row r="969" spans="12:12">
      <c r="L969" s="128"/>
    </row>
    <row r="970" spans="12:12">
      <c r="L970" s="128"/>
    </row>
    <row r="971" spans="12:12">
      <c r="L971" s="128"/>
    </row>
    <row r="972" spans="12:12">
      <c r="L972" s="128"/>
    </row>
    <row r="973" spans="12:12">
      <c r="L973" s="128"/>
    </row>
    <row r="974" spans="12:12">
      <c r="L974" s="128"/>
    </row>
    <row r="975" spans="12:12">
      <c r="L975" s="128"/>
    </row>
    <row r="976" spans="12:12">
      <c r="L976" s="128"/>
    </row>
    <row r="977" spans="12:12">
      <c r="L977" s="128"/>
    </row>
    <row r="978" spans="12:12">
      <c r="L978" s="128"/>
    </row>
    <row r="979" spans="12:12">
      <c r="L979" s="128"/>
    </row>
    <row r="980" spans="12:12">
      <c r="L980" s="128"/>
    </row>
    <row r="981" spans="12:12">
      <c r="L981" s="128"/>
    </row>
  </sheetData>
  <phoneticPr fontId="9"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88" t="s">
        <v>91</v>
      </c>
      <c r="B2" s="24" t="s">
        <v>5</v>
      </c>
      <c r="C2" s="24" t="s">
        <v>1822</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89"/>
      <c r="B3" s="24" t="s">
        <v>405</v>
      </c>
      <c r="C3" s="24" t="s">
        <v>1823</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90"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89"/>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89"/>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91"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89"/>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89"/>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89"/>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89"/>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89"/>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94" t="s">
        <v>63</v>
      </c>
      <c r="B1" s="193"/>
      <c r="C1" s="193"/>
      <c r="D1" s="193"/>
      <c r="E1" s="193"/>
      <c r="F1" s="193"/>
      <c r="G1" s="193"/>
      <c r="H1" s="193"/>
      <c r="I1" s="193"/>
      <c r="J1" s="193"/>
      <c r="K1" s="16"/>
      <c r="L1" s="16"/>
    </row>
    <row r="2" spans="1:12">
      <c r="A2" s="194" t="s">
        <v>64</v>
      </c>
      <c r="B2" s="193"/>
      <c r="C2" s="193"/>
      <c r="D2" s="193"/>
      <c r="E2" s="193"/>
      <c r="F2" s="193"/>
      <c r="G2" s="193"/>
      <c r="H2" s="193"/>
      <c r="I2" s="193"/>
      <c r="J2" s="193"/>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92" t="s">
        <v>273</v>
      </c>
      <c r="B5" s="15">
        <v>1</v>
      </c>
      <c r="C5" s="17" t="s">
        <v>365</v>
      </c>
      <c r="D5" s="17" t="s">
        <v>367</v>
      </c>
      <c r="E5" s="17" t="s">
        <v>368</v>
      </c>
      <c r="F5" s="17" t="s">
        <v>370</v>
      </c>
      <c r="G5" s="17"/>
      <c r="H5" s="17"/>
      <c r="I5" s="195" t="s">
        <v>371</v>
      </c>
      <c r="J5" s="197"/>
      <c r="K5" s="20"/>
      <c r="L5" s="17"/>
    </row>
    <row r="6" spans="1:12">
      <c r="A6" s="193"/>
      <c r="B6" s="15">
        <v>2</v>
      </c>
      <c r="C6" s="17" t="s">
        <v>409</v>
      </c>
      <c r="D6" s="17" t="s">
        <v>367</v>
      </c>
      <c r="E6" s="17" t="s">
        <v>368</v>
      </c>
      <c r="F6" s="17" t="s">
        <v>370</v>
      </c>
      <c r="G6" s="17" t="s">
        <v>410</v>
      </c>
      <c r="H6" s="17"/>
      <c r="I6" s="196"/>
      <c r="J6" s="196"/>
      <c r="K6" s="20"/>
      <c r="L6" s="17"/>
    </row>
    <row r="7" spans="1:12">
      <c r="A7" s="193"/>
      <c r="B7" s="15">
        <v>3</v>
      </c>
      <c r="C7" s="17" t="s">
        <v>414</v>
      </c>
      <c r="D7" s="17" t="s">
        <v>415</v>
      </c>
      <c r="E7" s="17" t="s">
        <v>367</v>
      </c>
      <c r="F7" s="17" t="s">
        <v>417</v>
      </c>
      <c r="G7" s="17"/>
      <c r="H7" s="17"/>
      <c r="I7" s="196"/>
      <c r="J7" s="196"/>
      <c r="K7" s="20"/>
      <c r="L7" s="17"/>
    </row>
    <row r="8" spans="1:12">
      <c r="A8" s="193"/>
      <c r="B8" s="15">
        <v>4</v>
      </c>
      <c r="C8" s="17" t="s">
        <v>422</v>
      </c>
      <c r="D8" s="17" t="s">
        <v>424</v>
      </c>
      <c r="E8" s="17" t="s">
        <v>368</v>
      </c>
      <c r="F8" s="17" t="s">
        <v>367</v>
      </c>
      <c r="G8" s="17" t="s">
        <v>410</v>
      </c>
      <c r="H8" s="17" t="s">
        <v>425</v>
      </c>
      <c r="I8" s="196"/>
      <c r="J8" s="196"/>
      <c r="K8" s="20"/>
      <c r="L8" s="17"/>
    </row>
    <row r="9" spans="1:12">
      <c r="A9" s="193"/>
      <c r="B9" s="15">
        <v>5</v>
      </c>
      <c r="C9" s="17" t="s">
        <v>427</v>
      </c>
      <c r="D9" s="17" t="s">
        <v>425</v>
      </c>
      <c r="E9" s="17" t="s">
        <v>424</v>
      </c>
      <c r="F9" s="17"/>
      <c r="G9" s="17"/>
      <c r="H9" s="17"/>
      <c r="I9" s="196"/>
      <c r="J9" s="196"/>
      <c r="K9" s="20"/>
      <c r="L9" s="17"/>
    </row>
    <row r="10" spans="1:12">
      <c r="A10" s="193"/>
      <c r="B10" s="15">
        <v>6</v>
      </c>
      <c r="C10" s="17" t="s">
        <v>431</v>
      </c>
      <c r="D10" s="17" t="s">
        <v>432</v>
      </c>
      <c r="E10" s="17" t="s">
        <v>433</v>
      </c>
      <c r="F10" s="17"/>
      <c r="G10" s="17"/>
      <c r="H10" s="17"/>
      <c r="I10" s="196"/>
      <c r="J10" s="196"/>
      <c r="K10" s="20"/>
      <c r="L10" s="17"/>
    </row>
    <row r="11" spans="1:12">
      <c r="A11" s="192" t="s">
        <v>442</v>
      </c>
      <c r="B11" s="15"/>
      <c r="C11" s="17" t="s">
        <v>365</v>
      </c>
      <c r="D11" s="17" t="s">
        <v>447</v>
      </c>
      <c r="E11" s="17" t="s">
        <v>449</v>
      </c>
      <c r="F11" s="17" t="s">
        <v>451</v>
      </c>
      <c r="G11" s="17"/>
      <c r="H11" s="17"/>
      <c r="I11" s="18"/>
      <c r="J11" s="19"/>
      <c r="K11" s="20"/>
      <c r="L11" s="17"/>
    </row>
    <row r="12" spans="1:12">
      <c r="A12" s="193"/>
      <c r="B12" s="15"/>
      <c r="C12" s="17" t="s">
        <v>409</v>
      </c>
      <c r="D12" s="17" t="s">
        <v>447</v>
      </c>
      <c r="E12" s="17" t="s">
        <v>449</v>
      </c>
      <c r="F12" s="17" t="s">
        <v>458</v>
      </c>
      <c r="G12" s="17"/>
      <c r="H12" s="17"/>
      <c r="I12" s="18"/>
      <c r="J12" s="19"/>
      <c r="K12" s="20"/>
      <c r="L12" s="17"/>
    </row>
    <row r="13" spans="1:12">
      <c r="A13" s="193"/>
      <c r="B13" s="15"/>
      <c r="C13" s="17" t="s">
        <v>414</v>
      </c>
      <c r="D13" s="17" t="s">
        <v>463</v>
      </c>
      <c r="E13" s="17" t="s">
        <v>465</v>
      </c>
      <c r="F13" s="17"/>
      <c r="G13" s="17"/>
      <c r="H13" s="17"/>
      <c r="I13" s="18"/>
      <c r="J13" s="19"/>
      <c r="K13" s="20"/>
      <c r="L13" s="17"/>
    </row>
    <row r="14" spans="1:12">
      <c r="A14" s="193"/>
      <c r="B14" s="15"/>
      <c r="C14" s="17" t="s">
        <v>422</v>
      </c>
      <c r="D14" s="17" t="s">
        <v>463</v>
      </c>
      <c r="E14" s="17" t="s">
        <v>472</v>
      </c>
      <c r="F14" s="17" t="s">
        <v>473</v>
      </c>
      <c r="G14" s="17" t="s">
        <v>475</v>
      </c>
      <c r="H14" s="17" t="s">
        <v>476</v>
      </c>
      <c r="I14" s="18"/>
      <c r="J14" s="19"/>
      <c r="K14" s="20"/>
      <c r="L14" s="17"/>
    </row>
    <row r="15" spans="1:12">
      <c r="A15" s="193"/>
      <c r="B15" s="15"/>
      <c r="C15" s="17" t="s">
        <v>427</v>
      </c>
      <c r="D15" s="17" t="s">
        <v>476</v>
      </c>
      <c r="E15" s="17" t="s">
        <v>463</v>
      </c>
      <c r="F15" s="17"/>
      <c r="G15" s="17"/>
      <c r="H15" s="17"/>
      <c r="I15" s="18"/>
      <c r="J15" s="19"/>
      <c r="K15" s="20"/>
      <c r="L15" s="17"/>
    </row>
    <row r="16" spans="1:12">
      <c r="A16" s="193"/>
      <c r="B16" s="15"/>
      <c r="C16" s="17" t="s">
        <v>431</v>
      </c>
      <c r="D16" s="17" t="s">
        <v>480</v>
      </c>
      <c r="E16" s="17"/>
      <c r="F16" s="17"/>
      <c r="G16" s="17"/>
      <c r="H16" s="17"/>
      <c r="I16" s="18"/>
      <c r="J16" s="19"/>
      <c r="K16" s="20"/>
      <c r="L16" s="17"/>
    </row>
    <row r="17" spans="1:12">
      <c r="A17" s="192" t="s">
        <v>481</v>
      </c>
      <c r="B17" s="15"/>
      <c r="C17" s="17" t="s">
        <v>484</v>
      </c>
      <c r="D17" s="17" t="s">
        <v>485</v>
      </c>
      <c r="E17" s="17" t="s">
        <v>486</v>
      </c>
      <c r="F17" s="17"/>
      <c r="G17" s="17"/>
      <c r="H17" s="17"/>
      <c r="I17" s="18"/>
      <c r="J17" s="19"/>
      <c r="K17" s="20"/>
      <c r="L17" s="17"/>
    </row>
    <row r="18" spans="1:12">
      <c r="A18" s="193"/>
      <c r="B18" s="15"/>
      <c r="C18" s="17" t="s">
        <v>489</v>
      </c>
      <c r="D18" s="17" t="s">
        <v>103</v>
      </c>
      <c r="E18" s="17" t="s">
        <v>485</v>
      </c>
      <c r="F18" s="17" t="s">
        <v>424</v>
      </c>
      <c r="G18" s="17" t="s">
        <v>486</v>
      </c>
      <c r="H18" s="17"/>
      <c r="I18" s="18"/>
      <c r="J18" s="19"/>
      <c r="K18" s="20"/>
      <c r="L18" s="17"/>
    </row>
    <row r="19" spans="1:12">
      <c r="A19" s="193"/>
      <c r="B19" s="15"/>
      <c r="C19" s="17" t="s">
        <v>493</v>
      </c>
      <c r="D19" s="17" t="s">
        <v>495</v>
      </c>
      <c r="E19" s="17" t="s">
        <v>485</v>
      </c>
      <c r="F19" s="17" t="s">
        <v>424</v>
      </c>
      <c r="G19" s="17" t="s">
        <v>103</v>
      </c>
      <c r="H19" s="17" t="s">
        <v>485</v>
      </c>
      <c r="I19" s="18"/>
      <c r="J19" s="19"/>
      <c r="K19" s="20"/>
      <c r="L19" s="17"/>
    </row>
    <row r="20" spans="1:12">
      <c r="A20" s="193"/>
      <c r="B20" s="15"/>
      <c r="C20" s="21" t="s">
        <v>498</v>
      </c>
      <c r="D20" s="17" t="s">
        <v>495</v>
      </c>
      <c r="E20" s="17" t="s">
        <v>485</v>
      </c>
      <c r="F20" s="17" t="s">
        <v>424</v>
      </c>
      <c r="G20" s="17" t="s">
        <v>103</v>
      </c>
      <c r="H20" s="17" t="s">
        <v>485</v>
      </c>
      <c r="I20" s="18"/>
      <c r="J20" s="19"/>
      <c r="K20" s="20"/>
      <c r="L20" s="17"/>
    </row>
    <row r="21" spans="1:12">
      <c r="A21" s="192" t="s">
        <v>508</v>
      </c>
      <c r="B21" s="15"/>
      <c r="C21" s="17" t="s">
        <v>484</v>
      </c>
      <c r="D21" s="17" t="s">
        <v>509</v>
      </c>
      <c r="E21" s="17" t="s">
        <v>510</v>
      </c>
      <c r="F21" s="17" t="s">
        <v>48</v>
      </c>
      <c r="G21" s="17"/>
      <c r="H21" s="17"/>
      <c r="I21" s="18"/>
      <c r="J21" s="19"/>
      <c r="K21" s="20"/>
      <c r="L21" s="17"/>
    </row>
    <row r="22" spans="1:12">
      <c r="A22" s="193"/>
      <c r="B22" s="15"/>
      <c r="C22" s="21" t="s">
        <v>511</v>
      </c>
      <c r="D22" s="17" t="s">
        <v>512</v>
      </c>
      <c r="E22" s="17" t="s">
        <v>513</v>
      </c>
      <c r="F22" s="17" t="s">
        <v>514</v>
      </c>
      <c r="G22" s="17"/>
      <c r="H22" s="17"/>
      <c r="I22" s="18"/>
      <c r="J22" s="19"/>
      <c r="K22" s="20"/>
      <c r="L22" s="17"/>
    </row>
    <row r="23" spans="1:12">
      <c r="A23" s="193"/>
      <c r="B23" s="15"/>
      <c r="C23" s="17" t="s">
        <v>493</v>
      </c>
      <c r="D23" s="17" t="s">
        <v>515</v>
      </c>
      <c r="E23" s="17" t="s">
        <v>516</v>
      </c>
      <c r="F23" s="17" t="s">
        <v>517</v>
      </c>
      <c r="G23" s="17"/>
      <c r="H23" s="17"/>
      <c r="I23" s="18"/>
      <c r="J23" s="19"/>
      <c r="K23" s="20"/>
      <c r="L23" s="17"/>
    </row>
    <row r="24" spans="1:12">
      <c r="A24" s="193"/>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Administrator</cp:lastModifiedBy>
  <dcterms:created xsi:type="dcterms:W3CDTF">2015-10-10T18:19:52Z</dcterms:created>
  <dcterms:modified xsi:type="dcterms:W3CDTF">2017-07-14T10:10:18Z</dcterms:modified>
</cp:coreProperties>
</file>