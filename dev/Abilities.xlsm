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Documents\Warcraft III\Maps\Zulaman-WE\dev\"/>
    </mc:Choice>
  </mc:AlternateContent>
  <xr:revisionPtr revIDLastSave="0" documentId="13_ncr:1_{0C494068-0DB3-472E-85ED-48C0A3864B45}" xr6:coauthVersionLast="31" xr6:coauthVersionMax="31"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B178" i="10" l="1"/>
  <c r="K178" i="10" s="1"/>
  <c r="W66" i="11"/>
  <c r="P66" i="11"/>
  <c r="R66" i="11"/>
  <c r="T66" i="11" s="1"/>
  <c r="Q66" i="11"/>
  <c r="S66" i="11" s="1"/>
  <c r="W65" i="11"/>
  <c r="P65" i="11"/>
  <c r="R65" i="11"/>
  <c r="T65" i="11" s="1"/>
  <c r="Q65" i="11"/>
  <c r="S65" i="11" s="1"/>
  <c r="Q122" i="1"/>
  <c r="Q121" i="1"/>
  <c r="Q120" i="1"/>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R59" i="11" l="1"/>
  <c r="T59" i="11" s="1"/>
  <c r="Q59" i="11"/>
  <c r="S59" i="11" s="1"/>
  <c r="P59" i="11"/>
  <c r="W59" i="11" s="1"/>
  <c r="P68" i="11"/>
  <c r="R68" i="11" l="1"/>
  <c r="T68" i="11" s="1"/>
  <c r="Q68" i="11"/>
  <c r="W68" i="11"/>
  <c r="S68"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9" i="10"/>
  <c r="B180" i="10"/>
  <c r="B181" i="10"/>
  <c r="B182" i="10"/>
  <c r="B183" i="10"/>
  <c r="B184" i="10"/>
  <c r="B140" i="10"/>
  <c r="B141" i="10"/>
  <c r="Q67" i="11"/>
  <c r="P67" i="11" s="1"/>
  <c r="R67" i="11"/>
  <c r="S67" i="11"/>
  <c r="R42" i="3"/>
  <c r="T67" i="11" s="1"/>
  <c r="W67" i="11"/>
  <c r="P2" i="11"/>
  <c r="Q2" i="11"/>
  <c r="S2" i="11" s="1"/>
  <c r="R2" i="11"/>
  <c r="T2" i="11" s="1"/>
  <c r="P3" i="11"/>
  <c r="Q3" i="11"/>
  <c r="S3" i="11" s="1"/>
  <c r="R3" i="11"/>
  <c r="T3" i="11" s="1"/>
  <c r="P4" i="11"/>
  <c r="W4" i="11" s="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W42" i="11" s="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0" i="11"/>
  <c r="W50" i="11" s="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W55" i="11" s="1"/>
  <c r="Q55" i="11"/>
  <c r="S55" i="11" s="1"/>
  <c r="R55" i="11"/>
  <c r="T55" i="11" s="1"/>
  <c r="P56" i="11"/>
  <c r="Q56" i="11"/>
  <c r="S56" i="11" s="1"/>
  <c r="R56" i="11"/>
  <c r="T56" i="11" s="1"/>
  <c r="P57" i="11"/>
  <c r="Q57" i="11"/>
  <c r="S57" i="11" s="1"/>
  <c r="R57" i="11"/>
  <c r="T57" i="11" s="1"/>
  <c r="P58" i="11"/>
  <c r="W58" i="11" s="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Q30" i="11"/>
  <c r="S30" i="11" s="1"/>
  <c r="R30" i="11"/>
  <c r="T30" i="11" s="1"/>
  <c r="P28" i="11"/>
  <c r="Q28" i="11"/>
  <c r="S28" i="11" s="1"/>
  <c r="R28" i="11"/>
  <c r="T28" i="11" s="1"/>
  <c r="P29" i="11"/>
  <c r="W29" i="11" s="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W21" i="11" s="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W15" i="11" s="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W8" i="11" s="1"/>
  <c r="P9" i="11"/>
  <c r="W9" i="11" s="1"/>
  <c r="P10" i="11"/>
  <c r="P12" i="11"/>
  <c r="P6" i="11"/>
  <c r="R63" i="11"/>
  <c r="Q63" i="11"/>
  <c r="S63" i="11" s="1"/>
  <c r="W17" i="11"/>
  <c r="W10" i="11"/>
  <c r="W14" i="11"/>
  <c r="W49" i="11"/>
  <c r="W41" i="11"/>
  <c r="W3" i="11"/>
  <c r="W56" i="11"/>
  <c r="W48" i="11"/>
  <c r="W40" i="11"/>
  <c r="W2" i="11"/>
  <c r="W13" i="11"/>
  <c r="W6" i="11"/>
  <c r="W16" i="11"/>
  <c r="W25" i="11"/>
  <c r="W27" i="11"/>
  <c r="W33" i="11"/>
  <c r="W24" i="11"/>
  <c r="W35" i="11"/>
  <c r="W54" i="11"/>
  <c r="W46" i="11"/>
  <c r="W38" i="11"/>
  <c r="W57" i="11" l="1"/>
  <c r="W12" i="11"/>
  <c r="W30" i="11"/>
  <c r="W31" i="11"/>
  <c r="W28" i="11"/>
  <c r="W39" i="11"/>
  <c r="W44" i="11"/>
  <c r="W52" i="11"/>
  <c r="W20" i="11"/>
  <c r="W11" i="11"/>
  <c r="K175" i="10"/>
  <c r="K167" i="10"/>
  <c r="K184" i="10"/>
  <c r="K182" i="10"/>
  <c r="K172" i="10"/>
  <c r="K165" i="10"/>
  <c r="K177" i="10"/>
  <c r="K170" i="10"/>
  <c r="K180" i="10"/>
  <c r="K173" i="10"/>
  <c r="K179" i="10"/>
  <c r="K171" i="10"/>
  <c r="K164" i="10"/>
  <c r="K176" i="10"/>
  <c r="K169" i="10"/>
  <c r="K183" i="10"/>
  <c r="K174" i="10"/>
  <c r="K168" i="10"/>
  <c r="K181"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29" i="1"/>
  <c r="Q113" i="1"/>
  <c r="W38" i="3"/>
  <c r="Q132" i="1"/>
  <c r="Q183" i="1"/>
  <c r="W33" i="3"/>
  <c r="Q200" i="1"/>
  <c r="Q82" i="1"/>
  <c r="W24" i="3"/>
  <c r="W28" i="3"/>
  <c r="Q11" i="1"/>
  <c r="Q4" i="1"/>
  <c r="W15" i="3"/>
  <c r="Q42" i="1"/>
  <c r="Q180" i="1"/>
  <c r="W37" i="3"/>
  <c r="Q170" i="1"/>
  <c r="Q190" i="1"/>
  <c r="W9" i="3"/>
  <c r="Q187" i="1"/>
  <c r="Q110" i="1"/>
  <c r="Q188" i="1"/>
  <c r="Q15" i="1"/>
  <c r="W5" i="3"/>
  <c r="Q78" i="1"/>
  <c r="W18" i="3"/>
  <c r="Q195" i="1"/>
  <c r="W4" i="3"/>
  <c r="Q165" i="1"/>
  <c r="Q36" i="1"/>
  <c r="W21" i="3"/>
  <c r="Q40" i="1"/>
  <c r="Q71" i="1"/>
  <c r="Q34" i="1"/>
  <c r="Q25" i="1"/>
  <c r="W53" i="3"/>
  <c r="Q72" i="1"/>
  <c r="Q83" i="1"/>
  <c r="Q105" i="1"/>
  <c r="Q57" i="1"/>
  <c r="Q124" i="1"/>
  <c r="W32" i="3"/>
  <c r="W39" i="3"/>
  <c r="Q49" i="1"/>
  <c r="Q137" i="1"/>
  <c r="W49" i="3"/>
  <c r="W26" i="3"/>
  <c r="Q50" i="1"/>
  <c r="W45" i="3"/>
  <c r="Q100" i="1"/>
  <c r="Q20" i="1"/>
  <c r="Q13" i="1"/>
  <c r="Q68" i="1"/>
  <c r="Q67" i="1"/>
  <c r="W6" i="3"/>
  <c r="Q99" i="1"/>
  <c r="Q54" i="1"/>
  <c r="Q118" i="1"/>
  <c r="Q59" i="1"/>
  <c r="W31" i="3"/>
  <c r="Q47" i="1"/>
  <c r="Q8" i="1"/>
  <c r="W7" i="3"/>
  <c r="Q62" i="1"/>
  <c r="Q96" i="1"/>
  <c r="Q153" i="1"/>
  <c r="Q166" i="1"/>
  <c r="Q161" i="1"/>
  <c r="Q80" i="1"/>
  <c r="W14" i="3"/>
  <c r="Q174" i="1"/>
  <c r="Q88" i="1"/>
  <c r="Q155" i="1"/>
  <c r="Q144" i="1"/>
  <c r="Q136" i="1"/>
  <c r="Q199" i="1"/>
  <c r="W36" i="3"/>
  <c r="Q133" i="1"/>
  <c r="Q150" i="1"/>
  <c r="Q108" i="1"/>
  <c r="W3" i="3"/>
  <c r="Q97" i="1"/>
  <c r="Q12" i="1"/>
  <c r="Q30" i="1"/>
  <c r="Q21" i="1"/>
  <c r="Q16" i="1"/>
  <c r="W51" i="3"/>
  <c r="Q93" i="1"/>
  <c r="Q26" i="1"/>
  <c r="Q38" i="1"/>
  <c r="Q186" i="1"/>
  <c r="Q146" i="1"/>
  <c r="W35" i="3"/>
  <c r="W12" i="3"/>
  <c r="Q33" i="1"/>
  <c r="Q103" i="1"/>
  <c r="W48" i="3"/>
  <c r="W13" i="3"/>
  <c r="Q7" i="1"/>
  <c r="Q171" i="1"/>
  <c r="W27" i="3"/>
  <c r="Q201" i="1"/>
  <c r="W34" i="3"/>
  <c r="Q142" i="1"/>
  <c r="Q46" i="1"/>
  <c r="W43" i="3"/>
  <c r="Q196" i="1"/>
  <c r="Q154" i="1"/>
  <c r="Q162" i="1"/>
  <c r="Q84" i="1"/>
  <c r="Q134" i="1"/>
  <c r="Q178" i="1"/>
  <c r="Q58" i="1"/>
  <c r="Q37" i="1"/>
  <c r="Q114" i="1"/>
  <c r="Q55" i="1"/>
  <c r="Q149" i="1"/>
  <c r="Q3" i="1"/>
  <c r="W42" i="3"/>
  <c r="Q41" i="1"/>
  <c r="W22" i="3"/>
  <c r="Q79" i="1"/>
  <c r="Q89" i="1"/>
  <c r="W8" i="3"/>
  <c r="Q191" i="1"/>
  <c r="Q205" i="1"/>
  <c r="Q74" i="1"/>
  <c r="W19" i="3"/>
  <c r="Q66" i="1"/>
  <c r="Q141" i="1"/>
  <c r="W44" i="3"/>
  <c r="Q125" i="1"/>
  <c r="Q197" i="1"/>
  <c r="W41" i="3"/>
  <c r="W17" i="3"/>
  <c r="Q17" i="1"/>
  <c r="Q182" i="1"/>
  <c r="Q19" i="1"/>
  <c r="Q91" i="1"/>
  <c r="W40" i="3"/>
  <c r="W10" i="3"/>
  <c r="Q51" i="1"/>
  <c r="Q179" i="1"/>
  <c r="Q24" i="1"/>
  <c r="Q140" i="1"/>
  <c r="W52" i="3"/>
  <c r="Q63" i="1"/>
  <c r="Q163" i="1"/>
  <c r="Q5" i="1"/>
  <c r="Q184" i="1"/>
  <c r="Q117" i="1"/>
  <c r="W29" i="3"/>
  <c r="Q112" i="1"/>
  <c r="Q145" i="1"/>
  <c r="Q70" i="1"/>
  <c r="Q87" i="1"/>
  <c r="Q176" i="1"/>
  <c r="Q126" i="1"/>
  <c r="W47" i="3"/>
  <c r="Q175" i="1"/>
  <c r="Q32" i="1"/>
  <c r="W50" i="3"/>
  <c r="W23" i="3"/>
  <c r="Q167" i="1"/>
  <c r="Q53" i="1"/>
  <c r="Q92" i="1"/>
  <c r="Q109" i="1"/>
  <c r="W46" i="3"/>
  <c r="Q76" i="1"/>
  <c r="W30" i="3"/>
  <c r="Q101" i="1"/>
  <c r="W20" i="3"/>
  <c r="Q204" i="1"/>
  <c r="W2" i="3"/>
  <c r="Q9" i="1"/>
  <c r="Q45" i="1"/>
  <c r="Q61" i="1"/>
  <c r="Q148" i="1"/>
  <c r="Q104" i="1"/>
  <c r="W25" i="3"/>
  <c r="Q203" i="1"/>
  <c r="Q95" i="1"/>
  <c r="Q192" i="1"/>
  <c r="Q75" i="1"/>
  <c r="Q28" i="1"/>
  <c r="W11" i="3"/>
  <c r="Q116" i="1"/>
  <c r="Q169" i="1"/>
  <c r="W16" i="3"/>
  <c r="Q158" i="1"/>
  <c r="Q157" i="1"/>
  <c r="Q159" i="1"/>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V33" i="3"/>
  <c r="Q48" i="1"/>
  <c r="X25" i="3"/>
  <c r="Q35" i="1"/>
  <c r="X14" i="3"/>
  <c r="Q198" i="1"/>
  <c r="V3" i="3"/>
  <c r="V17" i="3"/>
  <c r="X37" i="3"/>
  <c r="X29" i="3"/>
  <c r="Q86" i="1"/>
  <c r="Q39" i="1"/>
  <c r="V4" i="3"/>
  <c r="X9" i="3"/>
  <c r="V9" i="3"/>
  <c r="V16" i="3"/>
  <c r="Q244" i="1"/>
  <c r="Q111" i="1"/>
  <c r="Q31" i="1"/>
  <c r="V35" i="3"/>
  <c r="X38" i="3"/>
  <c r="Q173" i="1"/>
  <c r="Q77" i="1"/>
  <c r="Q210" i="1"/>
  <c r="X43" i="3"/>
  <c r="V15" i="3"/>
  <c r="V5" i="3"/>
  <c r="V53" i="3"/>
  <c r="V19" i="3"/>
  <c r="Q81" i="1"/>
  <c r="Q215" i="1"/>
  <c r="V28" i="3"/>
  <c r="V49" i="3"/>
  <c r="X20" i="3"/>
  <c r="X52" i="3"/>
  <c r="V50" i="3"/>
  <c r="V31" i="3"/>
  <c r="Q131" i="1"/>
  <c r="V25" i="3"/>
  <c r="X23" i="3"/>
  <c r="X48" i="3"/>
  <c r="X21" i="3"/>
  <c r="Q98" i="1"/>
  <c r="Q69" i="1"/>
  <c r="X6" i="3"/>
  <c r="X47" i="3"/>
  <c r="V36" i="3"/>
  <c r="X53" i="3"/>
  <c r="Q248" i="1"/>
  <c r="Q18" i="1"/>
  <c r="V22" i="3"/>
  <c r="Q206" i="1"/>
  <c r="V34" i="3"/>
  <c r="V52" i="3"/>
  <c r="X33" i="3"/>
  <c r="V40" i="3"/>
  <c r="Q115" i="1"/>
  <c r="X7" i="3"/>
  <c r="Q143" i="1"/>
  <c r="V6" i="3"/>
  <c r="X39" i="3"/>
  <c r="X19" i="3"/>
  <c r="Q139" i="1"/>
  <c r="Q23" i="1"/>
  <c r="Q177" i="1"/>
  <c r="X11" i="3"/>
  <c r="V18" i="3"/>
  <c r="V14" i="3"/>
  <c r="Q252" i="1"/>
  <c r="V2" i="3"/>
  <c r="V23" i="3"/>
  <c r="X32" i="3"/>
  <c r="V21" i="3"/>
  <c r="Q14" i="1"/>
  <c r="X31" i="3"/>
  <c r="Q152" i="1"/>
  <c r="X50" i="3"/>
  <c r="X26" i="3"/>
  <c r="X12" i="3"/>
  <c r="Q27" i="1"/>
  <c r="Q56" i="1"/>
  <c r="X2" i="3"/>
  <c r="X13" i="3"/>
  <c r="Q168" i="1"/>
  <c r="Q102" i="1"/>
  <c r="X24" i="3"/>
  <c r="V29" i="3"/>
  <c r="X3" i="3"/>
  <c r="Q44" i="1"/>
  <c r="V32" i="3"/>
  <c r="Q6" i="1"/>
  <c r="X5" i="3"/>
  <c r="V10" i="3"/>
  <c r="X40" i="3"/>
  <c r="V41" i="3"/>
  <c r="V42" i="3"/>
  <c r="X42" i="3"/>
  <c r="V27" i="3"/>
  <c r="X28" i="3"/>
  <c r="Q2" i="1"/>
  <c r="Q90" i="1"/>
  <c r="V45" i="3"/>
  <c r="V46" i="3"/>
  <c r="Q10" i="1"/>
  <c r="V30" i="3"/>
  <c r="V12" i="3"/>
  <c r="Q185" i="1"/>
  <c r="X45" i="3"/>
  <c r="X22" i="3"/>
  <c r="X34" i="3"/>
  <c r="X18" i="3"/>
  <c r="V48" i="3"/>
  <c r="Q94" i="1"/>
  <c r="V47" i="3"/>
  <c r="Q181" i="1"/>
  <c r="X41" i="3"/>
  <c r="X4" i="3"/>
  <c r="X51" i="3"/>
  <c r="X46" i="3"/>
  <c r="X16" i="3"/>
  <c r="Q223" i="1"/>
  <c r="Q219" i="1"/>
  <c r="V44" i="3"/>
  <c r="Q52" i="1"/>
  <c r="Q194" i="1"/>
  <c r="X8" i="3"/>
  <c r="X35" i="3"/>
  <c r="Q123" i="1"/>
  <c r="Q107" i="1"/>
  <c r="Q240" i="1"/>
  <c r="V39" i="3"/>
  <c r="V24" i="3"/>
  <c r="V7" i="3"/>
  <c r="Q60" i="1"/>
  <c r="X17" i="3"/>
  <c r="V43" i="3"/>
  <c r="X44" i="3"/>
  <c r="X15" i="3"/>
  <c r="Q147" i="1"/>
  <c r="Q65" i="1"/>
  <c r="V13" i="3"/>
  <c r="V37" i="3"/>
  <c r="Q202" i="1"/>
  <c r="V8" i="3"/>
  <c r="V20" i="3"/>
  <c r="Q164" i="1"/>
  <c r="V51" i="3"/>
  <c r="X36" i="3"/>
  <c r="X10" i="3"/>
  <c r="X27" i="3"/>
  <c r="V38" i="3"/>
  <c r="X30" i="3"/>
  <c r="Q227" i="1"/>
  <c r="Q160" i="1"/>
  <c r="Q73" i="1"/>
  <c r="V26" i="3"/>
  <c r="X49" i="3"/>
  <c r="Q135" i="1"/>
  <c r="Q231" i="1"/>
  <c r="Q236" i="1"/>
  <c r="Q189" i="1"/>
  <c r="V11" i="3"/>
  <c r="Q156" i="1"/>
  <c r="Q119" i="1"/>
  <c r="K5" i="5"/>
  <c r="L94" i="5"/>
  <c r="K67" i="5"/>
  <c r="L84" i="5"/>
  <c r="I48" i="5"/>
  <c r="H85" i="5"/>
  <c r="I13" i="5"/>
  <c r="L16" i="5"/>
  <c r="H94" i="5"/>
  <c r="L88" i="5"/>
  <c r="K93" i="5"/>
  <c r="L32" i="5"/>
  <c r="L22" i="5"/>
  <c r="J33" i="5"/>
  <c r="L3" i="5"/>
  <c r="J22" i="5"/>
  <c r="H39" i="5"/>
  <c r="I68" i="5"/>
  <c r="H86" i="5"/>
  <c r="H51" i="5"/>
  <c r="L66" i="5"/>
  <c r="L78" i="5"/>
  <c r="J39" i="5"/>
  <c r="L77" i="5"/>
  <c r="I87" i="5"/>
  <c r="I34" i="5"/>
  <c r="I49" i="5"/>
  <c r="H88" i="5"/>
  <c r="K14" i="5"/>
  <c r="J66" i="5"/>
  <c r="K75" i="5"/>
  <c r="H68" i="5"/>
  <c r="H32" i="5"/>
  <c r="K97" i="5"/>
  <c r="K94" i="5"/>
  <c r="L86" i="5"/>
  <c r="L67" i="5"/>
  <c r="K69" i="5"/>
  <c r="K31" i="5"/>
  <c r="I7" i="5"/>
  <c r="K23" i="5"/>
  <c r="K3" i="5"/>
  <c r="K59" i="5"/>
  <c r="J7" i="5"/>
  <c r="H78" i="5"/>
  <c r="H31" i="5"/>
  <c r="L68" i="5"/>
  <c r="L42" i="5"/>
  <c r="K50" i="5"/>
  <c r="I32" i="5"/>
  <c r="K57" i="5"/>
  <c r="H75" i="5"/>
  <c r="I51" i="5"/>
  <c r="J70" i="5"/>
  <c r="H30" i="5"/>
  <c r="H33" i="5"/>
  <c r="K84" i="5"/>
  <c r="J43" i="5"/>
  <c r="I12" i="5"/>
  <c r="I24" i="5"/>
  <c r="L51" i="5"/>
  <c r="J76" i="5"/>
  <c r="I60" i="5"/>
  <c r="J12" i="5"/>
  <c r="K22" i="5"/>
  <c r="L39" i="5"/>
  <c r="K86" i="5"/>
  <c r="J3" i="5"/>
  <c r="H61" i="5"/>
  <c r="H22" i="5"/>
  <c r="L4" i="5"/>
  <c r="I76" i="5"/>
  <c r="I41" i="5"/>
  <c r="I23" i="5"/>
  <c r="J15" i="5"/>
  <c r="H49" i="5"/>
  <c r="L58" i="5"/>
  <c r="J48" i="5"/>
  <c r="H79" i="5"/>
  <c r="J86" i="5"/>
  <c r="K41" i="5"/>
  <c r="I42" i="5"/>
  <c r="I52" i="5"/>
  <c r="I96" i="5"/>
  <c r="J32" i="5"/>
  <c r="K52" i="5"/>
  <c r="H5" i="5"/>
  <c r="K95" i="5"/>
  <c r="L48" i="5"/>
  <c r="K12" i="5"/>
  <c r="I21" i="5"/>
  <c r="H4" i="5"/>
  <c r="K30" i="5"/>
  <c r="I67" i="5"/>
  <c r="I69" i="5"/>
  <c r="K40" i="5"/>
  <c r="J50" i="5"/>
  <c r="L75" i="5"/>
  <c r="H84" i="5"/>
  <c r="J21" i="5"/>
  <c r="H95" i="5"/>
  <c r="I4" i="5"/>
  <c r="L59" i="5"/>
  <c r="K13" i="5"/>
  <c r="I3" i="5"/>
  <c r="K48" i="5"/>
  <c r="L85" i="5"/>
  <c r="L49" i="5"/>
  <c r="J75" i="5"/>
  <c r="I14" i="5"/>
  <c r="J31" i="5"/>
  <c r="H40" i="5"/>
  <c r="K7" i="5"/>
  <c r="H58" i="5"/>
  <c r="H52" i="5"/>
  <c r="I66" i="5"/>
  <c r="K79" i="5"/>
  <c r="I40" i="5"/>
  <c r="H50" i="5"/>
  <c r="I61" i="5"/>
  <c r="J85" i="5"/>
  <c r="L79" i="5"/>
  <c r="I77" i="5"/>
  <c r="H15" i="5"/>
  <c r="H57" i="5"/>
  <c r="K4" i="5"/>
  <c r="I30" i="5"/>
  <c r="I58" i="5"/>
  <c r="L57" i="5"/>
  <c r="K61" i="5"/>
  <c r="H23" i="5"/>
  <c r="H87" i="5"/>
  <c r="K15" i="5"/>
  <c r="K85" i="5"/>
  <c r="L14" i="5"/>
  <c r="L25" i="5"/>
  <c r="L69" i="5"/>
  <c r="H59" i="5"/>
  <c r="I31" i="5"/>
  <c r="J42" i="5"/>
  <c r="I25" i="5"/>
  <c r="H14" i="5"/>
  <c r="J16" i="5"/>
  <c r="H43" i="5"/>
  <c r="I70" i="5"/>
  <c r="H13" i="5"/>
  <c r="I5" i="5"/>
  <c r="H48" i="5"/>
  <c r="J77" i="5"/>
  <c r="I59" i="5"/>
  <c r="H42" i="5"/>
  <c r="I97" i="5"/>
  <c r="L40" i="5"/>
  <c r="J4" i="5"/>
  <c r="J59" i="5"/>
  <c r="J67" i="5"/>
  <c r="I50" i="5"/>
  <c r="L61" i="5"/>
  <c r="J41" i="5"/>
  <c r="K32" i="5"/>
  <c r="J34" i="5"/>
  <c r="L30" i="5"/>
  <c r="J58" i="5"/>
  <c r="H21" i="5"/>
  <c r="K78" i="5"/>
  <c r="J97" i="5"/>
  <c r="H12" i="5"/>
  <c r="L87" i="5"/>
  <c r="J95" i="5"/>
  <c r="J30" i="5"/>
  <c r="I88" i="5"/>
  <c r="I16" i="5"/>
  <c r="H97" i="5"/>
  <c r="K34" i="5"/>
  <c r="L33" i="5"/>
  <c r="K60" i="5"/>
  <c r="J88" i="5"/>
  <c r="K68" i="5"/>
  <c r="I15" i="5"/>
  <c r="J52" i="5"/>
  <c r="I6" i="5"/>
  <c r="K25" i="5"/>
  <c r="J6" i="5"/>
  <c r="H67" i="5"/>
  <c r="K70" i="5"/>
  <c r="J61" i="5"/>
  <c r="J94" i="5"/>
  <c r="L34" i="5"/>
  <c r="J60" i="5"/>
  <c r="H7" i="5"/>
  <c r="J69" i="5"/>
  <c r="J68" i="5"/>
  <c r="L6" i="5"/>
  <c r="K88" i="5"/>
  <c r="J24" i="5"/>
  <c r="L23" i="5"/>
  <c r="L24" i="5"/>
  <c r="J87" i="5"/>
  <c r="H77" i="5"/>
  <c r="L95" i="5"/>
  <c r="I57" i="5"/>
  <c r="H69" i="5"/>
  <c r="K96" i="5"/>
  <c r="I94" i="5"/>
  <c r="K42" i="5"/>
  <c r="H60" i="5"/>
  <c r="K16" i="5"/>
  <c r="K66" i="5"/>
  <c r="J49" i="5"/>
  <c r="H70" i="5"/>
  <c r="J96" i="5"/>
  <c r="K43" i="5"/>
  <c r="L93" i="5"/>
  <c r="L15" i="5"/>
  <c r="I79" i="5"/>
  <c r="H25" i="5"/>
  <c r="L41" i="5"/>
  <c r="H24" i="5"/>
  <c r="J84" i="5"/>
  <c r="K24" i="5"/>
  <c r="L76" i="5"/>
  <c r="L31" i="5"/>
  <c r="I75" i="5"/>
  <c r="J13" i="5"/>
  <c r="H6" i="5"/>
  <c r="H41" i="5"/>
  <c r="J93" i="5"/>
  <c r="H93" i="5"/>
  <c r="H3" i="5"/>
  <c r="K33" i="5"/>
  <c r="K49" i="5"/>
  <c r="J40" i="5"/>
  <c r="L21" i="5"/>
  <c r="I95" i="5"/>
  <c r="I39" i="5"/>
  <c r="K58" i="5"/>
  <c r="K6" i="5"/>
  <c r="H34" i="5"/>
  <c r="H96" i="5"/>
  <c r="H76" i="5"/>
  <c r="L5" i="5"/>
  <c r="K39" i="5"/>
  <c r="J5" i="5"/>
  <c r="L96" i="5"/>
  <c r="K21" i="5"/>
  <c r="J14" i="5"/>
  <c r="J79" i="5"/>
  <c r="L50" i="5"/>
  <c r="I85" i="5"/>
  <c r="J51" i="5"/>
  <c r="J57" i="5"/>
  <c r="K76" i="5"/>
  <c r="L97" i="5"/>
  <c r="L70" i="5"/>
  <c r="K87" i="5"/>
  <c r="I22" i="5"/>
  <c r="H16" i="5"/>
  <c r="J23" i="5"/>
  <c r="K51" i="5"/>
  <c r="I33" i="5"/>
  <c r="I84" i="5"/>
  <c r="H66" i="5"/>
  <c r="L43" i="5"/>
  <c r="J25" i="5"/>
  <c r="L7" i="5"/>
  <c r="L60" i="5"/>
  <c r="K77" i="5"/>
  <c r="L52" i="5"/>
  <c r="I93" i="5"/>
  <c r="I86" i="5"/>
  <c r="I43" i="5"/>
  <c r="L12" i="5"/>
  <c r="I78" i="5"/>
  <c r="L13" i="5"/>
  <c r="J78"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<sst xmlns="http://schemas.openxmlformats.org/spreadsheetml/2006/main" count="3011" uniqueCount="1899">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</sst>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abSelected="1" workbookViewId="0">
      <pane ySplit="1" topLeftCell="A113" activePane="bottomLeft" state="frozen"/>
      <selection pane="bottomLeft" activeCell="E119" sqref="E119"/>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1556</v>
      </c>
      <c r="F1" s="75" t="s">
        <v>600</v>
      </c>
      <c r="G1" s="43" t="s">
        <v>601</v>
      </c>
      <c r="H1" s="75" t="s">
        <v>602</v>
      </c>
      <c r="I1" s="43" t="s">
        <v>603</v>
      </c>
      <c r="J1" s="75" t="s">
        <v>604</v>
      </c>
      <c r="K1" s="43" t="s">
        <v>605</v>
      </c>
      <c r="L1" s="75" t="s">
        <v>3</v>
      </c>
      <c r="M1" s="76" t="s">
        <v>1286</v>
      </c>
      <c r="N1" s="46" t="s">
        <v>1288</v>
      </c>
      <c r="O1" s="43" t="s">
        <v>1287</v>
      </c>
      <c r="P1" s="46" t="s">
        <v>4</v>
      </c>
      <c r="Q1" s="44" t="s">
        <v>548</v>
      </c>
    </row>
    <row r="2" spans="1:17" ht="42.75">
      <c r="A2" s="65" t="s">
        <v>5</v>
      </c>
      <c r="B2" s="86" t="s">
        <v>6</v>
      </c>
      <c r="C2" s="87" t="s">
        <v>595</v>
      </c>
      <c r="D2" s="27" t="s">
        <v>622</v>
      </c>
      <c r="E2" s="27"/>
      <c r="F2" s="27"/>
      <c r="G2" s="27"/>
      <c r="H2" s="27"/>
      <c r="I2" s="27"/>
      <c r="J2" s="27"/>
      <c r="K2" s="27"/>
      <c r="L2" s="27"/>
      <c r="M2" s="27" t="s">
        <v>1289</v>
      </c>
      <c r="N2" s="27" t="s">
        <v>1290</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1584</v>
      </c>
      <c r="E6" s="27"/>
      <c r="F6" s="27"/>
      <c r="G6" s="27"/>
      <c r="H6" s="27"/>
      <c r="I6" s="27"/>
      <c r="J6" s="27"/>
      <c r="K6" s="27"/>
      <c r="L6" s="27"/>
      <c r="M6" s="27" t="s">
        <v>1557</v>
      </c>
      <c r="N6" s="27" t="s">
        <v>1558</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1559</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1560</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1561</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1562</v>
      </c>
      <c r="E10" s="27"/>
      <c r="F10" s="27"/>
      <c r="G10" s="27"/>
      <c r="H10" s="27"/>
      <c r="I10" s="27"/>
      <c r="J10" s="27"/>
      <c r="K10" s="27"/>
      <c r="L10" s="27"/>
      <c r="M10" s="27" t="s">
        <v>1566</v>
      </c>
      <c r="N10" s="27" t="s">
        <v>1567</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1585</v>
      </c>
      <c r="E11" s="29" t="s">
        <v>1563</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1586</v>
      </c>
      <c r="E12" s="30" t="s">
        <v>1564</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1587</v>
      </c>
      <c r="E13" s="29" t="s">
        <v>1565</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1568</v>
      </c>
      <c r="E14" s="27"/>
      <c r="F14" s="27"/>
      <c r="G14" s="27"/>
      <c r="H14" s="27"/>
      <c r="I14" s="27"/>
      <c r="J14" s="27"/>
      <c r="K14" s="27"/>
      <c r="L14" s="27"/>
      <c r="M14" s="27" t="s">
        <v>1575</v>
      </c>
      <c r="N14" s="27" t="s">
        <v>1576</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1569</v>
      </c>
      <c r="E15" s="29" t="s">
        <v>1572</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1570</v>
      </c>
      <c r="E16" s="30" t="s">
        <v>1573</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1571</v>
      </c>
      <c r="E17" s="29" t="s">
        <v>1574</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1577</v>
      </c>
      <c r="E18" s="27"/>
      <c r="F18" s="27"/>
      <c r="G18" s="27"/>
      <c r="H18" s="27"/>
      <c r="I18" s="27"/>
      <c r="J18" s="27"/>
      <c r="K18" s="27"/>
      <c r="L18" s="27"/>
      <c r="M18" s="27" t="s">
        <v>1581</v>
      </c>
      <c r="N18" s="27" t="s">
        <v>1582</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1578</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1579</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1580</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1100</v>
      </c>
      <c r="D23" s="27" t="s">
        <v>1583</v>
      </c>
      <c r="E23" s="27"/>
      <c r="F23" s="27"/>
      <c r="G23" s="27"/>
      <c r="H23" s="27"/>
      <c r="I23" s="27"/>
      <c r="J23" s="27"/>
      <c r="K23" s="27"/>
      <c r="L23" s="27"/>
      <c r="M23" s="27" t="s">
        <v>1289</v>
      </c>
      <c r="N23" s="27" t="s">
        <v>1594</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1588</v>
      </c>
      <c r="E24" s="29" t="s">
        <v>1591</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1589</v>
      </c>
      <c r="E25" s="30" t="s">
        <v>1592</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1590</v>
      </c>
      <c r="E26" s="29" t="s">
        <v>1593</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1703</v>
      </c>
      <c r="D27" s="27" t="s">
        <v>1595</v>
      </c>
      <c r="E27" s="27"/>
      <c r="F27" s="27"/>
      <c r="G27" s="27"/>
      <c r="H27" s="27"/>
      <c r="I27" s="27"/>
      <c r="J27" s="27"/>
      <c r="K27" s="27"/>
      <c r="L27" s="27"/>
      <c r="M27" s="27" t="s">
        <v>1557</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1596</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1597</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1598</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1098</v>
      </c>
      <c r="D31" s="27" t="s">
        <v>31</v>
      </c>
      <c r="E31" s="27"/>
      <c r="F31" s="27"/>
      <c r="G31" s="27"/>
      <c r="H31" s="27"/>
      <c r="I31" s="27"/>
      <c r="J31" s="27"/>
      <c r="K31" s="27"/>
      <c r="L31" s="27"/>
      <c r="M31" s="27" t="s">
        <v>1566</v>
      </c>
      <c r="N31" s="27" t="s">
        <v>1605</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1600</v>
      </c>
      <c r="E32" s="29" t="s">
        <v>1599</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1601</v>
      </c>
      <c r="E33" s="30" t="s">
        <v>1603</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1602</v>
      </c>
      <c r="E34" s="29" t="s">
        <v>1604</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897</v>
      </c>
      <c r="D35" s="27" t="s">
        <v>1606</v>
      </c>
      <c r="E35" s="27"/>
      <c r="F35" s="27"/>
      <c r="G35" s="27"/>
      <c r="H35" s="27"/>
      <c r="I35" s="27"/>
      <c r="J35" s="27"/>
      <c r="K35" s="27"/>
      <c r="L35" s="27"/>
      <c r="M35" s="27" t="s">
        <v>1575</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1607</v>
      </c>
      <c r="E36" s="29" t="s">
        <v>1610</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1608</v>
      </c>
      <c r="E37" s="30" t="s">
        <v>1611</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1609</v>
      </c>
      <c r="E38" s="29" t="s">
        <v>1612</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1097</v>
      </c>
      <c r="D39" s="27" t="s">
        <v>1613</v>
      </c>
      <c r="E39" s="27"/>
      <c r="F39" s="27"/>
      <c r="G39" s="27"/>
      <c r="H39" s="27"/>
      <c r="I39" s="27"/>
      <c r="J39" s="27"/>
      <c r="K39" s="27"/>
      <c r="L39" s="27"/>
      <c r="M39" s="27" t="s">
        <v>1581</v>
      </c>
      <c r="N39" s="27" t="s">
        <v>1620</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1614</v>
      </c>
      <c r="E40" s="29" t="s">
        <v>1617</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1615</v>
      </c>
      <c r="E41" s="30" t="s">
        <v>1618</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1616</v>
      </c>
      <c r="E42" s="29" t="s">
        <v>1619</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1704</v>
      </c>
      <c r="D44" s="27" t="s">
        <v>1621</v>
      </c>
      <c r="E44" s="27"/>
      <c r="F44" s="27"/>
      <c r="G44" s="27"/>
      <c r="H44" s="27"/>
      <c r="I44" s="27"/>
      <c r="J44" s="27"/>
      <c r="K44" s="27"/>
      <c r="L44" s="27"/>
      <c r="M44" s="27" t="s">
        <v>1289</v>
      </c>
      <c r="N44" s="27" t="s">
        <v>1620</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1622</v>
      </c>
      <c r="E45" s="29" t="s">
        <v>1625</v>
      </c>
      <c r="F45" s="29"/>
      <c r="G45" s="29"/>
      <c r="H45" s="29">
        <v>800</v>
      </c>
      <c r="I45" s="29"/>
      <c r="J45" s="29">
        <v>50</v>
      </c>
      <c r="K45" s="29" t="s">
        <v>1705</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1623</v>
      </c>
      <c r="E46" s="30" t="s">
        <v>1626</v>
      </c>
      <c r="F46" s="30"/>
      <c r="G46" s="30"/>
      <c r="H46" s="30">
        <v>800</v>
      </c>
      <c r="I46" s="30"/>
      <c r="J46" s="30">
        <v>50</v>
      </c>
      <c r="K46" s="30" t="s">
        <v>1705</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1624</v>
      </c>
      <c r="E47" s="29" t="s">
        <v>1627</v>
      </c>
      <c r="F47" s="29"/>
      <c r="G47" s="29"/>
      <c r="H47" s="29">
        <v>800</v>
      </c>
      <c r="I47" s="29"/>
      <c r="J47" s="29">
        <v>50</v>
      </c>
      <c r="K47" s="29" t="s">
        <v>1705</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1096</v>
      </c>
      <c r="D48" s="27" t="s">
        <v>1628</v>
      </c>
      <c r="E48" s="27"/>
      <c r="F48" s="27"/>
      <c r="G48" s="27"/>
      <c r="H48" s="27"/>
      <c r="I48" s="27"/>
      <c r="J48" s="27"/>
      <c r="K48" s="27"/>
      <c r="L48" s="27"/>
      <c r="M48" s="27" t="s">
        <v>1557</v>
      </c>
      <c r="N48" s="27" t="s">
        <v>1632</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1629</v>
      </c>
      <c r="F49" s="29"/>
      <c r="G49" s="29"/>
      <c r="H49" s="29">
        <v>800</v>
      </c>
      <c r="I49" s="29"/>
      <c r="J49" s="29">
        <v>75</v>
      </c>
      <c r="K49" s="29" t="s">
        <v>1706</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1630</v>
      </c>
      <c r="F50" s="30"/>
      <c r="G50" s="30"/>
      <c r="H50" s="30">
        <v>800</v>
      </c>
      <c r="I50" s="30"/>
      <c r="J50" s="30">
        <v>110</v>
      </c>
      <c r="K50" s="30" t="s">
        <v>1706</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1634</v>
      </c>
      <c r="E51" s="29" t="s">
        <v>1631</v>
      </c>
      <c r="F51" s="29"/>
      <c r="G51" s="29"/>
      <c r="H51" s="29">
        <v>800</v>
      </c>
      <c r="I51" s="29"/>
      <c r="J51" s="29">
        <v>145</v>
      </c>
      <c r="K51" s="29" t="s">
        <v>1706</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1093</v>
      </c>
      <c r="D52" s="27" t="s">
        <v>1633</v>
      </c>
      <c r="E52" s="27"/>
      <c r="F52" s="27"/>
      <c r="G52" s="27"/>
      <c r="H52" s="27"/>
      <c r="I52" s="27"/>
      <c r="J52" s="27"/>
      <c r="K52" s="27"/>
      <c r="L52" s="27"/>
      <c r="M52" s="27" t="s">
        <v>1566</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1635</v>
      </c>
      <c r="E53" s="29" t="s">
        <v>1638</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1636</v>
      </c>
      <c r="E54" s="30" t="s">
        <v>1639</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1637</v>
      </c>
      <c r="E55" s="29" t="s">
        <v>1640</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1091</v>
      </c>
      <c r="D56" s="27" t="s">
        <v>50</v>
      </c>
      <c r="E56" s="27"/>
      <c r="F56" s="27"/>
      <c r="G56" s="27"/>
      <c r="H56" s="27"/>
      <c r="I56" s="27"/>
      <c r="J56" s="27"/>
      <c r="K56" s="27"/>
      <c r="L56" s="27"/>
      <c r="M56" s="27" t="s">
        <v>1575</v>
      </c>
      <c r="N56" s="27" t="s">
        <v>1645</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1642</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1641</v>
      </c>
      <c r="E58" s="30" t="s">
        <v>1644</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1646</v>
      </c>
      <c r="E59" s="29" t="s">
        <v>1643</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895</v>
      </c>
      <c r="D60" s="27" t="s">
        <v>1647</v>
      </c>
      <c r="E60" s="27"/>
      <c r="F60" s="27"/>
      <c r="G60" s="27"/>
      <c r="H60" s="27"/>
      <c r="I60" s="27"/>
      <c r="J60" s="27"/>
      <c r="K60" s="27"/>
      <c r="L60" s="27"/>
      <c r="M60" s="27" t="s">
        <v>1581</v>
      </c>
      <c r="N60" s="27" t="s">
        <v>1651</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1648</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1649</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1650</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1710</v>
      </c>
      <c r="D65" s="27" t="s">
        <v>1882</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1883</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1884</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1885</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891</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1707</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1708</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1709</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889</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1711</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1712</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1713</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1078</v>
      </c>
      <c r="D77" s="27" t="s">
        <v>1886</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1881</v>
      </c>
      <c r="E78" s="29" t="s">
        <v>1887</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1881</v>
      </c>
      <c r="E79" s="30" t="s">
        <v>1887</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1881</v>
      </c>
      <c r="E80" s="29" t="s">
        <v>1887</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1714</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1715</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1716</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1717</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1652</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1653</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1654</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1655</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1656</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1657</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1658</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1659</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1660</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1661</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1662</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1663</v>
      </c>
      <c r="E99" s="29" t="s">
        <v>1666</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1664</v>
      </c>
      <c r="E100" s="30" t="s">
        <v>1667</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1665</v>
      </c>
      <c r="E101" s="29" t="s">
        <v>1668</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1669</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1670</v>
      </c>
      <c r="E103" s="29" t="s">
        <v>1669</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1671</v>
      </c>
      <c r="E104" s="30" t="s">
        <v>1673</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1672</v>
      </c>
      <c r="E105" s="29" t="s">
        <v>1674</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1675</v>
      </c>
      <c r="E108" s="29" t="s">
        <v>1678</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1676</v>
      </c>
      <c r="E109" s="30" t="s">
        <v>1679</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1677</v>
      </c>
      <c r="E110" s="29" t="s">
        <v>1680</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1681</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1682</v>
      </c>
      <c r="E112" s="29" t="s">
        <v>1685</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1683</v>
      </c>
      <c r="E113" s="30" t="s">
        <v>1686</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1684</v>
      </c>
      <c r="E114" s="29" t="s">
        <v>1687</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1688</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1689</v>
      </c>
      <c r="E116" s="29" t="s">
        <v>1692</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1690</v>
      </c>
      <c r="E117" s="30" t="s">
        <v>1693</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1691</v>
      </c>
      <c r="E118" s="29" t="s">
        <v>1694</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1890</v>
      </c>
      <c r="C119" s="31"/>
      <c r="D119" s="27" t="s">
        <v>1891</v>
      </c>
      <c r="E119" s="27"/>
      <c r="F119" s="27"/>
      <c r="G119" s="27"/>
      <c r="H119" s="27"/>
      <c r="I119" s="27"/>
      <c r="J119" s="27"/>
      <c r="K119" s="27"/>
      <c r="L119" s="27"/>
      <c r="M119" s="27" t="s">
        <v>1575</v>
      </c>
      <c r="N119" s="27" t="s">
        <v>1898</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1892</v>
      </c>
      <c r="E120" s="29" t="s">
        <v>1895</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1893</v>
      </c>
      <c r="E121" s="30" t="s">
        <v>1896</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1894</v>
      </c>
      <c r="E122" s="29" t="s">
        <v>1897</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1695</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1696</v>
      </c>
      <c r="E124" s="29" t="s">
        <v>1699</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1697</v>
      </c>
      <c r="E125" s="30" t="s">
        <v>1700</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1698</v>
      </c>
      <c r="E126" s="29" t="s">
        <v>1701</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1702</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1291</v>
      </c>
      <c r="E131" s="27"/>
      <c r="F131" s="27"/>
      <c r="G131" s="27"/>
      <c r="H131" s="27"/>
      <c r="I131" s="27"/>
      <c r="J131" s="27"/>
      <c r="K131" s="27"/>
      <c r="L131" s="27"/>
      <c r="M131" s="27"/>
      <c r="N131" s="27" t="s">
        <v>1319</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1292</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1293</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1294</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1718</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1719</v>
      </c>
      <c r="E136" s="29" t="s">
        <v>1722</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1720</v>
      </c>
      <c r="E137" s="30" t="s">
        <v>1723</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1721</v>
      </c>
      <c r="E138" s="29" t="s">
        <v>1724</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1725</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1726</v>
      </c>
      <c r="E140" s="29" t="s">
        <v>1729</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1727</v>
      </c>
      <c r="E141" s="30" t="s">
        <v>1730</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1728</v>
      </c>
      <c r="E142" s="29" t="s">
        <v>1731</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1732</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1733</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1735</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1734</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1736</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1737</v>
      </c>
      <c r="E148" s="29" t="s">
        <v>1740</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1738</v>
      </c>
      <c r="E149" s="30" t="s">
        <v>1741</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1739</v>
      </c>
      <c r="E150" s="29" t="s">
        <v>1742</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1746</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1743</v>
      </c>
      <c r="E153" s="29" t="s">
        <v>1747</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1744</v>
      </c>
      <c r="E154" s="30" t="s">
        <v>1748</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1745</v>
      </c>
      <c r="E155" s="29" t="s">
        <v>1749</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1750</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1751</v>
      </c>
      <c r="E157" s="29" t="s">
        <v>1753</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1752</v>
      </c>
      <c r="E158" s="30" t="s">
        <v>1754</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1888</v>
      </c>
      <c r="E159" s="29" t="s">
        <v>1889</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1755</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1756</v>
      </c>
      <c r="E161" s="29" t="s">
        <v>1759</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1757</v>
      </c>
      <c r="E162" s="30" t="s">
        <v>1760</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1758</v>
      </c>
      <c r="E163" s="29" t="s">
        <v>1761</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1762</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1763</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1764</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1765</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1766</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1767</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1023</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1770</v>
      </c>
      <c r="F174" s="29" t="s">
        <v>1773</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1771</v>
      </c>
      <c r="F175" s="30" t="s">
        <v>1773</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1772</v>
      </c>
      <c r="F176" s="29" t="s">
        <v>1773</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1015</v>
      </c>
      <c r="D177" s="27" t="s">
        <v>1774</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1777</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1775</v>
      </c>
      <c r="E179" s="30" t="s">
        <v>1778</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1776</v>
      </c>
      <c r="E180" s="29" t="s">
        <v>1779</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1780</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1781</v>
      </c>
      <c r="E182" s="29" t="s">
        <v>1784</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1782</v>
      </c>
      <c r="E183" s="30" t="s">
        <v>1785</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1783</v>
      </c>
      <c r="E184" s="29" t="s">
        <v>1786</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1787</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1788</v>
      </c>
      <c r="E190" s="29" t="s">
        <v>1787</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1789</v>
      </c>
      <c r="E191" s="30" t="s">
        <v>1787</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1790</v>
      </c>
      <c r="E192" s="29" t="s">
        <v>1787</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1284</v>
      </c>
      <c r="B194" s="47" t="s">
        <v>477</v>
      </c>
      <c r="C194" s="34"/>
      <c r="D194" s="27" t="s">
        <v>1791</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1792</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1793</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1794</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1795</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1796</v>
      </c>
      <c r="E199" s="29" t="s">
        <v>1799</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1797</v>
      </c>
      <c r="E200" s="30" t="s">
        <v>1800</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1798</v>
      </c>
      <c r="E201" s="29" t="s">
        <v>1801</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1802</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1803</v>
      </c>
      <c r="E203" s="29" t="s">
        <v>1806</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1804</v>
      </c>
      <c r="E204" s="30" t="s">
        <v>1807</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1805</v>
      </c>
      <c r="E205" s="29" t="s">
        <v>1808</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1285</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1295</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1321</v>
      </c>
      <c r="B1" s="51" t="s">
        <v>1448</v>
      </c>
      <c r="C1" s="51" t="s">
        <v>1550</v>
      </c>
      <c r="D1" s="51" t="s">
        <v>1551</v>
      </c>
      <c r="E1" s="51" t="s">
        <v>1552</v>
      </c>
      <c r="F1" s="51" t="s">
        <v>1324</v>
      </c>
      <c r="G1" s="51" t="s">
        <v>3</v>
      </c>
      <c r="H1" s="51"/>
      <c r="I1" s="51" t="s">
        <v>1449</v>
      </c>
      <c r="J1" s="51"/>
    </row>
    <row r="2" spans="1:10">
      <c r="A2" s="217" t="s">
        <v>1818</v>
      </c>
      <c r="B2" s="53">
        <v>0</v>
      </c>
      <c r="C2" s="53" t="s">
        <v>1450</v>
      </c>
      <c r="D2" s="53"/>
      <c r="E2" s="53"/>
      <c r="F2" s="53"/>
      <c r="G2" s="53"/>
      <c r="H2" s="53"/>
      <c r="I2" s="53"/>
      <c r="J2" s="51"/>
    </row>
    <row r="3" spans="1:10" ht="28.5">
      <c r="A3" s="217"/>
      <c r="B3" s="54"/>
      <c r="C3" s="52" t="s">
        <v>65</v>
      </c>
      <c r="D3" s="52" t="s">
        <v>66</v>
      </c>
      <c r="E3" s="55">
        <v>0</v>
      </c>
      <c r="F3" s="51" t="s">
        <v>67</v>
      </c>
      <c r="G3" s="51" t="s">
        <v>1451</v>
      </c>
      <c r="H3" s="51" t="s">
        <v>68</v>
      </c>
      <c r="I3" s="51" t="s">
        <v>1452</v>
      </c>
      <c r="J3" s="51" t="s">
        <v>69</v>
      </c>
    </row>
    <row r="4" spans="1:10">
      <c r="A4" s="217"/>
      <c r="B4" s="51">
        <v>1</v>
      </c>
      <c r="C4" s="51" t="s">
        <v>70</v>
      </c>
      <c r="D4" s="51" t="s">
        <v>71</v>
      </c>
      <c r="E4" s="51">
        <v>0</v>
      </c>
      <c r="F4" s="51">
        <v>1200</v>
      </c>
      <c r="G4" s="51" t="s">
        <v>1453</v>
      </c>
      <c r="H4" s="51" t="s">
        <v>1454</v>
      </c>
      <c r="I4" s="51" t="s">
        <v>1455</v>
      </c>
      <c r="J4" s="51" t="s">
        <v>72</v>
      </c>
    </row>
    <row r="5" spans="1:10" ht="42.75">
      <c r="A5" s="217"/>
      <c r="B5" s="51"/>
      <c r="C5" s="51" t="s">
        <v>73</v>
      </c>
      <c r="D5" s="51" t="s">
        <v>74</v>
      </c>
      <c r="E5" s="51">
        <v>10</v>
      </c>
      <c r="F5" s="51">
        <v>900</v>
      </c>
      <c r="G5" s="51" t="s">
        <v>1453</v>
      </c>
      <c r="H5" s="51" t="s">
        <v>1456</v>
      </c>
      <c r="I5" s="51" t="s">
        <v>1457</v>
      </c>
      <c r="J5" s="51" t="s">
        <v>75</v>
      </c>
    </row>
    <row r="6" spans="1:10">
      <c r="A6" s="217"/>
      <c r="B6" s="51" t="s">
        <v>76</v>
      </c>
      <c r="C6" s="51" t="s">
        <v>77</v>
      </c>
      <c r="D6" s="51" t="s">
        <v>78</v>
      </c>
      <c r="E6" s="51">
        <v>0</v>
      </c>
      <c r="F6" s="51">
        <v>0</v>
      </c>
      <c r="G6" s="51" t="s">
        <v>1458</v>
      </c>
      <c r="H6" s="51"/>
      <c r="I6" s="51" t="s">
        <v>1459</v>
      </c>
      <c r="J6" s="51"/>
    </row>
    <row r="7" spans="1:10">
      <c r="A7" s="217"/>
      <c r="B7" s="51"/>
      <c r="C7" s="51" t="s">
        <v>79</v>
      </c>
      <c r="D7" s="51" t="s">
        <v>80</v>
      </c>
      <c r="E7" s="51"/>
      <c r="F7" s="51"/>
      <c r="G7" s="51">
        <v>1</v>
      </c>
      <c r="H7" s="51"/>
      <c r="I7" s="51" t="s">
        <v>1460</v>
      </c>
      <c r="J7" s="51" t="s">
        <v>81</v>
      </c>
    </row>
    <row r="8" spans="1:10" ht="28.5">
      <c r="A8" s="217"/>
      <c r="B8" s="51"/>
      <c r="C8" s="56" t="s">
        <v>82</v>
      </c>
      <c r="D8" s="56" t="s">
        <v>84</v>
      </c>
      <c r="E8" s="56">
        <v>0</v>
      </c>
      <c r="F8" s="56">
        <v>900</v>
      </c>
      <c r="G8" s="56">
        <v>20</v>
      </c>
      <c r="H8" s="56" t="s">
        <v>1461</v>
      </c>
      <c r="I8" s="56" t="s">
        <v>1462</v>
      </c>
      <c r="J8" s="51" t="s">
        <v>129</v>
      </c>
    </row>
    <row r="9" spans="1:10">
      <c r="A9" s="217"/>
      <c r="B9" s="51" t="s">
        <v>1463</v>
      </c>
      <c r="C9" s="51" t="s">
        <v>131</v>
      </c>
      <c r="D9" s="51" t="s">
        <v>132</v>
      </c>
      <c r="E9" s="51">
        <v>1</v>
      </c>
      <c r="F9" s="51" t="s">
        <v>67</v>
      </c>
      <c r="G9" s="51">
        <v>0</v>
      </c>
      <c r="H9" s="51" t="s">
        <v>1464</v>
      </c>
      <c r="I9" s="51" t="s">
        <v>1465</v>
      </c>
      <c r="J9" s="51" t="s">
        <v>133</v>
      </c>
    </row>
    <row r="10" spans="1:10">
      <c r="A10" s="217" t="s">
        <v>1819</v>
      </c>
      <c r="B10" s="53">
        <v>0</v>
      </c>
      <c r="C10" s="218" t="s">
        <v>1450</v>
      </c>
      <c r="D10" s="219"/>
      <c r="E10" s="219"/>
      <c r="F10" s="219"/>
      <c r="G10" s="219"/>
      <c r="H10" s="219"/>
      <c r="I10" s="219"/>
      <c r="J10" s="51"/>
    </row>
    <row r="11" spans="1:10" ht="42.75">
      <c r="A11" s="217"/>
      <c r="B11" s="220">
        <v>1</v>
      </c>
      <c r="C11" s="51" t="s">
        <v>159</v>
      </c>
      <c r="D11" s="51" t="s">
        <v>160</v>
      </c>
      <c r="E11" s="51">
        <v>0</v>
      </c>
      <c r="F11" s="51">
        <v>900</v>
      </c>
      <c r="G11" s="51" t="s">
        <v>1466</v>
      </c>
      <c r="H11" s="51" t="s">
        <v>1467</v>
      </c>
      <c r="I11" s="51" t="s">
        <v>1468</v>
      </c>
      <c r="J11" s="51" t="s">
        <v>162</v>
      </c>
    </row>
    <row r="12" spans="1:10">
      <c r="A12" s="217"/>
      <c r="B12" s="221"/>
      <c r="C12" s="51" t="s">
        <v>163</v>
      </c>
      <c r="D12" s="51" t="s">
        <v>164</v>
      </c>
      <c r="E12" s="51">
        <v>0</v>
      </c>
      <c r="F12" s="51">
        <v>900</v>
      </c>
      <c r="G12" s="51" t="s">
        <v>1453</v>
      </c>
      <c r="H12" s="51" t="s">
        <v>1469</v>
      </c>
      <c r="I12" s="51" t="s">
        <v>1470</v>
      </c>
      <c r="J12" s="51" t="s">
        <v>165</v>
      </c>
    </row>
    <row r="13" spans="1:10">
      <c r="A13" s="217"/>
      <c r="B13" s="221"/>
      <c r="C13" s="56" t="s">
        <v>167</v>
      </c>
      <c r="D13" s="56" t="s">
        <v>168</v>
      </c>
      <c r="E13" s="56">
        <v>0</v>
      </c>
      <c r="F13" s="56">
        <v>0</v>
      </c>
      <c r="G13" s="56">
        <v>20</v>
      </c>
      <c r="H13" s="56"/>
      <c r="I13" s="56" t="s">
        <v>1471</v>
      </c>
      <c r="J13" s="51" t="s">
        <v>169</v>
      </c>
    </row>
    <row r="14" spans="1:10">
      <c r="A14" s="217"/>
      <c r="B14" s="221"/>
      <c r="C14" s="51" t="s">
        <v>170</v>
      </c>
      <c r="D14" s="51" t="s">
        <v>171</v>
      </c>
      <c r="E14" s="51" t="s">
        <v>1472</v>
      </c>
      <c r="F14" s="51" t="s">
        <v>1473</v>
      </c>
      <c r="G14" s="51" t="s">
        <v>1474</v>
      </c>
      <c r="H14" s="51" t="s">
        <v>1475</v>
      </c>
      <c r="I14" s="51" t="s">
        <v>1476</v>
      </c>
      <c r="J14" s="51" t="s">
        <v>172</v>
      </c>
    </row>
    <row r="15" spans="1:10">
      <c r="A15" s="217"/>
      <c r="B15" s="51" t="s">
        <v>173</v>
      </c>
      <c r="C15" s="51" t="s">
        <v>174</v>
      </c>
      <c r="D15" s="51" t="s">
        <v>175</v>
      </c>
      <c r="E15" s="51">
        <v>0</v>
      </c>
      <c r="F15" s="51">
        <v>0</v>
      </c>
      <c r="G15" s="51" t="s">
        <v>1458</v>
      </c>
      <c r="H15" s="51"/>
      <c r="I15" s="51" t="s">
        <v>1477</v>
      </c>
      <c r="J15" s="51" t="s">
        <v>176</v>
      </c>
    </row>
    <row r="16" spans="1:10">
      <c r="A16" s="217"/>
      <c r="B16" s="51" t="s">
        <v>1478</v>
      </c>
      <c r="C16" s="51" t="s">
        <v>177</v>
      </c>
      <c r="D16" s="51" t="s">
        <v>178</v>
      </c>
      <c r="E16" s="51">
        <v>0</v>
      </c>
      <c r="F16" s="51">
        <v>0</v>
      </c>
      <c r="G16" s="51" t="s">
        <v>1458</v>
      </c>
      <c r="H16" s="51"/>
      <c r="I16" s="51" t="s">
        <v>1479</v>
      </c>
      <c r="J16" s="51" t="s">
        <v>179</v>
      </c>
    </row>
    <row r="17" spans="1:10">
      <c r="A17" s="217" t="s">
        <v>1820</v>
      </c>
      <c r="B17" s="53">
        <v>0</v>
      </c>
      <c r="C17" s="218" t="s">
        <v>1480</v>
      </c>
      <c r="D17" s="219"/>
      <c r="E17" s="219"/>
      <c r="F17" s="219"/>
      <c r="G17" s="219"/>
      <c r="H17" s="219"/>
      <c r="I17" s="219"/>
      <c r="J17" s="51"/>
    </row>
    <row r="18" spans="1:10" ht="28.5">
      <c r="A18" s="217"/>
      <c r="B18" s="220" t="s">
        <v>1481</v>
      </c>
      <c r="C18" s="51" t="s">
        <v>184</v>
      </c>
      <c r="D18" s="51" t="s">
        <v>946</v>
      </c>
      <c r="E18" s="51">
        <v>3</v>
      </c>
      <c r="F18" s="51">
        <v>450</v>
      </c>
      <c r="G18" s="51" t="s">
        <v>1482</v>
      </c>
      <c r="H18" s="51" t="s">
        <v>1483</v>
      </c>
      <c r="I18" s="51" t="s">
        <v>1484</v>
      </c>
      <c r="J18" s="51"/>
    </row>
    <row r="19" spans="1:10">
      <c r="A19" s="217"/>
      <c r="B19" s="221"/>
      <c r="C19" s="51" t="s">
        <v>185</v>
      </c>
      <c r="D19" s="51" t="s">
        <v>186</v>
      </c>
      <c r="E19" s="51">
        <v>0</v>
      </c>
      <c r="F19" s="51">
        <v>900</v>
      </c>
      <c r="G19" s="51" t="s">
        <v>1485</v>
      </c>
      <c r="H19" s="51" t="s">
        <v>1486</v>
      </c>
      <c r="I19" s="51" t="s">
        <v>1487</v>
      </c>
      <c r="J19" s="51"/>
    </row>
    <row r="20" spans="1:10">
      <c r="A20" s="217"/>
      <c r="B20" s="220" t="s">
        <v>1488</v>
      </c>
      <c r="C20" s="51" t="s">
        <v>187</v>
      </c>
      <c r="D20" s="51" t="s">
        <v>188</v>
      </c>
      <c r="E20" s="51">
        <v>0</v>
      </c>
      <c r="F20" s="51">
        <v>100</v>
      </c>
      <c r="G20" s="51" t="s">
        <v>1489</v>
      </c>
      <c r="H20" s="51" t="s">
        <v>1490</v>
      </c>
      <c r="I20" s="51" t="s">
        <v>1491</v>
      </c>
      <c r="J20" s="51"/>
    </row>
    <row r="21" spans="1:10">
      <c r="A21" s="217"/>
      <c r="B21" s="221"/>
      <c r="C21" s="51" t="s">
        <v>189</v>
      </c>
      <c r="D21" s="51" t="s">
        <v>190</v>
      </c>
      <c r="E21" s="51">
        <v>0</v>
      </c>
      <c r="F21" s="51">
        <v>0</v>
      </c>
      <c r="G21" s="51" t="s">
        <v>1492</v>
      </c>
      <c r="H21" s="51" t="s">
        <v>1493</v>
      </c>
      <c r="I21" s="51" t="s">
        <v>1494</v>
      </c>
      <c r="J21" s="51"/>
    </row>
    <row r="22" spans="1:10">
      <c r="A22" s="217"/>
      <c r="B22" s="221"/>
      <c r="C22" s="51" t="s">
        <v>191</v>
      </c>
      <c r="D22" s="51" t="s">
        <v>193</v>
      </c>
      <c r="E22" s="51">
        <v>0</v>
      </c>
      <c r="F22" s="51" t="s">
        <v>1495</v>
      </c>
      <c r="G22" s="51">
        <v>25</v>
      </c>
      <c r="H22" s="51"/>
      <c r="I22" s="51" t="s">
        <v>1496</v>
      </c>
      <c r="J22" s="51"/>
    </row>
    <row r="23" spans="1:10">
      <c r="A23" s="217"/>
      <c r="B23" s="51" t="s">
        <v>1478</v>
      </c>
      <c r="C23" s="51" t="s">
        <v>177</v>
      </c>
      <c r="D23" s="51" t="s">
        <v>178</v>
      </c>
      <c r="E23" s="51">
        <v>0</v>
      </c>
      <c r="F23" s="51">
        <v>0</v>
      </c>
      <c r="G23" s="51" t="s">
        <v>1458</v>
      </c>
      <c r="H23" s="51"/>
      <c r="I23" s="51" t="s">
        <v>1479</v>
      </c>
      <c r="J23" s="51"/>
    </row>
    <row r="24" spans="1:10">
      <c r="A24" s="217" t="s">
        <v>1821</v>
      </c>
      <c r="B24" s="53">
        <v>0</v>
      </c>
      <c r="C24" s="53" t="s">
        <v>1450</v>
      </c>
      <c r="D24" s="53"/>
      <c r="E24" s="53"/>
      <c r="F24" s="53"/>
      <c r="G24" s="53"/>
      <c r="H24" s="53"/>
      <c r="I24" s="53"/>
      <c r="J24" s="51"/>
    </row>
    <row r="25" spans="1:10">
      <c r="A25" s="217"/>
      <c r="B25" s="51">
        <v>1</v>
      </c>
      <c r="C25" s="51" t="s">
        <v>197</v>
      </c>
      <c r="D25" s="51" t="s">
        <v>1553</v>
      </c>
      <c r="E25" s="51"/>
      <c r="F25" s="51" t="s">
        <v>1497</v>
      </c>
      <c r="G25" s="51">
        <v>20</v>
      </c>
      <c r="H25" s="51" t="s">
        <v>1498</v>
      </c>
      <c r="I25" s="51"/>
      <c r="J25" s="51"/>
    </row>
    <row r="26" spans="1:10">
      <c r="A26" s="217"/>
      <c r="B26" s="51"/>
      <c r="C26" s="51" t="s">
        <v>198</v>
      </c>
      <c r="D26" s="51" t="s">
        <v>199</v>
      </c>
      <c r="E26" s="51">
        <v>10</v>
      </c>
      <c r="F26" s="51"/>
      <c r="G26" s="51">
        <v>40</v>
      </c>
      <c r="H26" s="51" t="s">
        <v>1499</v>
      </c>
      <c r="I26" s="51" t="s">
        <v>1500</v>
      </c>
      <c r="J26" s="51"/>
    </row>
    <row r="27" spans="1:10">
      <c r="A27" s="217"/>
      <c r="B27" s="51"/>
      <c r="C27" s="57" t="s">
        <v>201</v>
      </c>
      <c r="D27" s="57" t="s">
        <v>207</v>
      </c>
      <c r="E27" s="57">
        <v>10</v>
      </c>
      <c r="F27" s="57"/>
      <c r="G27" s="57">
        <v>30</v>
      </c>
      <c r="H27" s="57" t="s">
        <v>1501</v>
      </c>
      <c r="I27" s="57" t="s">
        <v>1502</v>
      </c>
      <c r="J27" s="51"/>
    </row>
    <row r="28" spans="1:10">
      <c r="A28" s="217"/>
      <c r="B28" s="51" t="s">
        <v>216</v>
      </c>
      <c r="C28" s="51" t="s">
        <v>174</v>
      </c>
      <c r="D28" s="51" t="s">
        <v>217</v>
      </c>
      <c r="E28" s="51"/>
      <c r="F28" s="51"/>
      <c r="G28" s="51" t="s">
        <v>1458</v>
      </c>
      <c r="H28" s="51"/>
      <c r="I28" s="51" t="s">
        <v>1503</v>
      </c>
      <c r="J28" s="51"/>
    </row>
    <row r="29" spans="1:10">
      <c r="A29" s="217"/>
      <c r="B29" s="51" t="s">
        <v>1504</v>
      </c>
      <c r="C29" s="51" t="s">
        <v>177</v>
      </c>
      <c r="D29" s="51" t="s">
        <v>178</v>
      </c>
      <c r="E29" s="51"/>
      <c r="F29" s="51"/>
      <c r="G29" s="51" t="s">
        <v>1458</v>
      </c>
      <c r="H29" s="51"/>
      <c r="I29" s="51" t="s">
        <v>1479</v>
      </c>
      <c r="J29" s="51"/>
    </row>
    <row r="30" spans="1:10">
      <c r="A30" s="220" t="s">
        <v>1554</v>
      </c>
      <c r="B30" s="53">
        <v>0</v>
      </c>
      <c r="C30" s="53" t="s">
        <v>1450</v>
      </c>
      <c r="D30" s="53"/>
      <c r="E30" s="53"/>
      <c r="F30" s="53"/>
      <c r="G30" s="53"/>
      <c r="H30" s="53"/>
      <c r="I30" s="53"/>
      <c r="J30" s="51"/>
    </row>
    <row r="31" spans="1:10" ht="57">
      <c r="A31" s="221"/>
      <c r="B31" s="51">
        <v>1</v>
      </c>
      <c r="C31" s="51"/>
      <c r="D31" s="51" t="s">
        <v>220</v>
      </c>
      <c r="E31" s="51">
        <v>0</v>
      </c>
      <c r="F31" s="51">
        <v>9999</v>
      </c>
      <c r="G31" s="51">
        <v>15</v>
      </c>
      <c r="H31" s="51"/>
      <c r="I31" s="51" t="s">
        <v>222</v>
      </c>
      <c r="J31" s="51" t="s">
        <v>223</v>
      </c>
    </row>
    <row r="32" spans="1:10" ht="28.5">
      <c r="A32" s="221"/>
      <c r="B32" s="51" t="s">
        <v>224</v>
      </c>
      <c r="C32" s="51"/>
      <c r="D32" s="51" t="s">
        <v>919</v>
      </c>
      <c r="E32" s="51"/>
      <c r="F32" s="51">
        <v>9999</v>
      </c>
      <c r="G32" s="51">
        <v>25</v>
      </c>
      <c r="H32" s="51" t="s">
        <v>225</v>
      </c>
      <c r="I32" s="51" t="s">
        <v>226</v>
      </c>
      <c r="J32" s="51" t="s">
        <v>227</v>
      </c>
    </row>
    <row r="33" spans="1:10" ht="71.25">
      <c r="A33" s="221"/>
      <c r="B33" s="51"/>
      <c r="C33" s="51"/>
      <c r="D33" s="51" t="s">
        <v>229</v>
      </c>
      <c r="E33" s="51">
        <v>5</v>
      </c>
      <c r="F33" s="51">
        <v>9999</v>
      </c>
      <c r="G33" s="51">
        <v>25</v>
      </c>
      <c r="H33" s="51" t="s">
        <v>230</v>
      </c>
      <c r="I33" s="51" t="s">
        <v>233</v>
      </c>
      <c r="J33" s="51" t="s">
        <v>235</v>
      </c>
    </row>
    <row r="34" spans="1:10" ht="28.5">
      <c r="A34" s="221"/>
      <c r="B34" s="51" t="s">
        <v>236</v>
      </c>
      <c r="C34" s="51"/>
      <c r="D34" s="51" t="s">
        <v>916</v>
      </c>
      <c r="E34" s="51"/>
      <c r="F34" s="51">
        <v>9999</v>
      </c>
      <c r="G34" s="51">
        <v>15</v>
      </c>
      <c r="H34" s="51"/>
      <c r="I34" s="51" t="s">
        <v>242</v>
      </c>
      <c r="J34" s="51" t="s">
        <v>72</v>
      </c>
    </row>
    <row r="35" spans="1:10" ht="28.5">
      <c r="A35" s="221"/>
      <c r="B35" s="51" t="s">
        <v>245</v>
      </c>
      <c r="C35" s="51"/>
      <c r="D35" s="51" t="s">
        <v>246</v>
      </c>
      <c r="E35" s="51">
        <v>0</v>
      </c>
      <c r="F35" s="51">
        <v>0</v>
      </c>
      <c r="G35" s="51">
        <v>15</v>
      </c>
      <c r="H35" s="51"/>
      <c r="I35" s="51" t="s">
        <v>251</v>
      </c>
      <c r="J35" s="51" t="s">
        <v>254</v>
      </c>
    </row>
    <row r="36" spans="1:10" ht="14.25" customHeight="1">
      <c r="A36" s="217" t="s">
        <v>1822</v>
      </c>
      <c r="B36" s="58">
        <v>0</v>
      </c>
      <c r="C36" s="53" t="s">
        <v>1450</v>
      </c>
      <c r="D36" s="58"/>
      <c r="E36" s="58"/>
      <c r="F36" s="58"/>
      <c r="G36" s="58"/>
      <c r="H36" s="58"/>
      <c r="I36" s="58"/>
      <c r="J36" s="51"/>
    </row>
    <row r="37" spans="1:10" ht="57">
      <c r="A37" s="217"/>
      <c r="B37" s="51" t="s">
        <v>380</v>
      </c>
      <c r="C37" s="51"/>
      <c r="D37" s="51" t="s">
        <v>381</v>
      </c>
      <c r="E37" s="51"/>
      <c r="F37" s="51"/>
      <c r="G37" s="51">
        <v>20</v>
      </c>
      <c r="H37" s="51"/>
      <c r="I37" s="51" t="s">
        <v>382</v>
      </c>
      <c r="J37" s="51"/>
    </row>
    <row r="38" spans="1:10" ht="28.5">
      <c r="A38" s="217"/>
      <c r="B38" s="51"/>
      <c r="C38" s="51"/>
      <c r="D38" s="51" t="s">
        <v>383</v>
      </c>
      <c r="E38" s="51"/>
      <c r="F38" s="51"/>
      <c r="G38" s="51">
        <v>12</v>
      </c>
      <c r="H38" s="51"/>
      <c r="I38" s="51" t="s">
        <v>384</v>
      </c>
      <c r="J38" s="51"/>
    </row>
    <row r="39" spans="1:10" ht="28.5">
      <c r="A39" s="217"/>
      <c r="B39" s="51"/>
      <c r="C39" s="51"/>
      <c r="D39" s="51" t="s">
        <v>1555</v>
      </c>
      <c r="E39" s="51"/>
      <c r="F39" s="51"/>
      <c r="G39" s="51">
        <v>15</v>
      </c>
      <c r="H39" s="51"/>
      <c r="I39" s="51" t="s">
        <v>385</v>
      </c>
      <c r="J39" s="51"/>
    </row>
    <row r="40" spans="1:10" ht="28.5">
      <c r="A40" s="217"/>
      <c r="B40" s="51" t="s">
        <v>386</v>
      </c>
      <c r="C40" s="51"/>
      <c r="D40" s="51" t="s">
        <v>387</v>
      </c>
      <c r="E40" s="51">
        <v>4</v>
      </c>
      <c r="F40" s="51"/>
      <c r="G40" s="51">
        <v>15</v>
      </c>
      <c r="H40" s="51"/>
      <c r="I40" s="51" t="s">
        <v>388</v>
      </c>
      <c r="J40" s="51"/>
    </row>
    <row r="41" spans="1:10">
      <c r="A41" s="217"/>
      <c r="B41" s="51"/>
      <c r="C41" s="51"/>
      <c r="D41" s="51" t="s">
        <v>389</v>
      </c>
      <c r="E41" s="51">
        <v>0</v>
      </c>
      <c r="F41" s="51"/>
      <c r="G41" s="51">
        <v>10</v>
      </c>
      <c r="H41" s="51"/>
      <c r="I41" s="51" t="s">
        <v>390</v>
      </c>
      <c r="J41" s="51"/>
    </row>
    <row r="42" spans="1:10" ht="42.75">
      <c r="A42" s="217"/>
      <c r="B42" s="51" t="s">
        <v>391</v>
      </c>
      <c r="C42" s="51"/>
      <c r="D42" s="51"/>
      <c r="E42" s="51"/>
      <c r="F42" s="51"/>
      <c r="G42" s="51"/>
      <c r="H42" s="51"/>
      <c r="I42" s="51" t="s">
        <v>392</v>
      </c>
      <c r="J42" s="51"/>
    </row>
    <row r="43" spans="1:10">
      <c r="A43" s="217" t="s">
        <v>1823</v>
      </c>
      <c r="B43" s="53">
        <v>0</v>
      </c>
      <c r="C43" s="53" t="s">
        <v>1450</v>
      </c>
      <c r="D43" s="53"/>
      <c r="E43" s="53"/>
      <c r="F43" s="53"/>
      <c r="G43" s="53"/>
      <c r="H43" s="53"/>
      <c r="I43" s="53"/>
      <c r="J43" s="51"/>
    </row>
    <row r="44" spans="1:10">
      <c r="A44" s="217"/>
      <c r="B44" s="51">
        <v>1</v>
      </c>
      <c r="C44" s="51" t="s">
        <v>393</v>
      </c>
      <c r="D44" s="51" t="s">
        <v>394</v>
      </c>
      <c r="E44" s="51">
        <v>10</v>
      </c>
      <c r="F44" s="51"/>
      <c r="G44" s="51" t="s">
        <v>1505</v>
      </c>
      <c r="H44" s="51" t="s">
        <v>1506</v>
      </c>
      <c r="I44" s="51" t="s">
        <v>1507</v>
      </c>
      <c r="J44" s="51"/>
    </row>
    <row r="45" spans="1:10">
      <c r="A45" s="217"/>
      <c r="B45" s="51"/>
      <c r="C45" s="51" t="s">
        <v>395</v>
      </c>
      <c r="D45" s="51" t="s">
        <v>396</v>
      </c>
      <c r="E45" s="51"/>
      <c r="F45" s="51"/>
      <c r="G45" s="51"/>
      <c r="H45" s="51"/>
      <c r="I45" s="51"/>
      <c r="J45" s="51"/>
    </row>
    <row r="46" spans="1:10">
      <c r="A46" s="217"/>
      <c r="B46" s="51"/>
      <c r="C46" s="51" t="s">
        <v>1508</v>
      </c>
      <c r="D46" s="51" t="s">
        <v>397</v>
      </c>
      <c r="E46" s="51">
        <v>0</v>
      </c>
      <c r="F46" s="51"/>
      <c r="G46" s="51" t="s">
        <v>1509</v>
      </c>
      <c r="H46" s="51"/>
      <c r="I46" s="51" t="s">
        <v>1510</v>
      </c>
      <c r="J46" s="51"/>
    </row>
    <row r="47" spans="1:10">
      <c r="A47" s="217"/>
      <c r="B47" s="51" t="s">
        <v>5</v>
      </c>
      <c r="C47" s="51" t="s">
        <v>12</v>
      </c>
      <c r="D47" s="51" t="s">
        <v>398</v>
      </c>
      <c r="E47" s="51"/>
      <c r="F47" s="51" t="s">
        <v>1511</v>
      </c>
      <c r="G47" s="51">
        <v>10</v>
      </c>
      <c r="H47" s="51" t="s">
        <v>1512</v>
      </c>
      <c r="I47" s="51" t="s">
        <v>1513</v>
      </c>
      <c r="J47" s="51"/>
    </row>
    <row r="48" spans="1:10">
      <c r="A48" s="217"/>
      <c r="B48" s="51"/>
      <c r="C48" s="51" t="s">
        <v>19</v>
      </c>
      <c r="D48" s="51" t="s">
        <v>399</v>
      </c>
      <c r="E48" s="51"/>
      <c r="F48" s="51"/>
      <c r="G48" s="51">
        <v>10</v>
      </c>
      <c r="H48" s="51" t="s">
        <v>1514</v>
      </c>
      <c r="I48" s="51" t="s">
        <v>1515</v>
      </c>
      <c r="J48" s="51"/>
    </row>
    <row r="49" spans="1:10">
      <c r="A49" s="217"/>
      <c r="B49" s="51" t="s">
        <v>400</v>
      </c>
      <c r="C49" s="51" t="s">
        <v>26</v>
      </c>
      <c r="D49" s="51" t="s">
        <v>401</v>
      </c>
      <c r="E49" s="51"/>
      <c r="F49" s="51"/>
      <c r="G49" s="51">
        <v>10</v>
      </c>
      <c r="H49" s="51" t="s">
        <v>402</v>
      </c>
      <c r="I49" s="51" t="s">
        <v>1516</v>
      </c>
      <c r="J49" s="51"/>
    </row>
    <row r="50" spans="1:10">
      <c r="A50" s="217"/>
      <c r="B50" s="51"/>
      <c r="C50" s="51" t="s">
        <v>32</v>
      </c>
      <c r="D50" s="51" t="s">
        <v>403</v>
      </c>
      <c r="E50" s="51">
        <v>3</v>
      </c>
      <c r="F50" s="51"/>
      <c r="G50" s="51">
        <v>12</v>
      </c>
      <c r="H50" s="51" t="s">
        <v>1517</v>
      </c>
      <c r="I50" s="51" t="s">
        <v>1518</v>
      </c>
      <c r="J50" s="51"/>
    </row>
    <row r="51" spans="1:10">
      <c r="A51" s="217"/>
      <c r="B51" s="51" t="s">
        <v>43</v>
      </c>
      <c r="C51" s="51" t="s">
        <v>52</v>
      </c>
      <c r="D51" s="51" t="s">
        <v>406</v>
      </c>
      <c r="E51" s="51">
        <v>4</v>
      </c>
      <c r="F51" s="51"/>
      <c r="G51" s="51">
        <v>10</v>
      </c>
      <c r="H51" s="51" t="s">
        <v>1519</v>
      </c>
      <c r="I51" s="51" t="s">
        <v>1520</v>
      </c>
      <c r="J51" s="51"/>
    </row>
    <row r="52" spans="1:10">
      <c r="A52" s="217"/>
      <c r="B52" s="51"/>
      <c r="C52" s="51" t="s">
        <v>44</v>
      </c>
      <c r="D52" s="51" t="s">
        <v>407</v>
      </c>
      <c r="E52" s="51"/>
      <c r="F52" s="51"/>
      <c r="G52" s="51">
        <v>10</v>
      </c>
      <c r="H52" s="51" t="s">
        <v>408</v>
      </c>
      <c r="I52" s="51" t="s">
        <v>1521</v>
      </c>
      <c r="J52" s="51"/>
    </row>
    <row r="53" spans="1:10">
      <c r="A53" s="217"/>
      <c r="B53" s="51" t="s">
        <v>61</v>
      </c>
      <c r="C53" s="51" t="s">
        <v>92</v>
      </c>
      <c r="D53" s="51" t="s">
        <v>411</v>
      </c>
      <c r="E53" s="51">
        <v>4</v>
      </c>
      <c r="F53" s="51"/>
      <c r="G53" s="51">
        <v>10</v>
      </c>
      <c r="H53" s="51" t="s">
        <v>1522</v>
      </c>
      <c r="I53" s="51"/>
      <c r="J53" s="51"/>
    </row>
    <row r="54" spans="1:10">
      <c r="A54" s="217"/>
      <c r="B54" s="51"/>
      <c r="C54" s="51" t="s">
        <v>97</v>
      </c>
      <c r="D54" s="51" t="s">
        <v>413</v>
      </c>
      <c r="E54" s="51"/>
      <c r="F54" s="51">
        <v>600</v>
      </c>
      <c r="G54" s="51" t="s">
        <v>1453</v>
      </c>
      <c r="H54" s="51" t="s">
        <v>1523</v>
      </c>
      <c r="I54" s="51"/>
      <c r="J54" s="51"/>
    </row>
    <row r="55" spans="1:10">
      <c r="A55" s="217"/>
      <c r="B55" s="51" t="s">
        <v>111</v>
      </c>
      <c r="C55" s="51" t="s">
        <v>113</v>
      </c>
      <c r="D55" s="51" t="s">
        <v>416</v>
      </c>
      <c r="E55" s="51"/>
      <c r="F55" s="51"/>
      <c r="G55" s="51">
        <v>10</v>
      </c>
      <c r="H55" s="51" t="s">
        <v>1524</v>
      </c>
      <c r="I55" s="51" t="s">
        <v>1525</v>
      </c>
      <c r="J55" s="51"/>
    </row>
    <row r="56" spans="1:10">
      <c r="A56" s="217"/>
      <c r="B56" s="51"/>
      <c r="C56" s="51" t="s">
        <v>123</v>
      </c>
      <c r="D56" s="51" t="s">
        <v>421</v>
      </c>
      <c r="E56" s="51"/>
      <c r="F56" s="51"/>
      <c r="G56" s="51">
        <v>10</v>
      </c>
      <c r="H56" s="51" t="s">
        <v>1526</v>
      </c>
      <c r="I56" s="51" t="s">
        <v>1525</v>
      </c>
      <c r="J56" s="51"/>
    </row>
    <row r="57" spans="1:10">
      <c r="A57" s="217"/>
      <c r="B57" s="51" t="s">
        <v>183</v>
      </c>
      <c r="C57" s="51" t="s">
        <v>202</v>
      </c>
      <c r="D57" s="51" t="s">
        <v>423</v>
      </c>
      <c r="E57" s="51"/>
      <c r="F57" s="51"/>
      <c r="G57" s="51">
        <v>5</v>
      </c>
      <c r="H57" s="51" t="s">
        <v>424</v>
      </c>
      <c r="I57" s="51" t="s">
        <v>1527</v>
      </c>
      <c r="J57" s="51"/>
    </row>
    <row r="58" spans="1:10">
      <c r="A58" s="217"/>
      <c r="B58" s="51"/>
      <c r="C58" s="51" t="s">
        <v>200</v>
      </c>
      <c r="D58" s="51" t="s">
        <v>425</v>
      </c>
      <c r="E58" s="51"/>
      <c r="F58" s="51"/>
      <c r="G58" s="51"/>
      <c r="H58" s="51" t="s">
        <v>1528</v>
      </c>
      <c r="I58" s="51"/>
      <c r="J58" s="51"/>
    </row>
    <row r="59" spans="1:10">
      <c r="A59" s="217"/>
      <c r="B59" s="51" t="s">
        <v>134</v>
      </c>
      <c r="C59" s="51" t="s">
        <v>147</v>
      </c>
      <c r="D59" s="51" t="s">
        <v>432</v>
      </c>
      <c r="E59" s="51"/>
      <c r="F59" s="51"/>
      <c r="G59" s="51" t="s">
        <v>1529</v>
      </c>
      <c r="H59" s="51" t="s">
        <v>1530</v>
      </c>
      <c r="I59" s="51"/>
      <c r="J59" s="51"/>
    </row>
    <row r="60" spans="1:10">
      <c r="A60" s="217"/>
      <c r="B60" s="51"/>
      <c r="C60" s="51" t="s">
        <v>152</v>
      </c>
      <c r="D60" s="51" t="s">
        <v>435</v>
      </c>
      <c r="E60" s="51"/>
      <c r="F60" s="51"/>
      <c r="G60" s="51">
        <v>10</v>
      </c>
      <c r="H60" s="51" t="s">
        <v>1531</v>
      </c>
      <c r="I60" s="51" t="s">
        <v>1532</v>
      </c>
      <c r="J60" s="51"/>
    </row>
    <row r="61" spans="1:10">
      <c r="A61" s="217"/>
      <c r="B61" s="51" t="s">
        <v>208</v>
      </c>
      <c r="C61" s="51" t="s">
        <v>218</v>
      </c>
      <c r="D61" s="51" t="s">
        <v>440</v>
      </c>
      <c r="E61" s="51">
        <v>2</v>
      </c>
      <c r="F61" s="51">
        <v>600</v>
      </c>
      <c r="G61" s="51" t="s">
        <v>1533</v>
      </c>
      <c r="H61" s="51" t="s">
        <v>1534</v>
      </c>
      <c r="I61" s="51" t="s">
        <v>1535</v>
      </c>
      <c r="J61" s="51"/>
    </row>
    <row r="62" spans="1:10" ht="28.5">
      <c r="A62" s="217"/>
      <c r="B62" s="51"/>
      <c r="C62" s="51" t="s">
        <v>239</v>
      </c>
      <c r="D62" s="51" t="s">
        <v>445</v>
      </c>
      <c r="E62" s="51"/>
      <c r="F62" s="51">
        <v>600</v>
      </c>
      <c r="G62" s="51" t="s">
        <v>1536</v>
      </c>
      <c r="H62" s="51" t="s">
        <v>1537</v>
      </c>
      <c r="I62" s="51" t="s">
        <v>1538</v>
      </c>
      <c r="J62" s="51"/>
    </row>
    <row r="63" spans="1:10">
      <c r="A63" s="217"/>
      <c r="B63" s="51" t="s">
        <v>264</v>
      </c>
      <c r="C63" s="51" t="s">
        <v>450</v>
      </c>
      <c r="D63" s="51" t="s">
        <v>451</v>
      </c>
      <c r="E63" s="51"/>
      <c r="F63" s="51"/>
      <c r="G63" s="51">
        <v>10</v>
      </c>
      <c r="H63" s="51" t="s">
        <v>1539</v>
      </c>
      <c r="I63" s="51" t="s">
        <v>1540</v>
      </c>
      <c r="J63" s="51"/>
    </row>
    <row r="64" spans="1:10">
      <c r="A64" s="217"/>
      <c r="B64" s="51"/>
      <c r="C64" s="51" t="s">
        <v>455</v>
      </c>
      <c r="D64" s="51" t="s">
        <v>456</v>
      </c>
      <c r="E64" s="51"/>
      <c r="F64" s="51"/>
      <c r="G64" s="51">
        <v>15</v>
      </c>
      <c r="H64" s="51" t="s">
        <v>1541</v>
      </c>
      <c r="I64" s="51" t="s">
        <v>1542</v>
      </c>
      <c r="J64" s="51"/>
    </row>
    <row r="65" spans="1:10">
      <c r="A65" s="217"/>
      <c r="B65" s="51" t="s">
        <v>379</v>
      </c>
      <c r="C65" s="51" t="s">
        <v>461</v>
      </c>
      <c r="D65" s="51" t="s">
        <v>463</v>
      </c>
      <c r="E65" s="51"/>
      <c r="F65" s="51"/>
      <c r="G65" s="51"/>
      <c r="H65" s="51"/>
      <c r="I65" s="51"/>
      <c r="J65" s="51"/>
    </row>
    <row r="66" spans="1:10">
      <c r="A66" s="217"/>
      <c r="B66" s="51"/>
      <c r="C66" s="51" t="s">
        <v>465</v>
      </c>
      <c r="D66" s="51" t="s">
        <v>466</v>
      </c>
      <c r="E66" s="51"/>
      <c r="F66" s="51"/>
      <c r="G66" s="51">
        <v>10</v>
      </c>
      <c r="H66" s="51" t="s">
        <v>469</v>
      </c>
      <c r="I66" s="51" t="s">
        <v>1543</v>
      </c>
      <c r="J66" s="51"/>
    </row>
    <row r="67" spans="1:10">
      <c r="A67" s="217"/>
      <c r="B67" s="51" t="s">
        <v>472</v>
      </c>
      <c r="C67" s="51" t="s">
        <v>1544</v>
      </c>
      <c r="D67" s="51" t="s">
        <v>473</v>
      </c>
      <c r="E67" s="51"/>
      <c r="F67" s="51"/>
      <c r="G67" s="51">
        <v>10</v>
      </c>
      <c r="H67" s="51" t="s">
        <v>1545</v>
      </c>
      <c r="I67" s="51" t="s">
        <v>1546</v>
      </c>
      <c r="J67" s="51"/>
    </row>
    <row r="68" spans="1:10">
      <c r="A68" s="217"/>
      <c r="B68" s="51"/>
      <c r="C68" s="51" t="s">
        <v>1547</v>
      </c>
      <c r="D68" s="51" t="s">
        <v>474</v>
      </c>
      <c r="E68" s="51"/>
      <c r="F68" s="51"/>
      <c r="G68" s="51"/>
      <c r="H68" s="51"/>
      <c r="I68" s="51" t="s">
        <v>1548</v>
      </c>
      <c r="J68" s="51"/>
    </row>
    <row r="69" spans="1:10">
      <c r="A69" s="220" t="s">
        <v>1549</v>
      </c>
      <c r="B69" s="58">
        <v>0</v>
      </c>
      <c r="C69" s="58" t="s">
        <v>219</v>
      </c>
      <c r="D69" s="58"/>
      <c r="E69" s="58"/>
      <c r="F69" s="58"/>
      <c r="G69" s="58"/>
      <c r="H69" s="58"/>
      <c r="I69" s="58"/>
      <c r="J69" s="51"/>
    </row>
    <row r="70" spans="1:10">
      <c r="A70" s="221"/>
      <c r="B70" s="51">
        <v>1</v>
      </c>
      <c r="C70" s="51"/>
      <c r="D70" s="51" t="s">
        <v>485</v>
      </c>
      <c r="E70" s="51"/>
      <c r="F70" s="51"/>
      <c r="G70" s="51"/>
      <c r="H70" s="51"/>
      <c r="I70" s="51" t="s">
        <v>487</v>
      </c>
      <c r="J70" s="51"/>
    </row>
    <row r="71" spans="1:10" ht="42.75">
      <c r="A71" s="221"/>
      <c r="B71" s="51"/>
      <c r="C71" s="51"/>
      <c r="D71" s="51" t="s">
        <v>489</v>
      </c>
      <c r="E71" s="51"/>
      <c r="F71" s="51"/>
      <c r="G71" s="51"/>
      <c r="H71" s="51"/>
      <c r="I71" s="51" t="s">
        <v>491</v>
      </c>
      <c r="J71" s="51"/>
    </row>
    <row r="72" spans="1:10" ht="28.5">
      <c r="A72" s="221"/>
      <c r="B72" s="51"/>
      <c r="C72" s="51"/>
      <c r="D72" s="51" t="s">
        <v>494</v>
      </c>
      <c r="E72" s="51"/>
      <c r="F72" s="51"/>
      <c r="G72" s="51"/>
      <c r="H72" s="51"/>
      <c r="I72" s="51" t="s">
        <v>495</v>
      </c>
      <c r="J72" s="51"/>
    </row>
    <row r="73" spans="1:10" ht="85.5">
      <c r="A73" s="221"/>
      <c r="B73" s="51"/>
      <c r="C73" s="51"/>
      <c r="D73" s="51" t="s">
        <v>496</v>
      </c>
      <c r="E73" s="51"/>
      <c r="F73" s="51"/>
      <c r="G73" s="51"/>
      <c r="H73" s="51"/>
      <c r="I73" s="51" t="s">
        <v>499</v>
      </c>
      <c r="J73" s="51"/>
    </row>
    <row r="74" spans="1:10" ht="28.5">
      <c r="A74" s="221"/>
      <c r="B74" s="59">
        <v>2</v>
      </c>
      <c r="C74" s="59"/>
      <c r="D74" s="59" t="s">
        <v>544</v>
      </c>
      <c r="E74" s="59"/>
      <c r="F74" s="59"/>
      <c r="G74" s="59"/>
      <c r="H74" s="59"/>
      <c r="I74" s="59" t="s">
        <v>545</v>
      </c>
      <c r="J74" s="51"/>
    </row>
    <row r="75" spans="1:10" ht="28.5">
      <c r="A75" s="221"/>
      <c r="B75" s="59"/>
      <c r="C75" s="59"/>
      <c r="D75" s="59" t="s">
        <v>546</v>
      </c>
      <c r="E75" s="59"/>
      <c r="F75" s="59"/>
      <c r="G75" s="59"/>
      <c r="H75" s="59"/>
      <c r="I75" s="59" t="s">
        <v>547</v>
      </c>
      <c r="J75" s="51"/>
    </row>
    <row r="76" spans="1:10" ht="28.5">
      <c r="A76" s="221"/>
      <c r="B76" s="60">
        <v>2</v>
      </c>
      <c r="C76" s="60"/>
      <c r="D76" s="60" t="s">
        <v>549</v>
      </c>
      <c r="E76" s="60"/>
      <c r="F76" s="60"/>
      <c r="G76" s="60">
        <v>10</v>
      </c>
      <c r="H76" s="60"/>
      <c r="I76" s="60" t="s">
        <v>550</v>
      </c>
      <c r="J76" s="51"/>
    </row>
    <row r="77" spans="1:10" ht="28.5">
      <c r="A77" s="221"/>
      <c r="B77" s="61"/>
      <c r="C77" s="61"/>
      <c r="D77" s="61" t="s">
        <v>551</v>
      </c>
      <c r="E77" s="61"/>
      <c r="F77" s="61"/>
      <c r="G77" s="61"/>
      <c r="H77" s="61"/>
      <c r="I77" s="61" t="s">
        <v>553</v>
      </c>
      <c r="J77" s="51"/>
    </row>
    <row r="78" spans="1:10" ht="28.5">
      <c r="A78" s="221"/>
      <c r="B78" s="62">
        <v>2</v>
      </c>
      <c r="C78" s="62"/>
      <c r="D78" s="62" t="s">
        <v>554</v>
      </c>
      <c r="E78" s="62"/>
      <c r="F78" s="62"/>
      <c r="G78" s="62"/>
      <c r="H78" s="62"/>
      <c r="I78" s="62" t="s">
        <v>555</v>
      </c>
      <c r="J78" s="51"/>
    </row>
    <row r="79" spans="1:10">
      <c r="A79" s="221"/>
      <c r="B79" s="62"/>
      <c r="C79" s="62"/>
      <c r="D79" s="62" t="s">
        <v>556</v>
      </c>
      <c r="E79" s="62"/>
      <c r="F79" s="62"/>
      <c r="G79" s="62"/>
      <c r="H79" s="62"/>
      <c r="I79" s="62" t="s">
        <v>557</v>
      </c>
      <c r="J79" s="51"/>
    </row>
    <row r="80" spans="1:10" ht="42.75">
      <c r="A80" s="221"/>
      <c r="B80" s="51" t="s">
        <v>558</v>
      </c>
      <c r="C80" s="51"/>
      <c r="D80" s="51" t="s">
        <v>559</v>
      </c>
      <c r="E80" s="51"/>
      <c r="F80" s="51"/>
      <c r="G80" s="51">
        <v>15</v>
      </c>
      <c r="H80" s="51"/>
      <c r="I80" s="51" t="s">
        <v>560</v>
      </c>
      <c r="J80" s="51"/>
    </row>
    <row r="81" spans="1:10" ht="28.5">
      <c r="A81" s="221"/>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3"/>
  <sheetViews>
    <sheetView workbookViewId="0">
      <pane ySplit="1" topLeftCell="A32" activePane="bottomLeft" state="frozen"/>
      <selection pane="bottomLeft" activeCell="R45" sqref="R45"/>
    </sheetView>
  </sheetViews>
  <sheetFormatPr defaultColWidth="17.28515625" defaultRowHeight="14.25" outlineLevelCol="1"/>
  <cols>
    <col min="1" max="1" width="3.5703125" style="214"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1" bestFit="1" customWidth="1"/>
    <col min="8" max="8" width="3" style="211" bestFit="1" customWidth="1"/>
    <col min="9" max="9" width="5.7109375" style="211" bestFit="1" customWidth="1"/>
    <col min="10" max="11" width="4.7109375" style="211" bestFit="1" customWidth="1"/>
    <col min="12" max="13" width="3.7109375" style="211" bestFit="1" customWidth="1"/>
    <col min="14" max="15" width="2.85546875" style="212" bestFit="1" customWidth="1"/>
    <col min="16" max="16" width="50.7109375" style="210" customWidth="1"/>
    <col min="17" max="17" width="50.7109375" style="210" hidden="1" customWidth="1" outlineLevel="1"/>
    <col min="18" max="18" width="10.5703125" style="149" customWidth="1" collapsed="1"/>
    <col min="19" max="19" width="30.7109375" style="210"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1320</v>
      </c>
      <c r="B1" s="135" t="s">
        <v>16</v>
      </c>
      <c r="C1" s="135" t="s">
        <v>1321</v>
      </c>
      <c r="D1" s="135" t="s">
        <v>62</v>
      </c>
      <c r="E1" s="135" t="s">
        <v>10</v>
      </c>
      <c r="F1" s="135" t="s">
        <v>11</v>
      </c>
      <c r="G1" s="136" t="s">
        <v>1322</v>
      </c>
      <c r="H1" s="134" t="s">
        <v>1323</v>
      </c>
      <c r="I1" s="134" t="s">
        <v>1324</v>
      </c>
      <c r="J1" s="134" t="s">
        <v>1325</v>
      </c>
      <c r="K1" s="136" t="s">
        <v>1326</v>
      </c>
      <c r="L1" s="134" t="s">
        <v>1327</v>
      </c>
      <c r="M1" s="136" t="s">
        <v>1328</v>
      </c>
      <c r="N1" s="134" t="s">
        <v>1329</v>
      </c>
      <c r="O1" s="134" t="s">
        <v>1330</v>
      </c>
      <c r="P1" s="137"/>
      <c r="Q1" s="137"/>
      <c r="R1" s="135" t="s">
        <v>1246</v>
      </c>
      <c r="S1" s="137" t="s">
        <v>1245</v>
      </c>
      <c r="T1" s="138" t="s">
        <v>1308</v>
      </c>
      <c r="U1" s="138" t="s">
        <v>1309</v>
      </c>
      <c r="V1" s="139" t="s">
        <v>1240</v>
      </c>
      <c r="W1" s="140" t="s">
        <v>1243</v>
      </c>
      <c r="X1" s="140" t="s">
        <v>1244</v>
      </c>
    </row>
    <row r="2" spans="1:24">
      <c r="A2" s="141">
        <v>0</v>
      </c>
      <c r="B2" s="142" t="s">
        <v>1809</v>
      </c>
      <c r="C2" s="142" t="s">
        <v>1331</v>
      </c>
      <c r="D2" s="142" t="s">
        <v>301</v>
      </c>
      <c r="E2" s="142" t="s">
        <v>1851</v>
      </c>
      <c r="F2" s="142" t="s">
        <v>302</v>
      </c>
      <c r="G2" s="143"/>
      <c r="H2" s="143"/>
      <c r="I2" s="143"/>
      <c r="J2" s="143"/>
      <c r="K2" s="143"/>
      <c r="L2" s="143">
        <v>16</v>
      </c>
      <c r="M2" s="143">
        <v>1</v>
      </c>
      <c r="N2" s="144" t="s">
        <v>650</v>
      </c>
      <c r="O2" s="144" t="s">
        <v>649</v>
      </c>
      <c r="P2" s="145" t="s">
        <v>1332</v>
      </c>
      <c r="Q2" s="146"/>
      <c r="R2" s="147" t="str">
        <f t="shared" ref="R2:R32" si="0">E2</f>
        <v>毒刺（被动）</v>
      </c>
      <c r="S2" s="146" t="s">
        <v>1826</v>
      </c>
      <c r="T2" s="148">
        <v>0</v>
      </c>
      <c r="U2" s="148">
        <v>1</v>
      </c>
      <c r="V2" s="149" t="str">
        <f t="shared" ref="V2:V32" si="1">creepAbilityUberTipCN(P2,G2:M2)</f>
        <v>攻击使敌人受到50/2s的法术伤害。|n|n|cff99ccff持续时间:|r 16秒|n|cff99ccff冷却时间:|r 1秒|n</v>
      </c>
      <c r="W2" s="149" t="str">
        <f t="shared" ref="W2:W32" si="2">creepBuffTip(R2,O2)</f>
        <v>毒刺（被动）</v>
      </c>
      <c r="X2" s="149" t="str">
        <f t="shared" ref="X2:X32" si="3">creepBuffUber(S2,N2)</f>
        <v>物理状态：受到周期性的法术伤害。</v>
      </c>
    </row>
    <row r="3" spans="1:24">
      <c r="A3" s="150">
        <v>1</v>
      </c>
      <c r="B3" s="142" t="s">
        <v>1809</v>
      </c>
      <c r="C3" s="142" t="s">
        <v>1333</v>
      </c>
      <c r="D3" s="142" t="s">
        <v>103</v>
      </c>
      <c r="E3" s="142" t="s">
        <v>1334</v>
      </c>
      <c r="F3" s="142" t="s">
        <v>279</v>
      </c>
      <c r="G3" s="143">
        <v>3</v>
      </c>
      <c r="H3" s="143"/>
      <c r="I3" s="143">
        <v>600</v>
      </c>
      <c r="J3" s="143"/>
      <c r="K3" s="143">
        <v>75</v>
      </c>
      <c r="L3" s="143"/>
      <c r="M3" s="143">
        <v>2</v>
      </c>
      <c r="N3" s="144"/>
      <c r="O3" s="144"/>
      <c r="P3" s="145" t="s">
        <v>1335</v>
      </c>
      <c r="Q3" s="146"/>
      <c r="R3" s="147"/>
      <c r="S3" s="146"/>
      <c r="T3" s="148" t="s">
        <v>280</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1336</v>
      </c>
      <c r="F4" s="142" t="s">
        <v>281</v>
      </c>
      <c r="G4" s="143"/>
      <c r="H4" s="143"/>
      <c r="I4" s="143">
        <v>600</v>
      </c>
      <c r="J4" s="143"/>
      <c r="K4" s="143"/>
      <c r="L4" s="143">
        <v>5</v>
      </c>
      <c r="M4" s="143">
        <v>8</v>
      </c>
      <c r="N4" s="144" t="s">
        <v>651</v>
      </c>
      <c r="O4" s="144" t="s">
        <v>649</v>
      </c>
      <c r="P4" s="145" t="s">
        <v>1337</v>
      </c>
      <c r="Q4" s="146"/>
      <c r="R4" s="147" t="str">
        <f t="shared" si="0"/>
        <v>冰霜冲击</v>
      </c>
      <c r="S4" s="146" t="s">
        <v>1824</v>
      </c>
      <c r="T4" s="148" t="s">
        <v>282</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1253</v>
      </c>
      <c r="B5" s="151" t="s">
        <v>1809</v>
      </c>
      <c r="C5" s="151" t="s">
        <v>1338</v>
      </c>
      <c r="D5" s="151" t="s">
        <v>283</v>
      </c>
      <c r="E5" s="151" t="s">
        <v>1339</v>
      </c>
      <c r="F5" s="151" t="s">
        <v>284</v>
      </c>
      <c r="G5" s="152">
        <v>3</v>
      </c>
      <c r="H5" s="152"/>
      <c r="I5" s="152">
        <v>800</v>
      </c>
      <c r="J5" s="152"/>
      <c r="K5" s="152">
        <v>200</v>
      </c>
      <c r="L5" s="152"/>
      <c r="M5" s="152">
        <v>5</v>
      </c>
      <c r="N5" s="153"/>
      <c r="O5" s="153"/>
      <c r="P5" s="154" t="s">
        <v>1340</v>
      </c>
      <c r="Q5" s="155"/>
      <c r="R5" s="147"/>
      <c r="S5" s="146"/>
      <c r="T5" s="148" t="s">
        <v>285</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1341</v>
      </c>
      <c r="F6" s="151" t="s">
        <v>286</v>
      </c>
      <c r="G6" s="152"/>
      <c r="H6" s="152"/>
      <c r="I6" s="152"/>
      <c r="J6" s="152"/>
      <c r="K6" s="152">
        <v>100</v>
      </c>
      <c r="L6" s="152">
        <v>20</v>
      </c>
      <c r="M6" s="152">
        <v>15</v>
      </c>
      <c r="N6" s="153"/>
      <c r="O6" s="153"/>
      <c r="P6" s="154" t="s">
        <v>1342</v>
      </c>
      <c r="Q6" s="155"/>
      <c r="R6" s="147"/>
      <c r="S6" s="146"/>
      <c r="T6" s="148" t="s">
        <v>287</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1343</v>
      </c>
      <c r="F7" s="151" t="s">
        <v>288</v>
      </c>
      <c r="G7" s="152"/>
      <c r="H7" s="152"/>
      <c r="I7" s="152"/>
      <c r="J7" s="152"/>
      <c r="K7" s="152">
        <v>100</v>
      </c>
      <c r="L7" s="152">
        <v>30</v>
      </c>
      <c r="M7" s="152">
        <v>30</v>
      </c>
      <c r="N7" s="153" t="s">
        <v>650</v>
      </c>
      <c r="O7" s="153" t="s">
        <v>650</v>
      </c>
      <c r="P7" s="154" t="s">
        <v>1344</v>
      </c>
      <c r="Q7" s="155"/>
      <c r="R7" s="147" t="str">
        <f t="shared" si="0"/>
        <v>防护守卫</v>
      </c>
      <c r="S7" s="146" t="s">
        <v>1825</v>
      </c>
      <c r="T7" s="148" t="s">
        <v>289</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295</v>
      </c>
      <c r="C8" s="142" t="s">
        <v>1345</v>
      </c>
      <c r="D8" s="142" t="s">
        <v>304</v>
      </c>
      <c r="E8" s="142" t="s">
        <v>1346</v>
      </c>
      <c r="F8" s="142" t="s">
        <v>305</v>
      </c>
      <c r="G8" s="143"/>
      <c r="H8" s="143"/>
      <c r="I8" s="143"/>
      <c r="J8" s="143">
        <v>600</v>
      </c>
      <c r="K8" s="143"/>
      <c r="L8" s="143"/>
      <c r="M8" s="143">
        <v>5</v>
      </c>
      <c r="N8" s="144"/>
      <c r="O8" s="144"/>
      <c r="P8" s="145" t="s">
        <v>1347</v>
      </c>
      <c r="Q8" s="156"/>
      <c r="R8" s="147"/>
      <c r="S8" s="146"/>
      <c r="T8" s="157" t="s">
        <v>280</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1348</v>
      </c>
      <c r="F9" s="142" t="s">
        <v>306</v>
      </c>
      <c r="G9" s="143"/>
      <c r="H9" s="143"/>
      <c r="I9" s="143">
        <v>900</v>
      </c>
      <c r="J9" s="143"/>
      <c r="K9" s="143"/>
      <c r="L9" s="143"/>
      <c r="M9" s="143">
        <v>5</v>
      </c>
      <c r="N9" s="144"/>
      <c r="O9" s="144"/>
      <c r="P9" s="145" t="s">
        <v>1349</v>
      </c>
      <c r="Q9" s="156"/>
      <c r="R9" s="147"/>
      <c r="S9" s="146"/>
      <c r="T9" s="157" t="s">
        <v>285</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1809</v>
      </c>
      <c r="C10" s="159" t="s">
        <v>1350</v>
      </c>
      <c r="D10" s="159" t="s">
        <v>290</v>
      </c>
      <c r="E10" s="159" t="s">
        <v>1351</v>
      </c>
      <c r="F10" s="159" t="s">
        <v>291</v>
      </c>
      <c r="G10" s="160"/>
      <c r="H10" s="160"/>
      <c r="I10" s="160"/>
      <c r="J10" s="160"/>
      <c r="K10" s="160"/>
      <c r="L10" s="160">
        <v>10</v>
      </c>
      <c r="M10" s="160">
        <v>20</v>
      </c>
      <c r="N10" s="161" t="s">
        <v>651</v>
      </c>
      <c r="O10" s="161" t="s">
        <v>650</v>
      </c>
      <c r="P10" s="162" t="s">
        <v>1352</v>
      </c>
      <c r="Q10" s="146"/>
      <c r="R10" s="147" t="str">
        <f t="shared" si="0"/>
        <v>狂乱</v>
      </c>
      <c r="S10" s="146" t="s">
        <v>1827</v>
      </c>
      <c r="T10" s="148" t="s">
        <v>292</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1353</v>
      </c>
      <c r="F11" s="159" t="s">
        <v>293</v>
      </c>
      <c r="G11" s="160"/>
      <c r="H11" s="160"/>
      <c r="I11" s="160">
        <v>200</v>
      </c>
      <c r="J11" s="160"/>
      <c r="K11" s="160"/>
      <c r="L11" s="160">
        <v>7</v>
      </c>
      <c r="M11" s="160">
        <v>20</v>
      </c>
      <c r="N11" s="161" t="s">
        <v>650</v>
      </c>
      <c r="O11" s="161" t="s">
        <v>649</v>
      </c>
      <c r="P11" s="162" t="s">
        <v>1354</v>
      </c>
      <c r="Q11" s="146"/>
      <c r="R11" s="147" t="str">
        <f t="shared" si="0"/>
        <v>压碎护甲</v>
      </c>
      <c r="S11" s="146" t="s">
        <v>1828</v>
      </c>
      <c r="T11" s="148" t="s">
        <v>294</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295</v>
      </c>
      <c r="C12" s="142" t="s">
        <v>1355</v>
      </c>
      <c r="D12" s="142" t="s">
        <v>296</v>
      </c>
      <c r="E12" s="142" t="s">
        <v>1356</v>
      </c>
      <c r="F12" s="142" t="s">
        <v>297</v>
      </c>
      <c r="G12" s="143"/>
      <c r="H12" s="143"/>
      <c r="I12" s="143"/>
      <c r="J12" s="143"/>
      <c r="K12" s="143"/>
      <c r="L12" s="143">
        <v>6</v>
      </c>
      <c r="M12" s="143">
        <v>12</v>
      </c>
      <c r="N12" s="144" t="s">
        <v>651</v>
      </c>
      <c r="O12" s="144" t="s">
        <v>649</v>
      </c>
      <c r="P12" s="145" t="s">
        <v>1357</v>
      </c>
      <c r="Q12" s="155"/>
      <c r="R12" s="147" t="str">
        <f t="shared" si="0"/>
        <v>雷霆一击</v>
      </c>
      <c r="S12" s="146" t="s">
        <v>1826</v>
      </c>
      <c r="T12" s="148" t="s">
        <v>298</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1358</v>
      </c>
      <c r="F13" s="142" t="s">
        <v>299</v>
      </c>
      <c r="G13" s="143"/>
      <c r="H13" s="143"/>
      <c r="I13" s="143"/>
      <c r="J13" s="143"/>
      <c r="K13" s="143"/>
      <c r="L13" s="143">
        <v>10</v>
      </c>
      <c r="M13" s="143">
        <v>20</v>
      </c>
      <c r="N13" s="144" t="s">
        <v>650</v>
      </c>
      <c r="O13" s="144" t="s">
        <v>649</v>
      </c>
      <c r="P13" s="145" t="s">
        <v>1359</v>
      </c>
      <c r="Q13" s="155"/>
      <c r="R13" s="147" t="str">
        <f t="shared" si="0"/>
        <v>狂怒咆哮</v>
      </c>
      <c r="S13" s="146" t="s">
        <v>1829</v>
      </c>
      <c r="T13" s="148" t="s">
        <v>300</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1809</v>
      </c>
      <c r="C14" s="164" t="s">
        <v>1360</v>
      </c>
      <c r="D14" s="164" t="s">
        <v>307</v>
      </c>
      <c r="E14" s="164" t="s">
        <v>1361</v>
      </c>
      <c r="F14" s="165" t="s">
        <v>309</v>
      </c>
      <c r="G14" s="166"/>
      <c r="H14" s="166"/>
      <c r="I14" s="166"/>
      <c r="J14" s="166"/>
      <c r="K14" s="166"/>
      <c r="L14" s="166">
        <v>8</v>
      </c>
      <c r="M14" s="166">
        <v>12</v>
      </c>
      <c r="N14" s="167" t="s">
        <v>651</v>
      </c>
      <c r="O14" s="167" t="s">
        <v>650</v>
      </c>
      <c r="P14" s="168" t="s">
        <v>1362</v>
      </c>
      <c r="Q14" s="169"/>
      <c r="R14" s="147" t="str">
        <f t="shared" si="0"/>
        <v>邪恶狂热</v>
      </c>
      <c r="S14" s="146" t="s">
        <v>1827</v>
      </c>
      <c r="T14" s="157" t="s">
        <v>294</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1809</v>
      </c>
      <c r="C15" s="142" t="s">
        <v>1363</v>
      </c>
      <c r="D15" s="170" t="s">
        <v>314</v>
      </c>
      <c r="E15" s="170" t="s">
        <v>1364</v>
      </c>
      <c r="F15" s="170" t="s">
        <v>315</v>
      </c>
      <c r="G15" s="143"/>
      <c r="H15" s="143"/>
      <c r="I15" s="143">
        <v>800</v>
      </c>
      <c r="J15" s="143"/>
      <c r="K15" s="143"/>
      <c r="L15" s="143">
        <v>10</v>
      </c>
      <c r="M15" s="143">
        <v>20</v>
      </c>
      <c r="N15" s="144" t="s">
        <v>650</v>
      </c>
      <c r="O15" s="144" t="s">
        <v>649</v>
      </c>
      <c r="P15" s="171" t="s">
        <v>1365</v>
      </c>
      <c r="Q15" s="172"/>
      <c r="R15" s="147" t="str">
        <f t="shared" si="0"/>
        <v>混乱跳跃</v>
      </c>
      <c r="S15" s="146" t="s">
        <v>1830</v>
      </c>
      <c r="T15" s="148" t="s">
        <v>294</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295</v>
      </c>
      <c r="C16" s="164" t="s">
        <v>1366</v>
      </c>
      <c r="D16" s="164" t="s">
        <v>316</v>
      </c>
      <c r="E16" s="164" t="s">
        <v>1367</v>
      </c>
      <c r="F16" s="164" t="s">
        <v>317</v>
      </c>
      <c r="G16" s="166">
        <v>4</v>
      </c>
      <c r="H16" s="166"/>
      <c r="I16" s="166"/>
      <c r="J16" s="166">
        <v>500</v>
      </c>
      <c r="K16" s="166"/>
      <c r="L16" s="166">
        <v>3</v>
      </c>
      <c r="M16" s="166">
        <v>8</v>
      </c>
      <c r="N16" s="167"/>
      <c r="O16" s="167"/>
      <c r="P16" s="173" t="s">
        <v>1368</v>
      </c>
      <c r="Q16" s="146" t="s">
        <v>1249</v>
      </c>
      <c r="R16" s="147"/>
      <c r="S16" s="146"/>
      <c r="T16" s="157" t="s">
        <v>294</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1369</v>
      </c>
      <c r="F17" s="164" t="s">
        <v>318</v>
      </c>
      <c r="G17" s="166"/>
      <c r="H17" s="166"/>
      <c r="I17" s="166"/>
      <c r="J17" s="166"/>
      <c r="K17" s="166"/>
      <c r="L17" s="166">
        <v>10</v>
      </c>
      <c r="M17" s="166">
        <v>6</v>
      </c>
      <c r="N17" s="167" t="s">
        <v>651</v>
      </c>
      <c r="O17" s="167" t="s">
        <v>650</v>
      </c>
      <c r="P17" s="173" t="s">
        <v>1370</v>
      </c>
      <c r="Q17" s="146" t="s">
        <v>319</v>
      </c>
      <c r="R17" s="147" t="str">
        <f t="shared" si="0"/>
        <v>战斗命令</v>
      </c>
      <c r="S17" s="146" t="s">
        <v>1831</v>
      </c>
      <c r="T17" s="157" t="s">
        <v>300</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1809</v>
      </c>
      <c r="C18" s="142" t="s">
        <v>1371</v>
      </c>
      <c r="D18" s="142" t="s">
        <v>320</v>
      </c>
      <c r="E18" s="142" t="s">
        <v>1372</v>
      </c>
      <c r="F18" s="142" t="s">
        <v>321</v>
      </c>
      <c r="G18" s="143"/>
      <c r="H18" s="143"/>
      <c r="I18" s="143">
        <v>900</v>
      </c>
      <c r="J18" s="143"/>
      <c r="K18" s="143">
        <v>75</v>
      </c>
      <c r="L18" s="143">
        <v>20</v>
      </c>
      <c r="M18" s="143">
        <v>5</v>
      </c>
      <c r="N18" s="144" t="s">
        <v>651</v>
      </c>
      <c r="O18" s="144" t="s">
        <v>650</v>
      </c>
      <c r="P18" s="145" t="s">
        <v>1373</v>
      </c>
      <c r="Q18" s="155"/>
      <c r="R18" s="147" t="str">
        <f t="shared" si="0"/>
        <v>炽热疾速</v>
      </c>
      <c r="S18" s="146" t="s">
        <v>1832</v>
      </c>
      <c r="T18" s="148" t="s">
        <v>280</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1374</v>
      </c>
      <c r="F19" s="142" t="s">
        <v>1252</v>
      </c>
      <c r="G19" s="143">
        <v>3</v>
      </c>
      <c r="H19" s="143"/>
      <c r="I19" s="143"/>
      <c r="J19" s="143">
        <v>900</v>
      </c>
      <c r="K19" s="143">
        <v>100</v>
      </c>
      <c r="L19" s="143"/>
      <c r="M19" s="143">
        <v>1</v>
      </c>
      <c r="N19" s="144"/>
      <c r="O19" s="144"/>
      <c r="P19" s="145" t="s">
        <v>1375</v>
      </c>
      <c r="Q19" s="155"/>
      <c r="R19" s="147"/>
      <c r="S19" s="146"/>
      <c r="T19" s="148" t="s">
        <v>294</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1376</v>
      </c>
      <c r="F20" s="142" t="s">
        <v>322</v>
      </c>
      <c r="G20" s="143"/>
      <c r="H20" s="143"/>
      <c r="I20" s="143">
        <v>800</v>
      </c>
      <c r="J20" s="143"/>
      <c r="K20" s="143">
        <v>50</v>
      </c>
      <c r="L20" s="143">
        <v>10</v>
      </c>
      <c r="M20" s="143">
        <v>5</v>
      </c>
      <c r="N20" s="144" t="s">
        <v>651</v>
      </c>
      <c r="O20" s="144" t="s">
        <v>649</v>
      </c>
      <c r="P20" s="145" t="s">
        <v>1377</v>
      </c>
      <c r="Q20" s="155" t="s">
        <v>323</v>
      </c>
      <c r="R20" s="147" t="str">
        <f t="shared" si="0"/>
        <v>烈焰震击</v>
      </c>
      <c r="S20" s="146" t="s">
        <v>1826</v>
      </c>
      <c r="T20" s="148" t="s">
        <v>300</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ht="28.5">
      <c r="A21" s="174">
        <v>4</v>
      </c>
      <c r="B21" s="175" t="s">
        <v>1809</v>
      </c>
      <c r="C21" s="175" t="s">
        <v>1378</v>
      </c>
      <c r="D21" s="175" t="s">
        <v>1254</v>
      </c>
      <c r="E21" s="175" t="s">
        <v>1852</v>
      </c>
      <c r="F21" s="175" t="s">
        <v>1255</v>
      </c>
      <c r="G21" s="176"/>
      <c r="H21" s="176"/>
      <c r="I21" s="176"/>
      <c r="J21" s="176"/>
      <c r="K21" s="176"/>
      <c r="L21" s="176"/>
      <c r="M21" s="176"/>
      <c r="N21" s="177" t="s">
        <v>1312</v>
      </c>
      <c r="O21" s="177" t="s">
        <v>1313</v>
      </c>
      <c r="P21" s="178" t="s">
        <v>1379</v>
      </c>
      <c r="Q21" s="155"/>
      <c r="R21" s="147" t="str">
        <f t="shared" si="0"/>
        <v>瘟疫（被动）</v>
      </c>
      <c r="S21" s="146" t="s">
        <v>1826</v>
      </c>
      <c r="T21" s="148">
        <v>0</v>
      </c>
      <c r="U21" s="148">
        <v>1</v>
      </c>
      <c r="V21" s="149" t="str">
        <f t="shared" si="1"/>
        <v>死亡后留下毒云，使范围内的玩家单位中毒。造成200伤害/2s。|n|n</v>
      </c>
      <c r="W21" s="149" t="str">
        <f t="shared" si="2"/>
        <v>瘟疫（被动）</v>
      </c>
      <c r="X21" s="149" t="str">
        <f t="shared" si="3"/>
        <v>物理状态：受到周期性的法术伤害。</v>
      </c>
    </row>
    <row r="22" spans="1:24" ht="42.75">
      <c r="A22" s="174">
        <v>4</v>
      </c>
      <c r="B22" s="142" t="s">
        <v>303</v>
      </c>
      <c r="C22" s="142" t="s">
        <v>1380</v>
      </c>
      <c r="D22" s="142" t="s">
        <v>1256</v>
      </c>
      <c r="E22" s="142" t="s">
        <v>1381</v>
      </c>
      <c r="F22" s="142" t="s">
        <v>1257</v>
      </c>
      <c r="G22" s="143"/>
      <c r="H22" s="143"/>
      <c r="I22" s="143">
        <v>600</v>
      </c>
      <c r="J22" s="143"/>
      <c r="K22" s="143"/>
      <c r="L22" s="143"/>
      <c r="M22" s="143"/>
      <c r="N22" s="144" t="s">
        <v>650</v>
      </c>
      <c r="O22" s="144" t="s">
        <v>649</v>
      </c>
      <c r="P22" s="145" t="s">
        <v>1382</v>
      </c>
      <c r="Q22" s="155"/>
      <c r="R22" s="147" t="str">
        <f t="shared" si="0"/>
        <v>寄生</v>
      </c>
      <c r="S22" s="146" t="s">
        <v>1833</v>
      </c>
      <c r="T22" s="148">
        <v>0</v>
      </c>
      <c r="U22" s="148">
        <v>1</v>
      </c>
      <c r="V22" s="149" t="str">
        <f t="shared" si="1"/>
        <v>战斗开始10秒后对目标单位施放，钻入目标体内。5秒内每秒对目标造成20%目标生命值上限的伤害。结束或者目标死亡后，孵化2个寄生蟑螂。|n|n|cff99ccff施法距离:|r 600码|n</v>
      </c>
      <c r="W22" s="149" t="str">
        <f t="shared" si="2"/>
        <v>寄生</v>
      </c>
      <c r="X22" s="149" t="str">
        <f t="shared" si="3"/>
        <v>物理状态：受到周期性的法术伤害，效果结束后孵化2个寄生蟑螂。</v>
      </c>
    </row>
    <row r="23" spans="1:24">
      <c r="A23" s="174">
        <v>4</v>
      </c>
      <c r="B23" s="175" t="s">
        <v>1809</v>
      </c>
      <c r="C23" s="175" t="s">
        <v>1383</v>
      </c>
      <c r="D23" s="175" t="s">
        <v>1258</v>
      </c>
      <c r="E23" s="175" t="s">
        <v>468</v>
      </c>
      <c r="F23" s="175" t="s">
        <v>1259</v>
      </c>
      <c r="G23" s="176">
        <v>5</v>
      </c>
      <c r="H23" s="176">
        <v>5</v>
      </c>
      <c r="I23" s="176">
        <v>128</v>
      </c>
      <c r="J23" s="176"/>
      <c r="K23" s="176"/>
      <c r="L23" s="176"/>
      <c r="M23" s="176"/>
      <c r="N23" s="177" t="s">
        <v>650</v>
      </c>
      <c r="O23" s="177" t="s">
        <v>649</v>
      </c>
      <c r="P23" s="178" t="s">
        <v>1384</v>
      </c>
      <c r="Q23" s="155"/>
      <c r="R23" s="147" t="str">
        <f t="shared" si="0"/>
        <v>啃食</v>
      </c>
      <c r="S23" s="146" t="s">
        <v>1834</v>
      </c>
      <c r="T23" s="148" t="s">
        <v>294</v>
      </c>
      <c r="U23" s="148">
        <v>1</v>
      </c>
      <c r="V23" s="149" t="str">
        <f t="shared" si="1"/>
        <v>使目标昏迷并且每秒造成1000点物理伤害。|n|n|cff99ccff施法时间:|r 5秒|n|cff99ccff引导时间:|r 5秒|n|cff99ccff施法距离:|r 128码|n</v>
      </c>
      <c r="W23" s="149" t="str">
        <f t="shared" si="2"/>
        <v>啃食</v>
      </c>
      <c r="X23" s="149" t="str">
        <f t="shared" si="3"/>
        <v>物理状态：受到周期性的物理伤害。</v>
      </c>
    </row>
    <row r="24" spans="1:24">
      <c r="A24" s="174">
        <v>4</v>
      </c>
      <c r="B24" s="142" t="s">
        <v>1809</v>
      </c>
      <c r="C24" s="142" t="s">
        <v>1385</v>
      </c>
      <c r="D24" s="142" t="s">
        <v>1260</v>
      </c>
      <c r="E24" s="142" t="s">
        <v>1386</v>
      </c>
      <c r="F24" s="142" t="s">
        <v>1261</v>
      </c>
      <c r="G24" s="143"/>
      <c r="H24" s="143"/>
      <c r="I24" s="143"/>
      <c r="J24" s="143"/>
      <c r="K24" s="143"/>
      <c r="L24" s="143"/>
      <c r="M24" s="143"/>
      <c r="N24" s="144" t="s">
        <v>650</v>
      </c>
      <c r="O24" s="144" t="s">
        <v>650</v>
      </c>
      <c r="P24" s="145" t="s">
        <v>1387</v>
      </c>
      <c r="Q24" s="155"/>
      <c r="R24" s="147" t="str">
        <f t="shared" si="0"/>
        <v>反射光环</v>
      </c>
      <c r="S24" s="146" t="s">
        <v>1835</v>
      </c>
      <c r="T24" s="148">
        <v>0</v>
      </c>
      <c r="U24" s="148">
        <v>1</v>
      </c>
      <c r="V24" s="149" t="str">
        <f t="shared" si="1"/>
        <v>附近范围内所有友军可以反射一切法术。|n|n</v>
      </c>
      <c r="W24" s="149" t="str">
        <f t="shared" si="2"/>
        <v>|cff00ff00反射光环|r</v>
      </c>
      <c r="X24" s="149" t="str">
        <f t="shared" si="3"/>
        <v>物理状态：可以反射指向你的法术。</v>
      </c>
    </row>
    <row r="25" spans="1:24" ht="28.5">
      <c r="A25" s="174"/>
      <c r="B25" s="142"/>
      <c r="C25" s="142"/>
      <c r="D25" s="142"/>
      <c r="E25" s="142" t="s">
        <v>1388</v>
      </c>
      <c r="F25" s="142" t="s">
        <v>1262</v>
      </c>
      <c r="G25" s="143"/>
      <c r="H25" s="143"/>
      <c r="I25" s="143">
        <v>900</v>
      </c>
      <c r="J25" s="143">
        <v>300</v>
      </c>
      <c r="K25" s="143"/>
      <c r="L25" s="143">
        <v>10</v>
      </c>
      <c r="M25" s="143">
        <v>13</v>
      </c>
      <c r="N25" s="144" t="s">
        <v>651</v>
      </c>
      <c r="O25" s="144" t="s">
        <v>649</v>
      </c>
      <c r="P25" s="145" t="s">
        <v>1389</v>
      </c>
      <c r="Q25" s="155"/>
      <c r="R25" s="147" t="str">
        <f t="shared" si="0"/>
        <v>法力流失</v>
      </c>
      <c r="S25" s="146" t="s">
        <v>1836</v>
      </c>
      <c r="T25" s="148" t="s">
        <v>294</v>
      </c>
      <c r="U25" s="148">
        <v>1</v>
      </c>
      <c r="V25" s="149" t="str">
        <f t="shared" si="1"/>
        <v>受影响的单位每次施放法术，会流失等值的所消耗法力值。|n|n|cff99ccff施法距离:|r 900码|n|cff99ccff影响范围:|r 300码|n|cff99ccff持续时间:|r 10秒|n|cff99ccff冷却时间:|r 13秒|n</v>
      </c>
      <c r="W25" s="149" t="str">
        <f t="shared" si="2"/>
        <v>法力流失</v>
      </c>
      <c r="X25" s="149" t="str">
        <f t="shared" si="3"/>
        <v>|cff6666ff魔法|r状态：每次施放法术，会流失额外1倍的法力值。</v>
      </c>
    </row>
    <row r="26" spans="1:24">
      <c r="A26" s="174">
        <v>4</v>
      </c>
      <c r="B26" s="175" t="s">
        <v>295</v>
      </c>
      <c r="C26" s="175" t="s">
        <v>1390</v>
      </c>
      <c r="D26" s="175" t="s">
        <v>1263</v>
      </c>
      <c r="E26" s="175" t="s">
        <v>1391</v>
      </c>
      <c r="F26" s="175" t="s">
        <v>1264</v>
      </c>
      <c r="G26" s="176"/>
      <c r="H26" s="176"/>
      <c r="I26" s="176">
        <v>900</v>
      </c>
      <c r="J26" s="176"/>
      <c r="K26" s="176"/>
      <c r="L26" s="176">
        <v>3</v>
      </c>
      <c r="M26" s="176">
        <v>8</v>
      </c>
      <c r="N26" s="177" t="s">
        <v>651</v>
      </c>
      <c r="O26" s="177" t="s">
        <v>649</v>
      </c>
      <c r="P26" s="178" t="s">
        <v>1392</v>
      </c>
      <c r="Q26" s="155"/>
      <c r="R26" s="147" t="str">
        <f t="shared" si="0"/>
        <v>冰冻坟墓</v>
      </c>
      <c r="S26" s="146" t="s">
        <v>1837</v>
      </c>
      <c r="T26" s="148" t="s">
        <v>294</v>
      </c>
      <c r="U26" s="148">
        <v>1</v>
      </c>
      <c r="V26" s="149" t="str">
        <f t="shared" si="1"/>
        <v>冰冻目标，对冰冻的目标每秒造成200点法术伤害。|n|n|cff99ccff施法距离:|r 900码|n|cff99ccff持续时间:|r 3秒|n|cff99ccff冷却时间:|r 8秒|n</v>
      </c>
      <c r="W26" s="149" t="str">
        <f t="shared" si="2"/>
        <v>冰冻坟墓</v>
      </c>
      <c r="X26" s="149" t="str">
        <f t="shared" si="3"/>
        <v>|cff6666ff魔法|r状态：昏迷，受到周期性的法术伤害。</v>
      </c>
    </row>
    <row r="27" spans="1:24" ht="28.5">
      <c r="A27" s="174"/>
      <c r="B27" s="175"/>
      <c r="C27" s="175"/>
      <c r="D27" s="175"/>
      <c r="E27" s="175" t="s">
        <v>1393</v>
      </c>
      <c r="F27" s="175" t="s">
        <v>1265</v>
      </c>
      <c r="G27" s="176"/>
      <c r="H27" s="176"/>
      <c r="I27" s="176">
        <v>1800</v>
      </c>
      <c r="J27" s="176">
        <v>300</v>
      </c>
      <c r="K27" s="176"/>
      <c r="L27" s="176">
        <v>5</v>
      </c>
      <c r="M27" s="176">
        <v>8</v>
      </c>
      <c r="N27" s="177"/>
      <c r="O27" s="177"/>
      <c r="P27" s="178" t="s">
        <v>1394</v>
      </c>
      <c r="Q27" s="155"/>
      <c r="R27" s="147"/>
      <c r="S27" s="146"/>
      <c r="T27" s="148" t="s">
        <v>280</v>
      </c>
      <c r="U27" s="148">
        <v>1</v>
      </c>
      <c r="V27" s="149" t="str">
        <f t="shared" si="1"/>
        <v>召唤一片不断移动的凋零区域，每秒对里面的玩家单位造成30%生命上限的伤害。|n|n|cff99ccff施法距离:|r 1800码|n|cff99ccff影响范围:|r 300码|n|cff99ccff持续时间:|r 5秒|n|cff99ccff冷却时间:|r 8秒|n</v>
      </c>
      <c r="W27" s="149" t="str">
        <f t="shared" si="2"/>
        <v/>
      </c>
      <c r="X27" s="149" t="str">
        <f t="shared" si="3"/>
        <v>物理状态：</v>
      </c>
    </row>
    <row r="28" spans="1:24" ht="28.5">
      <c r="A28" s="179">
        <v>5</v>
      </c>
      <c r="B28" s="147" t="s">
        <v>1809</v>
      </c>
      <c r="C28" s="147" t="s">
        <v>1395</v>
      </c>
      <c r="D28" s="147" t="s">
        <v>324</v>
      </c>
      <c r="E28" s="147" t="s">
        <v>1396</v>
      </c>
      <c r="F28" s="147" t="s">
        <v>325</v>
      </c>
      <c r="G28" s="180"/>
      <c r="H28" s="180"/>
      <c r="I28" s="180">
        <v>600</v>
      </c>
      <c r="J28" s="180"/>
      <c r="K28" s="180"/>
      <c r="L28" s="180"/>
      <c r="M28" s="180">
        <v>7</v>
      </c>
      <c r="N28" s="181"/>
      <c r="O28" s="181"/>
      <c r="P28" s="146" t="s">
        <v>1397</v>
      </c>
      <c r="Q28" s="146"/>
      <c r="R28" s="147"/>
      <c r="S28" s="146"/>
      <c r="T28" s="157" t="s">
        <v>294</v>
      </c>
      <c r="U28" s="157">
        <v>1</v>
      </c>
      <c r="V28" s="149" t="str">
        <f t="shared" si="1"/>
        <v>牺牲自身20%的生命值, 对生命值最高的目标造成1000法术伤害.|n|n|cff99ccff施法距离:|r 600码|n|cff99ccff冷却时间:|r 7秒|n</v>
      </c>
      <c r="W28" s="149" t="str">
        <f t="shared" si="2"/>
        <v/>
      </c>
      <c r="X28" s="149" t="str">
        <f t="shared" si="3"/>
        <v>物理状态：</v>
      </c>
    </row>
    <row r="29" spans="1:24" ht="28.5">
      <c r="A29" s="179"/>
      <c r="B29" s="147"/>
      <c r="C29" s="147"/>
      <c r="D29" s="147"/>
      <c r="E29" s="147" t="s">
        <v>1398</v>
      </c>
      <c r="F29" s="147" t="s">
        <v>326</v>
      </c>
      <c r="G29" s="180"/>
      <c r="H29" s="180"/>
      <c r="I29" s="180">
        <v>600</v>
      </c>
      <c r="J29" s="180"/>
      <c r="K29" s="180"/>
      <c r="L29" s="180"/>
      <c r="M29" s="180">
        <v>5</v>
      </c>
      <c r="N29" s="181"/>
      <c r="O29" s="181"/>
      <c r="P29" s="146" t="s">
        <v>1859</v>
      </c>
      <c r="Q29" s="146"/>
      <c r="R29" s="147"/>
      <c r="S29" s="146"/>
      <c r="T29" s="157" t="s">
        <v>300</v>
      </c>
      <c r="U29" s="157">
        <v>1</v>
      </c>
      <c r="V29" s="149" t="str">
        <f t="shared" si="1"/>
        <v>对目标造成其生命上限20%的伤害，并以5倍的效果治疗自己。|n|n|cff99ccff施法距离:|r 600码|n|cff99ccff冷却时间:|r 5秒|n</v>
      </c>
      <c r="W29" s="149" t="str">
        <f t="shared" si="2"/>
        <v/>
      </c>
      <c r="X29" s="149" t="str">
        <f t="shared" si="3"/>
        <v>物理状态：</v>
      </c>
    </row>
    <row r="30" spans="1:24">
      <c r="A30" s="179">
        <v>5</v>
      </c>
      <c r="B30" s="182" t="s">
        <v>303</v>
      </c>
      <c r="C30" s="182" t="s">
        <v>1399</v>
      </c>
      <c r="D30" s="182" t="s">
        <v>327</v>
      </c>
      <c r="E30" s="182" t="s">
        <v>1400</v>
      </c>
      <c r="F30" s="182" t="s">
        <v>328</v>
      </c>
      <c r="G30" s="183"/>
      <c r="H30" s="183"/>
      <c r="I30" s="183">
        <v>600</v>
      </c>
      <c r="J30" s="183"/>
      <c r="K30" s="183"/>
      <c r="L30" s="183"/>
      <c r="M30" s="183">
        <v>7</v>
      </c>
      <c r="N30" s="184"/>
      <c r="O30" s="184"/>
      <c r="P30" s="185" t="s">
        <v>1401</v>
      </c>
      <c r="Q30" s="155"/>
      <c r="R30" s="147"/>
      <c r="S30" s="146"/>
      <c r="T30" s="157" t="s">
        <v>294</v>
      </c>
      <c r="U30" s="157">
        <v>1</v>
      </c>
      <c r="V30" s="149" t="str">
        <f t="shared" si="1"/>
        <v>燃烧目标20%的法力值，并造成等量伤害。|n|n|cff99ccff施法距离:|r 600码|n|cff99ccff冷却时间:|r 7秒|n</v>
      </c>
      <c r="W30" s="149" t="str">
        <f t="shared" si="2"/>
        <v/>
      </c>
      <c r="X30" s="149" t="str">
        <f t="shared" si="3"/>
        <v>物理状态：</v>
      </c>
    </row>
    <row r="31" spans="1:24" ht="42.75">
      <c r="A31" s="179">
        <v>5</v>
      </c>
      <c r="B31" s="147" t="s">
        <v>1809</v>
      </c>
      <c r="C31" s="147" t="s">
        <v>1402</v>
      </c>
      <c r="D31" s="147" t="s">
        <v>329</v>
      </c>
      <c r="E31" s="147" t="s">
        <v>1403</v>
      </c>
      <c r="F31" s="147" t="s">
        <v>330</v>
      </c>
      <c r="G31" s="180"/>
      <c r="H31" s="180"/>
      <c r="I31" s="180">
        <v>600</v>
      </c>
      <c r="J31" s="180"/>
      <c r="K31" s="180"/>
      <c r="L31" s="180">
        <v>12</v>
      </c>
      <c r="M31" s="180">
        <v>5</v>
      </c>
      <c r="N31" s="181" t="s">
        <v>651</v>
      </c>
      <c r="O31" s="181" t="s">
        <v>649</v>
      </c>
      <c r="P31" s="146" t="s">
        <v>1863</v>
      </c>
      <c r="Q31" s="146" t="s">
        <v>331</v>
      </c>
      <c r="R31" s="147" t="str">
        <f t="shared" si="0"/>
        <v>暗影之刺</v>
      </c>
      <c r="S31" s="146" t="s">
        <v>1826</v>
      </c>
      <c r="T31" s="157" t="s">
        <v>294</v>
      </c>
      <c r="U31" s="157">
        <v>1</v>
      </c>
      <c r="V31" s="149" t="str">
        <f t="shared" si="1"/>
        <v>造成直接的法术伤害，然后再持续地对目标造成基于损失生命的法术伤害。|n|n|cff99ccff施法距离:|r 600码|n|cff99ccff持续时间:|r 12秒|n|cff99ccff冷却时间:|r 5秒|n</v>
      </c>
      <c r="W31" s="149" t="str">
        <f t="shared" si="2"/>
        <v>暗影之刺</v>
      </c>
      <c r="X31" s="149" t="str">
        <f t="shared" si="3"/>
        <v>|cff6666ff魔法|r状态：受到周期性的法术伤害。</v>
      </c>
    </row>
    <row r="32" spans="1:24" ht="28.5">
      <c r="A32" s="179"/>
      <c r="B32" s="147"/>
      <c r="C32" s="147"/>
      <c r="D32" s="147"/>
      <c r="E32" s="147" t="s">
        <v>1404</v>
      </c>
      <c r="F32" s="147" t="s">
        <v>332</v>
      </c>
      <c r="G32" s="180"/>
      <c r="H32" s="180"/>
      <c r="I32" s="180">
        <v>600</v>
      </c>
      <c r="J32" s="180"/>
      <c r="K32" s="180"/>
      <c r="L32" s="180"/>
      <c r="M32" s="180">
        <v>15</v>
      </c>
      <c r="N32" s="181" t="s">
        <v>651</v>
      </c>
      <c r="O32" s="181" t="s">
        <v>649</v>
      </c>
      <c r="P32" s="146" t="s">
        <v>1838</v>
      </c>
      <c r="Q32" s="146" t="s">
        <v>333</v>
      </c>
      <c r="R32" s="147" t="str">
        <f t="shared" si="0"/>
        <v>痛苦标记</v>
      </c>
      <c r="S32" s="146" t="s">
        <v>1839</v>
      </c>
      <c r="T32" s="157" t="s">
        <v>300</v>
      </c>
      <c r="U32" s="157">
        <v>1</v>
      </c>
      <c r="V32" s="149" t="str">
        <f t="shared" si="1"/>
        <v>目标受到等同于痛苦之女受到的伤害。|n|n|cff99ccff施法距离:|r 600码|n|cff99ccff冷却时间:|r 15秒|n</v>
      </c>
      <c r="W32" s="149" t="str">
        <f t="shared" si="2"/>
        <v>痛苦标记</v>
      </c>
      <c r="X32" s="149" t="str">
        <f t="shared" si="3"/>
        <v>|cff6666ff魔法|r状态：受到等同于痛苦之女所受的伤害。</v>
      </c>
    </row>
    <row r="33" spans="1:25">
      <c r="A33" s="179">
        <v>5</v>
      </c>
      <c r="B33" s="182" t="s">
        <v>295</v>
      </c>
      <c r="C33" s="182" t="s">
        <v>1405</v>
      </c>
      <c r="D33" s="182" t="s">
        <v>334</v>
      </c>
      <c r="E33" s="186" t="s">
        <v>1406</v>
      </c>
      <c r="F33" s="186" t="s">
        <v>335</v>
      </c>
      <c r="G33" s="187"/>
      <c r="H33" s="187"/>
      <c r="I33" s="187"/>
      <c r="J33" s="187"/>
      <c r="K33" s="187"/>
      <c r="L33" s="187"/>
      <c r="M33" s="187"/>
      <c r="N33" s="188"/>
      <c r="O33" s="188"/>
      <c r="P33" s="189" t="s">
        <v>1407</v>
      </c>
      <c r="Q33" s="189"/>
      <c r="R33" s="190" t="str">
        <f t="shared" ref="R33:R53" si="4">E33</f>
        <v>相位变换</v>
      </c>
      <c r="S33" s="191" t="s">
        <v>1840</v>
      </c>
      <c r="T33" s="192" t="s">
        <v>1444</v>
      </c>
      <c r="U33" s="193" t="s">
        <v>1311</v>
      </c>
      <c r="V33" s="194" t="str">
        <f t="shared" ref="V33:V53" si="5">creepAbilityUberTipCN(P33,G33:M33)</f>
        <v>X秒永久隐形|n|n</v>
      </c>
      <c r="W33" s="194" t="str">
        <f t="shared" ref="W33:W53" si="6">creepBuffTip(R33,O33)</f>
        <v>相位变换</v>
      </c>
      <c r="X33" s="194" t="str">
        <f t="shared" ref="X33:X53" si="7">creepBuffUber(S33,N33)</f>
        <v>物理状态：隐身。</v>
      </c>
      <c r="Y33" s="194"/>
    </row>
    <row r="34" spans="1:25" ht="28.5">
      <c r="A34" s="179"/>
      <c r="B34" s="182"/>
      <c r="C34" s="182"/>
      <c r="D34" s="182"/>
      <c r="E34" s="182" t="s">
        <v>1408</v>
      </c>
      <c r="F34" s="182" t="s">
        <v>336</v>
      </c>
      <c r="G34" s="183">
        <v>4</v>
      </c>
      <c r="H34" s="183"/>
      <c r="I34" s="183"/>
      <c r="J34" s="183"/>
      <c r="K34" s="183"/>
      <c r="L34" s="183"/>
      <c r="M34" s="183">
        <v>12</v>
      </c>
      <c r="N34" s="184"/>
      <c r="O34" s="184"/>
      <c r="P34" s="185" t="s">
        <v>1409</v>
      </c>
      <c r="Q34" s="155"/>
      <c r="R34" s="147"/>
      <c r="S34" s="146"/>
      <c r="T34" s="157" t="s">
        <v>1868</v>
      </c>
      <c r="U34" s="157">
        <v>1</v>
      </c>
      <c r="V34" s="149" t="str">
        <f t="shared" si="5"/>
        <v>将所有敌人拉至身边, 然后开始施放魔爆术, 造成1500伤害.|n|n|cff99ccff施法时间:|r 4秒|n|cff99ccff冷却时间:|r 12秒|n</v>
      </c>
      <c r="W34" s="149" t="str">
        <f t="shared" si="6"/>
        <v/>
      </c>
      <c r="X34" s="149" t="str">
        <f t="shared" si="7"/>
        <v>物理状态：</v>
      </c>
    </row>
    <row r="35" spans="1:25">
      <c r="A35" s="179"/>
      <c r="B35" s="182"/>
      <c r="C35" s="182"/>
      <c r="D35" s="182"/>
      <c r="E35" s="182" t="s">
        <v>1410</v>
      </c>
      <c r="F35" s="182" t="s">
        <v>337</v>
      </c>
      <c r="G35" s="183"/>
      <c r="H35" s="183"/>
      <c r="I35" s="183"/>
      <c r="J35" s="183"/>
      <c r="K35" s="183"/>
      <c r="L35" s="183">
        <v>12</v>
      </c>
      <c r="M35" s="183">
        <v>9</v>
      </c>
      <c r="N35" s="184" t="s">
        <v>651</v>
      </c>
      <c r="O35" s="184" t="s">
        <v>649</v>
      </c>
      <c r="P35" s="185" t="s">
        <v>1411</v>
      </c>
      <c r="Q35" s="155"/>
      <c r="R35" s="147" t="str">
        <f t="shared" si="4"/>
        <v>虚空吐息</v>
      </c>
      <c r="S35" s="146" t="s">
        <v>1841</v>
      </c>
      <c r="T35" s="157" t="s">
        <v>1869</v>
      </c>
      <c r="U35" s="157">
        <v>1</v>
      </c>
      <c r="V35" s="149" t="str">
        <f t="shared" si="5"/>
        <v>正面锥形AOE, 并且使受影响的目标受到的法伤增幅.|n|n|cff99ccff持续时间:|r 12秒|n|cff99ccff冷却时间:|r 9秒|n</v>
      </c>
      <c r="W35" s="149" t="str">
        <f t="shared" si="6"/>
        <v>虚空吐息</v>
      </c>
      <c r="X35" s="149" t="str">
        <f t="shared" si="7"/>
        <v>|cff6666ff魔法|r状态：受到的法术伤害提高。</v>
      </c>
    </row>
    <row r="36" spans="1:25">
      <c r="A36" s="179">
        <v>5</v>
      </c>
      <c r="B36" s="147" t="s">
        <v>303</v>
      </c>
      <c r="C36" s="147" t="s">
        <v>1412</v>
      </c>
      <c r="D36" s="147" t="s">
        <v>338</v>
      </c>
      <c r="E36" s="190" t="s">
        <v>1406</v>
      </c>
      <c r="F36" s="190" t="s">
        <v>335</v>
      </c>
      <c r="G36" s="195"/>
      <c r="H36" s="195"/>
      <c r="I36" s="195"/>
      <c r="J36" s="195"/>
      <c r="K36" s="195"/>
      <c r="L36" s="195"/>
      <c r="M36" s="195"/>
      <c r="N36" s="196"/>
      <c r="O36" s="196"/>
      <c r="P36" s="191" t="s">
        <v>1407</v>
      </c>
      <c r="Q36" s="191"/>
      <c r="R36" s="190" t="str">
        <f t="shared" si="4"/>
        <v>相位变换</v>
      </c>
      <c r="S36" s="191" t="s">
        <v>1840</v>
      </c>
      <c r="T36" s="192" t="s">
        <v>1444</v>
      </c>
      <c r="U36" s="193" t="s">
        <v>1311</v>
      </c>
      <c r="V36" s="194" t="str">
        <f t="shared" si="5"/>
        <v>X秒永久隐形|n|n</v>
      </c>
      <c r="W36" s="194" t="str">
        <f t="shared" si="6"/>
        <v>相位变换</v>
      </c>
      <c r="X36" s="194" t="str">
        <f t="shared" si="7"/>
        <v>物理状态：隐身。</v>
      </c>
      <c r="Y36" s="194"/>
    </row>
    <row r="37" spans="1:25">
      <c r="A37" s="179"/>
      <c r="B37" s="147"/>
      <c r="C37" s="147"/>
      <c r="D37" s="147"/>
      <c r="E37" s="147" t="s">
        <v>1413</v>
      </c>
      <c r="F37" s="147" t="s">
        <v>339</v>
      </c>
      <c r="G37" s="180"/>
      <c r="H37" s="180"/>
      <c r="I37" s="180">
        <v>600</v>
      </c>
      <c r="J37" s="180"/>
      <c r="K37" s="180"/>
      <c r="L37" s="180"/>
      <c r="M37" s="180">
        <v>7</v>
      </c>
      <c r="N37" s="181" t="s">
        <v>651</v>
      </c>
      <c r="O37" s="181" t="s">
        <v>649</v>
      </c>
      <c r="P37" s="146" t="s">
        <v>1414</v>
      </c>
      <c r="Q37" s="146"/>
      <c r="R37" s="147" t="str">
        <f t="shared" si="4"/>
        <v>迟缓</v>
      </c>
      <c r="S37" s="146" t="s">
        <v>1842</v>
      </c>
      <c r="T37" s="157" t="s">
        <v>300</v>
      </c>
      <c r="U37" s="157">
        <v>1</v>
      </c>
      <c r="V37" s="149" t="str">
        <f t="shared" si="5"/>
        <v>降低目标75%移动速度.|n|n|cff99ccff施法距离:|r 600码|n|cff99ccff冷却时间:|r 7秒|n</v>
      </c>
      <c r="W37" s="149" t="str">
        <f t="shared" si="6"/>
        <v>迟缓</v>
      </c>
      <c r="X37" s="149" t="str">
        <f t="shared" si="7"/>
        <v>|cff6666ff魔法|r状态：移动速度降低。</v>
      </c>
    </row>
    <row r="38" spans="1:25">
      <c r="A38" s="179">
        <v>5</v>
      </c>
      <c r="B38" s="197" t="s">
        <v>295</v>
      </c>
      <c r="C38" s="197" t="s">
        <v>1415</v>
      </c>
      <c r="D38" s="197" t="s">
        <v>1266</v>
      </c>
      <c r="E38" s="197" t="s">
        <v>1416</v>
      </c>
      <c r="F38" s="197" t="s">
        <v>1267</v>
      </c>
      <c r="G38" s="198">
        <v>0</v>
      </c>
      <c r="H38" s="198"/>
      <c r="I38" s="198">
        <v>900</v>
      </c>
      <c r="J38" s="198">
        <v>350</v>
      </c>
      <c r="K38" s="198">
        <v>0</v>
      </c>
      <c r="L38" s="198"/>
      <c r="M38" s="198">
        <v>7</v>
      </c>
      <c r="N38" s="199"/>
      <c r="O38" s="199"/>
      <c r="P38" s="200" t="s">
        <v>1417</v>
      </c>
      <c r="Q38" s="146"/>
      <c r="R38" s="147"/>
      <c r="S38" s="146"/>
      <c r="T38" s="157" t="s">
        <v>1307</v>
      </c>
      <c r="U38" s="157">
        <v>1</v>
      </c>
      <c r="V38" s="149" t="str">
        <f t="shared" si="5"/>
        <v>对目标区域内造成6000点物理伤害，由所有目标分担。|n|n|cff99ccff施法时间:|r 0秒|n|cff99ccff施法距离:|r 900码|n|cff99ccff影响范围:|r 350码|n|cff99ccff法力消耗:|r 0点|n|cff99ccff冷却时间:|r 7秒|n</v>
      </c>
      <c r="W38" s="149" t="str">
        <f t="shared" si="6"/>
        <v/>
      </c>
      <c r="X38" s="149" t="str">
        <f t="shared" si="7"/>
        <v>物理状态：</v>
      </c>
    </row>
    <row r="39" spans="1:25">
      <c r="A39" s="179"/>
      <c r="B39" s="197"/>
      <c r="C39" s="197"/>
      <c r="D39" s="197"/>
      <c r="E39" s="197" t="s">
        <v>1871</v>
      </c>
      <c r="F39" s="197" t="s">
        <v>1268</v>
      </c>
      <c r="G39" s="198"/>
      <c r="H39" s="198"/>
      <c r="I39" s="198"/>
      <c r="J39" s="198"/>
      <c r="K39" s="198"/>
      <c r="L39" s="198"/>
      <c r="M39" s="198">
        <v>20</v>
      </c>
      <c r="N39" s="199" t="s">
        <v>650</v>
      </c>
      <c r="O39" s="199" t="s">
        <v>650</v>
      </c>
      <c r="P39" s="200" t="s">
        <v>1418</v>
      </c>
      <c r="Q39" s="146"/>
      <c r="R39" s="147" t="s">
        <v>1871</v>
      </c>
      <c r="S39" s="146" t="s">
        <v>1872</v>
      </c>
      <c r="T39" s="201" t="s">
        <v>1868</v>
      </c>
      <c r="U39" s="201">
        <v>1</v>
      </c>
      <c r="V39" s="149" t="str">
        <f t="shared" si="5"/>
        <v>每秒对附近的玩家单位造成100点法术伤害。|n|n|cff99ccff冷却时间:|r 20秒|n</v>
      </c>
      <c r="W39" s="149" t="str">
        <f t="shared" si="6"/>
        <v>|cff00ff00燃烧|r</v>
      </c>
      <c r="X39" s="149" t="str">
        <f t="shared" si="7"/>
        <v>物理状态：周期性地对周围敌军造成伤害。</v>
      </c>
    </row>
    <row r="40" spans="1:25" ht="28.5">
      <c r="A40" s="179"/>
      <c r="B40" s="197"/>
      <c r="C40" s="197"/>
      <c r="D40" s="197"/>
      <c r="E40" s="190" t="s">
        <v>1419</v>
      </c>
      <c r="F40" s="190" t="s">
        <v>1269</v>
      </c>
      <c r="G40" s="195"/>
      <c r="H40" s="195"/>
      <c r="I40" s="195"/>
      <c r="J40" s="195"/>
      <c r="K40" s="195"/>
      <c r="L40" s="195"/>
      <c r="M40" s="195"/>
      <c r="N40" s="196"/>
      <c r="O40" s="196"/>
      <c r="P40" s="191" t="s">
        <v>1420</v>
      </c>
      <c r="Q40" s="191"/>
      <c r="R40" s="190"/>
      <c r="S40" s="191"/>
      <c r="T40" s="192" t="s">
        <v>1444</v>
      </c>
      <c r="U40" s="193" t="s">
        <v>1311</v>
      </c>
      <c r="V40" s="194" t="str">
        <f t="shared" si="5"/>
        <v>对附近生命百分比最高的单位造成80%生命上限的伤害。|n|n</v>
      </c>
      <c r="W40" s="194" t="str">
        <f t="shared" si="6"/>
        <v/>
      </c>
      <c r="X40" s="194" t="str">
        <f t="shared" si="7"/>
        <v>物理状态：</v>
      </c>
      <c r="Y40" s="194"/>
    </row>
    <row r="41" spans="1:25">
      <c r="A41" s="202">
        <v>6</v>
      </c>
      <c r="B41" s="142" t="s">
        <v>1809</v>
      </c>
      <c r="C41" s="142" t="s">
        <v>1421</v>
      </c>
      <c r="D41" s="142" t="s">
        <v>340</v>
      </c>
      <c r="E41" s="142" t="s">
        <v>1422</v>
      </c>
      <c r="F41" s="142" t="s">
        <v>341</v>
      </c>
      <c r="G41" s="143">
        <v>2</v>
      </c>
      <c r="H41" s="143"/>
      <c r="I41" s="143"/>
      <c r="J41" s="143"/>
      <c r="K41" s="143"/>
      <c r="L41" s="143"/>
      <c r="M41" s="143">
        <v>6</v>
      </c>
      <c r="N41" s="144"/>
      <c r="O41" s="144"/>
      <c r="P41" s="145" t="s">
        <v>1445</v>
      </c>
      <c r="Q41" s="155"/>
      <c r="R41" s="147"/>
      <c r="S41" s="146"/>
      <c r="T41" s="157" t="s">
        <v>294</v>
      </c>
      <c r="U41" s="157">
        <v>1</v>
      </c>
      <c r="V41" s="149" t="str">
        <f t="shared" si="5"/>
        <v>立即对目标造成70%其生命上限的物理伤害。|n|n|cff99ccff施法时间:|r 2秒|n|cff99ccff冷却时间:|r 6秒|n</v>
      </c>
      <c r="W41" s="149" t="str">
        <f t="shared" si="6"/>
        <v/>
      </c>
      <c r="X41" s="149" t="str">
        <f t="shared" si="7"/>
        <v>物理状态：</v>
      </c>
    </row>
    <row r="42" spans="1:25" ht="28.5">
      <c r="A42" s="202"/>
      <c r="B42" s="142"/>
      <c r="C42" s="142"/>
      <c r="D42" s="170"/>
      <c r="E42" s="170" t="s">
        <v>1423</v>
      </c>
      <c r="F42" s="170" t="s">
        <v>342</v>
      </c>
      <c r="G42" s="143"/>
      <c r="H42" s="143"/>
      <c r="I42" s="143"/>
      <c r="J42" s="143"/>
      <c r="K42" s="143"/>
      <c r="L42" s="143">
        <v>3</v>
      </c>
      <c r="M42" s="143">
        <v>12</v>
      </c>
      <c r="N42" s="144" t="s">
        <v>650</v>
      </c>
      <c r="O42" s="144" t="s">
        <v>649</v>
      </c>
      <c r="P42" s="171" t="s">
        <v>1424</v>
      </c>
      <c r="Q42" s="172"/>
      <c r="R42" s="147" t="str">
        <f t="shared" si="4"/>
        <v>震地</v>
      </c>
      <c r="S42" s="146" t="s">
        <v>1842</v>
      </c>
      <c r="T42" s="48" t="s">
        <v>1868</v>
      </c>
      <c r="U42" s="48">
        <v>1</v>
      </c>
      <c r="V42" s="149" t="str">
        <f t="shared" si="5"/>
        <v>击飞附近所有敌人，造成300点物理伤害，并降低他们的移动速度75%。|n|n|cff99ccff持续时间:|r 3秒|n|cff99ccff冷却时间:|r 12秒|n</v>
      </c>
      <c r="W42" s="149" t="str">
        <f t="shared" si="6"/>
        <v>震地</v>
      </c>
      <c r="X42" s="149" t="str">
        <f t="shared" si="7"/>
        <v>物理状态：移动速度降低。</v>
      </c>
    </row>
    <row r="43" spans="1:25">
      <c r="A43" s="205">
        <v>6</v>
      </c>
      <c r="B43" s="206" t="s">
        <v>1809</v>
      </c>
      <c r="C43" s="206" t="s">
        <v>1425</v>
      </c>
      <c r="D43" s="206" t="s">
        <v>1270</v>
      </c>
      <c r="E43" s="206" t="s">
        <v>1426</v>
      </c>
      <c r="F43" s="206" t="s">
        <v>1271</v>
      </c>
      <c r="G43" s="207"/>
      <c r="H43" s="207"/>
      <c r="I43" s="207"/>
      <c r="J43" s="207"/>
      <c r="K43" s="207"/>
      <c r="L43" s="207"/>
      <c r="M43" s="207"/>
      <c r="N43" s="208" t="s">
        <v>650</v>
      </c>
      <c r="O43" s="208" t="s">
        <v>650</v>
      </c>
      <c r="P43" s="209" t="s">
        <v>1427</v>
      </c>
      <c r="R43" s="147" t="str">
        <f t="shared" si="4"/>
        <v>狂热</v>
      </c>
      <c r="S43" s="146" t="s">
        <v>1843</v>
      </c>
      <c r="T43" s="48">
        <v>0</v>
      </c>
      <c r="U43" s="48">
        <v>1</v>
      </c>
      <c r="V43" s="149" t="str">
        <f t="shared" si="5"/>
        <v>每次攻击可以使攻击力提高50点。|n|n</v>
      </c>
      <c r="W43" s="149" t="str">
        <f t="shared" si="6"/>
        <v>|cff00ff00狂热|r</v>
      </c>
      <c r="X43" s="149" t="str">
        <f t="shared" si="7"/>
        <v>物理状态：攻击强度提高。</v>
      </c>
    </row>
    <row r="44" spans="1:25" ht="28.5">
      <c r="A44" s="205">
        <v>6</v>
      </c>
      <c r="B44" s="149" t="s">
        <v>1809</v>
      </c>
      <c r="C44" s="149" t="s">
        <v>1428</v>
      </c>
      <c r="D44" s="149" t="s">
        <v>1277</v>
      </c>
      <c r="E44" s="149" t="s">
        <v>1429</v>
      </c>
      <c r="F44" s="149" t="s">
        <v>1272</v>
      </c>
      <c r="M44" s="211">
        <v>12</v>
      </c>
      <c r="P44" s="210" t="s">
        <v>1430</v>
      </c>
      <c r="R44" s="147"/>
      <c r="S44" s="146"/>
      <c r="T44" s="48" t="s">
        <v>300</v>
      </c>
      <c r="U44" s="48">
        <v>1</v>
      </c>
      <c r="V44" s="149" t="str">
        <f t="shared" si="5"/>
        <v>尸体从天而降，对范围内的友军治疗，对玩家单位造成伤害。|n|n|cff99ccff冷却时间:|r 12秒|n</v>
      </c>
      <c r="W44" s="149" t="str">
        <f t="shared" si="6"/>
        <v/>
      </c>
      <c r="X44" s="149" t="str">
        <f t="shared" si="7"/>
        <v>物理状态：</v>
      </c>
    </row>
    <row r="45" spans="1:25" ht="42.75">
      <c r="A45" s="205"/>
      <c r="E45" s="149" t="s">
        <v>1431</v>
      </c>
      <c r="F45" s="149" t="s">
        <v>1273</v>
      </c>
      <c r="M45" s="211">
        <v>20</v>
      </c>
      <c r="P45" s="210" t="s">
        <v>1844</v>
      </c>
      <c r="R45" s="147"/>
      <c r="S45" s="146"/>
      <c r="T45" s="48" t="s">
        <v>294</v>
      </c>
      <c r="U45" s="48">
        <v>1</v>
      </c>
      <c r="V45" s="149" t="str">
        <f t="shared" si="5"/>
        <v>召唤目标的幻象，幻象受到伤害时，目标也会受到同样百分比的伤害。幻象每秒受到20%生命上限的伤害并恢复15%生命上限的生命值。|n|n|cff99ccff冷却时间:|r 20秒|n</v>
      </c>
      <c r="W45" s="149" t="str">
        <f t="shared" si="6"/>
        <v/>
      </c>
      <c r="X45" s="149" t="str">
        <f t="shared" si="7"/>
        <v>物理状态：</v>
      </c>
    </row>
    <row r="46" spans="1:25">
      <c r="A46" s="205">
        <v>6</v>
      </c>
      <c r="B46" s="206" t="s">
        <v>295</v>
      </c>
      <c r="C46" s="206" t="s">
        <v>1432</v>
      </c>
      <c r="D46" s="206" t="s">
        <v>1274</v>
      </c>
      <c r="E46" s="206" t="s">
        <v>1853</v>
      </c>
      <c r="F46" s="206" t="s">
        <v>1275</v>
      </c>
      <c r="G46" s="207"/>
      <c r="H46" s="207"/>
      <c r="I46" s="207"/>
      <c r="J46" s="207"/>
      <c r="K46" s="207"/>
      <c r="L46" s="207"/>
      <c r="M46" s="207"/>
      <c r="N46" s="208"/>
      <c r="O46" s="208"/>
      <c r="P46" s="209" t="s">
        <v>1433</v>
      </c>
      <c r="R46" s="147"/>
      <c r="S46" s="146"/>
      <c r="T46" s="203" t="s">
        <v>1444</v>
      </c>
      <c r="U46" s="204" t="s">
        <v>1311</v>
      </c>
      <c r="V46" s="149" t="str">
        <f t="shared" si="5"/>
        <v>每次攻击对附近所有玩家单位造成伤害。|n|n</v>
      </c>
      <c r="W46" s="149" t="str">
        <f t="shared" si="6"/>
        <v/>
      </c>
      <c r="X46" s="149" t="str">
        <f t="shared" si="7"/>
        <v>物理状态：</v>
      </c>
    </row>
    <row r="47" spans="1:25" ht="28.5">
      <c r="A47" s="205"/>
      <c r="B47" s="206"/>
      <c r="C47" s="206"/>
      <c r="D47" s="206"/>
      <c r="E47" s="206" t="s">
        <v>1434</v>
      </c>
      <c r="F47" s="206" t="s">
        <v>1276</v>
      </c>
      <c r="G47" s="207"/>
      <c r="H47" s="207"/>
      <c r="I47" s="207"/>
      <c r="J47" s="207"/>
      <c r="K47" s="207"/>
      <c r="L47" s="207"/>
      <c r="M47" s="207"/>
      <c r="N47" s="208" t="s">
        <v>651</v>
      </c>
      <c r="O47" s="208" t="s">
        <v>649</v>
      </c>
      <c r="P47" s="209" t="s">
        <v>1435</v>
      </c>
      <c r="R47" s="147" t="str">
        <f t="shared" si="4"/>
        <v>呕吐</v>
      </c>
      <c r="S47" s="146" t="s">
        <v>1846</v>
      </c>
      <c r="T47" s="204" t="s">
        <v>1310</v>
      </c>
      <c r="U47" s="204" t="s">
        <v>1311</v>
      </c>
      <c r="V47" s="149" t="str">
        <f t="shared" si="5"/>
        <v>呕吐出一堆蛆虫来攻击范围内的玩家单位，被蛆虫攻击的单位的命中率降低40%。|n|n</v>
      </c>
      <c r="W47" s="149" t="str">
        <f t="shared" si="6"/>
        <v>呕吐</v>
      </c>
      <c r="X47" s="149" t="str">
        <f t="shared" si="7"/>
        <v>|cff6666ff魔法|r状态：命中几率降低。</v>
      </c>
    </row>
    <row r="48" spans="1:25" ht="28.5">
      <c r="A48" s="205">
        <v>6</v>
      </c>
      <c r="B48" s="149" t="s">
        <v>1809</v>
      </c>
      <c r="C48" s="149" t="s">
        <v>1848</v>
      </c>
      <c r="D48" s="149" t="s">
        <v>1278</v>
      </c>
      <c r="E48" s="149" t="s">
        <v>1436</v>
      </c>
      <c r="F48" s="149" t="s">
        <v>1279</v>
      </c>
      <c r="M48" s="211">
        <v>4</v>
      </c>
      <c r="P48" s="210" t="s">
        <v>1437</v>
      </c>
      <c r="R48" s="147"/>
      <c r="S48" s="146"/>
      <c r="T48" s="157" t="s">
        <v>294</v>
      </c>
      <c r="U48" s="157">
        <v>1</v>
      </c>
      <c r="V48" s="149" t="str">
        <f t="shared" si="5"/>
        <v>发射一枝毒箭，对路径上的所有玩家单位造成伤害。恐怖图腾也会一起发射毒箭。|n|n|cff99ccff冷却时间:|r 4秒|n</v>
      </c>
      <c r="W48" s="149" t="str">
        <f t="shared" si="6"/>
        <v/>
      </c>
      <c r="X48" s="149" t="str">
        <f t="shared" si="7"/>
        <v>物理状态：</v>
      </c>
    </row>
    <row r="49" spans="1:24" ht="28.5">
      <c r="A49" s="205"/>
      <c r="E49" s="149" t="s">
        <v>1438</v>
      </c>
      <c r="F49" s="149" t="s">
        <v>1280</v>
      </c>
      <c r="M49" s="211">
        <v>8</v>
      </c>
      <c r="N49" s="212" t="s">
        <v>650</v>
      </c>
      <c r="O49" s="212" t="s">
        <v>649</v>
      </c>
      <c r="P49" s="210" t="s">
        <v>1857</v>
      </c>
      <c r="R49" s="147" t="str">
        <f t="shared" si="4"/>
        <v>恐怖图腾</v>
      </c>
      <c r="S49" s="146" t="s">
        <v>1845</v>
      </c>
      <c r="T49" s="148" t="s">
        <v>287</v>
      </c>
      <c r="U49" s="157">
        <v>1</v>
      </c>
      <c r="V49" s="149" t="str">
        <f t="shared" si="5"/>
        <v>召唤一个无敌的恐怖图腾，附近的玩家单位造成的伤害降低15%。|n|n|cff99ccff冷却时间:|r 8秒|n</v>
      </c>
      <c r="W49" s="149" t="str">
        <f t="shared" si="6"/>
        <v>恐怖图腾</v>
      </c>
      <c r="X49" s="149" t="str">
        <f t="shared" si="7"/>
        <v>物理状态：造成的伤害降低。</v>
      </c>
    </row>
    <row r="50" spans="1:24">
      <c r="A50" s="205">
        <v>6</v>
      </c>
      <c r="B50" s="206" t="s">
        <v>295</v>
      </c>
      <c r="C50" s="206" t="s">
        <v>1439</v>
      </c>
      <c r="D50" s="206" t="s">
        <v>1281</v>
      </c>
      <c r="E50" s="206" t="s">
        <v>1440</v>
      </c>
      <c r="F50" s="206" t="s">
        <v>1282</v>
      </c>
      <c r="G50" s="207"/>
      <c r="H50" s="207"/>
      <c r="I50" s="207">
        <v>1200</v>
      </c>
      <c r="J50" s="207"/>
      <c r="K50" s="207"/>
      <c r="L50" s="207">
        <v>9</v>
      </c>
      <c r="M50" s="207">
        <v>12</v>
      </c>
      <c r="N50" s="208" t="s">
        <v>651</v>
      </c>
      <c r="O50" s="208" t="s">
        <v>649</v>
      </c>
      <c r="P50" s="209" t="s">
        <v>1441</v>
      </c>
      <c r="R50" s="147" t="str">
        <f t="shared" si="4"/>
        <v>险恶打击</v>
      </c>
      <c r="S50" s="146" t="s">
        <v>1847</v>
      </c>
      <c r="T50" s="203" t="s">
        <v>1444</v>
      </c>
      <c r="U50" s="204" t="s">
        <v>1311</v>
      </c>
      <c r="V50" s="149" t="str">
        <f t="shared" si="5"/>
        <v>目标单位每2秒昏迷1秒。|n|n|cff99ccff施法距离:|r 1200码|n|cff99ccff持续时间:|r 9秒|n|cff99ccff冷却时间:|r 12秒|n</v>
      </c>
      <c r="W50" s="149" t="str">
        <f t="shared" si="6"/>
        <v>险恶打击</v>
      </c>
      <c r="X50" s="149" t="str">
        <f t="shared" si="7"/>
        <v>|cff6666ff魔法|r状态：周期性的昏迷。</v>
      </c>
    </row>
    <row r="51" spans="1:24" ht="28.5">
      <c r="A51" s="205"/>
      <c r="B51" s="206"/>
      <c r="C51" s="206"/>
      <c r="D51" s="206"/>
      <c r="E51" s="206" t="s">
        <v>1442</v>
      </c>
      <c r="F51" s="206" t="s">
        <v>1283</v>
      </c>
      <c r="G51" s="207"/>
      <c r="H51" s="207"/>
      <c r="I51" s="207">
        <v>1200</v>
      </c>
      <c r="J51" s="207">
        <v>300</v>
      </c>
      <c r="K51" s="207"/>
      <c r="L51" s="207">
        <v>15</v>
      </c>
      <c r="M51" s="207">
        <v>15</v>
      </c>
      <c r="N51" s="208"/>
      <c r="O51" s="208"/>
      <c r="P51" s="209" t="s">
        <v>1443</v>
      </c>
      <c r="R51" s="147"/>
      <c r="S51" s="146"/>
      <c r="T51" s="203" t="s">
        <v>1444</v>
      </c>
      <c r="U51" s="204" t="s">
        <v>1311</v>
      </c>
      <c r="V51" s="149" t="str">
        <f t="shared" si="5"/>
        <v>对目标区域内的所有玩家每秒造成伤害，范围会逐渐扩大。|n|n|cff99ccff施法距离:|r 1200码|n|cff99ccff影响范围:|r 300码|n|cff99ccff持续时间:|r 15秒|n|cff99ccff冷却时间:|r 15秒|n</v>
      </c>
      <c r="W51" s="149" t="str">
        <f t="shared" si="6"/>
        <v/>
      </c>
      <c r="X51" s="149" t="str">
        <f t="shared" si="7"/>
        <v>物理状态：</v>
      </c>
    </row>
    <row r="52" spans="1:24" ht="28.5">
      <c r="A52" s="213">
        <v>2</v>
      </c>
      <c r="B52" s="159" t="s">
        <v>1317</v>
      </c>
      <c r="C52" s="159" t="s">
        <v>1350</v>
      </c>
      <c r="D52" s="159" t="s">
        <v>1316</v>
      </c>
      <c r="E52" s="159" t="s">
        <v>1351</v>
      </c>
      <c r="F52" s="159" t="s">
        <v>291</v>
      </c>
      <c r="G52" s="160"/>
      <c r="H52" s="160"/>
      <c r="I52" s="160"/>
      <c r="J52" s="160"/>
      <c r="K52" s="160"/>
      <c r="L52" s="160">
        <v>10</v>
      </c>
      <c r="M52" s="160">
        <v>20</v>
      </c>
      <c r="N52" s="161" t="s">
        <v>651</v>
      </c>
      <c r="O52" s="161" t="s">
        <v>650</v>
      </c>
      <c r="P52" s="162" t="s">
        <v>1352</v>
      </c>
      <c r="Q52" s="146"/>
      <c r="R52" s="147" t="str">
        <f t="shared" si="4"/>
        <v>狂乱</v>
      </c>
      <c r="S52" s="146" t="s">
        <v>1827</v>
      </c>
      <c r="T52" s="148" t="s">
        <v>292</v>
      </c>
      <c r="U52" s="148">
        <v>1</v>
      </c>
      <c r="V52" s="149" t="str">
        <f t="shared" si="5"/>
        <v>提升100%攻击速度。（在目标受到压碎护甲效果影响后开启。）|n|n|cff99ccff持续时间:|r 10秒|n|cff99ccff冷却时间:|r 20秒|n</v>
      </c>
      <c r="W52" s="149" t="str">
        <f t="shared" si="6"/>
        <v>|cff00ff00狂乱|r</v>
      </c>
      <c r="X52" s="149" t="str">
        <f t="shared" si="7"/>
        <v>|cff6666ff魔法|r状态：攻击速度提高。</v>
      </c>
    </row>
    <row r="53" spans="1:24">
      <c r="A53" s="213"/>
      <c r="B53" s="159"/>
      <c r="C53" s="159"/>
      <c r="D53" s="159"/>
      <c r="E53" s="159" t="s">
        <v>1353</v>
      </c>
      <c r="F53" s="159" t="s">
        <v>293</v>
      </c>
      <c r="G53" s="160"/>
      <c r="H53" s="160"/>
      <c r="I53" s="160">
        <v>200</v>
      </c>
      <c r="J53" s="160"/>
      <c r="K53" s="160"/>
      <c r="L53" s="160">
        <v>7</v>
      </c>
      <c r="M53" s="160">
        <v>20</v>
      </c>
      <c r="N53" s="161" t="s">
        <v>650</v>
      </c>
      <c r="O53" s="161" t="s">
        <v>649</v>
      </c>
      <c r="P53" s="162" t="s">
        <v>1354</v>
      </c>
      <c r="Q53" s="146"/>
      <c r="R53" s="147" t="str">
        <f t="shared" si="4"/>
        <v>压碎护甲</v>
      </c>
      <c r="S53" s="146" t="s">
        <v>1828</v>
      </c>
      <c r="T53" s="148" t="s">
        <v>294</v>
      </c>
      <c r="U53" s="148">
        <v>1</v>
      </c>
      <c r="V53" s="149" t="str">
        <f t="shared" si="5"/>
        <v>降低目标100点物理免伤。|n|n|cff99ccff施法距离:|r 200码|n|cff99ccff持续时间:|r 7秒|n|cff99ccff冷却时间:|r 20秒|n</v>
      </c>
      <c r="W53" s="149" t="str">
        <f t="shared" si="6"/>
        <v>压碎护甲</v>
      </c>
      <c r="X53"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8"/>
  <sheetViews>
    <sheetView workbookViewId="0">
      <pane ySplit="1" topLeftCell="A33" activePane="bottomLeft" state="frozen"/>
      <selection pane="bottomLeft" activeCell="W66" sqref="W66"/>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1239</v>
      </c>
      <c r="B1" s="88" t="s">
        <v>1238</v>
      </c>
      <c r="C1" s="88" t="s">
        <v>1810</v>
      </c>
      <c r="D1" s="88" t="s">
        <v>1813</v>
      </c>
      <c r="E1" s="88" t="s">
        <v>1814</v>
      </c>
      <c r="F1" s="88" t="s">
        <v>1815</v>
      </c>
      <c r="G1" s="88" t="s">
        <v>1811</v>
      </c>
      <c r="H1" s="88" t="s">
        <v>1812</v>
      </c>
      <c r="I1" s="88" t="s">
        <v>1234</v>
      </c>
      <c r="J1" s="88" t="s">
        <v>1233</v>
      </c>
      <c r="K1" s="88" t="s">
        <v>1232</v>
      </c>
      <c r="L1" s="88" t="s">
        <v>1231</v>
      </c>
      <c r="M1" s="88" t="s">
        <v>1230</v>
      </c>
      <c r="N1" s="88" t="s">
        <v>1229</v>
      </c>
      <c r="O1" s="88" t="s">
        <v>1228</v>
      </c>
      <c r="P1" s="88" t="s">
        <v>1237</v>
      </c>
      <c r="Q1" s="88" t="s">
        <v>1236</v>
      </c>
      <c r="R1" s="88" t="s">
        <v>1235</v>
      </c>
      <c r="S1" s="88" t="s">
        <v>1816</v>
      </c>
      <c r="T1" s="88" t="s">
        <v>1817</v>
      </c>
      <c r="U1" s="88" t="s">
        <v>1227</v>
      </c>
      <c r="V1" s="88" t="s">
        <v>1226</v>
      </c>
    </row>
    <row r="2" spans="1:23">
      <c r="A2" s="89" t="s">
        <v>1225</v>
      </c>
      <c r="B2" s="89" t="s">
        <v>1127</v>
      </c>
      <c r="C2" s="89">
        <v>50000</v>
      </c>
      <c r="D2" s="89">
        <v>0</v>
      </c>
      <c r="E2" s="89">
        <v>0</v>
      </c>
      <c r="F2" s="89">
        <v>0</v>
      </c>
      <c r="G2" s="89">
        <v>5</v>
      </c>
      <c r="H2" s="89">
        <v>5</v>
      </c>
      <c r="I2" s="90">
        <v>0</v>
      </c>
      <c r="J2" s="90">
        <v>0</v>
      </c>
      <c r="K2" s="90">
        <v>0</v>
      </c>
      <c r="L2" s="90">
        <v>0</v>
      </c>
      <c r="M2" s="90">
        <v>1</v>
      </c>
      <c r="N2" s="90">
        <v>0</v>
      </c>
      <c r="O2" s="89" t="s">
        <v>1126</v>
      </c>
      <c r="P2" s="91">
        <f t="shared" ref="P2:P5" si="0">C2-1-D2*10</f>
        <v>49999</v>
      </c>
      <c r="Q2" s="91">
        <f t="shared" ref="Q2:Q5" si="1">G2-CHOOSE( IF( B2="ATT_AGI", 2, IF( B2="ATT_INT", 3, 1 ) ), D2, E2, F2 )</f>
        <v>5</v>
      </c>
      <c r="R2" s="91">
        <f t="shared" ref="R2:R5" si="2">H2-G2</f>
        <v>0</v>
      </c>
      <c r="S2" s="91">
        <f>Q2-1</f>
        <v>4</v>
      </c>
      <c r="T2" s="91">
        <f>R2+1</f>
        <v>1</v>
      </c>
      <c r="U2" s="89" t="s">
        <v>1224</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1223</v>
      </c>
      <c r="B3" s="89" t="s">
        <v>1127</v>
      </c>
      <c r="C3" s="89">
        <v>50000</v>
      </c>
      <c r="D3" s="89">
        <v>0</v>
      </c>
      <c r="E3" s="89">
        <v>0</v>
      </c>
      <c r="F3" s="89">
        <v>0</v>
      </c>
      <c r="G3" s="89">
        <v>30</v>
      </c>
      <c r="H3" s="89">
        <v>35</v>
      </c>
      <c r="I3" s="90">
        <v>0</v>
      </c>
      <c r="J3" s="90">
        <v>0</v>
      </c>
      <c r="K3" s="90">
        <v>0</v>
      </c>
      <c r="L3" s="90">
        <v>0</v>
      </c>
      <c r="M3" s="90">
        <v>1</v>
      </c>
      <c r="N3" s="90">
        <v>0</v>
      </c>
      <c r="O3" s="89" t="s">
        <v>1126</v>
      </c>
      <c r="P3" s="91">
        <f t="shared" si="0"/>
        <v>49999</v>
      </c>
      <c r="Q3" s="91">
        <f t="shared" si="1"/>
        <v>30</v>
      </c>
      <c r="R3" s="91">
        <f t="shared" si="2"/>
        <v>5</v>
      </c>
      <c r="S3" s="91">
        <f t="shared" ref="S3:S67" si="3">Q3-1</f>
        <v>29</v>
      </c>
      <c r="T3" s="91">
        <f t="shared" ref="T3:T67" si="4">R3+1</f>
        <v>6</v>
      </c>
      <c r="U3" s="89" t="s">
        <v>1222</v>
      </c>
      <c r="V3" s="89"/>
      <c r="W3" s="92" t="str">
        <f t="shared" ref="W3:W68"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1221</v>
      </c>
      <c r="B4" s="89" t="s">
        <v>1127</v>
      </c>
      <c r="C4" s="89">
        <v>50000</v>
      </c>
      <c r="D4" s="89">
        <v>0</v>
      </c>
      <c r="E4" s="89">
        <v>0</v>
      </c>
      <c r="F4" s="89">
        <v>0</v>
      </c>
      <c r="G4" s="89">
        <v>300</v>
      </c>
      <c r="H4" s="89">
        <v>300</v>
      </c>
      <c r="I4" s="90">
        <v>0</v>
      </c>
      <c r="J4" s="90">
        <v>0</v>
      </c>
      <c r="K4" s="90">
        <v>0</v>
      </c>
      <c r="L4" s="90">
        <v>0</v>
      </c>
      <c r="M4" s="90">
        <v>1</v>
      </c>
      <c r="N4" s="90">
        <v>0</v>
      </c>
      <c r="O4" s="89" t="s">
        <v>1126</v>
      </c>
      <c r="P4" s="91">
        <f t="shared" si="0"/>
        <v>49999</v>
      </c>
      <c r="Q4" s="91">
        <f t="shared" si="1"/>
        <v>300</v>
      </c>
      <c r="R4" s="91">
        <f t="shared" si="2"/>
        <v>0</v>
      </c>
      <c r="S4" s="91">
        <f t="shared" si="3"/>
        <v>299</v>
      </c>
      <c r="T4" s="91">
        <f t="shared" si="4"/>
        <v>1</v>
      </c>
      <c r="U4" s="89" t="s">
        <v>1220</v>
      </c>
      <c r="V4" s="89"/>
      <c r="W4" s="92" t="str">
        <f t="shared" ca="1" si="5"/>
        <v>ModelInfo.rg(UTID_TANK_TESTER,ATT_NON,49999,300,0,0,0,0,0,1,0,CAREER_TYPE_CREEP,"ReplaceableTextures\\CommandButtons\\BTNVengeanceIncarnate.blp");</v>
      </c>
    </row>
    <row r="5" spans="1:23">
      <c r="A5" s="89" t="s">
        <v>1219</v>
      </c>
      <c r="B5" s="89" t="s">
        <v>1127</v>
      </c>
      <c r="C5" s="89">
        <v>50000</v>
      </c>
      <c r="D5" s="89">
        <v>0</v>
      </c>
      <c r="E5" s="89">
        <v>0</v>
      </c>
      <c r="F5" s="89">
        <v>0</v>
      </c>
      <c r="G5" s="89">
        <v>300</v>
      </c>
      <c r="H5" s="89">
        <v>300</v>
      </c>
      <c r="I5" s="90">
        <v>0</v>
      </c>
      <c r="J5" s="90">
        <v>0</v>
      </c>
      <c r="K5" s="90">
        <v>0</v>
      </c>
      <c r="L5" s="90">
        <v>0</v>
      </c>
      <c r="M5" s="90">
        <v>1</v>
      </c>
      <c r="N5" s="90">
        <v>0</v>
      </c>
      <c r="O5" s="89" t="s">
        <v>1126</v>
      </c>
      <c r="P5" s="91">
        <f t="shared" si="0"/>
        <v>49999</v>
      </c>
      <c r="Q5" s="91">
        <f t="shared" si="1"/>
        <v>300</v>
      </c>
      <c r="R5" s="91">
        <f t="shared" si="2"/>
        <v>0</v>
      </c>
      <c r="S5" s="91">
        <f t="shared" si="3"/>
        <v>299</v>
      </c>
      <c r="T5" s="91">
        <f t="shared" si="4"/>
        <v>1</v>
      </c>
      <c r="U5" s="89" t="s">
        <v>1218</v>
      </c>
      <c r="V5" s="89"/>
      <c r="W5" s="92" t="str">
        <f t="shared" ca="1" si="5"/>
        <v>ModelInfo.rg(UTID_HEALER_TESTER,ATT_NON,49999,300,0,0,0,0,0,1,0,CAREER_TYPE_CREEP,"ReplaceableTextures\\CommandButtons\\BTNPandarenBrewmaster.blp");</v>
      </c>
    </row>
    <row r="6" spans="1:23">
      <c r="A6" s="93" t="s">
        <v>1217</v>
      </c>
      <c r="B6" s="93" t="s">
        <v>1149</v>
      </c>
      <c r="C6" s="93">
        <v>1300</v>
      </c>
      <c r="D6" s="93">
        <v>24</v>
      </c>
      <c r="E6" s="93">
        <v>11</v>
      </c>
      <c r="F6" s="93">
        <v>15</v>
      </c>
      <c r="G6" s="93">
        <v>26</v>
      </c>
      <c r="H6" s="93">
        <v>36</v>
      </c>
      <c r="I6" s="94">
        <v>39</v>
      </c>
      <c r="J6" s="94">
        <v>0.06</v>
      </c>
      <c r="K6" s="94">
        <v>0.19</v>
      </c>
      <c r="L6" s="94">
        <v>12</v>
      </c>
      <c r="M6" s="94">
        <v>0.75</v>
      </c>
      <c r="N6" s="94">
        <v>0.05</v>
      </c>
      <c r="O6" s="93" t="s">
        <v>1214</v>
      </c>
      <c r="P6" s="91">
        <f t="shared" ref="P6:P37" si="6">C6-1-D6*10</f>
        <v>1059</v>
      </c>
      <c r="Q6" s="91">
        <f t="shared" ref="Q6:Q37" si="7">G6-CHOOSE( IF( B6="ATT_AGI", 2, IF( B6="ATT_INT", 3, 1 ) ), D6, E6, F6 )</f>
        <v>2</v>
      </c>
      <c r="R6" s="91">
        <f t="shared" ref="R6:R37" si="8">H6-G6</f>
        <v>10</v>
      </c>
      <c r="S6" s="91">
        <f t="shared" si="3"/>
        <v>1</v>
      </c>
      <c r="T6" s="91">
        <f t="shared" si="4"/>
        <v>11</v>
      </c>
      <c r="U6" s="93" t="s">
        <v>1216</v>
      </c>
      <c r="V6" s="93"/>
      <c r="W6" s="92" t="str">
        <f t="shared" ca="1" si="5"/>
        <v>ModelInfo.rg(UTIDBLOODELFDEFENDER,ATT_STR,1059,2,10,39,0.06,0.19,12,0.75,0.05,CAREER_TYPE_TANK,"ReplaceableTextures\\CommandButtons\\BTNSpellBreaker.blp");</v>
      </c>
    </row>
    <row r="7" spans="1:23">
      <c r="A7" s="93" t="s">
        <v>1215</v>
      </c>
      <c r="B7" s="93" t="s">
        <v>1174</v>
      </c>
      <c r="C7" s="93">
        <v>1500</v>
      </c>
      <c r="D7" s="93">
        <v>22</v>
      </c>
      <c r="E7" s="93">
        <v>25</v>
      </c>
      <c r="F7" s="93">
        <v>7</v>
      </c>
      <c r="G7" s="93">
        <v>27</v>
      </c>
      <c r="H7" s="93">
        <v>37</v>
      </c>
      <c r="I7" s="94">
        <v>42</v>
      </c>
      <c r="J7" s="94">
        <v>0.15</v>
      </c>
      <c r="K7" s="94">
        <v>0</v>
      </c>
      <c r="L7" s="94">
        <v>0</v>
      </c>
      <c r="M7" s="94">
        <v>0.75</v>
      </c>
      <c r="N7" s="94">
        <v>0.05</v>
      </c>
      <c r="O7" s="93" t="s">
        <v>1214</v>
      </c>
      <c r="P7" s="91">
        <f t="shared" si="6"/>
        <v>1279</v>
      </c>
      <c r="Q7" s="91">
        <f t="shared" si="7"/>
        <v>2</v>
      </c>
      <c r="R7" s="91">
        <f t="shared" si="8"/>
        <v>10</v>
      </c>
      <c r="S7" s="91">
        <f t="shared" si="3"/>
        <v>1</v>
      </c>
      <c r="T7" s="91">
        <f t="shared" si="4"/>
        <v>11</v>
      </c>
      <c r="U7" s="93" t="s">
        <v>1213</v>
      </c>
      <c r="V7" s="93"/>
      <c r="W7" s="92" t="str">
        <f t="shared" ca="1" si="5"/>
        <v>ModelInfo.rg(UTIDCLAWDRUID,ATT_AGI,1279,2,10,42,0.15,0,0,0.75,0.05,CAREER_TYPE_TANK,"ReplaceableTextures\\CommandButtons\\BTNGrizzlyBear.blp");</v>
      </c>
    </row>
    <row r="8" spans="1:23">
      <c r="A8" s="93" t="s">
        <v>1212</v>
      </c>
      <c r="B8" s="93" t="s">
        <v>1152</v>
      </c>
      <c r="C8" s="93">
        <v>900</v>
      </c>
      <c r="D8" s="93">
        <v>17</v>
      </c>
      <c r="E8" s="93">
        <v>9</v>
      </c>
      <c r="F8" s="93">
        <v>68</v>
      </c>
      <c r="G8" s="93">
        <v>70</v>
      </c>
      <c r="H8" s="93">
        <v>76</v>
      </c>
      <c r="I8" s="94">
        <v>6</v>
      </c>
      <c r="J8" s="94">
        <v>0.05</v>
      </c>
      <c r="K8" s="94">
        <v>0</v>
      </c>
      <c r="L8" s="94">
        <v>0</v>
      </c>
      <c r="M8" s="94">
        <v>1</v>
      </c>
      <c r="N8" s="94">
        <v>0.05</v>
      </c>
      <c r="O8" s="93" t="s">
        <v>1207</v>
      </c>
      <c r="P8" s="91">
        <f t="shared" si="6"/>
        <v>729</v>
      </c>
      <c r="Q8" s="91">
        <f t="shared" si="7"/>
        <v>2</v>
      </c>
      <c r="R8" s="91">
        <f t="shared" si="8"/>
        <v>6</v>
      </c>
      <c r="S8" s="91">
        <f t="shared" si="3"/>
        <v>1</v>
      </c>
      <c r="T8" s="91">
        <f t="shared" si="4"/>
        <v>7</v>
      </c>
      <c r="U8" s="93" t="s">
        <v>1211</v>
      </c>
      <c r="V8" s="93"/>
      <c r="W8" s="92" t="str">
        <f t="shared" ca="1" si="5"/>
        <v>ModelInfo.rg(UTIDKEEPEROFGROVE,ATT_INT,729,2,6,6,0.05,0,0,1,0.05,CAREER_TYPE_HEALER,"ReplaceableTextures\\CommandButtons\\BTNFurion.blp");</v>
      </c>
    </row>
    <row r="9" spans="1:23">
      <c r="A9" s="93" t="s">
        <v>1210</v>
      </c>
      <c r="B9" s="93" t="s">
        <v>1152</v>
      </c>
      <c r="C9" s="93">
        <v>900</v>
      </c>
      <c r="D9" s="93">
        <v>22</v>
      </c>
      <c r="E9" s="93">
        <v>11</v>
      </c>
      <c r="F9" s="93">
        <v>62</v>
      </c>
      <c r="G9" s="93">
        <v>64</v>
      </c>
      <c r="H9" s="93">
        <v>74</v>
      </c>
      <c r="I9" s="94">
        <v>18</v>
      </c>
      <c r="J9" s="94">
        <v>0.15</v>
      </c>
      <c r="K9" s="94">
        <v>0.2</v>
      </c>
      <c r="L9" s="94">
        <v>20</v>
      </c>
      <c r="M9" s="94">
        <v>1</v>
      </c>
      <c r="N9" s="94">
        <v>0.05</v>
      </c>
      <c r="O9" s="93" t="s">
        <v>1207</v>
      </c>
      <c r="P9" s="91">
        <f t="shared" si="6"/>
        <v>679</v>
      </c>
      <c r="Q9" s="91">
        <f t="shared" si="7"/>
        <v>2</v>
      </c>
      <c r="R9" s="91">
        <f t="shared" si="8"/>
        <v>10</v>
      </c>
      <c r="S9" s="91">
        <f t="shared" si="3"/>
        <v>1</v>
      </c>
      <c r="T9" s="91">
        <f t="shared" si="4"/>
        <v>11</v>
      </c>
      <c r="U9" s="93" t="s">
        <v>1209</v>
      </c>
      <c r="V9" s="93"/>
      <c r="W9" s="92" t="str">
        <f t="shared" ca="1" si="5"/>
        <v>ModelInfo.rg(UTIDPALADIN,ATT_INT,679,2,10,18,0.15,0.2,20,1,0.05,CAREER_TYPE_HEALER,"ReplaceableTextures\\CommandButtons\\BTNArthas.blp");</v>
      </c>
    </row>
    <row r="10" spans="1:23">
      <c r="A10" s="93" t="s">
        <v>1208</v>
      </c>
      <c r="B10" s="93" t="s">
        <v>1152</v>
      </c>
      <c r="C10" s="93">
        <v>800</v>
      </c>
      <c r="D10" s="93">
        <v>15</v>
      </c>
      <c r="E10" s="93">
        <v>10</v>
      </c>
      <c r="F10" s="93">
        <v>65</v>
      </c>
      <c r="G10" s="93">
        <v>67</v>
      </c>
      <c r="H10" s="93">
        <v>73</v>
      </c>
      <c r="I10" s="94">
        <v>3</v>
      </c>
      <c r="J10" s="94">
        <v>0.05</v>
      </c>
      <c r="K10" s="94">
        <v>0</v>
      </c>
      <c r="L10" s="94">
        <v>0</v>
      </c>
      <c r="M10" s="94">
        <v>1</v>
      </c>
      <c r="N10" s="94">
        <v>0.05</v>
      </c>
      <c r="O10" s="93" t="s">
        <v>1207</v>
      </c>
      <c r="P10" s="91">
        <f t="shared" si="6"/>
        <v>649</v>
      </c>
      <c r="Q10" s="91">
        <f t="shared" si="7"/>
        <v>2</v>
      </c>
      <c r="R10" s="91">
        <f t="shared" si="8"/>
        <v>6</v>
      </c>
      <c r="S10" s="91">
        <f t="shared" si="3"/>
        <v>1</v>
      </c>
      <c r="T10" s="91">
        <f t="shared" si="4"/>
        <v>7</v>
      </c>
      <c r="U10" s="93" t="s">
        <v>1206</v>
      </c>
      <c r="V10" s="93"/>
      <c r="W10" s="92" t="str">
        <f t="shared" ca="1" si="5"/>
        <v>ModelInfo.rg(UTIDPRIEST,ATT_INT,649,2,6,3,0.05,0,0,1,0.05,CAREER_TYPE_HEALER,"ReplaceableTextures\\CommandButtons\\BTNPriest.blp");</v>
      </c>
    </row>
    <row r="11" spans="1:23">
      <c r="A11" s="93" t="s">
        <v>1205</v>
      </c>
      <c r="B11" s="93" t="s">
        <v>1149</v>
      </c>
      <c r="C11" s="93">
        <v>1000</v>
      </c>
      <c r="D11" s="93">
        <v>28</v>
      </c>
      <c r="E11" s="93">
        <v>24</v>
      </c>
      <c r="F11" s="93">
        <v>10</v>
      </c>
      <c r="G11" s="93">
        <v>72</v>
      </c>
      <c r="H11" s="93">
        <v>128</v>
      </c>
      <c r="I11" s="94">
        <v>10</v>
      </c>
      <c r="J11" s="94">
        <v>0.15</v>
      </c>
      <c r="K11" s="94">
        <v>0</v>
      </c>
      <c r="L11" s="94">
        <v>0</v>
      </c>
      <c r="M11" s="94">
        <v>1</v>
      </c>
      <c r="N11" s="94">
        <v>0.15</v>
      </c>
      <c r="O11" s="93" t="s">
        <v>1183</v>
      </c>
      <c r="P11" s="91">
        <f t="shared" si="6"/>
        <v>719</v>
      </c>
      <c r="Q11" s="91">
        <f t="shared" si="7"/>
        <v>44</v>
      </c>
      <c r="R11" s="91">
        <f t="shared" si="8"/>
        <v>56</v>
      </c>
      <c r="S11" s="91">
        <f t="shared" si="3"/>
        <v>43</v>
      </c>
      <c r="T11" s="91">
        <f t="shared" si="4"/>
        <v>57</v>
      </c>
      <c r="U11" s="93" t="s">
        <v>1204</v>
      </c>
      <c r="V11" s="93"/>
      <c r="W11" s="92" t="str">
        <f t="shared" ca="1" si="5"/>
        <v>ModelInfo.rg(UTIDBLADEMASTER,ATT_STR,719,44,56,10,0.15,0,0,1,0.15,CAREER_TYPE_DPS,"ReplaceableTextures\\CommandButtons\\BTNHeroBlademaster.blp");</v>
      </c>
    </row>
    <row r="12" spans="1:23">
      <c r="A12" s="93" t="s">
        <v>1203</v>
      </c>
      <c r="B12" s="93" t="s">
        <v>1174</v>
      </c>
      <c r="C12" s="93">
        <v>900</v>
      </c>
      <c r="D12" s="93">
        <v>18</v>
      </c>
      <c r="E12" s="93">
        <v>26</v>
      </c>
      <c r="F12" s="93">
        <v>20</v>
      </c>
      <c r="G12" s="93">
        <v>87</v>
      </c>
      <c r="H12" s="93">
        <v>103</v>
      </c>
      <c r="I12" s="94">
        <v>7</v>
      </c>
      <c r="J12" s="94">
        <v>0.1</v>
      </c>
      <c r="K12" s="94">
        <v>0</v>
      </c>
      <c r="L12" s="94">
        <v>0</v>
      </c>
      <c r="M12" s="94">
        <v>1</v>
      </c>
      <c r="N12" s="94">
        <v>0.1</v>
      </c>
      <c r="O12" s="93" t="s">
        <v>1183</v>
      </c>
      <c r="P12" s="91">
        <f t="shared" si="6"/>
        <v>719</v>
      </c>
      <c r="Q12" s="91">
        <f t="shared" si="7"/>
        <v>61</v>
      </c>
      <c r="R12" s="91">
        <f t="shared" si="8"/>
        <v>16</v>
      </c>
      <c r="S12" s="91">
        <f t="shared" si="3"/>
        <v>60</v>
      </c>
      <c r="T12" s="91">
        <f t="shared" si="4"/>
        <v>17</v>
      </c>
      <c r="U12" s="93" t="s">
        <v>1202</v>
      </c>
      <c r="V12" s="93"/>
      <c r="W12" s="92" t="str">
        <f t="shared" ca="1" si="5"/>
        <v>ModelInfo.rg(UTIDDARKRANGER,ATT_AGI,719,61,16,7,0.1,0,0,1,0.1,CAREER_TYPE_DPS,"ReplaceableTextures\\CommandButtons\\BTNBansheeRanger.blp");</v>
      </c>
    </row>
    <row r="13" spans="1:23" s="97" customFormat="1">
      <c r="A13" s="95" t="s">
        <v>1201</v>
      </c>
      <c r="B13" s="95" t="s">
        <v>1127</v>
      </c>
      <c r="C13" s="95">
        <v>600</v>
      </c>
      <c r="D13" s="95">
        <v>0</v>
      </c>
      <c r="E13" s="95">
        <v>0</v>
      </c>
      <c r="F13" s="95">
        <v>0</v>
      </c>
      <c r="G13" s="95">
        <v>12</v>
      </c>
      <c r="H13" s="95">
        <v>14</v>
      </c>
      <c r="I13" s="96">
        <v>10</v>
      </c>
      <c r="J13" s="96">
        <v>0.25</v>
      </c>
      <c r="K13" s="96">
        <v>0</v>
      </c>
      <c r="L13" s="96">
        <v>0</v>
      </c>
      <c r="M13" s="96">
        <v>0.75</v>
      </c>
      <c r="N13" s="96">
        <v>0.35</v>
      </c>
      <c r="O13" s="95" t="s">
        <v>1188</v>
      </c>
      <c r="P13" s="91">
        <f t="shared" si="6"/>
        <v>599</v>
      </c>
      <c r="Q13" s="91">
        <f t="shared" si="7"/>
        <v>12</v>
      </c>
      <c r="R13" s="91">
        <f t="shared" si="8"/>
        <v>2</v>
      </c>
      <c r="S13" s="91">
        <f t="shared" si="3"/>
        <v>11</v>
      </c>
      <c r="T13" s="91">
        <f t="shared" si="4"/>
        <v>3</v>
      </c>
      <c r="U13" s="95" t="s">
        <v>1200</v>
      </c>
      <c r="V13" s="95"/>
      <c r="W13" s="92" t="str">
        <f t="shared" ca="1" si="5"/>
        <v>ModelInfo.rg(UTIDGHOUL,ATT_NON,599,12,2,10,0.25,0,0,0.75,0.35,CAREER_TYPE_MINION,"ReplaceableTextures\\CommandButtons\\BTNGhoul.blp");</v>
      </c>
    </row>
    <row r="14" spans="1:23">
      <c r="A14" s="93" t="s">
        <v>1199</v>
      </c>
      <c r="B14" s="93" t="s">
        <v>1152</v>
      </c>
      <c r="C14" s="93">
        <v>800</v>
      </c>
      <c r="D14" s="93">
        <v>15</v>
      </c>
      <c r="E14" s="93">
        <v>10</v>
      </c>
      <c r="F14" s="93">
        <v>38</v>
      </c>
      <c r="G14" s="93">
        <v>40</v>
      </c>
      <c r="H14" s="93">
        <v>46</v>
      </c>
      <c r="I14" s="94">
        <v>3</v>
      </c>
      <c r="J14" s="94">
        <v>0.05</v>
      </c>
      <c r="K14" s="94">
        <v>0</v>
      </c>
      <c r="L14" s="94">
        <v>0</v>
      </c>
      <c r="M14" s="94">
        <v>1</v>
      </c>
      <c r="N14" s="94">
        <v>0.05</v>
      </c>
      <c r="O14" s="93" t="s">
        <v>1183</v>
      </c>
      <c r="P14" s="91">
        <f t="shared" si="6"/>
        <v>649</v>
      </c>
      <c r="Q14" s="91">
        <f t="shared" si="7"/>
        <v>2</v>
      </c>
      <c r="R14" s="91">
        <f t="shared" si="8"/>
        <v>6</v>
      </c>
      <c r="S14" s="91">
        <f t="shared" si="3"/>
        <v>1</v>
      </c>
      <c r="T14" s="91">
        <f t="shared" si="4"/>
        <v>7</v>
      </c>
      <c r="U14" s="93" t="s">
        <v>1198</v>
      </c>
      <c r="V14" s="93"/>
      <c r="W14" s="92" t="str">
        <f t="shared" ca="1" si="5"/>
        <v>ModelInfo.rg(UTIDFROSTMAGE,ATT_INT,649,2,6,3,0.05,0,0,1,0.05,CAREER_TYPE_DPS,"ReplaceableTextures\\CommandButtons\\BTNJaina.blp");</v>
      </c>
    </row>
    <row r="15" spans="1:23">
      <c r="A15" s="93" t="s">
        <v>1197</v>
      </c>
      <c r="B15" s="93" t="s">
        <v>1149</v>
      </c>
      <c r="C15" s="93">
        <v>900</v>
      </c>
      <c r="D15" s="93">
        <v>22</v>
      </c>
      <c r="E15" s="93">
        <v>13</v>
      </c>
      <c r="F15" s="93">
        <v>23</v>
      </c>
      <c r="G15" s="93">
        <v>84</v>
      </c>
      <c r="H15" s="93">
        <v>88</v>
      </c>
      <c r="I15" s="94">
        <v>13</v>
      </c>
      <c r="J15" s="94">
        <v>0.15</v>
      </c>
      <c r="K15" s="94">
        <v>0</v>
      </c>
      <c r="L15" s="94">
        <v>0</v>
      </c>
      <c r="M15" s="94">
        <v>1</v>
      </c>
      <c r="N15" s="94">
        <v>0.12</v>
      </c>
      <c r="O15" s="93" t="s">
        <v>1183</v>
      </c>
      <c r="P15" s="91">
        <f t="shared" si="6"/>
        <v>679</v>
      </c>
      <c r="Q15" s="91">
        <f t="shared" si="7"/>
        <v>62</v>
      </c>
      <c r="R15" s="91">
        <f t="shared" si="8"/>
        <v>4</v>
      </c>
      <c r="S15" s="91">
        <f t="shared" si="3"/>
        <v>61</v>
      </c>
      <c r="T15" s="91">
        <f t="shared" si="4"/>
        <v>5</v>
      </c>
      <c r="U15" s="93" t="s">
        <v>1196</v>
      </c>
      <c r="V15" s="93"/>
      <c r="W15" s="92" t="str">
        <f t="shared" ca="1" si="5"/>
        <v>ModelInfo.rg(UTIDEARTHBINDER,ATT_STR,679,62,4,13,0.15,0,0,1,0.12,CAREER_TYPE_DPS,"ReplaceableTextures\\CommandButtons\\BTNSpiritWalker.blp");</v>
      </c>
    </row>
    <row r="16" spans="1:23" s="97" customFormat="1">
      <c r="A16" s="95" t="s">
        <v>1195</v>
      </c>
      <c r="B16" s="95" t="s">
        <v>1149</v>
      </c>
      <c r="C16" s="95">
        <v>900</v>
      </c>
      <c r="D16" s="95">
        <v>22</v>
      </c>
      <c r="E16" s="95">
        <v>13</v>
      </c>
      <c r="F16" s="95">
        <v>23</v>
      </c>
      <c r="G16" s="95">
        <v>84</v>
      </c>
      <c r="H16" s="95">
        <v>88</v>
      </c>
      <c r="I16" s="96">
        <v>13</v>
      </c>
      <c r="J16" s="96">
        <v>0.15</v>
      </c>
      <c r="K16" s="96">
        <v>0</v>
      </c>
      <c r="L16" s="96">
        <v>0</v>
      </c>
      <c r="M16" s="96">
        <v>1</v>
      </c>
      <c r="N16" s="96">
        <v>0.12</v>
      </c>
      <c r="O16" s="95" t="s">
        <v>1183</v>
      </c>
      <c r="P16" s="91">
        <f t="shared" si="6"/>
        <v>679</v>
      </c>
      <c r="Q16" s="91">
        <f t="shared" si="7"/>
        <v>62</v>
      </c>
      <c r="R16" s="91">
        <f t="shared" si="8"/>
        <v>4</v>
      </c>
      <c r="S16" s="91">
        <f t="shared" si="3"/>
        <v>61</v>
      </c>
      <c r="T16" s="91">
        <f t="shared" si="4"/>
        <v>5</v>
      </c>
      <c r="U16" s="95" t="s">
        <v>1194</v>
      </c>
      <c r="V16" s="95"/>
      <c r="W16" s="92" t="str">
        <f t="shared" ca="1" si="5"/>
        <v>ModelInfo.rg(UTID_EARTH_BINDER_ASC,ATT_STR,679,62,4,13,0.15,0,0,1,0.12,CAREER_TYPE_DPS,"ReplaceableTextures\\CommandButtons\\BTNRevenant.blp");</v>
      </c>
    </row>
    <row r="17" spans="1:23" s="97" customFormat="1">
      <c r="A17" s="95" t="s">
        <v>1193</v>
      </c>
      <c r="B17" s="95" t="s">
        <v>1127</v>
      </c>
      <c r="C17" s="95">
        <v>100</v>
      </c>
      <c r="D17" s="95">
        <v>0</v>
      </c>
      <c r="E17" s="95">
        <v>0</v>
      </c>
      <c r="F17" s="95">
        <v>0</v>
      </c>
      <c r="G17" s="95">
        <v>1</v>
      </c>
      <c r="H17" s="95">
        <v>1</v>
      </c>
      <c r="I17" s="96">
        <v>0</v>
      </c>
      <c r="J17" s="96">
        <v>0</v>
      </c>
      <c r="K17" s="96">
        <v>0</v>
      </c>
      <c r="L17" s="96">
        <v>0</v>
      </c>
      <c r="M17" s="96">
        <v>1</v>
      </c>
      <c r="N17" s="96">
        <v>0</v>
      </c>
      <c r="O17" s="95" t="s">
        <v>1188</v>
      </c>
      <c r="P17" s="91">
        <f t="shared" si="6"/>
        <v>99</v>
      </c>
      <c r="Q17" s="91">
        <f t="shared" si="7"/>
        <v>1</v>
      </c>
      <c r="R17" s="91">
        <f t="shared" si="8"/>
        <v>0</v>
      </c>
      <c r="S17" s="91">
        <f t="shared" si="3"/>
        <v>0</v>
      </c>
      <c r="T17" s="91">
        <f t="shared" si="4"/>
        <v>1</v>
      </c>
      <c r="U17" s="95" t="s">
        <v>1192</v>
      </c>
      <c r="V17" s="95"/>
      <c r="W17" s="92" t="str">
        <f t="shared" ca="1" si="5"/>
        <v>ModelInfo.rg(UTIDLIGHTNINGTOTEM,ATT_NON,99,1,0,0,0,0,0,1,0,CAREER_TYPE_MINION,"ReplaceableTextures\\CommandButtons\\BTNStasisTrap.blp");</v>
      </c>
    </row>
    <row r="18" spans="1:23" s="97" customFormat="1">
      <c r="A18" s="95" t="s">
        <v>1191</v>
      </c>
      <c r="B18" s="95" t="s">
        <v>1127</v>
      </c>
      <c r="C18" s="95">
        <v>100</v>
      </c>
      <c r="D18" s="95">
        <v>0</v>
      </c>
      <c r="E18" s="95">
        <v>0</v>
      </c>
      <c r="F18" s="95">
        <v>0</v>
      </c>
      <c r="G18" s="95">
        <v>1</v>
      </c>
      <c r="H18" s="95">
        <v>1</v>
      </c>
      <c r="I18" s="96">
        <v>0</v>
      </c>
      <c r="J18" s="96">
        <v>0</v>
      </c>
      <c r="K18" s="96">
        <v>0</v>
      </c>
      <c r="L18" s="96">
        <v>0</v>
      </c>
      <c r="M18" s="96">
        <v>1</v>
      </c>
      <c r="N18" s="96">
        <v>0</v>
      </c>
      <c r="O18" s="95" t="s">
        <v>1188</v>
      </c>
      <c r="P18" s="91">
        <f t="shared" si="6"/>
        <v>99</v>
      </c>
      <c r="Q18" s="91">
        <f t="shared" si="7"/>
        <v>1</v>
      </c>
      <c r="R18" s="91">
        <f t="shared" si="8"/>
        <v>0</v>
      </c>
      <c r="S18" s="91">
        <f t="shared" si="3"/>
        <v>0</v>
      </c>
      <c r="T18" s="91">
        <f t="shared" si="4"/>
        <v>1</v>
      </c>
      <c r="U18" s="95" t="s">
        <v>1190</v>
      </c>
      <c r="V18" s="95"/>
      <c r="W18" s="92" t="str">
        <f t="shared" ca="1" si="5"/>
        <v>ModelInfo.rg(UTID_EARTH_BIND_TOTEM,ATT_NON,99,1,0,0,0,0,0,1,0,CAREER_TYPE_MINION,"ReplaceableTextures\\CommandButtons\\BTNDryadDispelMagic.blp");</v>
      </c>
    </row>
    <row r="19" spans="1:23" s="97" customFormat="1">
      <c r="A19" s="95" t="s">
        <v>1189</v>
      </c>
      <c r="B19" s="95" t="s">
        <v>1127</v>
      </c>
      <c r="C19" s="95">
        <v>100</v>
      </c>
      <c r="D19" s="95">
        <v>0</v>
      </c>
      <c r="E19" s="95">
        <v>0</v>
      </c>
      <c r="F19" s="95">
        <v>0</v>
      </c>
      <c r="G19" s="95">
        <v>1</v>
      </c>
      <c r="H19" s="95">
        <v>1</v>
      </c>
      <c r="I19" s="96">
        <v>0</v>
      </c>
      <c r="J19" s="96">
        <v>0</v>
      </c>
      <c r="K19" s="96">
        <v>0</v>
      </c>
      <c r="L19" s="96">
        <v>0</v>
      </c>
      <c r="M19" s="96">
        <v>1</v>
      </c>
      <c r="N19" s="96">
        <v>0</v>
      </c>
      <c r="O19" s="95" t="s">
        <v>1188</v>
      </c>
      <c r="P19" s="91">
        <f t="shared" si="6"/>
        <v>99</v>
      </c>
      <c r="Q19" s="91">
        <f t="shared" si="7"/>
        <v>1</v>
      </c>
      <c r="R19" s="91">
        <f t="shared" si="8"/>
        <v>0</v>
      </c>
      <c r="S19" s="91">
        <f t="shared" si="3"/>
        <v>0</v>
      </c>
      <c r="T19" s="91">
        <f t="shared" si="4"/>
        <v>1</v>
      </c>
      <c r="U19" s="95" t="s">
        <v>1187</v>
      </c>
      <c r="V19" s="95"/>
      <c r="W19" s="92" t="str">
        <f t="shared" ca="1" si="5"/>
        <v>ModelInfo.rg(UTID_TORRENT_TOTEM,ATT_NON,99,1,0,0,0,0,0,1,0,CAREER_TYPE_MINION,"ReplaceableTextures\\CommandButtons\\BTNStaffOfNegation.blp");</v>
      </c>
    </row>
    <row r="20" spans="1:23">
      <c r="A20" s="93" t="s">
        <v>1186</v>
      </c>
      <c r="B20" s="93" t="s">
        <v>1174</v>
      </c>
      <c r="C20" s="93">
        <v>1000</v>
      </c>
      <c r="D20" s="93">
        <v>19</v>
      </c>
      <c r="E20" s="93">
        <v>27</v>
      </c>
      <c r="F20" s="93">
        <v>20</v>
      </c>
      <c r="G20" s="93">
        <v>78</v>
      </c>
      <c r="H20" s="93">
        <v>110</v>
      </c>
      <c r="I20" s="94">
        <v>7</v>
      </c>
      <c r="J20" s="94">
        <v>0.1</v>
      </c>
      <c r="K20" s="94">
        <v>0</v>
      </c>
      <c r="L20" s="94">
        <v>0</v>
      </c>
      <c r="M20" s="94">
        <v>1</v>
      </c>
      <c r="N20" s="94">
        <v>0.2</v>
      </c>
      <c r="O20" s="93" t="s">
        <v>1183</v>
      </c>
      <c r="P20" s="91">
        <f t="shared" si="6"/>
        <v>809</v>
      </c>
      <c r="Q20" s="91">
        <f t="shared" si="7"/>
        <v>51</v>
      </c>
      <c r="R20" s="91">
        <f t="shared" si="8"/>
        <v>32</v>
      </c>
      <c r="S20" s="91">
        <f t="shared" si="3"/>
        <v>50</v>
      </c>
      <c r="T20" s="91">
        <f t="shared" si="4"/>
        <v>33</v>
      </c>
      <c r="U20" s="93" t="s">
        <v>1185</v>
      </c>
      <c r="V20" s="93"/>
      <c r="W20" s="92" t="str">
        <f t="shared" ca="1" si="5"/>
        <v>ModelInfo.rg(UTIDROGUE,ATT_AGI,809,51,32,7,0.1,0,0,1,0.2,CAREER_TYPE_DPS,"ReplaceableTextures\\CommandButtons\\BTNHeroDemonHunter.blp");</v>
      </c>
    </row>
    <row r="21" spans="1:23">
      <c r="A21" s="93" t="s">
        <v>1184</v>
      </c>
      <c r="B21" s="93" t="s">
        <v>1152</v>
      </c>
      <c r="C21" s="93">
        <v>800</v>
      </c>
      <c r="D21" s="93">
        <v>18</v>
      </c>
      <c r="E21" s="93">
        <v>9</v>
      </c>
      <c r="F21" s="93">
        <v>35</v>
      </c>
      <c r="G21" s="93">
        <v>37</v>
      </c>
      <c r="H21" s="93">
        <v>43</v>
      </c>
      <c r="I21" s="94">
        <v>3</v>
      </c>
      <c r="J21" s="94">
        <v>0.05</v>
      </c>
      <c r="K21" s="94">
        <v>0</v>
      </c>
      <c r="L21" s="94">
        <v>0</v>
      </c>
      <c r="M21" s="94">
        <v>1</v>
      </c>
      <c r="N21" s="94">
        <v>0.05</v>
      </c>
      <c r="O21" s="93" t="s">
        <v>1183</v>
      </c>
      <c r="P21" s="91">
        <f t="shared" si="6"/>
        <v>619</v>
      </c>
      <c r="Q21" s="91">
        <f t="shared" si="7"/>
        <v>2</v>
      </c>
      <c r="R21" s="91">
        <f t="shared" si="8"/>
        <v>6</v>
      </c>
      <c r="S21" s="91">
        <f t="shared" si="3"/>
        <v>1</v>
      </c>
      <c r="T21" s="91">
        <f t="shared" si="4"/>
        <v>7</v>
      </c>
      <c r="U21" s="93" t="s">
        <v>1182</v>
      </c>
      <c r="V21" s="93"/>
      <c r="W21" s="92" t="str">
        <f t="shared" ca="1" si="5"/>
        <v>ModelInfo.rg(UTIDHEATHEN,ATT_INT,619,2,6,3,0.05,0,0,1,0.05,CAREER_TYPE_DPS,"ReplaceableTextures\\CommandButtons\\BTNKelThuzad.blp");</v>
      </c>
    </row>
    <row r="22" spans="1:23">
      <c r="A22" s="98" t="s">
        <v>1181</v>
      </c>
      <c r="B22" s="98" t="s">
        <v>1152</v>
      </c>
      <c r="C22" s="98">
        <v>75000</v>
      </c>
      <c r="D22" s="98">
        <v>20</v>
      </c>
      <c r="E22" s="98">
        <v>20</v>
      </c>
      <c r="F22" s="98">
        <v>20</v>
      </c>
      <c r="G22" s="98">
        <v>275</v>
      </c>
      <c r="H22" s="98">
        <v>350</v>
      </c>
      <c r="I22" s="99">
        <v>5</v>
      </c>
      <c r="J22" s="99">
        <v>0.05</v>
      </c>
      <c r="K22" s="99">
        <v>0</v>
      </c>
      <c r="L22" s="99">
        <v>0</v>
      </c>
      <c r="M22" s="99">
        <v>1</v>
      </c>
      <c r="N22" s="99">
        <v>0.03</v>
      </c>
      <c r="O22" s="98" t="s">
        <v>1148</v>
      </c>
      <c r="P22" s="91">
        <f t="shared" si="6"/>
        <v>74799</v>
      </c>
      <c r="Q22" s="91">
        <f t="shared" si="7"/>
        <v>255</v>
      </c>
      <c r="R22" s="91">
        <f t="shared" si="8"/>
        <v>75</v>
      </c>
      <c r="S22" s="91">
        <f t="shared" si="3"/>
        <v>254</v>
      </c>
      <c r="T22" s="91">
        <f t="shared" si="4"/>
        <v>76</v>
      </c>
      <c r="U22" s="98" t="s">
        <v>1179</v>
      </c>
      <c r="V22" s="98" t="s">
        <v>1162</v>
      </c>
      <c r="W22" s="92" t="str">
        <f t="shared" ca="1" si="5"/>
        <v>ModelInfo.rg(UTID_ARCH_TINKER,ATT_INT,74799,255,75,5,0.05,0,0,1,0.03,CAREER_TYPE_BOSS,"ReplaceableTextures\\CommandButtons\\BTNHeroTinker.blp").setScale(1.7);</v>
      </c>
    </row>
    <row r="23" spans="1:23">
      <c r="A23" s="98" t="s">
        <v>1180</v>
      </c>
      <c r="B23" s="98" t="s">
        <v>1152</v>
      </c>
      <c r="C23" s="98">
        <v>75000</v>
      </c>
      <c r="D23" s="98">
        <v>20</v>
      </c>
      <c r="E23" s="98">
        <v>20</v>
      </c>
      <c r="F23" s="98">
        <v>20</v>
      </c>
      <c r="G23" s="98">
        <v>275</v>
      </c>
      <c r="H23" s="98">
        <v>350</v>
      </c>
      <c r="I23" s="99">
        <v>5</v>
      </c>
      <c r="J23" s="99">
        <v>0.05</v>
      </c>
      <c r="K23" s="99">
        <v>0</v>
      </c>
      <c r="L23" s="99">
        <v>0</v>
      </c>
      <c r="M23" s="99">
        <v>1</v>
      </c>
      <c r="N23" s="99">
        <v>0.03</v>
      </c>
      <c r="O23" s="98" t="s">
        <v>1148</v>
      </c>
      <c r="P23" s="91">
        <f t="shared" si="6"/>
        <v>74799</v>
      </c>
      <c r="Q23" s="91">
        <f t="shared" si="7"/>
        <v>255</v>
      </c>
      <c r="R23" s="91">
        <f t="shared" si="8"/>
        <v>75</v>
      </c>
      <c r="S23" s="91">
        <f t="shared" si="3"/>
        <v>254</v>
      </c>
      <c r="T23" s="91">
        <f t="shared" si="4"/>
        <v>76</v>
      </c>
      <c r="U23" s="98" t="s">
        <v>1179</v>
      </c>
      <c r="V23" s="98" t="s">
        <v>1162</v>
      </c>
      <c r="W23" s="92" t="str">
        <f t="shared" ca="1" si="5"/>
        <v>ModelInfo.rg(UTID_ARCH_TINKER_MORPH,ATT_INT,74799,255,75,5,0.05,0,0,1,0.03,CAREER_TYPE_BOSS,"ReplaceableTextures\\CommandButtons\\BTNHeroTinker.blp").setScale(1.7);</v>
      </c>
    </row>
    <row r="24" spans="1:23">
      <c r="A24" s="98" t="s">
        <v>1178</v>
      </c>
      <c r="B24" s="98" t="s">
        <v>1127</v>
      </c>
      <c r="C24" s="98">
        <v>2000</v>
      </c>
      <c r="D24" s="98">
        <v>0</v>
      </c>
      <c r="E24" s="98">
        <v>0</v>
      </c>
      <c r="F24" s="98">
        <v>0</v>
      </c>
      <c r="G24" s="98">
        <v>1</v>
      </c>
      <c r="H24" s="98">
        <v>1</v>
      </c>
      <c r="I24" s="99">
        <v>0</v>
      </c>
      <c r="J24" s="99">
        <v>0</v>
      </c>
      <c r="K24" s="99">
        <v>0</v>
      </c>
      <c r="L24" s="99">
        <v>0</v>
      </c>
      <c r="M24" s="99">
        <v>1</v>
      </c>
      <c r="N24" s="99">
        <v>0</v>
      </c>
      <c r="O24" s="98" t="s">
        <v>1126</v>
      </c>
      <c r="P24" s="91">
        <f t="shared" si="6"/>
        <v>1999</v>
      </c>
      <c r="Q24" s="91">
        <f t="shared" si="7"/>
        <v>1</v>
      </c>
      <c r="R24" s="91">
        <f t="shared" si="8"/>
        <v>0</v>
      </c>
      <c r="S24" s="91">
        <f t="shared" si="3"/>
        <v>0</v>
      </c>
      <c r="T24" s="91">
        <f t="shared" si="4"/>
        <v>1</v>
      </c>
      <c r="U24" s="98" t="s">
        <v>1177</v>
      </c>
      <c r="V24" s="98"/>
      <c r="W24" s="92" t="str">
        <f t="shared" ca="1" si="5"/>
        <v>ModelInfo.rg(UTID_POCKET_FACTORY,ATT_NON,1999,1,0,0,0,0,0,1,0,CAREER_TYPE_CREEP,"ReplaceableTextures\\CommandButtons\\BTNPocketFactory.blp");</v>
      </c>
    </row>
    <row r="25" spans="1:23">
      <c r="A25" s="98" t="s">
        <v>1176</v>
      </c>
      <c r="B25" s="98" t="s">
        <v>1127</v>
      </c>
      <c r="C25" s="98">
        <v>10000</v>
      </c>
      <c r="D25" s="98">
        <v>0</v>
      </c>
      <c r="E25" s="98">
        <v>0</v>
      </c>
      <c r="F25" s="98">
        <v>0</v>
      </c>
      <c r="G25" s="98">
        <v>10</v>
      </c>
      <c r="H25" s="98">
        <v>50</v>
      </c>
      <c r="I25" s="99">
        <v>0</v>
      </c>
      <c r="J25" s="99">
        <v>0</v>
      </c>
      <c r="K25" s="99">
        <v>0</v>
      </c>
      <c r="L25" s="99">
        <v>0</v>
      </c>
      <c r="M25" s="99">
        <v>1</v>
      </c>
      <c r="N25" s="99">
        <v>0.1</v>
      </c>
      <c r="O25" s="98" t="s">
        <v>1126</v>
      </c>
      <c r="P25" s="91">
        <f t="shared" si="6"/>
        <v>9999</v>
      </c>
      <c r="Q25" s="91">
        <f t="shared" si="7"/>
        <v>10</v>
      </c>
      <c r="R25" s="91">
        <f t="shared" si="8"/>
        <v>40</v>
      </c>
      <c r="S25" s="91">
        <f t="shared" si="3"/>
        <v>9</v>
      </c>
      <c r="T25" s="91">
        <f t="shared" si="4"/>
        <v>41</v>
      </c>
      <c r="U25" s="98" t="s">
        <v>1175</v>
      </c>
      <c r="V25" s="98"/>
      <c r="W25" s="92" t="str">
        <f t="shared" ca="1" si="5"/>
        <v>ModelInfo.rg(UTID_CLOCKWORK_GOBLIN,ATT_NON,9999,10,40,0,0,0,0,1,0.1,CAREER_TYPE_CREEP,"ReplaceableTextures\\CommandButtons\\BTNClockWerkGoblin.blp");</v>
      </c>
    </row>
    <row r="26" spans="1:23">
      <c r="A26" s="100" t="s">
        <v>1862</v>
      </c>
      <c r="B26" s="100" t="s">
        <v>1174</v>
      </c>
      <c r="C26" s="100">
        <v>155000</v>
      </c>
      <c r="D26" s="100">
        <v>10</v>
      </c>
      <c r="E26" s="100">
        <v>10</v>
      </c>
      <c r="F26" s="100">
        <v>10</v>
      </c>
      <c r="G26" s="100">
        <v>500</v>
      </c>
      <c r="H26" s="100">
        <v>800</v>
      </c>
      <c r="I26" s="101">
        <v>5</v>
      </c>
      <c r="J26" s="101">
        <v>0.05</v>
      </c>
      <c r="K26" s="101">
        <v>0</v>
      </c>
      <c r="L26" s="101">
        <v>0</v>
      </c>
      <c r="M26" s="101">
        <v>1</v>
      </c>
      <c r="N26" s="101">
        <v>0.03</v>
      </c>
      <c r="O26" s="100" t="s">
        <v>1148</v>
      </c>
      <c r="P26" s="91">
        <f t="shared" si="6"/>
        <v>154899</v>
      </c>
      <c r="Q26" s="91">
        <f t="shared" si="7"/>
        <v>490</v>
      </c>
      <c r="R26" s="91">
        <f t="shared" si="8"/>
        <v>300</v>
      </c>
      <c r="S26" s="91">
        <f t="shared" si="3"/>
        <v>489</v>
      </c>
      <c r="T26" s="91">
        <f t="shared" si="4"/>
        <v>301</v>
      </c>
      <c r="U26" s="100" t="s">
        <v>1173</v>
      </c>
      <c r="V26" s="100" t="s">
        <v>1162</v>
      </c>
      <c r="W26" s="92" t="str">
        <f t="shared" ca="1" si="5"/>
        <v>ModelInfo.rg(UTID_NAGA_SEA_WITCH,ATT_AGI,154899,490,300,5,0.05,0,0,1,0.03,CAREER_TYPE_BOSS,"ReplaceableTextures\\CommandButtons\\BTNNagaSeaWitch.blp").setScale(1.7);</v>
      </c>
    </row>
    <row r="27" spans="1:23">
      <c r="A27" s="100" t="s">
        <v>1172</v>
      </c>
      <c r="B27" s="100" t="s">
        <v>1127</v>
      </c>
      <c r="C27" s="100">
        <v>1500</v>
      </c>
      <c r="D27" s="100">
        <v>0</v>
      </c>
      <c r="E27" s="100">
        <v>0</v>
      </c>
      <c r="F27" s="100">
        <v>0</v>
      </c>
      <c r="G27" s="100">
        <v>21</v>
      </c>
      <c r="H27" s="100">
        <v>80</v>
      </c>
      <c r="I27" s="101">
        <v>5</v>
      </c>
      <c r="J27" s="101">
        <v>0.05</v>
      </c>
      <c r="K27" s="101">
        <v>0</v>
      </c>
      <c r="L27" s="101">
        <v>0</v>
      </c>
      <c r="M27" s="101">
        <v>1</v>
      </c>
      <c r="N27" s="101">
        <v>0.1</v>
      </c>
      <c r="O27" s="100" t="s">
        <v>1126</v>
      </c>
      <c r="P27" s="91">
        <f t="shared" si="6"/>
        <v>1499</v>
      </c>
      <c r="Q27" s="91">
        <f t="shared" si="7"/>
        <v>21</v>
      </c>
      <c r="R27" s="91">
        <f t="shared" si="8"/>
        <v>59</v>
      </c>
      <c r="S27" s="91">
        <f t="shared" si="3"/>
        <v>20</v>
      </c>
      <c r="T27" s="91">
        <f t="shared" si="4"/>
        <v>60</v>
      </c>
      <c r="U27" s="100" t="s">
        <v>1129</v>
      </c>
      <c r="V27" s="100"/>
      <c r="W27" s="92" t="str">
        <f t="shared" ca="1" si="5"/>
        <v>ModelInfo.rg(UTID_FLYING_SERPENT,ATT_NON,1499,21,59,5,0.05,0,0,1,0.1,CAREER_TYPE_CREEP,"ReplaceableTextures\\CommandButtons\\BTNWindSerpent.blp");</v>
      </c>
    </row>
    <row r="28" spans="1:23">
      <c r="A28" s="98" t="s">
        <v>1171</v>
      </c>
      <c r="B28" s="98" t="s">
        <v>1149</v>
      </c>
      <c r="C28" s="98">
        <v>210000</v>
      </c>
      <c r="D28" s="98">
        <v>40</v>
      </c>
      <c r="E28" s="98">
        <v>10</v>
      </c>
      <c r="F28" s="98">
        <v>10</v>
      </c>
      <c r="G28" s="98">
        <v>700</v>
      </c>
      <c r="H28" s="98">
        <v>1100</v>
      </c>
      <c r="I28" s="99">
        <v>5</v>
      </c>
      <c r="J28" s="99">
        <v>0.05</v>
      </c>
      <c r="K28" s="99">
        <v>0</v>
      </c>
      <c r="L28" s="99">
        <v>0</v>
      </c>
      <c r="M28" s="99">
        <v>1</v>
      </c>
      <c r="N28" s="99">
        <v>0.03</v>
      </c>
      <c r="O28" s="98" t="s">
        <v>1148</v>
      </c>
      <c r="P28" s="91">
        <f t="shared" si="6"/>
        <v>209599</v>
      </c>
      <c r="Q28" s="91">
        <f t="shared" si="7"/>
        <v>660</v>
      </c>
      <c r="R28" s="91">
        <f t="shared" si="8"/>
        <v>400</v>
      </c>
      <c r="S28" s="91">
        <f t="shared" si="3"/>
        <v>659</v>
      </c>
      <c r="T28" s="91">
        <f t="shared" si="4"/>
        <v>401</v>
      </c>
      <c r="U28" s="98" t="s">
        <v>1135</v>
      </c>
      <c r="V28" s="98"/>
      <c r="W28" s="92" t="str">
        <f t="shared" ca="1" si="5"/>
        <v>ModelInfo.rg(UTIDTIDEBARON,ATT_STR,209599,660,400,5,0.05,0,0,1,0.03,CAREER_TYPE_BOSS,"ReplaceableTextures\\CommandButtons\\BTNNagaMyrmidonRoyalGuard.blp");</v>
      </c>
    </row>
    <row r="29" spans="1:23">
      <c r="A29" s="98" t="s">
        <v>1170</v>
      </c>
      <c r="B29" s="98" t="s">
        <v>1149</v>
      </c>
      <c r="C29" s="98">
        <v>210000</v>
      </c>
      <c r="D29" s="98">
        <v>40</v>
      </c>
      <c r="E29" s="98">
        <v>10</v>
      </c>
      <c r="F29" s="98">
        <v>10</v>
      </c>
      <c r="G29" s="98">
        <v>350</v>
      </c>
      <c r="H29" s="98">
        <v>500</v>
      </c>
      <c r="I29" s="99">
        <v>40</v>
      </c>
      <c r="J29" s="99">
        <v>0.1</v>
      </c>
      <c r="K29" s="99">
        <v>0</v>
      </c>
      <c r="L29" s="99">
        <v>0</v>
      </c>
      <c r="M29" s="99">
        <v>1</v>
      </c>
      <c r="N29" s="99">
        <v>0.03</v>
      </c>
      <c r="O29" s="98" t="s">
        <v>1148</v>
      </c>
      <c r="P29" s="91">
        <f t="shared" si="6"/>
        <v>209599</v>
      </c>
      <c r="Q29" s="91">
        <f t="shared" si="7"/>
        <v>310</v>
      </c>
      <c r="R29" s="91">
        <f t="shared" si="8"/>
        <v>150</v>
      </c>
      <c r="S29" s="91">
        <f t="shared" si="3"/>
        <v>309</v>
      </c>
      <c r="T29" s="91">
        <f t="shared" si="4"/>
        <v>151</v>
      </c>
      <c r="U29" s="98" t="s">
        <v>1169</v>
      </c>
      <c r="V29" s="98"/>
      <c r="W29" s="92" t="str">
        <f t="shared" ca="1" si="5"/>
        <v>ModelInfo.rg(UTIDTIDEBARONWATER,ATT_STR,209599,310,150,40,0.1,0,0,1,0.03,CAREER_TYPE_BOSS,"ReplaceableTextures\\CommandButtons\\BTNSeaElemental.blp");</v>
      </c>
    </row>
    <row r="30" spans="1:23">
      <c r="A30" s="100" t="s">
        <v>1168</v>
      </c>
      <c r="B30" s="100" t="s">
        <v>1152</v>
      </c>
      <c r="C30" s="100">
        <v>400000</v>
      </c>
      <c r="D30" s="100">
        <v>10</v>
      </c>
      <c r="E30" s="100">
        <v>10</v>
      </c>
      <c r="F30" s="100">
        <v>30</v>
      </c>
      <c r="G30" s="100">
        <v>1000</v>
      </c>
      <c r="H30" s="100">
        <v>1500</v>
      </c>
      <c r="I30" s="101">
        <v>5</v>
      </c>
      <c r="J30" s="101">
        <v>0.05</v>
      </c>
      <c r="K30" s="101">
        <v>0</v>
      </c>
      <c r="L30" s="101">
        <v>0</v>
      </c>
      <c r="M30" s="101">
        <v>1</v>
      </c>
      <c r="N30" s="101">
        <v>0.03</v>
      </c>
      <c r="O30" s="100" t="s">
        <v>1148</v>
      </c>
      <c r="P30" s="91">
        <f t="shared" si="6"/>
        <v>399899</v>
      </c>
      <c r="Q30" s="91">
        <f t="shared" si="7"/>
        <v>970</v>
      </c>
      <c r="R30" s="91">
        <f t="shared" si="8"/>
        <v>500</v>
      </c>
      <c r="S30" s="91">
        <f t="shared" si="3"/>
        <v>969</v>
      </c>
      <c r="T30" s="91">
        <f t="shared" si="4"/>
        <v>501</v>
      </c>
      <c r="U30" s="100" t="s">
        <v>1167</v>
      </c>
      <c r="V30" s="100"/>
      <c r="W30" s="92" t="str">
        <f t="shared" ca="1" si="5"/>
        <v>ModelInfo.rg(UTIDWARLOCK,ATT_INT,399899,970,500,5,0.05,0,0,1,0.03,CAREER_TYPE_BOSS,"ReplaceableTextures\\CommandButtons\\BTNOrcWarlock.blp");</v>
      </c>
    </row>
    <row r="31" spans="1:23">
      <c r="A31" s="100" t="s">
        <v>1166</v>
      </c>
      <c r="B31" s="100" t="s">
        <v>1127</v>
      </c>
      <c r="C31" s="100">
        <v>800</v>
      </c>
      <c r="D31" s="100">
        <v>0</v>
      </c>
      <c r="E31" s="100">
        <v>0</v>
      </c>
      <c r="F31" s="100">
        <v>0</v>
      </c>
      <c r="G31" s="100">
        <v>50</v>
      </c>
      <c r="H31" s="100">
        <v>50</v>
      </c>
      <c r="I31" s="101">
        <v>0</v>
      </c>
      <c r="J31" s="101">
        <v>0.05</v>
      </c>
      <c r="K31" s="101">
        <v>0</v>
      </c>
      <c r="L31" s="101">
        <v>0</v>
      </c>
      <c r="M31" s="101">
        <v>1</v>
      </c>
      <c r="N31" s="101">
        <v>0.05</v>
      </c>
      <c r="O31" s="100" t="s">
        <v>1126</v>
      </c>
      <c r="P31" s="91">
        <f t="shared" si="6"/>
        <v>799</v>
      </c>
      <c r="Q31" s="91">
        <f t="shared" si="7"/>
        <v>50</v>
      </c>
      <c r="R31" s="91">
        <f t="shared" si="8"/>
        <v>0</v>
      </c>
      <c r="S31" s="91">
        <f t="shared" si="3"/>
        <v>49</v>
      </c>
      <c r="T31" s="91">
        <f t="shared" si="4"/>
        <v>1</v>
      </c>
      <c r="U31" s="100" t="s">
        <v>1165</v>
      </c>
      <c r="V31" s="100"/>
      <c r="W31" s="92" t="str">
        <f t="shared" ca="1" si="5"/>
        <v>ModelInfo.rg(UTID_LAVA_SPAWN,ATT_NON,799,50,0,0,0.05,0,0,1,0.05,CAREER_TYPE_CREEP,"ReplaceableTextures\\CommandButtons\\BTNLavaSpawn.blp");</v>
      </c>
    </row>
    <row r="32" spans="1:23">
      <c r="A32" s="98" t="s">
        <v>1164</v>
      </c>
      <c r="B32" s="98" t="s">
        <v>1149</v>
      </c>
      <c r="C32" s="98">
        <v>450000</v>
      </c>
      <c r="D32" s="98">
        <v>10</v>
      </c>
      <c r="E32" s="98">
        <v>10</v>
      </c>
      <c r="F32" s="98">
        <v>10</v>
      </c>
      <c r="G32" s="98">
        <v>750</v>
      </c>
      <c r="H32" s="98">
        <v>1250</v>
      </c>
      <c r="I32" s="99">
        <v>5</v>
      </c>
      <c r="J32" s="99">
        <v>0.05</v>
      </c>
      <c r="K32" s="99">
        <v>0</v>
      </c>
      <c r="L32" s="99">
        <v>0</v>
      </c>
      <c r="M32" s="99">
        <v>1</v>
      </c>
      <c r="N32" s="99">
        <v>0.03</v>
      </c>
      <c r="O32" s="98" t="s">
        <v>1148</v>
      </c>
      <c r="P32" s="91">
        <f t="shared" si="6"/>
        <v>449899</v>
      </c>
      <c r="Q32" s="91">
        <f t="shared" si="7"/>
        <v>740</v>
      </c>
      <c r="R32" s="91">
        <f t="shared" si="8"/>
        <v>500</v>
      </c>
      <c r="S32" s="91">
        <f t="shared" si="3"/>
        <v>739</v>
      </c>
      <c r="T32" s="91">
        <f t="shared" si="4"/>
        <v>501</v>
      </c>
      <c r="U32" s="98" t="s">
        <v>1163</v>
      </c>
      <c r="V32" s="98" t="s">
        <v>1162</v>
      </c>
      <c r="W32" s="92" t="str">
        <f t="shared" ca="1" si="5"/>
        <v>ModelInfo.rg(UTID_PIT_ARCHON,ATT_STR,449899,740,500,5,0.05,0,0,1,0.03,CAREER_TYPE_BOSS,"ReplaceableTextures\\CommandButtons\\BTNHeroCryptLord.blp").setScale(1.7);</v>
      </c>
    </row>
    <row r="33" spans="1:23">
      <c r="A33" s="98" t="s">
        <v>1161</v>
      </c>
      <c r="B33" s="98" t="s">
        <v>1127</v>
      </c>
      <c r="C33" s="98">
        <v>3000</v>
      </c>
      <c r="D33" s="98">
        <v>0</v>
      </c>
      <c r="E33" s="98">
        <v>0</v>
      </c>
      <c r="F33" s="98">
        <v>0</v>
      </c>
      <c r="G33" s="98">
        <v>100</v>
      </c>
      <c r="H33" s="98">
        <v>150</v>
      </c>
      <c r="I33" s="99">
        <v>0</v>
      </c>
      <c r="J33" s="99">
        <v>0</v>
      </c>
      <c r="K33" s="99">
        <v>0</v>
      </c>
      <c r="L33" s="99">
        <v>0</v>
      </c>
      <c r="M33" s="99">
        <v>1</v>
      </c>
      <c r="N33" s="99">
        <v>0</v>
      </c>
      <c r="O33" s="98" t="s">
        <v>1126</v>
      </c>
      <c r="P33" s="91">
        <f t="shared" si="6"/>
        <v>2999</v>
      </c>
      <c r="Q33" s="91">
        <f t="shared" si="7"/>
        <v>100</v>
      </c>
      <c r="R33" s="91">
        <f t="shared" si="8"/>
        <v>50</v>
      </c>
      <c r="S33" s="91">
        <f t="shared" si="3"/>
        <v>99</v>
      </c>
      <c r="T33" s="91">
        <f t="shared" si="4"/>
        <v>51</v>
      </c>
      <c r="U33" s="98" t="s">
        <v>1160</v>
      </c>
      <c r="V33" s="98"/>
      <c r="W33" s="92" t="str">
        <f t="shared" ca="1" si="5"/>
        <v>ModelInfo.rg(UTID_SPIKE,ATT_NON,2999,100,50,0,0,0,0,1,0,CAREER_TYPE_CREEP,"ReplaceableTextures\\CommandButtons\\BTNImpale.blp");</v>
      </c>
    </row>
    <row r="34" spans="1:23">
      <c r="A34" s="98" t="s">
        <v>1159</v>
      </c>
      <c r="B34" s="98" t="s">
        <v>1127</v>
      </c>
      <c r="C34" s="98">
        <v>5000</v>
      </c>
      <c r="D34" s="98">
        <v>0</v>
      </c>
      <c r="E34" s="98">
        <v>0</v>
      </c>
      <c r="F34" s="98">
        <v>0</v>
      </c>
      <c r="G34" s="98">
        <v>100</v>
      </c>
      <c r="H34" s="98">
        <v>300</v>
      </c>
      <c r="I34" s="99">
        <v>0</v>
      </c>
      <c r="J34" s="99">
        <v>0</v>
      </c>
      <c r="K34" s="99">
        <v>0</v>
      </c>
      <c r="L34" s="99">
        <v>0</v>
      </c>
      <c r="M34" s="99">
        <v>1</v>
      </c>
      <c r="N34" s="99">
        <v>0.05</v>
      </c>
      <c r="O34" s="98" t="s">
        <v>1126</v>
      </c>
      <c r="P34" s="91">
        <f t="shared" si="6"/>
        <v>4999</v>
      </c>
      <c r="Q34" s="91">
        <f t="shared" si="7"/>
        <v>100</v>
      </c>
      <c r="R34" s="91">
        <f t="shared" si="8"/>
        <v>200</v>
      </c>
      <c r="S34" s="91">
        <f t="shared" si="3"/>
        <v>99</v>
      </c>
      <c r="T34" s="91">
        <f t="shared" si="4"/>
        <v>201</v>
      </c>
      <c r="U34" s="98" t="s">
        <v>1158</v>
      </c>
      <c r="V34" s="98"/>
      <c r="W34" s="92" t="str">
        <f t="shared" ca="1" si="5"/>
        <v>ModelInfo.rg(UTID_POISONOUS_CRAWLER,ATT_NON,4999,100,200,0,0,0,0,1,0.05,CAREER_TYPE_CREEP,"ReplaceableTextures\\CommandButtons\\BTNCryptFiend.blp");</v>
      </c>
    </row>
    <row r="35" spans="1:23">
      <c r="A35" s="98" t="s">
        <v>1157</v>
      </c>
      <c r="B35" s="98" t="s">
        <v>1127</v>
      </c>
      <c r="C35" s="98">
        <v>20000</v>
      </c>
      <c r="D35" s="98">
        <v>0</v>
      </c>
      <c r="E35" s="98">
        <v>0</v>
      </c>
      <c r="F35" s="98">
        <v>0</v>
      </c>
      <c r="G35" s="98">
        <v>300</v>
      </c>
      <c r="H35" s="98">
        <v>500</v>
      </c>
      <c r="I35" s="99">
        <v>0</v>
      </c>
      <c r="J35" s="99">
        <v>0</v>
      </c>
      <c r="K35" s="99">
        <v>0</v>
      </c>
      <c r="L35" s="99">
        <v>0</v>
      </c>
      <c r="M35" s="99">
        <v>1</v>
      </c>
      <c r="N35" s="99">
        <v>0.15</v>
      </c>
      <c r="O35" s="98" t="s">
        <v>1126</v>
      </c>
      <c r="P35" s="91">
        <f t="shared" si="6"/>
        <v>19999</v>
      </c>
      <c r="Q35" s="91">
        <f t="shared" si="7"/>
        <v>300</v>
      </c>
      <c r="R35" s="91">
        <f t="shared" si="8"/>
        <v>200</v>
      </c>
      <c r="S35" s="91">
        <f t="shared" si="3"/>
        <v>299</v>
      </c>
      <c r="T35" s="91">
        <f t="shared" si="4"/>
        <v>201</v>
      </c>
      <c r="U35" s="98" t="s">
        <v>1156</v>
      </c>
      <c r="V35" s="98"/>
      <c r="W35" s="92" t="str">
        <f t="shared" ca="1" si="5"/>
        <v>ModelInfo.rg(UTID_ABOMINATION,ATT_NON,19999,300,200,0,0,0,0,1,0.15,CAREER_TYPE_CREEP,"ReplaceableTextures\\CommandButtons\\BTNAbomination.blp");</v>
      </c>
    </row>
    <row r="36" spans="1:23">
      <c r="A36" s="98" t="s">
        <v>1155</v>
      </c>
      <c r="B36" s="98" t="s">
        <v>1127</v>
      </c>
      <c r="C36" s="98">
        <v>500</v>
      </c>
      <c r="D36" s="98">
        <v>0</v>
      </c>
      <c r="E36" s="98">
        <v>0</v>
      </c>
      <c r="F36" s="98">
        <v>0</v>
      </c>
      <c r="G36" s="98">
        <v>5</v>
      </c>
      <c r="H36" s="98">
        <v>10</v>
      </c>
      <c r="I36" s="99">
        <v>0</v>
      </c>
      <c r="J36" s="99">
        <v>1</v>
      </c>
      <c r="K36" s="99">
        <v>0</v>
      </c>
      <c r="L36" s="99">
        <v>0</v>
      </c>
      <c r="M36" s="99">
        <v>0</v>
      </c>
      <c r="N36" s="99">
        <v>0</v>
      </c>
      <c r="O36" s="98" t="s">
        <v>1126</v>
      </c>
      <c r="P36" s="91">
        <f t="shared" si="6"/>
        <v>499</v>
      </c>
      <c r="Q36" s="91">
        <f t="shared" si="7"/>
        <v>5</v>
      </c>
      <c r="R36" s="91">
        <f t="shared" si="8"/>
        <v>5</v>
      </c>
      <c r="S36" s="91">
        <f t="shared" si="3"/>
        <v>4</v>
      </c>
      <c r="T36" s="91">
        <f t="shared" si="4"/>
        <v>6</v>
      </c>
      <c r="U36" s="98" t="s">
        <v>1154</v>
      </c>
      <c r="V36" s="98"/>
      <c r="W36" s="92" t="str">
        <f t="shared" ca="1" si="5"/>
        <v>ModelInfo.rg(UTID_WRAITH,ATT_NON,499,5,5,0,1,0,0,0,0,CAREER_TYPE_CREEP,"ReplaceableTextures\\CommandButtons\\BTNShade.blp");</v>
      </c>
    </row>
    <row r="37" spans="1:23">
      <c r="A37" s="100" t="s">
        <v>1153</v>
      </c>
      <c r="B37" s="100" t="s">
        <v>1152</v>
      </c>
      <c r="C37" s="100">
        <v>800000</v>
      </c>
      <c r="D37" s="100">
        <v>10</v>
      </c>
      <c r="E37" s="100">
        <v>10</v>
      </c>
      <c r="F37" s="100">
        <v>50</v>
      </c>
      <c r="G37" s="100">
        <v>1400</v>
      </c>
      <c r="H37" s="100">
        <v>2100</v>
      </c>
      <c r="I37" s="101">
        <v>5</v>
      </c>
      <c r="J37" s="101">
        <v>0.05</v>
      </c>
      <c r="K37" s="101">
        <v>0</v>
      </c>
      <c r="L37" s="101">
        <v>0</v>
      </c>
      <c r="M37" s="101">
        <v>1</v>
      </c>
      <c r="N37" s="101">
        <v>0.03</v>
      </c>
      <c r="O37" s="100" t="s">
        <v>1148</v>
      </c>
      <c r="P37" s="91">
        <f t="shared" si="6"/>
        <v>799899</v>
      </c>
      <c r="Q37" s="91">
        <f t="shared" si="7"/>
        <v>1350</v>
      </c>
      <c r="R37" s="91">
        <f t="shared" si="8"/>
        <v>700</v>
      </c>
      <c r="S37" s="91">
        <f t="shared" si="3"/>
        <v>1349</v>
      </c>
      <c r="T37" s="91">
        <f t="shared" si="4"/>
        <v>701</v>
      </c>
      <c r="U37" s="100" t="s">
        <v>1151</v>
      </c>
      <c r="V37" s="100"/>
      <c r="W37" s="92" t="str">
        <f t="shared" ca="1" si="5"/>
        <v>ModelInfo.rg(UTIDHEXLORD,ATT_INT,799899,1350,700,5,0.05,0,0,1,0.03,CAREER_TYPE_BOSS,"ReplaceableTextures\\CommandButtons\\BTNShadowHunter.blp");</v>
      </c>
    </row>
    <row r="38" spans="1:23">
      <c r="A38" s="98" t="s">
        <v>1150</v>
      </c>
      <c r="B38" s="98" t="s">
        <v>1149</v>
      </c>
      <c r="C38" s="98">
        <v>1500000</v>
      </c>
      <c r="D38" s="98">
        <v>50</v>
      </c>
      <c r="E38" s="98">
        <v>10</v>
      </c>
      <c r="F38" s="98">
        <v>50</v>
      </c>
      <c r="G38" s="98">
        <v>60</v>
      </c>
      <c r="H38" s="98">
        <v>100</v>
      </c>
      <c r="I38" s="99">
        <v>15</v>
      </c>
      <c r="J38" s="99">
        <v>0.05</v>
      </c>
      <c r="K38" s="99">
        <v>0.05</v>
      </c>
      <c r="L38" s="99">
        <v>100</v>
      </c>
      <c r="M38" s="99">
        <v>1</v>
      </c>
      <c r="N38" s="99">
        <v>0</v>
      </c>
      <c r="O38" s="98" t="s">
        <v>1148</v>
      </c>
      <c r="P38" s="91">
        <f t="shared" ref="P38:P67" si="9">C38-1-D38*10</f>
        <v>1499499</v>
      </c>
      <c r="Q38" s="91">
        <f t="shared" ref="Q38:Q67" si="10">G38-CHOOSE( IF( B38="ATT_AGI", 2, IF( B38="ATT_INT", 3, 1 ) ), D38, E38, F38 )</f>
        <v>10</v>
      </c>
      <c r="R38" s="91">
        <f t="shared" ref="R38:R67" si="11">H38-G38</f>
        <v>40</v>
      </c>
      <c r="S38" s="91">
        <f t="shared" si="3"/>
        <v>9</v>
      </c>
      <c r="T38" s="91">
        <f t="shared" si="4"/>
        <v>41</v>
      </c>
      <c r="U38" s="98" t="s">
        <v>1147</v>
      </c>
      <c r="V38" s="98"/>
      <c r="W38" s="92" t="str">
        <f t="shared" ca="1" si="5"/>
        <v>ModelInfo.rg(UTID_GOD_OF_DEATH,ATT_STR,1499499,10,40,15,0.05,0.05,100,1,0,CAREER_TYPE_BOSS,"ReplaceableTextures\\CommandButtons\\BTNForgottenOne.blp");</v>
      </c>
    </row>
    <row r="39" spans="1:23">
      <c r="A39" s="126" t="s">
        <v>1134</v>
      </c>
      <c r="B39" s="102" t="s">
        <v>1127</v>
      </c>
      <c r="C39" s="102">
        <v>8500</v>
      </c>
      <c r="D39" s="102">
        <v>0</v>
      </c>
      <c r="E39" s="102">
        <v>0</v>
      </c>
      <c r="F39" s="102">
        <v>0</v>
      </c>
      <c r="G39" s="102">
        <v>150</v>
      </c>
      <c r="H39" s="102">
        <v>250</v>
      </c>
      <c r="I39" s="103">
        <v>5</v>
      </c>
      <c r="J39" s="103">
        <v>0.05</v>
      </c>
      <c r="K39" s="103">
        <v>0</v>
      </c>
      <c r="L39" s="103">
        <v>0</v>
      </c>
      <c r="M39" s="103">
        <v>1</v>
      </c>
      <c r="N39" s="103">
        <v>0.05</v>
      </c>
      <c r="O39" s="102" t="s">
        <v>1126</v>
      </c>
      <c r="P39" s="91">
        <f t="shared" si="9"/>
        <v>8499</v>
      </c>
      <c r="Q39" s="91">
        <f t="shared" si="10"/>
        <v>150</v>
      </c>
      <c r="R39" s="91">
        <f t="shared" si="11"/>
        <v>100</v>
      </c>
      <c r="S39" s="91">
        <f t="shared" si="3"/>
        <v>149</v>
      </c>
      <c r="T39" s="91">
        <f t="shared" si="4"/>
        <v>101</v>
      </c>
      <c r="U39" s="102" t="s">
        <v>1133</v>
      </c>
      <c r="V39" s="102"/>
      <c r="W39" s="92" t="str">
        <f t="shared" ca="1" si="5"/>
        <v>ModelInfo.rg(UTID_SEA_LIZARD,ATT_NON,8499,150,100,5,0.05,0,0,1,0.05,CAREER_TYPE_CREEP,"ReplaceableTextures\\CommandButtons\\BTNSnapDragon.blp");</v>
      </c>
    </row>
    <row r="40" spans="1:23">
      <c r="A40" s="126" t="s">
        <v>1132</v>
      </c>
      <c r="B40" s="102" t="s">
        <v>1127</v>
      </c>
      <c r="C40" s="102">
        <v>5500</v>
      </c>
      <c r="D40" s="102">
        <v>0</v>
      </c>
      <c r="E40" s="102">
        <v>0</v>
      </c>
      <c r="F40" s="102">
        <v>0</v>
      </c>
      <c r="G40" s="102">
        <v>100</v>
      </c>
      <c r="H40" s="102">
        <v>150</v>
      </c>
      <c r="I40" s="103">
        <v>2</v>
      </c>
      <c r="J40" s="103">
        <v>0</v>
      </c>
      <c r="K40" s="103">
        <v>0.05</v>
      </c>
      <c r="L40" s="103">
        <v>20</v>
      </c>
      <c r="M40" s="103">
        <v>1</v>
      </c>
      <c r="N40" s="103">
        <v>0.02</v>
      </c>
      <c r="O40" s="102" t="s">
        <v>1126</v>
      </c>
      <c r="P40" s="91">
        <f t="shared" si="9"/>
        <v>5499</v>
      </c>
      <c r="Q40" s="91">
        <f t="shared" si="10"/>
        <v>100</v>
      </c>
      <c r="R40" s="91">
        <f t="shared" si="11"/>
        <v>50</v>
      </c>
      <c r="S40" s="91">
        <f t="shared" si="3"/>
        <v>99</v>
      </c>
      <c r="T40" s="91">
        <f t="shared" si="4"/>
        <v>51</v>
      </c>
      <c r="U40" s="102" t="s">
        <v>1131</v>
      </c>
      <c r="V40" s="102"/>
      <c r="W40" s="92" t="str">
        <f t="shared" ca="1" si="5"/>
        <v>ModelInfo.rg(UTID_MURLOC_SLAVE,ATT_NON,5499,100,50,2,0,0.05,20,1,0.02,CAREER_TYPE_CREEP,"ReplaceableTextures\\CommandButtons\\BTNMurgalSlave.blp");</v>
      </c>
    </row>
    <row r="41" spans="1:23">
      <c r="A41" s="125" t="s">
        <v>1146</v>
      </c>
      <c r="B41" s="102" t="s">
        <v>1127</v>
      </c>
      <c r="C41" s="102">
        <v>13500</v>
      </c>
      <c r="D41" s="102">
        <v>0</v>
      </c>
      <c r="E41" s="102">
        <v>0</v>
      </c>
      <c r="F41" s="102">
        <v>0</v>
      </c>
      <c r="G41" s="102">
        <v>250</v>
      </c>
      <c r="H41" s="102">
        <v>350</v>
      </c>
      <c r="I41" s="103">
        <v>5</v>
      </c>
      <c r="J41" s="103">
        <v>0.05</v>
      </c>
      <c r="K41" s="103">
        <v>0</v>
      </c>
      <c r="L41" s="103">
        <v>0</v>
      </c>
      <c r="M41" s="103">
        <v>1</v>
      </c>
      <c r="N41" s="103">
        <v>0</v>
      </c>
      <c r="O41" s="102" t="s">
        <v>1126</v>
      </c>
      <c r="P41" s="91">
        <f t="shared" si="9"/>
        <v>13499</v>
      </c>
      <c r="Q41" s="91">
        <f t="shared" si="10"/>
        <v>250</v>
      </c>
      <c r="R41" s="91">
        <f t="shared" si="11"/>
        <v>100</v>
      </c>
      <c r="S41" s="91">
        <f t="shared" si="3"/>
        <v>249</v>
      </c>
      <c r="T41" s="91">
        <f t="shared" si="4"/>
        <v>101</v>
      </c>
      <c r="U41" s="102" t="s">
        <v>1145</v>
      </c>
      <c r="V41" s="102"/>
      <c r="W41" s="92" t="str">
        <f t="shared" ca="1" si="5"/>
        <v>ModelInfo.rg(UTID_NAGA_SIREN,ATT_NON,13499,250,100,5,0.05,0,0,1,0,CAREER_TYPE_CREEP,"ReplaceableTextures\\CommandButtons\\BTNSeaWitch.blp");</v>
      </c>
    </row>
    <row r="42" spans="1:23">
      <c r="A42" s="125" t="s">
        <v>1144</v>
      </c>
      <c r="B42" s="102" t="s">
        <v>1127</v>
      </c>
      <c r="C42" s="102">
        <v>13500</v>
      </c>
      <c r="D42" s="102">
        <v>0</v>
      </c>
      <c r="E42" s="102">
        <v>0</v>
      </c>
      <c r="F42" s="102">
        <v>0</v>
      </c>
      <c r="G42" s="102">
        <v>200</v>
      </c>
      <c r="H42" s="102">
        <v>300</v>
      </c>
      <c r="I42" s="103">
        <v>5</v>
      </c>
      <c r="J42" s="103">
        <v>0.05</v>
      </c>
      <c r="K42" s="103">
        <v>0</v>
      </c>
      <c r="L42" s="103">
        <v>0</v>
      </c>
      <c r="M42" s="103">
        <v>1</v>
      </c>
      <c r="N42" s="103">
        <v>0</v>
      </c>
      <c r="O42" s="102" t="s">
        <v>1126</v>
      </c>
      <c r="P42" s="91">
        <f t="shared" si="9"/>
        <v>13499</v>
      </c>
      <c r="Q42" s="91">
        <f t="shared" si="10"/>
        <v>200</v>
      </c>
      <c r="R42" s="91">
        <f t="shared" si="11"/>
        <v>100</v>
      </c>
      <c r="S42" s="91">
        <f t="shared" si="3"/>
        <v>199</v>
      </c>
      <c r="T42" s="91">
        <f t="shared" si="4"/>
        <v>101</v>
      </c>
      <c r="U42" s="102" t="s">
        <v>1143</v>
      </c>
      <c r="V42" s="102"/>
      <c r="W42" s="92" t="str">
        <f t="shared" ca="1" si="5"/>
        <v>ModelInfo.rg(UTID_NAGA_TIDE_PRIEST,ATT_NON,13499,200,100,5,0.05,0,0,1,0,CAREER_TYPE_CREEP,"ReplaceableTextures\\CommandButtons\\BTNNagaSummoner.blp");</v>
      </c>
    </row>
    <row r="43" spans="1:23">
      <c r="A43" s="125" t="s">
        <v>1142</v>
      </c>
      <c r="B43" s="102" t="s">
        <v>1127</v>
      </c>
      <c r="C43" s="102">
        <v>250</v>
      </c>
      <c r="D43" s="102">
        <v>0</v>
      </c>
      <c r="E43" s="102">
        <v>0</v>
      </c>
      <c r="F43" s="102">
        <v>0</v>
      </c>
      <c r="G43" s="102">
        <v>1</v>
      </c>
      <c r="H43" s="102">
        <v>1</v>
      </c>
      <c r="I43" s="103">
        <v>0</v>
      </c>
      <c r="J43" s="103">
        <v>0</v>
      </c>
      <c r="K43" s="103">
        <v>0</v>
      </c>
      <c r="L43" s="103">
        <v>0</v>
      </c>
      <c r="M43" s="103">
        <v>1</v>
      </c>
      <c r="N43" s="103">
        <v>0</v>
      </c>
      <c r="O43" s="102" t="s">
        <v>1126</v>
      </c>
      <c r="P43" s="91">
        <f t="shared" si="9"/>
        <v>249</v>
      </c>
      <c r="Q43" s="91">
        <f t="shared" si="10"/>
        <v>1</v>
      </c>
      <c r="R43" s="91">
        <f t="shared" si="11"/>
        <v>0</v>
      </c>
      <c r="S43" s="91">
        <f t="shared" si="3"/>
        <v>0</v>
      </c>
      <c r="T43" s="91">
        <f t="shared" si="4"/>
        <v>1</v>
      </c>
      <c r="U43" s="102" t="s">
        <v>1141</v>
      </c>
      <c r="V43" s="102"/>
      <c r="W43" s="92" t="str">
        <f t="shared" ca="1" si="5"/>
        <v>ModelInfo.rg(UTID_NTR_HEALING_WARD,ATT_NON,249,1,0,0,0,0,0,1,0,CAREER_TYPE_CREEP,"ReplaceableTextures\\CommandButtons\\BTNHealingWard.blp");</v>
      </c>
    </row>
    <row r="44" spans="1:23">
      <c r="A44" s="125" t="s">
        <v>1140</v>
      </c>
      <c r="B44" s="102" t="s">
        <v>1127</v>
      </c>
      <c r="C44" s="102">
        <v>250</v>
      </c>
      <c r="D44" s="102">
        <v>0</v>
      </c>
      <c r="E44" s="102">
        <v>0</v>
      </c>
      <c r="F44" s="102">
        <v>0</v>
      </c>
      <c r="G44" s="102">
        <v>1</v>
      </c>
      <c r="H44" s="102">
        <v>1</v>
      </c>
      <c r="I44" s="103">
        <v>0</v>
      </c>
      <c r="J44" s="103">
        <v>0</v>
      </c>
      <c r="K44" s="103">
        <v>0</v>
      </c>
      <c r="L44" s="103">
        <v>0</v>
      </c>
      <c r="M44" s="103">
        <v>1</v>
      </c>
      <c r="N44" s="103">
        <v>0</v>
      </c>
      <c r="O44" s="102" t="s">
        <v>1126</v>
      </c>
      <c r="P44" s="91">
        <f t="shared" si="9"/>
        <v>249</v>
      </c>
      <c r="Q44" s="91">
        <f t="shared" si="10"/>
        <v>1</v>
      </c>
      <c r="R44" s="91">
        <f t="shared" si="11"/>
        <v>0</v>
      </c>
      <c r="S44" s="91">
        <f t="shared" si="3"/>
        <v>0</v>
      </c>
      <c r="T44" s="91">
        <f t="shared" si="4"/>
        <v>1</v>
      </c>
      <c r="U44" s="102" t="s">
        <v>1139</v>
      </c>
      <c r="V44" s="102"/>
      <c r="W44" s="92" t="str">
        <f t="shared" ca="1" si="5"/>
        <v>ModelInfo.rg(UTID_NTR_PROTECTION_WARD,ATT_NON,249,1,0,0,0,0,0,1,0,CAREER_TYPE_CREEP,"ReplaceableTextures\\CommandButtons\\BTNBigBadVoodooSpell.blp");</v>
      </c>
    </row>
    <row r="45" spans="1:23">
      <c r="A45" s="125" t="s">
        <v>1130</v>
      </c>
      <c r="B45" s="102" t="s">
        <v>1127</v>
      </c>
      <c r="C45" s="102">
        <v>32000</v>
      </c>
      <c r="D45" s="102">
        <v>0</v>
      </c>
      <c r="E45" s="102">
        <v>0</v>
      </c>
      <c r="F45" s="102">
        <v>0</v>
      </c>
      <c r="G45" s="102">
        <v>275</v>
      </c>
      <c r="H45" s="102">
        <v>400</v>
      </c>
      <c r="I45" s="103">
        <v>7</v>
      </c>
      <c r="J45" s="103">
        <v>0.1</v>
      </c>
      <c r="K45" s="103">
        <v>0</v>
      </c>
      <c r="L45" s="103">
        <v>0</v>
      </c>
      <c r="M45" s="103">
        <v>1</v>
      </c>
      <c r="N45" s="103">
        <v>0.1</v>
      </c>
      <c r="O45" s="102" t="s">
        <v>1126</v>
      </c>
      <c r="P45" s="91">
        <f t="shared" si="9"/>
        <v>31999</v>
      </c>
      <c r="Q45" s="91">
        <f t="shared" si="10"/>
        <v>275</v>
      </c>
      <c r="R45" s="91">
        <f t="shared" si="11"/>
        <v>125</v>
      </c>
      <c r="S45" s="91">
        <f t="shared" si="3"/>
        <v>274</v>
      </c>
      <c r="T45" s="91">
        <f t="shared" si="4"/>
        <v>126</v>
      </c>
      <c r="U45" s="102" t="s">
        <v>1129</v>
      </c>
      <c r="V45" s="102"/>
      <c r="W45" s="92" t="str">
        <f t="shared" ca="1" si="5"/>
        <v>ModelInfo.rg(UTID_WIND_SERPENT,ATT_NON,31999,275,125,7,0.1,0,0,1,0.1,CAREER_TYPE_CREEP,"ReplaceableTextures\\CommandButtons\\BTNWindSerpent.blp");</v>
      </c>
    </row>
    <row r="46" spans="1:23">
      <c r="A46" s="127" t="s">
        <v>1138</v>
      </c>
      <c r="B46" s="102" t="s">
        <v>1127</v>
      </c>
      <c r="C46" s="102">
        <v>24000</v>
      </c>
      <c r="D46" s="102">
        <v>0</v>
      </c>
      <c r="E46" s="102">
        <v>0</v>
      </c>
      <c r="F46" s="102">
        <v>0</v>
      </c>
      <c r="G46" s="102">
        <v>200</v>
      </c>
      <c r="H46" s="102">
        <v>400</v>
      </c>
      <c r="I46" s="103">
        <v>15</v>
      </c>
      <c r="J46" s="103">
        <v>0.05</v>
      </c>
      <c r="K46" s="103">
        <v>0.1</v>
      </c>
      <c r="L46" s="103">
        <v>30</v>
      </c>
      <c r="M46" s="103">
        <v>1</v>
      </c>
      <c r="N46" s="103">
        <v>0.05</v>
      </c>
      <c r="O46" s="102" t="s">
        <v>1126</v>
      </c>
      <c r="P46" s="91">
        <f t="shared" si="9"/>
        <v>23999</v>
      </c>
      <c r="Q46" s="91">
        <f t="shared" si="10"/>
        <v>200</v>
      </c>
      <c r="R46" s="91">
        <f t="shared" si="11"/>
        <v>200</v>
      </c>
      <c r="S46" s="91">
        <f t="shared" si="3"/>
        <v>199</v>
      </c>
      <c r="T46" s="91">
        <f t="shared" si="4"/>
        <v>201</v>
      </c>
      <c r="U46" s="102" t="s">
        <v>1137</v>
      </c>
      <c r="V46" s="102"/>
      <c r="W46" s="92" t="str">
        <f t="shared" ca="1" si="5"/>
        <v>ModelInfo.rg(UTID_NAGA_MYRMIDON,ATT_NON,23999,200,200,15,0.05,0.1,30,1,0.05,CAREER_TYPE_CREEP,"ReplaceableTextures\\CommandButtons\\BTNNagaMyrmidon.blp");</v>
      </c>
    </row>
    <row r="47" spans="1:23">
      <c r="A47" s="127" t="s">
        <v>1318</v>
      </c>
      <c r="B47" s="102" t="s">
        <v>1127</v>
      </c>
      <c r="C47" s="102">
        <v>45000</v>
      </c>
      <c r="D47" s="102">
        <v>0</v>
      </c>
      <c r="E47" s="102">
        <v>0</v>
      </c>
      <c r="F47" s="102">
        <v>0</v>
      </c>
      <c r="G47" s="102">
        <v>250</v>
      </c>
      <c r="H47" s="102">
        <v>500</v>
      </c>
      <c r="I47" s="103">
        <v>15</v>
      </c>
      <c r="J47" s="103">
        <v>0.05</v>
      </c>
      <c r="K47" s="103">
        <v>0.1</v>
      </c>
      <c r="L47" s="103">
        <v>30</v>
      </c>
      <c r="M47" s="103">
        <v>1</v>
      </c>
      <c r="N47" s="103">
        <v>0.05</v>
      </c>
      <c r="O47" s="102" t="s">
        <v>1126</v>
      </c>
      <c r="P47" s="91">
        <f t="shared" si="9"/>
        <v>44999</v>
      </c>
      <c r="Q47" s="91">
        <f t="shared" si="10"/>
        <v>250</v>
      </c>
      <c r="R47" s="91">
        <f t="shared" si="11"/>
        <v>250</v>
      </c>
      <c r="S47" s="91">
        <f t="shared" si="3"/>
        <v>249</v>
      </c>
      <c r="T47" s="91">
        <f t="shared" si="4"/>
        <v>251</v>
      </c>
      <c r="U47" s="102" t="s">
        <v>1137</v>
      </c>
      <c r="V47" s="102"/>
      <c r="W47" s="92" t="str">
        <f t="shared" ca="1" si="5"/>
        <v>ModelInfo.rg(UTID_CHMP_NAGA_MYRMIDON,ATT_NON,44999,250,250,15,0.05,0.1,30,1,0.05,CAREER_TYPE_CREEP,"ReplaceableTextures\\CommandButtons\\BTNNagaMyrmidon.blp");</v>
      </c>
    </row>
    <row r="48" spans="1:23">
      <c r="A48" s="127" t="s">
        <v>1136</v>
      </c>
      <c r="B48" s="102" t="s">
        <v>1127</v>
      </c>
      <c r="C48" s="102">
        <v>48000</v>
      </c>
      <c r="D48" s="102">
        <v>0</v>
      </c>
      <c r="E48" s="102">
        <v>0</v>
      </c>
      <c r="F48" s="102">
        <v>0</v>
      </c>
      <c r="G48" s="102">
        <v>300</v>
      </c>
      <c r="H48" s="102">
        <v>450</v>
      </c>
      <c r="I48" s="103">
        <v>15</v>
      </c>
      <c r="J48" s="103">
        <v>0.05</v>
      </c>
      <c r="K48" s="103">
        <v>0.1</v>
      </c>
      <c r="L48" s="103">
        <v>30</v>
      </c>
      <c r="M48" s="103">
        <v>1</v>
      </c>
      <c r="N48" s="103">
        <v>0.05</v>
      </c>
      <c r="O48" s="102" t="s">
        <v>1126</v>
      </c>
      <c r="P48" s="91">
        <f t="shared" si="9"/>
        <v>47999</v>
      </c>
      <c r="Q48" s="91">
        <f t="shared" si="10"/>
        <v>300</v>
      </c>
      <c r="R48" s="91">
        <f t="shared" si="11"/>
        <v>150</v>
      </c>
      <c r="S48" s="91">
        <f t="shared" si="3"/>
        <v>299</v>
      </c>
      <c r="T48" s="91">
        <f t="shared" si="4"/>
        <v>151</v>
      </c>
      <c r="U48" s="102" t="s">
        <v>1135</v>
      </c>
      <c r="V48" s="102"/>
      <c r="W48" s="92" t="str">
        <f t="shared" ca="1" si="5"/>
        <v>ModelInfo.rg(UTID_NAGA_ROYAL_GUARD,ATT_NON,47999,300,150,15,0.05,0.1,30,1,0.05,CAREER_TYPE_CREEP,"ReplaceableTextures\\CommandButtons\\BTNNagaMyrmidonRoyalGuard.blp");</v>
      </c>
    </row>
    <row r="49" spans="1:23">
      <c r="A49" s="128" t="s">
        <v>1241</v>
      </c>
      <c r="B49" s="102" t="s">
        <v>1127</v>
      </c>
      <c r="C49" s="102">
        <v>55000</v>
      </c>
      <c r="D49" s="102">
        <v>0</v>
      </c>
      <c r="E49" s="102">
        <v>0</v>
      </c>
      <c r="F49" s="102">
        <v>0</v>
      </c>
      <c r="G49" s="102">
        <v>650</v>
      </c>
      <c r="H49" s="102">
        <v>950</v>
      </c>
      <c r="I49" s="103">
        <v>5</v>
      </c>
      <c r="J49" s="103">
        <v>0.05</v>
      </c>
      <c r="K49" s="103">
        <v>0.05</v>
      </c>
      <c r="L49" s="103">
        <v>100</v>
      </c>
      <c r="M49" s="103">
        <v>0.95</v>
      </c>
      <c r="N49" s="103">
        <v>0.05</v>
      </c>
      <c r="O49" s="102" t="s">
        <v>1126</v>
      </c>
      <c r="P49" s="91">
        <f t="shared" si="9"/>
        <v>54999</v>
      </c>
      <c r="Q49" s="91">
        <f t="shared" si="10"/>
        <v>650</v>
      </c>
      <c r="R49" s="91">
        <f t="shared" si="11"/>
        <v>300</v>
      </c>
      <c r="S49" s="91">
        <f t="shared" si="3"/>
        <v>649</v>
      </c>
      <c r="T49" s="91">
        <f t="shared" si="4"/>
        <v>301</v>
      </c>
      <c r="U49" s="102" t="s">
        <v>1242</v>
      </c>
      <c r="V49" s="102"/>
      <c r="W49" s="92" t="str">
        <f t="shared" ca="1" si="5"/>
        <v>ModelInfo.rg(UTID_FEL_GRUNT,ATT_NON,54999,650,300,5,0.05,0.05,100,0.95,0.05,CAREER_TYPE_CREEP,"ReplaceableTextures\\CommandButtons\\BTNChaosGrunt.blp");</v>
      </c>
    </row>
    <row r="50" spans="1:23">
      <c r="A50" s="128" t="s">
        <v>1247</v>
      </c>
      <c r="B50" s="102" t="s">
        <v>1127</v>
      </c>
      <c r="C50" s="102">
        <v>50000</v>
      </c>
      <c r="D50" s="102">
        <v>0</v>
      </c>
      <c r="E50" s="102">
        <v>0</v>
      </c>
      <c r="F50" s="102">
        <v>0</v>
      </c>
      <c r="G50" s="102">
        <v>600</v>
      </c>
      <c r="H50" s="102">
        <v>800</v>
      </c>
      <c r="I50" s="103">
        <v>10</v>
      </c>
      <c r="J50" s="103">
        <v>0.05</v>
      </c>
      <c r="K50" s="103">
        <v>0</v>
      </c>
      <c r="L50" s="103">
        <v>0</v>
      </c>
      <c r="M50" s="103">
        <v>1</v>
      </c>
      <c r="N50" s="103">
        <v>0.1</v>
      </c>
      <c r="O50" s="102" t="s">
        <v>1126</v>
      </c>
      <c r="P50" s="91">
        <f t="shared" si="9"/>
        <v>49999</v>
      </c>
      <c r="Q50" s="91">
        <f t="shared" si="10"/>
        <v>600</v>
      </c>
      <c r="R50" s="91">
        <f t="shared" si="11"/>
        <v>200</v>
      </c>
      <c r="S50" s="91">
        <f t="shared" si="3"/>
        <v>599</v>
      </c>
      <c r="T50" s="91">
        <f t="shared" si="4"/>
        <v>201</v>
      </c>
      <c r="U50" s="102" t="s">
        <v>1248</v>
      </c>
      <c r="V50" s="102"/>
      <c r="W50" s="92" t="str">
        <f t="shared" ca="1" si="5"/>
        <v>ModelInfo.rg(UTID_FEL_RIDER,ATT_NON,49999,600,200,10,0.05,0,0,1,0.1,CAREER_TYPE_CREEP,"ReplaceableTextures\\CommandButtons\\BTNChaosWolfRider.blp");</v>
      </c>
    </row>
    <row r="51" spans="1:23">
      <c r="A51" s="128" t="s">
        <v>1250</v>
      </c>
      <c r="B51" s="102" t="s">
        <v>1127</v>
      </c>
      <c r="C51" s="102">
        <v>100000</v>
      </c>
      <c r="D51" s="102">
        <v>0</v>
      </c>
      <c r="E51" s="102">
        <v>0</v>
      </c>
      <c r="F51" s="102">
        <v>0</v>
      </c>
      <c r="G51" s="102">
        <v>750</v>
      </c>
      <c r="H51" s="102">
        <v>900</v>
      </c>
      <c r="I51" s="103">
        <v>5</v>
      </c>
      <c r="J51" s="103">
        <v>0.05</v>
      </c>
      <c r="K51" s="103">
        <v>0.15</v>
      </c>
      <c r="L51" s="103">
        <v>240</v>
      </c>
      <c r="M51" s="103">
        <v>0.8</v>
      </c>
      <c r="N51" s="103">
        <v>0.05</v>
      </c>
      <c r="O51" s="102" t="s">
        <v>1126</v>
      </c>
      <c r="P51" s="91">
        <f t="shared" si="9"/>
        <v>99999</v>
      </c>
      <c r="Q51" s="91">
        <f t="shared" si="10"/>
        <v>750</v>
      </c>
      <c r="R51" s="91">
        <f t="shared" si="11"/>
        <v>150</v>
      </c>
      <c r="S51" s="91">
        <f t="shared" si="3"/>
        <v>749</v>
      </c>
      <c r="T51" s="91">
        <f t="shared" si="4"/>
        <v>151</v>
      </c>
      <c r="U51" s="102" t="s">
        <v>1251</v>
      </c>
      <c r="V51" s="102"/>
      <c r="W51" s="92" t="str">
        <f t="shared" ca="1" si="5"/>
        <v>ModelInfo.rg(UTID_FEL_WAR_BRINGER,ATT_NON,99999,750,150,5,0.05,0.15,240,0.8,0.05,CAREER_TYPE_CREEP,"ReplaceableTextures\\CommandButtons\\BTNChaosKotoBeast.blp");</v>
      </c>
    </row>
    <row r="52" spans="1:23">
      <c r="A52" s="128" t="s">
        <v>1128</v>
      </c>
      <c r="B52" s="102" t="s">
        <v>1127</v>
      </c>
      <c r="C52" s="102">
        <v>45000</v>
      </c>
      <c r="D52" s="102">
        <v>0</v>
      </c>
      <c r="E52" s="102">
        <v>0</v>
      </c>
      <c r="F52" s="102">
        <v>0</v>
      </c>
      <c r="G52" s="102">
        <v>400</v>
      </c>
      <c r="H52" s="102">
        <v>600</v>
      </c>
      <c r="I52" s="103">
        <v>5</v>
      </c>
      <c r="J52" s="103">
        <v>0.05</v>
      </c>
      <c r="K52" s="103">
        <v>0</v>
      </c>
      <c r="L52" s="103">
        <v>0</v>
      </c>
      <c r="M52" s="103">
        <v>1</v>
      </c>
      <c r="N52" s="103">
        <v>0.05</v>
      </c>
      <c r="O52" s="102" t="s">
        <v>1126</v>
      </c>
      <c r="P52" s="91">
        <f t="shared" si="9"/>
        <v>44999</v>
      </c>
      <c r="Q52" s="91">
        <f t="shared" si="10"/>
        <v>400</v>
      </c>
      <c r="R52" s="91">
        <f t="shared" si="11"/>
        <v>200</v>
      </c>
      <c r="S52" s="91">
        <f t="shared" si="3"/>
        <v>399</v>
      </c>
      <c r="T52" s="91">
        <f t="shared" si="4"/>
        <v>201</v>
      </c>
      <c r="U52" s="102" t="s">
        <v>1125</v>
      </c>
      <c r="V52" s="102"/>
      <c r="W52" s="92" t="str">
        <f t="shared" ca="1" si="5"/>
        <v>ModelInfo.rg(UTID_DEMONIC_WITCH,ATT_NON,44999,400,200,5,0.05,0,0,1,0.05,CAREER_TYPE_CREEP,"ReplaceableTextures\\CommandButtons\\BTNChaosWarlock.blp");</v>
      </c>
    </row>
    <row r="53" spans="1:23">
      <c r="A53" s="130" t="s">
        <v>1314</v>
      </c>
      <c r="B53" s="102" t="s">
        <v>1127</v>
      </c>
      <c r="C53" s="102">
        <v>87500</v>
      </c>
      <c r="D53" s="102">
        <v>0</v>
      </c>
      <c r="E53" s="102">
        <v>0</v>
      </c>
      <c r="F53" s="102">
        <v>0</v>
      </c>
      <c r="G53" s="102">
        <v>700</v>
      </c>
      <c r="H53" s="102">
        <v>1000</v>
      </c>
      <c r="I53" s="103">
        <v>5</v>
      </c>
      <c r="J53" s="103">
        <v>0.05</v>
      </c>
      <c r="K53" s="103">
        <v>0</v>
      </c>
      <c r="L53" s="103">
        <v>0</v>
      </c>
      <c r="M53" s="103">
        <v>1</v>
      </c>
      <c r="N53" s="103">
        <v>0.05</v>
      </c>
      <c r="O53" s="102" t="s">
        <v>1126</v>
      </c>
      <c r="P53" s="91">
        <f t="shared" si="9"/>
        <v>87499</v>
      </c>
      <c r="Q53" s="91">
        <f t="shared" si="10"/>
        <v>700</v>
      </c>
      <c r="R53" s="91">
        <f t="shared" si="11"/>
        <v>300</v>
      </c>
      <c r="S53" s="91">
        <f t="shared" si="3"/>
        <v>699</v>
      </c>
      <c r="T53" s="91">
        <f t="shared" si="4"/>
        <v>301</v>
      </c>
      <c r="U53" s="102" t="s">
        <v>1315</v>
      </c>
      <c r="V53" s="102"/>
      <c r="W53" s="92" t="str">
        <f t="shared" ca="1" si="5"/>
        <v>ModelInfo.rg(UTID_NOXIOUS_SPIDER,ATT_NON,87499,700,300,5,0.05,0,0,1,0.05,CAREER_TYPE_CREEP,"ReplaceableTextures\\CommandButtons\\BTNCryptFiend.blp");</v>
      </c>
    </row>
    <row r="54" spans="1:23">
      <c r="A54" s="130" t="s">
        <v>1303</v>
      </c>
      <c r="B54" s="102" t="s">
        <v>1127</v>
      </c>
      <c r="C54" s="102">
        <v>55000</v>
      </c>
      <c r="D54" s="102">
        <v>0</v>
      </c>
      <c r="E54" s="102">
        <v>0</v>
      </c>
      <c r="F54" s="102">
        <v>0</v>
      </c>
      <c r="G54" s="102">
        <v>300</v>
      </c>
      <c r="H54" s="102">
        <v>400</v>
      </c>
      <c r="I54" s="103">
        <v>0</v>
      </c>
      <c r="J54" s="103">
        <v>0.05</v>
      </c>
      <c r="K54" s="103">
        <v>0</v>
      </c>
      <c r="L54" s="103">
        <v>0</v>
      </c>
      <c r="M54" s="103">
        <v>0.95</v>
      </c>
      <c r="N54" s="103">
        <v>0.05</v>
      </c>
      <c r="O54" s="102" t="s">
        <v>1126</v>
      </c>
      <c r="P54" s="91">
        <f t="shared" si="9"/>
        <v>54999</v>
      </c>
      <c r="Q54" s="91">
        <f t="shared" si="10"/>
        <v>300</v>
      </c>
      <c r="R54" s="91">
        <f t="shared" si="11"/>
        <v>100</v>
      </c>
      <c r="S54" s="91">
        <f t="shared" si="3"/>
        <v>299</v>
      </c>
      <c r="T54" s="91">
        <f t="shared" si="4"/>
        <v>101</v>
      </c>
      <c r="U54" s="102" t="s">
        <v>1304</v>
      </c>
      <c r="V54" s="102"/>
      <c r="W54" s="92" t="str">
        <f t="shared" ca="1" si="5"/>
        <v>ModelInfo.rg(UTID_PARASITICAL_ROACH,ATT_NON,54999,300,100,0,0.05,0,0,0.95,0.05,CAREER_TYPE_CREEP,"ReplaceableTextures\\CommandButtons\\BTNCarrionScarabs.blp");</v>
      </c>
    </row>
    <row r="55" spans="1:23">
      <c r="A55" s="130" t="s">
        <v>1300</v>
      </c>
      <c r="B55" s="102" t="s">
        <v>1127</v>
      </c>
      <c r="C55" s="102">
        <v>95000</v>
      </c>
      <c r="D55" s="102">
        <v>0</v>
      </c>
      <c r="E55" s="102">
        <v>0</v>
      </c>
      <c r="F55" s="102">
        <v>0</v>
      </c>
      <c r="G55" s="102">
        <v>400</v>
      </c>
      <c r="H55" s="102">
        <v>700</v>
      </c>
      <c r="I55" s="103">
        <v>5</v>
      </c>
      <c r="J55" s="103">
        <v>0</v>
      </c>
      <c r="K55" s="103">
        <v>0</v>
      </c>
      <c r="L55" s="103">
        <v>0</v>
      </c>
      <c r="M55" s="103">
        <v>1</v>
      </c>
      <c r="N55" s="103">
        <v>0.05</v>
      </c>
      <c r="O55" s="102" t="s">
        <v>1126</v>
      </c>
      <c r="P55" s="91">
        <f t="shared" si="9"/>
        <v>94999</v>
      </c>
      <c r="Q55" s="91">
        <f t="shared" si="10"/>
        <v>400</v>
      </c>
      <c r="R55" s="91">
        <f t="shared" si="11"/>
        <v>300</v>
      </c>
      <c r="S55" s="91">
        <f t="shared" si="3"/>
        <v>399</v>
      </c>
      <c r="T55" s="91">
        <f t="shared" si="4"/>
        <v>301</v>
      </c>
      <c r="U55" s="102" t="s">
        <v>1301</v>
      </c>
      <c r="V55" s="102"/>
      <c r="W55" s="92" t="str">
        <f t="shared" ca="1" si="5"/>
        <v>ModelInfo.rg(UTID_ZOMBIE,ATT_NON,94999,400,300,5,0,0,0,1,0.05,CAREER_TYPE_CREEP,"ReplaceableTextures\\CommandButtons\\BTNZombie.blp");</v>
      </c>
    </row>
    <row r="56" spans="1:23">
      <c r="A56" s="130" t="s">
        <v>1298</v>
      </c>
      <c r="B56" s="102" t="s">
        <v>1127</v>
      </c>
      <c r="C56" s="102">
        <v>100000</v>
      </c>
      <c r="D56" s="102">
        <v>0</v>
      </c>
      <c r="E56" s="102">
        <v>0</v>
      </c>
      <c r="F56" s="102">
        <v>0</v>
      </c>
      <c r="G56" s="102">
        <v>500</v>
      </c>
      <c r="H56" s="102">
        <v>500</v>
      </c>
      <c r="I56" s="103">
        <v>30</v>
      </c>
      <c r="J56" s="103">
        <v>0</v>
      </c>
      <c r="K56" s="103">
        <v>0</v>
      </c>
      <c r="L56" s="103">
        <v>0</v>
      </c>
      <c r="M56" s="103">
        <v>0.7</v>
      </c>
      <c r="N56" s="103">
        <v>0</v>
      </c>
      <c r="O56" s="102" t="s">
        <v>1126</v>
      </c>
      <c r="P56" s="91">
        <f t="shared" si="9"/>
        <v>99999</v>
      </c>
      <c r="Q56" s="91">
        <f t="shared" si="10"/>
        <v>500</v>
      </c>
      <c r="R56" s="91">
        <f t="shared" si="11"/>
        <v>0</v>
      </c>
      <c r="S56" s="91">
        <f t="shared" si="3"/>
        <v>499</v>
      </c>
      <c r="T56" s="91">
        <f t="shared" si="4"/>
        <v>1</v>
      </c>
      <c r="U56" s="102" t="s">
        <v>1299</v>
      </c>
      <c r="V56" s="102"/>
      <c r="W56" s="92" t="str">
        <f t="shared" ca="1" si="5"/>
        <v>ModelInfo.rg(UTID_OBSIDIAN_CONSTRUCT,ATT_NON,99999,500,0,30,0,0,0,0.7,0,CAREER_TYPE_CREEP,"ReplaceableTextures\\CommandButtons\\BTNObsidianStatue.blp");</v>
      </c>
    </row>
    <row r="57" spans="1:23">
      <c r="A57" s="130" t="s">
        <v>1296</v>
      </c>
      <c r="B57" s="102" t="s">
        <v>1127</v>
      </c>
      <c r="C57" s="102">
        <v>125000</v>
      </c>
      <c r="D57" s="102">
        <v>0</v>
      </c>
      <c r="E57" s="102">
        <v>0</v>
      </c>
      <c r="F57" s="102">
        <v>0</v>
      </c>
      <c r="G57" s="102">
        <v>800</v>
      </c>
      <c r="H57" s="102">
        <v>1000</v>
      </c>
      <c r="I57" s="103">
        <v>10</v>
      </c>
      <c r="J57" s="103">
        <v>0.05</v>
      </c>
      <c r="K57" s="103">
        <v>0</v>
      </c>
      <c r="L57" s="103">
        <v>0</v>
      </c>
      <c r="M57" s="103">
        <v>0.9</v>
      </c>
      <c r="N57" s="103">
        <v>0.05</v>
      </c>
      <c r="O57" s="102" t="s">
        <v>1126</v>
      </c>
      <c r="P57" s="91">
        <f t="shared" si="9"/>
        <v>124999</v>
      </c>
      <c r="Q57" s="91">
        <f t="shared" si="10"/>
        <v>800</v>
      </c>
      <c r="R57" s="91">
        <f t="shared" si="11"/>
        <v>200</v>
      </c>
      <c r="S57" s="91">
        <f t="shared" si="3"/>
        <v>799</v>
      </c>
      <c r="T57" s="91">
        <f t="shared" si="4"/>
        <v>201</v>
      </c>
      <c r="U57" s="102" t="s">
        <v>1297</v>
      </c>
      <c r="V57" s="102"/>
      <c r="W57" s="92" t="str">
        <f t="shared" ca="1" si="5"/>
        <v>ModelInfo.rg(UTID_DRACOLICH,ATT_NON,124999,800,200,10,0.05,0,0,0.9,0.05,CAREER_TYPE_CREEP,"ReplaceableTextures\\CommandButtons\\BTNFrostWyrm.blp");</v>
      </c>
    </row>
    <row r="58" spans="1:23">
      <c r="A58" s="131" t="s">
        <v>1446</v>
      </c>
      <c r="B58" s="102" t="s">
        <v>1127</v>
      </c>
      <c r="C58" s="102">
        <v>100000</v>
      </c>
      <c r="D58" s="102">
        <v>0</v>
      </c>
      <c r="E58" s="102">
        <v>0</v>
      </c>
      <c r="F58" s="102">
        <v>0</v>
      </c>
      <c r="G58" s="102">
        <v>950</v>
      </c>
      <c r="H58" s="102">
        <v>1000</v>
      </c>
      <c r="I58" s="103">
        <v>20</v>
      </c>
      <c r="J58" s="103">
        <v>0.05</v>
      </c>
      <c r="K58" s="103">
        <v>0</v>
      </c>
      <c r="L58" s="103">
        <v>0</v>
      </c>
      <c r="M58" s="103">
        <v>1</v>
      </c>
      <c r="N58" s="103">
        <v>0.01</v>
      </c>
      <c r="O58" s="102" t="s">
        <v>1126</v>
      </c>
      <c r="P58" s="91">
        <f t="shared" si="9"/>
        <v>99999</v>
      </c>
      <c r="Q58" s="91">
        <f t="shared" si="10"/>
        <v>950</v>
      </c>
      <c r="R58" s="91">
        <f t="shared" si="11"/>
        <v>50</v>
      </c>
      <c r="S58" s="91">
        <f t="shared" si="3"/>
        <v>949</v>
      </c>
      <c r="T58" s="91">
        <f t="shared" si="4"/>
        <v>51</v>
      </c>
      <c r="U58" s="102" t="s">
        <v>1447</v>
      </c>
      <c r="V58" s="102"/>
      <c r="W58" s="92" t="str">
        <f t="shared" ca="1" si="5"/>
        <v>ModelInfo.rg(UTID_VOID_WALKER,ATT_NON,99999,950,50,20,0.05,0,0,1,0.01,CAREER_TYPE_CREEP,"ReplaceableTextures\\CommandButtons\\BTNVoidWalker.blp");</v>
      </c>
    </row>
    <row r="59" spans="1:23">
      <c r="A59" s="131" t="s">
        <v>1860</v>
      </c>
      <c r="B59" s="102" t="s">
        <v>1127</v>
      </c>
      <c r="C59" s="102">
        <v>70000</v>
      </c>
      <c r="D59" s="102">
        <v>0</v>
      </c>
      <c r="E59" s="102">
        <v>0</v>
      </c>
      <c r="F59" s="102">
        <v>0</v>
      </c>
      <c r="G59" s="102">
        <v>550</v>
      </c>
      <c r="H59" s="102">
        <v>750</v>
      </c>
      <c r="I59" s="103">
        <v>5</v>
      </c>
      <c r="J59" s="103">
        <v>0.05</v>
      </c>
      <c r="K59" s="103">
        <v>0</v>
      </c>
      <c r="L59" s="103">
        <v>0</v>
      </c>
      <c r="M59" s="103">
        <v>1</v>
      </c>
      <c r="N59" s="103">
        <v>0.01</v>
      </c>
      <c r="O59" s="102" t="s">
        <v>1126</v>
      </c>
      <c r="P59" s="91">
        <f t="shared" si="9"/>
        <v>69999</v>
      </c>
      <c r="Q59" s="91">
        <f t="shared" si="10"/>
        <v>550</v>
      </c>
      <c r="R59" s="91">
        <f t="shared" si="11"/>
        <v>200</v>
      </c>
      <c r="S59" s="91">
        <f t="shared" si="3"/>
        <v>549</v>
      </c>
      <c r="T59" s="91">
        <f t="shared" si="4"/>
        <v>201</v>
      </c>
      <c r="U59" s="102" t="s">
        <v>1861</v>
      </c>
      <c r="V59" s="102"/>
      <c r="W59" s="92" t="str">
        <f t="shared" ca="1" si="5"/>
        <v>ModelInfo.rg(UTID_FEL_HOUND,ATT_NON,69999,550,200,5,0.05,0,0,1,0.01,CAREER_TYPE_CREEP,"ReplaceableTextures\\CommandButtons\\BTNPurpleFelhound.blp");</v>
      </c>
    </row>
    <row r="60" spans="1:23">
      <c r="A60" s="132" t="s">
        <v>1864</v>
      </c>
      <c r="B60" s="102" t="s">
        <v>1127</v>
      </c>
      <c r="C60" s="102">
        <v>90000</v>
      </c>
      <c r="D60" s="102">
        <v>0</v>
      </c>
      <c r="E60" s="102">
        <v>0</v>
      </c>
      <c r="F60" s="102">
        <v>0</v>
      </c>
      <c r="G60" s="102">
        <v>800</v>
      </c>
      <c r="H60" s="102">
        <v>1100</v>
      </c>
      <c r="I60" s="103">
        <v>5</v>
      </c>
      <c r="J60" s="103">
        <v>0.2</v>
      </c>
      <c r="K60" s="103">
        <v>0</v>
      </c>
      <c r="L60" s="103">
        <v>0</v>
      </c>
      <c r="M60" s="103">
        <v>0.9</v>
      </c>
      <c r="N60" s="103">
        <v>0.1</v>
      </c>
      <c r="O60" s="102" t="s">
        <v>1126</v>
      </c>
      <c r="P60" s="91">
        <f t="shared" si="9"/>
        <v>89999</v>
      </c>
      <c r="Q60" s="91">
        <f t="shared" si="10"/>
        <v>800</v>
      </c>
      <c r="R60" s="91">
        <f t="shared" si="11"/>
        <v>300</v>
      </c>
      <c r="S60" s="91">
        <f t="shared" si="3"/>
        <v>799</v>
      </c>
      <c r="T60" s="91">
        <f t="shared" si="4"/>
        <v>301</v>
      </c>
      <c r="U60" s="104" t="s">
        <v>1865</v>
      </c>
      <c r="V60" s="102"/>
      <c r="W60" s="92" t="str">
        <f t="shared" ca="1" si="5"/>
        <v>ModelInfo.rg(UTID_MAID_OF_AGONY,ATT_NON,89999,800,300,5,0.2,0,0,0.9,0.1,CAREER_TYPE_CREEP,"ReplaceableTextures\\CommandButtons\\BTNBlueDemoness.blp");</v>
      </c>
    </row>
    <row r="61" spans="1:23">
      <c r="A61" s="132" t="s">
        <v>1866</v>
      </c>
      <c r="B61" s="102" t="s">
        <v>1127</v>
      </c>
      <c r="C61" s="102">
        <v>180000</v>
      </c>
      <c r="D61" s="102">
        <v>0</v>
      </c>
      <c r="E61" s="102">
        <v>0</v>
      </c>
      <c r="F61" s="102">
        <v>0</v>
      </c>
      <c r="G61" s="102">
        <v>750</v>
      </c>
      <c r="H61" s="102">
        <v>1100</v>
      </c>
      <c r="I61" s="103">
        <v>0</v>
      </c>
      <c r="J61" s="103">
        <v>0.1</v>
      </c>
      <c r="K61" s="103">
        <v>0</v>
      </c>
      <c r="L61" s="103">
        <v>0</v>
      </c>
      <c r="M61" s="103">
        <v>0.8</v>
      </c>
      <c r="N61" s="103">
        <v>0.01</v>
      </c>
      <c r="O61" s="102" t="s">
        <v>1126</v>
      </c>
      <c r="P61" s="91">
        <f t="shared" si="9"/>
        <v>179999</v>
      </c>
      <c r="Q61" s="91">
        <f t="shared" si="10"/>
        <v>750</v>
      </c>
      <c r="R61" s="91">
        <f t="shared" si="11"/>
        <v>350</v>
      </c>
      <c r="S61" s="91">
        <f t="shared" si="3"/>
        <v>749</v>
      </c>
      <c r="T61" s="91">
        <f t="shared" si="4"/>
        <v>351</v>
      </c>
      <c r="U61" s="104" t="s">
        <v>1867</v>
      </c>
      <c r="V61" s="102"/>
      <c r="W61" s="92" t="str">
        <f t="shared" ca="1" si="5"/>
        <v>ModelInfo.rg(UTID_NETHER_DRAKE,ATT_NON,179999,750,350,0,0.1,0,0,0.8,0.01,CAREER_TYPE_CREEP,"ReplaceableTextures\\CommandButtons\\BTNNetherDragon.blp");</v>
      </c>
    </row>
    <row r="62" spans="1:23">
      <c r="A62" s="132" t="s">
        <v>1870</v>
      </c>
      <c r="B62" s="102" t="s">
        <v>1127</v>
      </c>
      <c r="C62" s="102">
        <v>60000</v>
      </c>
      <c r="D62" s="102">
        <v>0</v>
      </c>
      <c r="E62" s="102">
        <v>0</v>
      </c>
      <c r="F62" s="102">
        <v>0</v>
      </c>
      <c r="G62" s="102">
        <v>300</v>
      </c>
      <c r="H62" s="102">
        <v>600</v>
      </c>
      <c r="I62" s="103">
        <v>0</v>
      </c>
      <c r="J62" s="103">
        <v>0.03</v>
      </c>
      <c r="K62" s="103">
        <v>0</v>
      </c>
      <c r="L62" s="103">
        <v>0</v>
      </c>
      <c r="M62" s="103">
        <v>1</v>
      </c>
      <c r="N62" s="103">
        <v>0</v>
      </c>
      <c r="O62" s="102" t="s">
        <v>1126</v>
      </c>
      <c r="P62" s="91">
        <f t="shared" si="9"/>
        <v>59999</v>
      </c>
      <c r="Q62" s="91">
        <f t="shared" si="10"/>
        <v>300</v>
      </c>
      <c r="R62" s="91">
        <f t="shared" si="11"/>
        <v>300</v>
      </c>
      <c r="S62" s="91">
        <f t="shared" si="3"/>
        <v>299</v>
      </c>
      <c r="T62" s="91">
        <f t="shared" si="4"/>
        <v>301</v>
      </c>
      <c r="U62" s="104" t="s">
        <v>1867</v>
      </c>
      <c r="V62" s="102"/>
      <c r="W62" s="92" t="str">
        <f t="shared" ca="1" si="5"/>
        <v>ModelInfo.rg(UTID_NETHER_HATCHLING,ATT_NON,59999,300,300,0,0.03,0,0,1,0,CAREER_TYPE_CREEP,"ReplaceableTextures\\CommandButtons\\BTNNetherDragon.blp");</v>
      </c>
    </row>
    <row r="63" spans="1:23">
      <c r="A63" s="131" t="s">
        <v>1305</v>
      </c>
      <c r="B63" s="102" t="s">
        <v>1127</v>
      </c>
      <c r="C63" s="102">
        <v>220000</v>
      </c>
      <c r="D63" s="102">
        <v>0</v>
      </c>
      <c r="E63" s="102">
        <v>0</v>
      </c>
      <c r="F63" s="102">
        <v>0</v>
      </c>
      <c r="G63" s="102">
        <v>900</v>
      </c>
      <c r="H63" s="102">
        <v>1200</v>
      </c>
      <c r="I63" s="103">
        <v>10</v>
      </c>
      <c r="J63" s="103">
        <v>0.05</v>
      </c>
      <c r="K63" s="103">
        <v>10</v>
      </c>
      <c r="L63" s="103">
        <v>150</v>
      </c>
      <c r="M63" s="103">
        <v>1</v>
      </c>
      <c r="N63" s="103">
        <v>0.1</v>
      </c>
      <c r="O63" s="102" t="s">
        <v>1126</v>
      </c>
      <c r="P63" s="91">
        <f t="shared" si="9"/>
        <v>219999</v>
      </c>
      <c r="Q63" s="91">
        <f t="shared" si="10"/>
        <v>900</v>
      </c>
      <c r="R63" s="91">
        <f t="shared" si="11"/>
        <v>300</v>
      </c>
      <c r="S63" s="91">
        <f t="shared" si="3"/>
        <v>899</v>
      </c>
      <c r="T63" s="91">
        <f t="shared" si="4"/>
        <v>301</v>
      </c>
      <c r="U63" s="102" t="s">
        <v>1306</v>
      </c>
      <c r="V63" s="102"/>
      <c r="W63" s="92" t="str">
        <f t="shared" ca="1" si="5"/>
        <v>ModelInfo.rg(UTID_INFERNO_CONSTRUCT,ATT_NON,219999,900,300,10,0.05,10,150,1,0.1,CAREER_TYPE_CREEP,"ReplaceableTextures\\CommandButtons\\BTNInfernal.blp");</v>
      </c>
    </row>
    <row r="64" spans="1:23">
      <c r="A64" s="133" t="s">
        <v>1873</v>
      </c>
      <c r="B64" s="102" t="s">
        <v>1127</v>
      </c>
      <c r="C64" s="102">
        <v>150000</v>
      </c>
      <c r="D64" s="102">
        <v>0</v>
      </c>
      <c r="E64" s="102">
        <v>0</v>
      </c>
      <c r="F64" s="102">
        <v>0</v>
      </c>
      <c r="G64" s="102">
        <v>1200</v>
      </c>
      <c r="H64" s="102">
        <v>1500</v>
      </c>
      <c r="I64" s="103">
        <v>5</v>
      </c>
      <c r="J64" s="103">
        <v>0.01</v>
      </c>
      <c r="K64" s="103">
        <v>0</v>
      </c>
      <c r="L64" s="103">
        <v>0</v>
      </c>
      <c r="M64" s="103">
        <v>1</v>
      </c>
      <c r="N64" s="103">
        <v>0.01</v>
      </c>
      <c r="O64" s="102" t="s">
        <v>1126</v>
      </c>
      <c r="P64" s="91">
        <f t="shared" si="9"/>
        <v>149999</v>
      </c>
      <c r="Q64" s="91">
        <f t="shared" si="10"/>
        <v>1200</v>
      </c>
      <c r="R64" s="91">
        <f t="shared" si="11"/>
        <v>300</v>
      </c>
      <c r="S64" s="91">
        <f t="shared" si="3"/>
        <v>1199</v>
      </c>
      <c r="T64" s="91">
        <f t="shared" si="4"/>
        <v>301</v>
      </c>
      <c r="U64" s="104" t="s">
        <v>1874</v>
      </c>
      <c r="V64" s="102"/>
      <c r="W64" s="92" t="str">
        <f t="shared" ca="1" si="5"/>
        <v>ModelInfo.rg(UTID_FOREST_TROLL,ATT_NON,149999,1200,300,5,0.01,0,0,1,0.01,CAREER_TYPE_CREEP,"ReplaceableTextures\\CommandButtons\\BTNFurbolgTracker.blp");</v>
      </c>
    </row>
    <row r="65" spans="1:23">
      <c r="A65" s="133" t="s">
        <v>1875</v>
      </c>
      <c r="B65" s="102" t="s">
        <v>1127</v>
      </c>
      <c r="C65" s="102">
        <v>150000</v>
      </c>
      <c r="D65" s="102">
        <v>0</v>
      </c>
      <c r="E65" s="102">
        <v>0</v>
      </c>
      <c r="F65" s="102">
        <v>0</v>
      </c>
      <c r="G65" s="102">
        <v>1200</v>
      </c>
      <c r="H65" s="102">
        <v>1400</v>
      </c>
      <c r="I65" s="103">
        <v>5</v>
      </c>
      <c r="J65" s="103">
        <v>0.01</v>
      </c>
      <c r="K65" s="103">
        <v>0</v>
      </c>
      <c r="L65" s="103">
        <v>0</v>
      </c>
      <c r="M65" s="103">
        <v>1</v>
      </c>
      <c r="N65" s="103">
        <v>0.05</v>
      </c>
      <c r="O65" s="102" t="s">
        <v>1126</v>
      </c>
      <c r="P65" s="91">
        <f t="shared" si="9"/>
        <v>149999</v>
      </c>
      <c r="Q65" s="91">
        <f t="shared" si="10"/>
        <v>1200</v>
      </c>
      <c r="R65" s="91">
        <f t="shared" si="11"/>
        <v>200</v>
      </c>
      <c r="S65" s="91">
        <f t="shared" si="3"/>
        <v>1199</v>
      </c>
      <c r="T65" s="91">
        <f t="shared" si="4"/>
        <v>201</v>
      </c>
      <c r="U65" s="104" t="s">
        <v>1876</v>
      </c>
      <c r="V65" s="102"/>
      <c r="W65" s="92" t="str">
        <f t="shared" ca="1" si="5"/>
        <v>ModelInfo.rg(UTID_CURSED_HUNTER,ATT_NON,149999,1200,200,5,0.01,0,0,1,0.05,CAREER_TYPE_CREEP,"ReplaceableTextures\\CommandButtons\\BTNHeadhunter.blp");</v>
      </c>
    </row>
    <row r="66" spans="1:23">
      <c r="A66" s="133" t="s">
        <v>1877</v>
      </c>
      <c r="B66" s="102" t="s">
        <v>1127</v>
      </c>
      <c r="C66" s="102">
        <v>120000</v>
      </c>
      <c r="D66" s="102">
        <v>0</v>
      </c>
      <c r="E66" s="102">
        <v>0</v>
      </c>
      <c r="F66" s="102">
        <v>0</v>
      </c>
      <c r="G66" s="102">
        <v>1000</v>
      </c>
      <c r="H66" s="102">
        <v>1200</v>
      </c>
      <c r="I66" s="103">
        <v>5</v>
      </c>
      <c r="J66" s="103">
        <v>0.01</v>
      </c>
      <c r="K66" s="103">
        <v>0</v>
      </c>
      <c r="L66" s="103">
        <v>0</v>
      </c>
      <c r="M66" s="103">
        <v>0.9</v>
      </c>
      <c r="N66" s="103">
        <v>0.01</v>
      </c>
      <c r="O66" s="102" t="s">
        <v>1126</v>
      </c>
      <c r="P66" s="91">
        <f t="shared" si="9"/>
        <v>119999</v>
      </c>
      <c r="Q66" s="91">
        <f t="shared" si="10"/>
        <v>1000</v>
      </c>
      <c r="R66" s="91">
        <f t="shared" si="11"/>
        <v>200</v>
      </c>
      <c r="S66" s="91">
        <f t="shared" si="3"/>
        <v>999</v>
      </c>
      <c r="T66" s="91">
        <f t="shared" si="4"/>
        <v>201</v>
      </c>
      <c r="U66" s="104" t="s">
        <v>1878</v>
      </c>
      <c r="V66" s="102"/>
      <c r="W66" s="92" t="str">
        <f t="shared" ca="1" si="5"/>
        <v>ModelInfo.rg(UTID_DERANGED_PRIEST,ATT_NON,119999,1000,200,5,0.01,0,0,0.9,0.01,CAREER_TYPE_CREEP,"ReplaceableTextures\\CommandButtons\\BTNWitchDoctor.blp");</v>
      </c>
    </row>
    <row r="67" spans="1:23">
      <c r="A67" s="129" t="s">
        <v>1849</v>
      </c>
      <c r="B67" s="102" t="s">
        <v>1127</v>
      </c>
      <c r="C67" s="102">
        <v>140000</v>
      </c>
      <c r="D67" s="102">
        <v>0</v>
      </c>
      <c r="E67" s="102">
        <v>0</v>
      </c>
      <c r="F67" s="102">
        <v>0</v>
      </c>
      <c r="G67" s="102">
        <v>1100</v>
      </c>
      <c r="H67" s="102">
        <v>1400</v>
      </c>
      <c r="I67" s="103">
        <v>5</v>
      </c>
      <c r="J67" s="103">
        <v>0.05</v>
      </c>
      <c r="K67" s="103">
        <v>0</v>
      </c>
      <c r="L67" s="103">
        <v>0</v>
      </c>
      <c r="M67" s="103">
        <v>1</v>
      </c>
      <c r="N67" s="103">
        <v>0.05</v>
      </c>
      <c r="O67" s="102" t="s">
        <v>1126</v>
      </c>
      <c r="P67" s="91">
        <f t="shared" si="9"/>
        <v>139999</v>
      </c>
      <c r="Q67" s="91">
        <f t="shared" si="10"/>
        <v>1100</v>
      </c>
      <c r="R67" s="91">
        <f t="shared" si="11"/>
        <v>300</v>
      </c>
      <c r="S67" s="91">
        <f t="shared" si="3"/>
        <v>1099</v>
      </c>
      <c r="T67" s="91">
        <f t="shared" si="4"/>
        <v>301</v>
      </c>
      <c r="U67" s="102" t="s">
        <v>1850</v>
      </c>
      <c r="V67" s="102"/>
      <c r="W67" s="92" t="str">
        <f t="shared" ca="1" si="5"/>
        <v>ModelInfo.rg(UTID_TWILIGHT_WITCH_DOCTOR,ATT_NON,139999,1100,300,5,0.05,0,0,1,0.05,CAREER_TYPE_CREEP,"ReplaceableTextures\\CommandButtons\\BTNDarkTrollShadowPriest.blp");</v>
      </c>
    </row>
    <row r="68" spans="1:23">
      <c r="A68" s="129" t="s">
        <v>1858</v>
      </c>
      <c r="B68" s="102" t="s">
        <v>1127</v>
      </c>
      <c r="C68" s="102">
        <v>200000</v>
      </c>
      <c r="D68" s="102">
        <v>0</v>
      </c>
      <c r="E68" s="102">
        <v>0</v>
      </c>
      <c r="F68" s="102">
        <v>0</v>
      </c>
      <c r="G68" s="102">
        <v>1</v>
      </c>
      <c r="H68" s="102">
        <v>1</v>
      </c>
      <c r="I68" s="103">
        <v>0</v>
      </c>
      <c r="J68" s="103">
        <v>0</v>
      </c>
      <c r="K68" s="103">
        <v>0</v>
      </c>
      <c r="L68" s="103">
        <v>0</v>
      </c>
      <c r="M68" s="103">
        <v>1</v>
      </c>
      <c r="N68" s="103">
        <v>0</v>
      </c>
      <c r="O68" s="102" t="s">
        <v>1126</v>
      </c>
      <c r="P68" s="91">
        <f t="shared" ref="P68" si="12">C68-1-D68*10</f>
        <v>199999</v>
      </c>
      <c r="Q68" s="91">
        <f t="shared" ref="Q68" si="13">G68-CHOOSE( IF( B68="ATT_AGI", 2, IF( B68="ATT_INT", 3, 1 ) ), D68, E68, F68 )</f>
        <v>1</v>
      </c>
      <c r="R68" s="91">
        <f t="shared" ref="R68" si="14">H68-G68</f>
        <v>0</v>
      </c>
      <c r="S68" s="91">
        <f t="shared" ref="S68" si="15">Q68-1</f>
        <v>0</v>
      </c>
      <c r="T68" s="91">
        <f t="shared" ref="T68" si="16">R68+1</f>
        <v>1</v>
      </c>
      <c r="U68" s="102" t="s">
        <v>1141</v>
      </c>
      <c r="V68" s="102"/>
      <c r="W68"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0"/>
  <sheetViews>
    <sheetView workbookViewId="0">
      <pane ySplit="1" topLeftCell="A149" activePane="bottomLeft" state="frozen"/>
      <selection pane="bottomLeft" activeCell="K178" sqref="K178"/>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1123</v>
      </c>
      <c r="B1" s="105" t="s">
        <v>1302</v>
      </c>
      <c r="C1" s="105" t="s">
        <v>1124</v>
      </c>
      <c r="D1" s="105" t="s">
        <v>1121</v>
      </c>
      <c r="E1" s="105" t="s">
        <v>1122</v>
      </c>
      <c r="F1" s="105" t="s">
        <v>3</v>
      </c>
      <c r="G1" s="105" t="s">
        <v>1120</v>
      </c>
      <c r="H1" s="105" t="s">
        <v>650</v>
      </c>
      <c r="I1" s="105" t="s">
        <v>1119</v>
      </c>
      <c r="J1" s="105" t="s">
        <v>1118</v>
      </c>
      <c r="K1" s="105" t="s">
        <v>1117</v>
      </c>
      <c r="L1" s="105"/>
      <c r="M1" s="105"/>
      <c r="N1" s="105"/>
      <c r="O1" s="105"/>
      <c r="P1" s="105"/>
      <c r="Q1" s="105"/>
      <c r="R1" s="105"/>
      <c r="S1" s="105"/>
      <c r="T1" s="105"/>
      <c r="U1" s="105"/>
      <c r="V1" s="105"/>
      <c r="W1" s="105"/>
      <c r="X1" s="105"/>
    </row>
    <row r="2" spans="1:24">
      <c r="A2" s="107" t="s">
        <v>1115</v>
      </c>
      <c r="B2" s="107">
        <v>0</v>
      </c>
      <c r="C2" s="107" t="s">
        <v>1116</v>
      </c>
      <c r="D2" s="107">
        <v>0</v>
      </c>
      <c r="E2" s="107">
        <v>0</v>
      </c>
      <c r="F2" s="107">
        <v>0</v>
      </c>
      <c r="G2" s="107">
        <v>0</v>
      </c>
      <c r="H2" s="107">
        <v>1</v>
      </c>
      <c r="I2" s="107" t="s">
        <v>652</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1112</v>
      </c>
      <c r="B3" s="107" t="s">
        <v>1114</v>
      </c>
      <c r="C3" s="107" t="s">
        <v>1113</v>
      </c>
      <c r="D3" s="107">
        <v>0</v>
      </c>
      <c r="E3" s="107">
        <v>0</v>
      </c>
      <c r="F3" s="107">
        <v>1</v>
      </c>
      <c r="G3" s="107">
        <v>0</v>
      </c>
      <c r="H3" s="107">
        <v>1</v>
      </c>
      <c r="I3" s="107" t="s">
        <v>652</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1109</v>
      </c>
      <c r="B4" s="107" t="s">
        <v>1111</v>
      </c>
      <c r="C4" s="107" t="s">
        <v>1110</v>
      </c>
      <c r="D4" s="107">
        <v>0</v>
      </c>
      <c r="E4" s="107">
        <v>0</v>
      </c>
      <c r="F4" s="107">
        <v>1</v>
      </c>
      <c r="G4" s="107">
        <v>0</v>
      </c>
      <c r="H4" s="107">
        <v>1</v>
      </c>
      <c r="I4" s="107" t="s">
        <v>849</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1106</v>
      </c>
      <c r="B5" s="107" t="s">
        <v>1108</v>
      </c>
      <c r="C5" s="107" t="s">
        <v>1107</v>
      </c>
      <c r="D5" s="107">
        <v>0</v>
      </c>
      <c r="E5" s="107">
        <v>0</v>
      </c>
      <c r="F5" s="107">
        <v>5</v>
      </c>
      <c r="G5" s="107">
        <v>852581</v>
      </c>
      <c r="H5" s="107">
        <v>1</v>
      </c>
      <c r="I5" s="107" t="s">
        <v>652</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1103</v>
      </c>
      <c r="B6" s="107" t="s">
        <v>1105</v>
      </c>
      <c r="C6" s="107" t="s">
        <v>1104</v>
      </c>
      <c r="D6" s="107">
        <v>0</v>
      </c>
      <c r="E6" s="107">
        <v>0</v>
      </c>
      <c r="F6" s="107">
        <v>5</v>
      </c>
      <c r="G6" s="107" t="s">
        <v>653</v>
      </c>
      <c r="H6" s="107">
        <v>1</v>
      </c>
      <c r="I6" s="107" t="s">
        <v>652</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595</v>
      </c>
      <c r="B7" s="109" t="s">
        <v>55</v>
      </c>
      <c r="C7" s="109" t="s">
        <v>6</v>
      </c>
      <c r="D7" s="109">
        <v>0</v>
      </c>
      <c r="E7" s="109">
        <v>30</v>
      </c>
      <c r="F7" s="109">
        <v>7</v>
      </c>
      <c r="G7" s="109">
        <v>852055</v>
      </c>
      <c r="H7" s="109">
        <v>1</v>
      </c>
      <c r="I7" s="109" t="s">
        <v>652</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596</v>
      </c>
      <c r="B8" s="109" t="s">
        <v>57</v>
      </c>
      <c r="C8" s="109" t="s">
        <v>12</v>
      </c>
      <c r="D8" s="109">
        <v>0</v>
      </c>
      <c r="E8" s="109">
        <v>20</v>
      </c>
      <c r="F8" s="109">
        <v>8</v>
      </c>
      <c r="G8" s="109">
        <v>852488</v>
      </c>
      <c r="H8" s="109">
        <v>1</v>
      </c>
      <c r="I8" s="109" t="s">
        <v>652</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597</v>
      </c>
      <c r="B9" s="109" t="s">
        <v>58</v>
      </c>
      <c r="C9" s="109" t="s">
        <v>17</v>
      </c>
      <c r="D9" s="109">
        <v>0</v>
      </c>
      <c r="E9" s="109">
        <v>10</v>
      </c>
      <c r="F9" s="109">
        <v>2</v>
      </c>
      <c r="G9" s="109">
        <v>852480</v>
      </c>
      <c r="H9" s="109">
        <v>1</v>
      </c>
      <c r="I9" s="109" t="s">
        <v>849</v>
      </c>
      <c r="J9" s="109" t="s">
        <v>1102</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598</v>
      </c>
      <c r="B10" s="109" t="s">
        <v>59</v>
      </c>
      <c r="C10" s="109" t="s">
        <v>18</v>
      </c>
      <c r="D10" s="109">
        <v>0</v>
      </c>
      <c r="E10" s="109">
        <v>0</v>
      </c>
      <c r="F10" s="109">
        <v>14</v>
      </c>
      <c r="G10" s="109">
        <v>852128</v>
      </c>
      <c r="H10" s="109">
        <v>1</v>
      </c>
      <c r="I10" s="109" t="s">
        <v>849</v>
      </c>
      <c r="J10" s="109" t="s">
        <v>1101</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599</v>
      </c>
      <c r="B11" s="109" t="s">
        <v>60</v>
      </c>
      <c r="C11" s="109" t="s">
        <v>19</v>
      </c>
      <c r="D11" s="109">
        <v>0</v>
      </c>
      <c r="E11" s="109">
        <v>0</v>
      </c>
      <c r="F11" s="109">
        <v>30</v>
      </c>
      <c r="G11" s="109">
        <v>852090</v>
      </c>
      <c r="H11" s="109">
        <v>1</v>
      </c>
      <c r="I11" s="109" t="s">
        <v>652</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1100</v>
      </c>
      <c r="B12" s="110" t="s">
        <v>269</v>
      </c>
      <c r="C12" s="110" t="s">
        <v>25</v>
      </c>
      <c r="D12" s="110">
        <v>0</v>
      </c>
      <c r="E12" s="110">
        <v>0</v>
      </c>
      <c r="F12" s="110">
        <v>1.5</v>
      </c>
      <c r="G12" s="110" t="s">
        <v>1099</v>
      </c>
      <c r="H12" s="110">
        <v>1</v>
      </c>
      <c r="I12" s="110" t="s">
        <v>849</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899</v>
      </c>
      <c r="B13" s="110" t="s">
        <v>270</v>
      </c>
      <c r="C13" s="110" t="s">
        <v>26</v>
      </c>
      <c r="D13" s="110">
        <v>0</v>
      </c>
      <c r="E13" s="110">
        <v>0</v>
      </c>
      <c r="F13" s="110">
        <v>5</v>
      </c>
      <c r="G13" s="110" t="s">
        <v>1011</v>
      </c>
      <c r="H13" s="110">
        <v>1</v>
      </c>
      <c r="I13" s="110" t="s">
        <v>652</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1098</v>
      </c>
      <c r="B14" s="110" t="s">
        <v>271</v>
      </c>
      <c r="C14" s="110" t="s">
        <v>30</v>
      </c>
      <c r="D14" s="110">
        <v>0</v>
      </c>
      <c r="E14" s="110">
        <v>0</v>
      </c>
      <c r="F14" s="110">
        <v>1</v>
      </c>
      <c r="G14" s="110" t="s">
        <v>995</v>
      </c>
      <c r="H14" s="110">
        <v>1</v>
      </c>
      <c r="I14" s="110" t="s">
        <v>652</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897</v>
      </c>
      <c r="B15" s="110" t="s">
        <v>272</v>
      </c>
      <c r="C15" s="110" t="s">
        <v>32</v>
      </c>
      <c r="D15" s="110">
        <v>0</v>
      </c>
      <c r="E15" s="110">
        <v>0</v>
      </c>
      <c r="F15" s="110">
        <v>15</v>
      </c>
      <c r="G15" s="110" t="s">
        <v>982</v>
      </c>
      <c r="H15" s="110">
        <v>1</v>
      </c>
      <c r="I15" s="110" t="s">
        <v>652</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1097</v>
      </c>
      <c r="B16" s="110" t="s">
        <v>273</v>
      </c>
      <c r="C16" s="110" t="s">
        <v>34</v>
      </c>
      <c r="D16" s="110">
        <v>0</v>
      </c>
      <c r="E16" s="110">
        <v>0</v>
      </c>
      <c r="F16" s="110">
        <v>60</v>
      </c>
      <c r="G16" s="110" t="s">
        <v>1085</v>
      </c>
      <c r="H16" s="110">
        <v>1</v>
      </c>
      <c r="I16" s="110" t="s">
        <v>652</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893</v>
      </c>
      <c r="B17" s="111" t="s">
        <v>308</v>
      </c>
      <c r="C17" s="111" t="s">
        <v>44</v>
      </c>
      <c r="D17" s="111">
        <v>0</v>
      </c>
      <c r="E17" s="111">
        <v>50</v>
      </c>
      <c r="F17" s="111">
        <v>1</v>
      </c>
      <c r="G17" s="111" t="s">
        <v>1085</v>
      </c>
      <c r="H17" s="111">
        <v>1</v>
      </c>
      <c r="I17" s="111" t="s">
        <v>849</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1096</v>
      </c>
      <c r="B18" s="111" t="s">
        <v>310</v>
      </c>
      <c r="C18" s="111" t="s">
        <v>45</v>
      </c>
      <c r="D18" s="111">
        <v>0</v>
      </c>
      <c r="E18" s="111">
        <v>75</v>
      </c>
      <c r="F18" s="111">
        <v>1</v>
      </c>
      <c r="G18" s="111" t="s">
        <v>1095</v>
      </c>
      <c r="H18" s="111">
        <v>1</v>
      </c>
      <c r="I18" s="111" t="s">
        <v>849</v>
      </c>
      <c r="J18" s="111" t="s">
        <v>1094</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1093</v>
      </c>
      <c r="B19" s="111" t="s">
        <v>311</v>
      </c>
      <c r="C19" s="111" t="s">
        <v>48</v>
      </c>
      <c r="D19" s="111">
        <v>3</v>
      </c>
      <c r="E19" s="111">
        <v>100</v>
      </c>
      <c r="F19" s="111">
        <v>0</v>
      </c>
      <c r="G19" s="111" t="s">
        <v>850</v>
      </c>
      <c r="H19" s="111">
        <v>1</v>
      </c>
      <c r="I19" s="111" t="s">
        <v>849</v>
      </c>
      <c r="J19" s="111" t="s">
        <v>1092</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1091</v>
      </c>
      <c r="B20" s="111" t="s">
        <v>312</v>
      </c>
      <c r="C20" s="111" t="s">
        <v>49</v>
      </c>
      <c r="D20" s="111">
        <v>0</v>
      </c>
      <c r="E20" s="111">
        <v>150</v>
      </c>
      <c r="F20" s="111">
        <v>11</v>
      </c>
      <c r="G20" s="111" t="s">
        <v>1090</v>
      </c>
      <c r="H20" s="111">
        <v>1</v>
      </c>
      <c r="I20" s="111" t="s">
        <v>849</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895</v>
      </c>
      <c r="B21" s="111" t="s">
        <v>313</v>
      </c>
      <c r="C21" s="111" t="s">
        <v>52</v>
      </c>
      <c r="D21" s="111">
        <v>8</v>
      </c>
      <c r="E21" s="111">
        <v>200</v>
      </c>
      <c r="F21" s="111">
        <v>40</v>
      </c>
      <c r="G21" s="111" t="s">
        <v>1089</v>
      </c>
      <c r="H21" s="111">
        <v>1</v>
      </c>
      <c r="I21" s="111" t="s">
        <v>652</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895</v>
      </c>
      <c r="B22" s="111" t="s">
        <v>1088</v>
      </c>
      <c r="C22" s="111" t="s">
        <v>52</v>
      </c>
      <c r="D22" s="111">
        <v>8</v>
      </c>
      <c r="E22" s="111">
        <v>200</v>
      </c>
      <c r="F22" s="111">
        <v>1</v>
      </c>
      <c r="G22" s="111" t="s">
        <v>653</v>
      </c>
      <c r="H22" s="111">
        <v>1</v>
      </c>
      <c r="I22" s="111" t="s">
        <v>652</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1086</v>
      </c>
      <c r="B23" s="112" t="s">
        <v>343</v>
      </c>
      <c r="C23" s="112" t="s">
        <v>86</v>
      </c>
      <c r="D23" s="112">
        <v>0</v>
      </c>
      <c r="E23" s="112">
        <v>50</v>
      </c>
      <c r="F23" s="112">
        <v>3.5</v>
      </c>
      <c r="G23" s="112" t="s">
        <v>978</v>
      </c>
      <c r="H23" s="112">
        <v>1</v>
      </c>
      <c r="I23" s="112" t="s">
        <v>849</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1086</v>
      </c>
      <c r="B24" s="112" t="s">
        <v>1087</v>
      </c>
      <c r="C24" s="112" t="s">
        <v>86</v>
      </c>
      <c r="D24" s="112">
        <v>0</v>
      </c>
      <c r="E24" s="112">
        <v>50</v>
      </c>
      <c r="F24" s="112">
        <v>2.2000000000000002</v>
      </c>
      <c r="G24" s="112" t="s">
        <v>1085</v>
      </c>
      <c r="H24" s="112">
        <v>1</v>
      </c>
      <c r="I24" s="112" t="s">
        <v>849</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891</v>
      </c>
      <c r="B25" s="112" t="s">
        <v>344</v>
      </c>
      <c r="C25" s="112" t="s">
        <v>92</v>
      </c>
      <c r="D25" s="112">
        <v>2.6</v>
      </c>
      <c r="E25" s="112">
        <v>100</v>
      </c>
      <c r="F25" s="112">
        <v>0</v>
      </c>
      <c r="G25" s="112" t="s">
        <v>1084</v>
      </c>
      <c r="H25" s="112">
        <v>1</v>
      </c>
      <c r="I25" s="112" t="s">
        <v>849</v>
      </c>
      <c r="J25" s="112" t="s">
        <v>1083</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891</v>
      </c>
      <c r="B26" s="112" t="s">
        <v>1082</v>
      </c>
      <c r="C26" s="112" t="s">
        <v>92</v>
      </c>
      <c r="D26" s="112">
        <v>0</v>
      </c>
      <c r="E26" s="112">
        <v>0</v>
      </c>
      <c r="F26" s="112">
        <v>1</v>
      </c>
      <c r="G26" s="112" t="s">
        <v>1081</v>
      </c>
      <c r="H26" s="112">
        <v>1</v>
      </c>
      <c r="I26" s="112" t="s">
        <v>849</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889</v>
      </c>
      <c r="B27" s="112" t="s">
        <v>345</v>
      </c>
      <c r="C27" s="112" t="s">
        <v>97</v>
      </c>
      <c r="D27" s="112">
        <v>0</v>
      </c>
      <c r="E27" s="112">
        <v>100</v>
      </c>
      <c r="F27" s="112">
        <v>15</v>
      </c>
      <c r="G27" s="112" t="s">
        <v>1080</v>
      </c>
      <c r="H27" s="112">
        <v>1</v>
      </c>
      <c r="I27" s="112" t="s">
        <v>849</v>
      </c>
      <c r="J27" s="112" t="s">
        <v>1079</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1078</v>
      </c>
      <c r="B28" s="112" t="s">
        <v>346</v>
      </c>
      <c r="C28" s="112" t="s">
        <v>102</v>
      </c>
      <c r="D28" s="112">
        <v>0</v>
      </c>
      <c r="E28" s="112">
        <v>50</v>
      </c>
      <c r="F28" s="112">
        <v>20</v>
      </c>
      <c r="G28" s="112" t="s">
        <v>1045</v>
      </c>
      <c r="H28" s="112">
        <v>1</v>
      </c>
      <c r="I28" s="112" t="s">
        <v>652</v>
      </c>
      <c r="J28" s="112" t="s">
        <v>1077</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1076</v>
      </c>
      <c r="B29" s="112" t="s">
        <v>347</v>
      </c>
      <c r="C29" s="112" t="s">
        <v>104</v>
      </c>
      <c r="D29" s="112">
        <v>0</v>
      </c>
      <c r="E29" s="112">
        <v>10</v>
      </c>
      <c r="F29" s="112">
        <v>10</v>
      </c>
      <c r="G29" s="112" t="s">
        <v>1075</v>
      </c>
      <c r="H29" s="112">
        <v>1</v>
      </c>
      <c r="I29" s="112" t="s">
        <v>849</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887</v>
      </c>
      <c r="B30" s="113" t="s">
        <v>429</v>
      </c>
      <c r="C30" s="113" t="s">
        <v>1074</v>
      </c>
      <c r="D30" s="113">
        <v>0</v>
      </c>
      <c r="E30" s="113">
        <v>75</v>
      </c>
      <c r="F30" s="113">
        <v>1</v>
      </c>
      <c r="G30" s="113">
        <v>852063</v>
      </c>
      <c r="H30" s="113">
        <v>1</v>
      </c>
      <c r="I30" s="113" t="s">
        <v>849</v>
      </c>
      <c r="J30" s="113" t="s">
        <v>1073</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1072</v>
      </c>
      <c r="B31" s="113" t="s">
        <v>430</v>
      </c>
      <c r="C31" s="113" t="s">
        <v>117</v>
      </c>
      <c r="D31" s="113">
        <v>2.4</v>
      </c>
      <c r="E31" s="113">
        <v>100</v>
      </c>
      <c r="F31" s="113">
        <v>0</v>
      </c>
      <c r="G31" s="113" t="s">
        <v>1008</v>
      </c>
      <c r="H31" s="113">
        <v>1</v>
      </c>
      <c r="I31" s="113" t="s">
        <v>934</v>
      </c>
      <c r="J31" s="113" t="s">
        <v>1071</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885</v>
      </c>
      <c r="B32" s="113" t="s">
        <v>431</v>
      </c>
      <c r="C32" s="113" t="s">
        <v>123</v>
      </c>
      <c r="D32" s="113">
        <v>0</v>
      </c>
      <c r="E32" s="113">
        <v>100</v>
      </c>
      <c r="F32" s="113">
        <v>4</v>
      </c>
      <c r="G32" s="113">
        <v>852055</v>
      </c>
      <c r="H32" s="113">
        <v>1</v>
      </c>
      <c r="I32" s="113" t="s">
        <v>849</v>
      </c>
      <c r="J32" s="113" t="s">
        <v>1070</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885</v>
      </c>
      <c r="B33" s="113" t="s">
        <v>1069</v>
      </c>
      <c r="C33" s="113" t="s">
        <v>123</v>
      </c>
      <c r="D33" s="113">
        <v>0</v>
      </c>
      <c r="E33" s="113">
        <v>0</v>
      </c>
      <c r="F33" s="113">
        <v>0</v>
      </c>
      <c r="G33" s="113">
        <v>1</v>
      </c>
      <c r="H33" s="113">
        <v>1</v>
      </c>
      <c r="I33" s="113" t="s">
        <v>849</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1068</v>
      </c>
      <c r="B34" s="113" t="s">
        <v>434</v>
      </c>
      <c r="C34" s="113" t="s">
        <v>128</v>
      </c>
      <c r="D34" s="113">
        <v>0</v>
      </c>
      <c r="E34" s="113">
        <v>75</v>
      </c>
      <c r="F34" s="113">
        <v>9</v>
      </c>
      <c r="G34" s="113">
        <v>852075</v>
      </c>
      <c r="H34" s="113">
        <v>1</v>
      </c>
      <c r="I34" s="113" t="s">
        <v>849</v>
      </c>
      <c r="J34" s="113" t="s">
        <v>1067</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1065</v>
      </c>
      <c r="B35" s="113" t="s">
        <v>438</v>
      </c>
      <c r="C35" s="113" t="s">
        <v>1066</v>
      </c>
      <c r="D35" s="113">
        <v>0</v>
      </c>
      <c r="E35" s="113">
        <v>45</v>
      </c>
      <c r="F35" s="113">
        <v>3</v>
      </c>
      <c r="G35" s="113">
        <v>852057</v>
      </c>
      <c r="H35" s="113">
        <v>1</v>
      </c>
      <c r="I35" s="113" t="s">
        <v>849</v>
      </c>
      <c r="J35" s="113" t="s">
        <v>1064</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879</v>
      </c>
      <c r="B36" s="114" t="s">
        <v>532</v>
      </c>
      <c r="C36" s="114" t="s">
        <v>147</v>
      </c>
      <c r="D36" s="114">
        <v>0</v>
      </c>
      <c r="E36" s="114">
        <v>4</v>
      </c>
      <c r="F36" s="114">
        <v>5</v>
      </c>
      <c r="G36" s="114" t="s">
        <v>985</v>
      </c>
      <c r="H36" s="114">
        <v>1</v>
      </c>
      <c r="I36" s="114" t="s">
        <v>849</v>
      </c>
      <c r="J36" s="114" t="s">
        <v>1063</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1062</v>
      </c>
      <c r="B37" s="114" t="s">
        <v>533</v>
      </c>
      <c r="C37" s="114" t="s">
        <v>150</v>
      </c>
      <c r="D37" s="114">
        <v>0</v>
      </c>
      <c r="E37" s="114">
        <v>0</v>
      </c>
      <c r="F37" s="114">
        <v>13</v>
      </c>
      <c r="G37" s="114" t="s">
        <v>853</v>
      </c>
      <c r="H37" s="114">
        <v>1</v>
      </c>
      <c r="I37" s="114" t="s">
        <v>652</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877</v>
      </c>
      <c r="B38" s="114" t="s">
        <v>534</v>
      </c>
      <c r="C38" s="114" t="s">
        <v>152</v>
      </c>
      <c r="D38" s="114">
        <v>0</v>
      </c>
      <c r="E38" s="114">
        <v>0</v>
      </c>
      <c r="F38" s="114">
        <v>16</v>
      </c>
      <c r="G38" s="114" t="s">
        <v>1008</v>
      </c>
      <c r="H38" s="114">
        <v>1</v>
      </c>
      <c r="I38" s="114" t="s">
        <v>934</v>
      </c>
      <c r="J38" s="114" t="s">
        <v>1061</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1059</v>
      </c>
      <c r="B39" s="114" t="s">
        <v>535</v>
      </c>
      <c r="C39" s="114" t="s">
        <v>1060</v>
      </c>
      <c r="D39" s="114">
        <v>0</v>
      </c>
      <c r="E39" s="114">
        <v>0</v>
      </c>
      <c r="F39" s="114">
        <v>1</v>
      </c>
      <c r="G39" s="114" t="s">
        <v>1051</v>
      </c>
      <c r="H39" s="114">
        <v>1</v>
      </c>
      <c r="I39" s="114" t="s">
        <v>652</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1058</v>
      </c>
      <c r="B40" s="114" t="s">
        <v>536</v>
      </c>
      <c r="C40" s="114" t="s">
        <v>156</v>
      </c>
      <c r="D40" s="114">
        <v>0</v>
      </c>
      <c r="E40" s="114">
        <v>0</v>
      </c>
      <c r="F40" s="114">
        <v>5</v>
      </c>
      <c r="G40" s="114" t="s">
        <v>863</v>
      </c>
      <c r="H40" s="114">
        <v>1</v>
      </c>
      <c r="I40" s="114" t="s">
        <v>652</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1056</v>
      </c>
      <c r="B41" s="114" t="s">
        <v>1057</v>
      </c>
      <c r="C41" s="114" t="s">
        <v>158</v>
      </c>
      <c r="D41" s="114">
        <v>0</v>
      </c>
      <c r="E41" s="114">
        <v>50</v>
      </c>
      <c r="F41" s="114">
        <v>60</v>
      </c>
      <c r="G41" s="114">
        <v>852503</v>
      </c>
      <c r="H41" s="114">
        <v>1</v>
      </c>
      <c r="I41" s="114" t="s">
        <v>652</v>
      </c>
      <c r="J41" s="114" t="s">
        <v>1055</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1053</v>
      </c>
      <c r="B42" s="114" t="s">
        <v>1054</v>
      </c>
      <c r="C42" s="114" t="s">
        <v>166</v>
      </c>
      <c r="D42" s="114">
        <v>0</v>
      </c>
      <c r="E42" s="114">
        <v>0</v>
      </c>
      <c r="F42" s="114">
        <v>1</v>
      </c>
      <c r="G42" s="114">
        <v>0</v>
      </c>
      <c r="H42" s="114">
        <v>1</v>
      </c>
      <c r="I42" s="114" t="s">
        <v>652</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1052</v>
      </c>
      <c r="B43" s="115" t="s">
        <v>1855</v>
      </c>
      <c r="C43" s="115" t="s">
        <v>192</v>
      </c>
      <c r="D43" s="115">
        <v>0</v>
      </c>
      <c r="E43" s="115">
        <v>0</v>
      </c>
      <c r="F43" s="115">
        <v>1</v>
      </c>
      <c r="G43" s="115" t="s">
        <v>1854</v>
      </c>
      <c r="H43" s="115">
        <v>1</v>
      </c>
      <c r="I43" s="115" t="s">
        <v>652</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1050</v>
      </c>
      <c r="B44" s="115" t="s">
        <v>571</v>
      </c>
      <c r="C44" s="115" t="s">
        <v>187</v>
      </c>
      <c r="D44" s="115">
        <v>0</v>
      </c>
      <c r="E44" s="115">
        <v>30</v>
      </c>
      <c r="F44" s="115">
        <v>6</v>
      </c>
      <c r="G44" s="115" t="s">
        <v>1049</v>
      </c>
      <c r="H44" s="115">
        <v>1</v>
      </c>
      <c r="I44" s="115" t="s">
        <v>849</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881</v>
      </c>
      <c r="B45" s="115" t="s">
        <v>572</v>
      </c>
      <c r="C45" s="115" t="s">
        <v>200</v>
      </c>
      <c r="D45" s="115">
        <v>0</v>
      </c>
      <c r="E45" s="115">
        <v>0</v>
      </c>
      <c r="F45" s="115">
        <v>3.5</v>
      </c>
      <c r="G45" s="115" t="s">
        <v>1048</v>
      </c>
      <c r="H45" s="115">
        <v>1</v>
      </c>
      <c r="I45" s="115" t="s">
        <v>849</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883</v>
      </c>
      <c r="B46" s="115" t="s">
        <v>573</v>
      </c>
      <c r="C46" s="115" t="s">
        <v>202</v>
      </c>
      <c r="D46" s="115">
        <v>0</v>
      </c>
      <c r="E46" s="115">
        <v>15</v>
      </c>
      <c r="F46" s="115">
        <v>9</v>
      </c>
      <c r="G46" s="115" t="s">
        <v>1047</v>
      </c>
      <c r="H46" s="115">
        <v>1</v>
      </c>
      <c r="I46" s="115" t="s">
        <v>849</v>
      </c>
      <c r="J46" s="115" t="s">
        <v>1046</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1036</v>
      </c>
      <c r="B47" s="115" t="s">
        <v>574</v>
      </c>
      <c r="C47" s="115" t="s">
        <v>206</v>
      </c>
      <c r="D47" s="115">
        <v>0</v>
      </c>
      <c r="E47" s="115">
        <v>0</v>
      </c>
      <c r="F47" s="115">
        <v>1</v>
      </c>
      <c r="G47" s="115" t="s">
        <v>1045</v>
      </c>
      <c r="H47" s="115">
        <v>1</v>
      </c>
      <c r="I47" s="115" t="s">
        <v>849</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1036</v>
      </c>
      <c r="B48" s="115" t="s">
        <v>1044</v>
      </c>
      <c r="C48" s="115" t="s">
        <v>206</v>
      </c>
      <c r="D48" s="115">
        <v>0</v>
      </c>
      <c r="E48" s="115">
        <v>0</v>
      </c>
      <c r="F48" s="115">
        <v>1</v>
      </c>
      <c r="G48" s="115" t="s">
        <v>1043</v>
      </c>
      <c r="H48" s="115">
        <v>1</v>
      </c>
      <c r="I48" s="115" t="s">
        <v>849</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1036</v>
      </c>
      <c r="B49" s="115" t="s">
        <v>1042</v>
      </c>
      <c r="C49" s="115" t="s">
        <v>206</v>
      </c>
      <c r="D49" s="115">
        <v>0</v>
      </c>
      <c r="E49" s="115">
        <v>0</v>
      </c>
      <c r="F49" s="115">
        <v>1</v>
      </c>
      <c r="G49" s="115" t="s">
        <v>863</v>
      </c>
      <c r="H49" s="115">
        <v>1</v>
      </c>
      <c r="I49" s="115" t="s">
        <v>849</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1036</v>
      </c>
      <c r="B50" s="115" t="s">
        <v>1041</v>
      </c>
      <c r="C50" s="115" t="s">
        <v>206</v>
      </c>
      <c r="D50" s="115">
        <v>0</v>
      </c>
      <c r="E50" s="115">
        <v>0</v>
      </c>
      <c r="F50" s="115">
        <v>1</v>
      </c>
      <c r="G50" s="115" t="s">
        <v>852</v>
      </c>
      <c r="H50" s="115">
        <v>1</v>
      </c>
      <c r="I50" s="115" t="s">
        <v>849</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1036</v>
      </c>
      <c r="B51" s="115" t="s">
        <v>1040</v>
      </c>
      <c r="C51" s="115" t="s">
        <v>206</v>
      </c>
      <c r="D51" s="115">
        <v>0</v>
      </c>
      <c r="E51" s="115">
        <v>0</v>
      </c>
      <c r="F51" s="115">
        <v>1</v>
      </c>
      <c r="G51" s="115" t="s">
        <v>653</v>
      </c>
      <c r="H51" s="115">
        <v>1</v>
      </c>
      <c r="I51" s="115" t="s">
        <v>849</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1036</v>
      </c>
      <c r="B52" s="115" t="s">
        <v>1039</v>
      </c>
      <c r="C52" s="115" t="s">
        <v>206</v>
      </c>
      <c r="D52" s="115">
        <v>0</v>
      </c>
      <c r="E52" s="115">
        <v>0</v>
      </c>
      <c r="F52" s="115">
        <v>1</v>
      </c>
      <c r="G52" s="115" t="s">
        <v>1038</v>
      </c>
      <c r="H52" s="115">
        <v>1</v>
      </c>
      <c r="I52" s="115" t="s">
        <v>849</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1036</v>
      </c>
      <c r="B53" s="115" t="s">
        <v>1037</v>
      </c>
      <c r="C53" s="115" t="s">
        <v>206</v>
      </c>
      <c r="D53" s="115">
        <v>0</v>
      </c>
      <c r="E53" s="115">
        <v>0</v>
      </c>
      <c r="F53" s="115">
        <v>1</v>
      </c>
      <c r="G53" s="115" t="s">
        <v>1014</v>
      </c>
      <c r="H53" s="115">
        <v>1</v>
      </c>
      <c r="I53" s="115" t="s">
        <v>849</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875</v>
      </c>
      <c r="B54" s="116" t="s">
        <v>575</v>
      </c>
      <c r="C54" s="116" t="s">
        <v>218</v>
      </c>
      <c r="D54" s="116">
        <v>2</v>
      </c>
      <c r="E54" s="116">
        <v>15</v>
      </c>
      <c r="F54" s="116">
        <v>0</v>
      </c>
      <c r="G54" s="116" t="s">
        <v>851</v>
      </c>
      <c r="H54" s="116">
        <v>1</v>
      </c>
      <c r="I54" s="116" t="s">
        <v>849</v>
      </c>
      <c r="J54" s="116" t="s">
        <v>1035</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1033</v>
      </c>
      <c r="B55" s="116" t="s">
        <v>576</v>
      </c>
      <c r="C55" s="116" t="s">
        <v>221</v>
      </c>
      <c r="D55" s="116">
        <v>5</v>
      </c>
      <c r="E55" s="116">
        <v>100</v>
      </c>
      <c r="F55" s="116">
        <v>0</v>
      </c>
      <c r="G55" s="116" t="s">
        <v>1008</v>
      </c>
      <c r="H55" s="116">
        <v>1</v>
      </c>
      <c r="I55" s="116" t="s">
        <v>934</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1033</v>
      </c>
      <c r="B56" s="116" t="s">
        <v>1034</v>
      </c>
      <c r="C56" s="116" t="s">
        <v>221</v>
      </c>
      <c r="D56" s="116">
        <v>0</v>
      </c>
      <c r="E56" s="116">
        <v>170</v>
      </c>
      <c r="F56" s="116">
        <v>5</v>
      </c>
      <c r="G56" s="116" t="s">
        <v>1008</v>
      </c>
      <c r="H56" s="116">
        <v>1</v>
      </c>
      <c r="I56" s="116" t="s">
        <v>934</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1032</v>
      </c>
      <c r="B57" s="116" t="s">
        <v>577</v>
      </c>
      <c r="C57" s="116" t="s">
        <v>228</v>
      </c>
      <c r="D57" s="116">
        <v>0</v>
      </c>
      <c r="E57" s="116">
        <v>70</v>
      </c>
      <c r="F57" s="116">
        <v>15</v>
      </c>
      <c r="G57" s="116" t="s">
        <v>1031</v>
      </c>
      <c r="H57" s="116">
        <v>1</v>
      </c>
      <c r="I57" s="116" t="s">
        <v>652</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873</v>
      </c>
      <c r="B58" s="116" t="s">
        <v>578</v>
      </c>
      <c r="C58" s="116" t="s">
        <v>239</v>
      </c>
      <c r="D58" s="116">
        <v>0</v>
      </c>
      <c r="E58" s="116">
        <v>25</v>
      </c>
      <c r="F58" s="116">
        <v>30</v>
      </c>
      <c r="G58" s="116" t="s">
        <v>1030</v>
      </c>
      <c r="H58" s="116">
        <v>1</v>
      </c>
      <c r="I58" s="116" t="s">
        <v>849</v>
      </c>
      <c r="J58" s="116" t="s">
        <v>1029</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873</v>
      </c>
      <c r="B59" s="116" t="s">
        <v>1028</v>
      </c>
      <c r="C59" s="116" t="s">
        <v>239</v>
      </c>
      <c r="D59" s="116">
        <v>0</v>
      </c>
      <c r="E59" s="116">
        <v>25</v>
      </c>
      <c r="F59" s="116">
        <v>5</v>
      </c>
      <c r="G59" s="116" t="s">
        <v>903</v>
      </c>
      <c r="H59" s="116">
        <v>1</v>
      </c>
      <c r="I59" s="116" t="s">
        <v>849</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1027</v>
      </c>
      <c r="B60" s="116" t="s">
        <v>1856</v>
      </c>
      <c r="C60" s="116" t="s">
        <v>253</v>
      </c>
      <c r="D60" s="116">
        <v>0</v>
      </c>
      <c r="E60" s="116">
        <v>70</v>
      </c>
      <c r="F60" s="116">
        <v>6</v>
      </c>
      <c r="G60" s="116" t="s">
        <v>982</v>
      </c>
      <c r="H60" s="116">
        <v>1</v>
      </c>
      <c r="I60" s="116" t="s">
        <v>849</v>
      </c>
      <c r="J60" s="116" t="s">
        <v>1026</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1024</v>
      </c>
      <c r="B61" s="116" t="s">
        <v>1025</v>
      </c>
      <c r="C61" s="116" t="s">
        <v>262</v>
      </c>
      <c r="D61" s="116">
        <v>0</v>
      </c>
      <c r="E61" s="116">
        <v>0</v>
      </c>
      <c r="F61" s="116">
        <v>1</v>
      </c>
      <c r="G61" s="116" t="s">
        <v>653</v>
      </c>
      <c r="H61" s="116">
        <v>1</v>
      </c>
      <c r="I61" s="116" t="s">
        <v>849</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1023</v>
      </c>
      <c r="B62" s="114" t="s">
        <v>580</v>
      </c>
      <c r="C62" s="114" t="s">
        <v>367</v>
      </c>
      <c r="D62" s="114">
        <v>2</v>
      </c>
      <c r="E62" s="114">
        <v>10</v>
      </c>
      <c r="F62" s="114">
        <v>0</v>
      </c>
      <c r="G62" s="114" t="s">
        <v>1018</v>
      </c>
      <c r="H62" s="114">
        <v>1</v>
      </c>
      <c r="I62" s="114" t="s">
        <v>849</v>
      </c>
      <c r="J62" s="114" t="s">
        <v>1022</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1019</v>
      </c>
      <c r="B63" s="114" t="s">
        <v>1021</v>
      </c>
      <c r="C63" s="114" t="s">
        <v>1020</v>
      </c>
      <c r="D63" s="114">
        <v>0</v>
      </c>
      <c r="E63" s="114">
        <v>0</v>
      </c>
      <c r="F63" s="114">
        <v>1</v>
      </c>
      <c r="G63" s="114" t="s">
        <v>1018</v>
      </c>
      <c r="H63" s="114">
        <v>1</v>
      </c>
      <c r="I63" s="114" t="s">
        <v>849</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1015</v>
      </c>
      <c r="B64" s="114" t="s">
        <v>581</v>
      </c>
      <c r="C64" s="114" t="s">
        <v>143</v>
      </c>
      <c r="D64" s="114">
        <v>0</v>
      </c>
      <c r="E64" s="114">
        <v>85</v>
      </c>
      <c r="F64" s="114">
        <v>9</v>
      </c>
      <c r="G64" s="114" t="s">
        <v>985</v>
      </c>
      <c r="H64" s="114">
        <v>1</v>
      </c>
      <c r="I64" s="114" t="s">
        <v>849</v>
      </c>
      <c r="J64" s="114" t="s">
        <v>1017</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1015</v>
      </c>
      <c r="B65" s="114" t="s">
        <v>1016</v>
      </c>
      <c r="C65" s="114" t="s">
        <v>143</v>
      </c>
      <c r="D65" s="114">
        <v>0</v>
      </c>
      <c r="E65" s="114">
        <v>0</v>
      </c>
      <c r="F65" s="114">
        <v>9</v>
      </c>
      <c r="G65" s="114" t="s">
        <v>1014</v>
      </c>
      <c r="H65" s="114">
        <v>1</v>
      </c>
      <c r="I65" s="114" t="s">
        <v>849</v>
      </c>
      <c r="J65" s="114" t="s">
        <v>1013</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1012</v>
      </c>
      <c r="B66" s="114" t="s">
        <v>582</v>
      </c>
      <c r="C66" s="114" t="s">
        <v>144</v>
      </c>
      <c r="D66" s="114">
        <v>0</v>
      </c>
      <c r="E66" s="114">
        <v>15</v>
      </c>
      <c r="F66" s="114">
        <v>15</v>
      </c>
      <c r="G66" s="114" t="s">
        <v>1011</v>
      </c>
      <c r="H66" s="114">
        <v>1</v>
      </c>
      <c r="I66" s="114" t="s">
        <v>849</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1010</v>
      </c>
      <c r="B67" s="114" t="s">
        <v>583</v>
      </c>
      <c r="C67" s="114" t="s">
        <v>374</v>
      </c>
      <c r="D67" s="114">
        <v>0</v>
      </c>
      <c r="E67" s="114">
        <v>0</v>
      </c>
      <c r="F67" s="114">
        <v>1</v>
      </c>
      <c r="G67" s="114" t="s">
        <v>856</v>
      </c>
      <c r="H67" s="114">
        <v>1</v>
      </c>
      <c r="I67" s="114" t="s">
        <v>652</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871</v>
      </c>
      <c r="B68" s="114" t="s">
        <v>1009</v>
      </c>
      <c r="C68" s="114" t="s">
        <v>450</v>
      </c>
      <c r="D68" s="114">
        <v>0</v>
      </c>
      <c r="E68" s="114">
        <v>0</v>
      </c>
      <c r="F68" s="114">
        <v>10</v>
      </c>
      <c r="G68" s="114" t="s">
        <v>1008</v>
      </c>
      <c r="H68" s="114">
        <v>1</v>
      </c>
      <c r="I68" s="114" t="s">
        <v>934</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1005</v>
      </c>
      <c r="B69" s="114" t="s">
        <v>1007</v>
      </c>
      <c r="C69" s="114" t="s">
        <v>1006</v>
      </c>
      <c r="D69" s="114">
        <v>0</v>
      </c>
      <c r="E69" s="114">
        <v>0</v>
      </c>
      <c r="F69" s="114">
        <v>10</v>
      </c>
      <c r="G69" s="114" t="s">
        <v>1004</v>
      </c>
      <c r="H69" s="114">
        <v>1</v>
      </c>
      <c r="I69" s="114" t="s">
        <v>934</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1001</v>
      </c>
      <c r="B70" s="114" t="s">
        <v>1003</v>
      </c>
      <c r="C70" s="114" t="s">
        <v>1002</v>
      </c>
      <c r="D70" s="114">
        <v>0</v>
      </c>
      <c r="E70" s="114">
        <v>0</v>
      </c>
      <c r="F70" s="114">
        <v>10</v>
      </c>
      <c r="G70" s="114" t="s">
        <v>982</v>
      </c>
      <c r="H70" s="114">
        <v>1</v>
      </c>
      <c r="I70" s="114" t="s">
        <v>934</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1000</v>
      </c>
      <c r="B71" s="114" t="s">
        <v>584</v>
      </c>
      <c r="C71" s="114" t="s">
        <v>145</v>
      </c>
      <c r="D71" s="114">
        <v>0</v>
      </c>
      <c r="E71" s="114">
        <v>25</v>
      </c>
      <c r="F71" s="114">
        <v>40</v>
      </c>
      <c r="G71" s="114" t="s">
        <v>999</v>
      </c>
      <c r="H71" s="114">
        <v>1</v>
      </c>
      <c r="I71" s="114" t="s">
        <v>652</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998</v>
      </c>
      <c r="B72" s="111" t="s">
        <v>585</v>
      </c>
      <c r="C72" s="111" t="s">
        <v>477</v>
      </c>
      <c r="D72" s="111">
        <v>0</v>
      </c>
      <c r="E72" s="111">
        <v>0</v>
      </c>
      <c r="F72" s="111">
        <v>2</v>
      </c>
      <c r="G72" s="111" t="s">
        <v>852</v>
      </c>
      <c r="H72" s="111">
        <v>1</v>
      </c>
      <c r="I72" s="111" t="s">
        <v>849</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997</v>
      </c>
      <c r="B73" s="111" t="s">
        <v>586</v>
      </c>
      <c r="C73" s="111" t="s">
        <v>486</v>
      </c>
      <c r="D73" s="111">
        <v>0</v>
      </c>
      <c r="E73" s="111">
        <v>0</v>
      </c>
      <c r="F73" s="111">
        <v>2</v>
      </c>
      <c r="G73" s="111" t="s">
        <v>922</v>
      </c>
      <c r="H73" s="111">
        <v>1</v>
      </c>
      <c r="I73" s="111" t="s">
        <v>849</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996</v>
      </c>
      <c r="B74" s="111" t="s">
        <v>587</v>
      </c>
      <c r="C74" s="111" t="s">
        <v>492</v>
      </c>
      <c r="D74" s="111">
        <v>0</v>
      </c>
      <c r="E74" s="111">
        <v>0</v>
      </c>
      <c r="F74" s="111">
        <v>16</v>
      </c>
      <c r="G74" s="111" t="s">
        <v>995</v>
      </c>
      <c r="H74" s="111">
        <v>1</v>
      </c>
      <c r="I74" s="111" t="s">
        <v>849</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861</v>
      </c>
      <c r="B75" s="111" t="s">
        <v>588</v>
      </c>
      <c r="C75" s="111" t="s">
        <v>465</v>
      </c>
      <c r="D75" s="111">
        <v>0</v>
      </c>
      <c r="E75" s="111">
        <v>0</v>
      </c>
      <c r="F75" s="111">
        <v>30</v>
      </c>
      <c r="G75" s="111" t="s">
        <v>994</v>
      </c>
      <c r="H75" s="111">
        <v>1</v>
      </c>
      <c r="I75" s="111" t="s">
        <v>652</v>
      </c>
      <c r="J75" s="111" t="s">
        <v>993</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867</v>
      </c>
      <c r="B76" s="111" t="s">
        <v>589</v>
      </c>
      <c r="C76" s="111" t="s">
        <v>461</v>
      </c>
      <c r="D76" s="111">
        <v>0</v>
      </c>
      <c r="E76" s="111">
        <v>0</v>
      </c>
      <c r="F76" s="111">
        <v>45</v>
      </c>
      <c r="G76" s="111" t="s">
        <v>992</v>
      </c>
      <c r="H76" s="111">
        <v>1</v>
      </c>
      <c r="I76" s="111" t="s">
        <v>652</v>
      </c>
      <c r="J76" s="111" t="s">
        <v>991</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988</v>
      </c>
      <c r="B77" s="111" t="s">
        <v>990</v>
      </c>
      <c r="C77" s="111" t="s">
        <v>989</v>
      </c>
      <c r="D77" s="111">
        <v>0</v>
      </c>
      <c r="E77" s="111">
        <v>0</v>
      </c>
      <c r="F77" s="111">
        <v>1</v>
      </c>
      <c r="G77" s="111" t="s">
        <v>987</v>
      </c>
      <c r="H77" s="111">
        <v>1</v>
      </c>
      <c r="I77" s="111" t="s">
        <v>849</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864</v>
      </c>
      <c r="B78" s="111" t="s">
        <v>986</v>
      </c>
      <c r="C78" s="111" t="s">
        <v>865</v>
      </c>
      <c r="D78" s="111">
        <v>0</v>
      </c>
      <c r="E78" s="111">
        <v>0</v>
      </c>
      <c r="F78" s="111">
        <v>1</v>
      </c>
      <c r="G78" s="111" t="s">
        <v>985</v>
      </c>
      <c r="H78" s="111">
        <v>1</v>
      </c>
      <c r="I78" s="111" t="s">
        <v>849</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859</v>
      </c>
      <c r="B79" s="113" t="s">
        <v>590</v>
      </c>
      <c r="C79" s="113" t="s">
        <v>513</v>
      </c>
      <c r="D79" s="113">
        <v>0</v>
      </c>
      <c r="E79" s="113">
        <v>100</v>
      </c>
      <c r="F79" s="113">
        <v>2</v>
      </c>
      <c r="G79" s="113" t="s">
        <v>852</v>
      </c>
      <c r="H79" s="113">
        <v>1</v>
      </c>
      <c r="I79" s="113" t="s">
        <v>849</v>
      </c>
      <c r="J79" s="113" t="s">
        <v>984</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983</v>
      </c>
      <c r="B80" s="113" t="s">
        <v>591</v>
      </c>
      <c r="C80" s="113" t="s">
        <v>518</v>
      </c>
      <c r="D80" s="113">
        <v>2.2999999999999998</v>
      </c>
      <c r="E80" s="113">
        <v>70</v>
      </c>
      <c r="F80" s="113">
        <v>0</v>
      </c>
      <c r="G80" s="113" t="s">
        <v>982</v>
      </c>
      <c r="H80" s="113">
        <v>1</v>
      </c>
      <c r="I80" s="113" t="s">
        <v>849</v>
      </c>
      <c r="J80" s="113" t="s">
        <v>981</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980</v>
      </c>
      <c r="B81" s="113" t="s">
        <v>592</v>
      </c>
      <c r="C81" s="113" t="s">
        <v>519</v>
      </c>
      <c r="D81" s="113">
        <v>3</v>
      </c>
      <c r="E81" s="113">
        <v>50</v>
      </c>
      <c r="F81" s="113">
        <v>0</v>
      </c>
      <c r="G81" s="113" t="s">
        <v>851</v>
      </c>
      <c r="H81" s="113">
        <v>1</v>
      </c>
      <c r="I81" s="113" t="s">
        <v>849</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979</v>
      </c>
      <c r="B82" s="113" t="s">
        <v>593</v>
      </c>
      <c r="C82" s="113" t="s">
        <v>521</v>
      </c>
      <c r="D82" s="113">
        <v>0</v>
      </c>
      <c r="E82" s="113">
        <v>0</v>
      </c>
      <c r="F82" s="113">
        <v>7</v>
      </c>
      <c r="G82" s="113" t="s">
        <v>978</v>
      </c>
      <c r="H82" s="113">
        <v>1</v>
      </c>
      <c r="I82" s="113" t="s">
        <v>849</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857</v>
      </c>
      <c r="B83" s="113" t="s">
        <v>594</v>
      </c>
      <c r="C83" s="113" t="s">
        <v>526</v>
      </c>
      <c r="D83" s="113">
        <v>0</v>
      </c>
      <c r="E83" s="113">
        <v>75</v>
      </c>
      <c r="F83" s="113">
        <v>12</v>
      </c>
      <c r="G83" s="113" t="s">
        <v>855</v>
      </c>
      <c r="H83" s="113">
        <v>1</v>
      </c>
      <c r="I83" s="113" t="s">
        <v>652</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175</v>
      </c>
      <c r="B84" s="111" t="s">
        <v>977</v>
      </c>
      <c r="C84" s="111" t="s">
        <v>174</v>
      </c>
      <c r="D84" s="111">
        <v>0</v>
      </c>
      <c r="E84" s="111">
        <v>0</v>
      </c>
      <c r="F84" s="111">
        <v>200</v>
      </c>
      <c r="G84" s="111" t="s">
        <v>653</v>
      </c>
      <c r="H84" s="111">
        <v>1</v>
      </c>
      <c r="I84" s="111" t="s">
        <v>652</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178</v>
      </c>
      <c r="B85" s="111" t="s">
        <v>976</v>
      </c>
      <c r="C85" s="111" t="s">
        <v>177</v>
      </c>
      <c r="D85" s="111">
        <v>0</v>
      </c>
      <c r="E85" s="111">
        <v>0</v>
      </c>
      <c r="F85" s="111">
        <v>200</v>
      </c>
      <c r="G85" s="111" t="s">
        <v>915</v>
      </c>
      <c r="H85" s="111">
        <v>1</v>
      </c>
      <c r="I85" s="111" t="s">
        <v>652</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974</v>
      </c>
      <c r="B86" s="113" t="s">
        <v>975</v>
      </c>
      <c r="C86" s="113" t="s">
        <v>65</v>
      </c>
      <c r="D86" s="113">
        <v>0</v>
      </c>
      <c r="E86" s="113">
        <v>0</v>
      </c>
      <c r="F86" s="113">
        <v>1</v>
      </c>
      <c r="G86" s="113" t="s">
        <v>850</v>
      </c>
      <c r="H86" s="113">
        <v>1</v>
      </c>
      <c r="I86" s="113" t="s">
        <v>849</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972</v>
      </c>
      <c r="B87" s="113" t="s">
        <v>973</v>
      </c>
      <c r="C87" s="113" t="s">
        <v>70</v>
      </c>
      <c r="D87" s="113">
        <v>0</v>
      </c>
      <c r="E87" s="113">
        <v>0</v>
      </c>
      <c r="F87" s="113">
        <v>10</v>
      </c>
      <c r="G87" s="113" t="s">
        <v>915</v>
      </c>
      <c r="H87" s="113">
        <v>1</v>
      </c>
      <c r="I87" s="113" t="s">
        <v>849</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970</v>
      </c>
      <c r="B88" s="113" t="s">
        <v>971</v>
      </c>
      <c r="C88" s="113" t="s">
        <v>73</v>
      </c>
      <c r="D88" s="113">
        <v>10</v>
      </c>
      <c r="E88" s="113">
        <v>0</v>
      </c>
      <c r="F88" s="113">
        <v>25</v>
      </c>
      <c r="G88" s="113" t="s">
        <v>851</v>
      </c>
      <c r="H88" s="113">
        <v>2</v>
      </c>
      <c r="I88" s="113" t="s">
        <v>849</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968</v>
      </c>
      <c r="B89" s="113" t="s">
        <v>969</v>
      </c>
      <c r="C89" s="113" t="s">
        <v>77</v>
      </c>
      <c r="D89" s="113">
        <v>0</v>
      </c>
      <c r="E89" s="113">
        <v>0</v>
      </c>
      <c r="F89" s="113">
        <v>0</v>
      </c>
      <c r="G89" s="113" t="s">
        <v>941</v>
      </c>
      <c r="H89" s="113">
        <v>1</v>
      </c>
      <c r="I89" s="113" t="s">
        <v>652</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966</v>
      </c>
      <c r="B90" s="113" t="s">
        <v>967</v>
      </c>
      <c r="C90" s="113" t="s">
        <v>79</v>
      </c>
      <c r="D90" s="113">
        <v>0</v>
      </c>
      <c r="E90" s="113">
        <v>0</v>
      </c>
      <c r="F90" s="113">
        <v>1</v>
      </c>
      <c r="G90" s="113" t="s">
        <v>965</v>
      </c>
      <c r="H90" s="113">
        <v>1</v>
      </c>
      <c r="I90" s="113" t="s">
        <v>652</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963</v>
      </c>
      <c r="B91" s="113" t="s">
        <v>964</v>
      </c>
      <c r="C91" s="113" t="s">
        <v>82</v>
      </c>
      <c r="D91" s="113">
        <v>0</v>
      </c>
      <c r="E91" s="113">
        <v>0</v>
      </c>
      <c r="F91" s="113">
        <v>10</v>
      </c>
      <c r="G91" s="113" t="s">
        <v>959</v>
      </c>
      <c r="H91" s="113">
        <v>1</v>
      </c>
      <c r="I91" s="113" t="s">
        <v>652</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960</v>
      </c>
      <c r="B92" s="113" t="s">
        <v>962</v>
      </c>
      <c r="C92" s="113" t="s">
        <v>961</v>
      </c>
      <c r="D92" s="113">
        <v>4</v>
      </c>
      <c r="E92" s="113">
        <v>0</v>
      </c>
      <c r="F92" s="113">
        <v>1</v>
      </c>
      <c r="G92" s="113" t="s">
        <v>959</v>
      </c>
      <c r="H92" s="113">
        <v>2</v>
      </c>
      <c r="I92" s="113" t="s">
        <v>652</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956</v>
      </c>
      <c r="B93" s="113" t="s">
        <v>958</v>
      </c>
      <c r="C93" s="113" t="s">
        <v>957</v>
      </c>
      <c r="D93" s="113">
        <v>3</v>
      </c>
      <c r="E93" s="113">
        <v>0</v>
      </c>
      <c r="F93" s="113">
        <v>1</v>
      </c>
      <c r="G93" s="113" t="s">
        <v>955</v>
      </c>
      <c r="H93" s="113">
        <v>2</v>
      </c>
      <c r="I93" s="113" t="s">
        <v>849</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953</v>
      </c>
      <c r="B94" s="113" t="s">
        <v>954</v>
      </c>
      <c r="C94" s="113" t="s">
        <v>131</v>
      </c>
      <c r="D94" s="113">
        <v>1</v>
      </c>
      <c r="E94" s="113">
        <v>0</v>
      </c>
      <c r="F94" s="113">
        <v>1</v>
      </c>
      <c r="G94" s="113" t="s">
        <v>952</v>
      </c>
      <c r="H94" s="113">
        <v>2</v>
      </c>
      <c r="I94" s="113" t="s">
        <v>652</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160</v>
      </c>
      <c r="B95" s="114" t="s">
        <v>951</v>
      </c>
      <c r="C95" s="114" t="s">
        <v>159</v>
      </c>
      <c r="D95" s="114">
        <v>0</v>
      </c>
      <c r="E95" s="114">
        <v>100</v>
      </c>
      <c r="F95" s="114">
        <v>7</v>
      </c>
      <c r="G95" s="114">
        <v>852063</v>
      </c>
      <c r="H95" s="114">
        <v>1</v>
      </c>
      <c r="I95" s="114" t="s">
        <v>849</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164</v>
      </c>
      <c r="B96" s="114" t="s">
        <v>950</v>
      </c>
      <c r="C96" s="114" t="s">
        <v>163</v>
      </c>
      <c r="D96" s="114">
        <v>0</v>
      </c>
      <c r="E96" s="114">
        <v>100</v>
      </c>
      <c r="F96" s="114">
        <v>14</v>
      </c>
      <c r="G96" s="114">
        <v>852555</v>
      </c>
      <c r="H96" s="114">
        <v>1</v>
      </c>
      <c r="I96" s="114" t="s">
        <v>849</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168</v>
      </c>
      <c r="B97" s="114" t="s">
        <v>949</v>
      </c>
      <c r="C97" s="114" t="s">
        <v>167</v>
      </c>
      <c r="D97" s="114">
        <v>0</v>
      </c>
      <c r="E97" s="114">
        <v>100</v>
      </c>
      <c r="F97" s="114">
        <v>30</v>
      </c>
      <c r="G97" s="114">
        <v>852066</v>
      </c>
      <c r="H97" s="114">
        <v>1</v>
      </c>
      <c r="I97" s="114" t="s">
        <v>652</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171</v>
      </c>
      <c r="B98" s="114" t="s">
        <v>948</v>
      </c>
      <c r="C98" s="114" t="s">
        <v>170</v>
      </c>
      <c r="D98" s="114">
        <v>10</v>
      </c>
      <c r="E98" s="114">
        <v>0</v>
      </c>
      <c r="F98" s="114">
        <v>40</v>
      </c>
      <c r="G98" s="114">
        <v>852069</v>
      </c>
      <c r="H98" s="114">
        <v>2</v>
      </c>
      <c r="I98" s="114" t="s">
        <v>849</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946</v>
      </c>
      <c r="B99" s="112" t="s">
        <v>947</v>
      </c>
      <c r="C99" s="112" t="s">
        <v>184</v>
      </c>
      <c r="D99" s="112">
        <v>3.5</v>
      </c>
      <c r="E99" s="112">
        <v>0</v>
      </c>
      <c r="F99" s="112">
        <v>5</v>
      </c>
      <c r="G99" s="112" t="s">
        <v>851</v>
      </c>
      <c r="H99" s="112">
        <v>1</v>
      </c>
      <c r="I99" s="112" t="s">
        <v>849</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186</v>
      </c>
      <c r="B100" s="112" t="s">
        <v>945</v>
      </c>
      <c r="C100" s="112" t="s">
        <v>185</v>
      </c>
      <c r="D100" s="112">
        <v>0</v>
      </c>
      <c r="E100" s="112">
        <v>0</v>
      </c>
      <c r="F100" s="112">
        <v>12</v>
      </c>
      <c r="G100" s="112" t="s">
        <v>852</v>
      </c>
      <c r="H100" s="112">
        <v>1</v>
      </c>
      <c r="I100" s="112" t="s">
        <v>849</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942</v>
      </c>
      <c r="B101" s="112" t="s">
        <v>944</v>
      </c>
      <c r="C101" s="112" t="s">
        <v>943</v>
      </c>
      <c r="D101" s="112">
        <v>0</v>
      </c>
      <c r="E101" s="112">
        <v>0</v>
      </c>
      <c r="F101" s="112">
        <v>35</v>
      </c>
      <c r="G101" s="112" t="s">
        <v>941</v>
      </c>
      <c r="H101" s="112">
        <v>1</v>
      </c>
      <c r="I101" s="112" t="s">
        <v>652</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939</v>
      </c>
      <c r="B102" s="112" t="s">
        <v>940</v>
      </c>
      <c r="C102" s="112" t="s">
        <v>187</v>
      </c>
      <c r="D102" s="112">
        <v>0</v>
      </c>
      <c r="E102" s="112">
        <v>0</v>
      </c>
      <c r="F102" s="112">
        <v>12</v>
      </c>
      <c r="G102" s="112" t="s">
        <v>852</v>
      </c>
      <c r="H102" s="112">
        <v>1</v>
      </c>
      <c r="I102" s="112" t="s">
        <v>849</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190</v>
      </c>
      <c r="B103" s="112" t="s">
        <v>938</v>
      </c>
      <c r="C103" s="112" t="s">
        <v>189</v>
      </c>
      <c r="D103" s="112">
        <v>0</v>
      </c>
      <c r="E103" s="112">
        <v>0</v>
      </c>
      <c r="F103" s="112">
        <v>15</v>
      </c>
      <c r="G103" s="112" t="s">
        <v>653</v>
      </c>
      <c r="H103" s="112">
        <v>1</v>
      </c>
      <c r="I103" s="112" t="s">
        <v>849</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193</v>
      </c>
      <c r="B104" s="112" t="s">
        <v>937</v>
      </c>
      <c r="C104" s="112" t="s">
        <v>191</v>
      </c>
      <c r="D104" s="112">
        <v>0</v>
      </c>
      <c r="E104" s="112">
        <v>0</v>
      </c>
      <c r="F104" s="112">
        <v>25</v>
      </c>
      <c r="G104" s="112" t="s">
        <v>922</v>
      </c>
      <c r="H104" s="112">
        <v>1</v>
      </c>
      <c r="I104" s="112" t="s">
        <v>652</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193</v>
      </c>
      <c r="B105" s="112" t="s">
        <v>936</v>
      </c>
      <c r="C105" s="112" t="s">
        <v>191</v>
      </c>
      <c r="D105" s="112">
        <v>0</v>
      </c>
      <c r="E105" s="112">
        <v>0</v>
      </c>
      <c r="F105" s="112">
        <v>1</v>
      </c>
      <c r="G105" s="112" t="s">
        <v>935</v>
      </c>
      <c r="H105" s="112">
        <v>1</v>
      </c>
      <c r="I105" s="112" t="s">
        <v>934</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932</v>
      </c>
      <c r="B106" s="116" t="s">
        <v>933</v>
      </c>
      <c r="C106" s="116" t="s">
        <v>197</v>
      </c>
      <c r="D106" s="116">
        <v>0</v>
      </c>
      <c r="E106" s="116">
        <v>100</v>
      </c>
      <c r="F106" s="116">
        <v>5</v>
      </c>
      <c r="G106" s="116" t="s">
        <v>854</v>
      </c>
      <c r="H106" s="116">
        <v>1</v>
      </c>
      <c r="I106" s="116" t="s">
        <v>849</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930</v>
      </c>
      <c r="B107" s="116" t="s">
        <v>931</v>
      </c>
      <c r="C107" s="116" t="s">
        <v>198</v>
      </c>
      <c r="D107" s="116">
        <v>10</v>
      </c>
      <c r="E107" s="116">
        <v>100</v>
      </c>
      <c r="F107" s="116">
        <v>40</v>
      </c>
      <c r="G107" s="116" t="s">
        <v>852</v>
      </c>
      <c r="H107" s="116">
        <v>2</v>
      </c>
      <c r="I107" s="116" t="s">
        <v>652</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928</v>
      </c>
      <c r="B108" s="116" t="s">
        <v>929</v>
      </c>
      <c r="C108" s="116" t="s">
        <v>201</v>
      </c>
      <c r="D108" s="116">
        <v>10</v>
      </c>
      <c r="E108" s="116">
        <v>100</v>
      </c>
      <c r="F108" s="116">
        <v>30</v>
      </c>
      <c r="G108" s="116" t="s">
        <v>927</v>
      </c>
      <c r="H108" s="116">
        <v>1</v>
      </c>
      <c r="I108" s="116" t="s">
        <v>652</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175</v>
      </c>
      <c r="B109" s="116" t="s">
        <v>926</v>
      </c>
      <c r="C109" s="116" t="s">
        <v>174</v>
      </c>
      <c r="D109" s="116">
        <v>0</v>
      </c>
      <c r="E109" s="116">
        <v>0</v>
      </c>
      <c r="F109" s="116">
        <v>200</v>
      </c>
      <c r="G109" s="116" t="s">
        <v>863</v>
      </c>
      <c r="H109" s="116">
        <v>1</v>
      </c>
      <c r="I109" s="116" t="s">
        <v>652</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923</v>
      </c>
      <c r="B110" s="114" t="s">
        <v>925</v>
      </c>
      <c r="C110" s="114" t="s">
        <v>924</v>
      </c>
      <c r="D110" s="114">
        <v>0</v>
      </c>
      <c r="E110" s="114">
        <v>0</v>
      </c>
      <c r="F110" s="114">
        <v>15</v>
      </c>
      <c r="G110" s="114" t="s">
        <v>922</v>
      </c>
      <c r="H110" s="114">
        <v>1</v>
      </c>
      <c r="I110" s="114" t="s">
        <v>849</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919</v>
      </c>
      <c r="B111" s="114" t="s">
        <v>921</v>
      </c>
      <c r="C111" s="114" t="s">
        <v>920</v>
      </c>
      <c r="D111" s="114">
        <v>0</v>
      </c>
      <c r="E111" s="114">
        <v>0</v>
      </c>
      <c r="F111" s="114">
        <v>25</v>
      </c>
      <c r="G111" s="114" t="s">
        <v>852</v>
      </c>
      <c r="H111" s="114">
        <v>1</v>
      </c>
      <c r="I111" s="114" t="s">
        <v>652</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916</v>
      </c>
      <c r="B112" s="114" t="s">
        <v>918</v>
      </c>
      <c r="C112" s="114" t="s">
        <v>917</v>
      </c>
      <c r="D112" s="114">
        <v>0</v>
      </c>
      <c r="E112" s="114">
        <v>0</v>
      </c>
      <c r="F112" s="114">
        <v>15</v>
      </c>
      <c r="G112" s="114" t="s">
        <v>915</v>
      </c>
      <c r="H112" s="114">
        <v>1</v>
      </c>
      <c r="I112" s="114" t="s">
        <v>652</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912</v>
      </c>
      <c r="B113" s="114" t="s">
        <v>914</v>
      </c>
      <c r="C113" s="114" t="s">
        <v>913</v>
      </c>
      <c r="D113" s="114">
        <v>0</v>
      </c>
      <c r="E113" s="114">
        <v>0</v>
      </c>
      <c r="F113" s="114">
        <v>15</v>
      </c>
      <c r="G113" s="114" t="s">
        <v>911</v>
      </c>
      <c r="H113" s="114">
        <v>1</v>
      </c>
      <c r="I113" s="114" t="s">
        <v>652</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908</v>
      </c>
      <c r="B114" s="114" t="s">
        <v>910</v>
      </c>
      <c r="C114" s="114" t="s">
        <v>909</v>
      </c>
      <c r="D114" s="114">
        <v>5</v>
      </c>
      <c r="E114" s="114">
        <v>0</v>
      </c>
      <c r="F114" s="114">
        <v>25</v>
      </c>
      <c r="G114" s="114" t="s">
        <v>854</v>
      </c>
      <c r="H114" s="114">
        <v>2</v>
      </c>
      <c r="I114" s="114" t="s">
        <v>652</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906</v>
      </c>
      <c r="B115" s="113" t="s">
        <v>907</v>
      </c>
      <c r="C115" s="113" t="s">
        <v>393</v>
      </c>
      <c r="D115" s="113">
        <v>10</v>
      </c>
      <c r="E115" s="113">
        <v>50</v>
      </c>
      <c r="F115" s="113">
        <v>40</v>
      </c>
      <c r="G115" s="113" t="s">
        <v>851</v>
      </c>
      <c r="H115" s="113">
        <v>2</v>
      </c>
      <c r="I115" s="113" t="s">
        <v>652</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904</v>
      </c>
      <c r="B116" s="113" t="s">
        <v>905</v>
      </c>
      <c r="C116" s="113" t="s">
        <v>395</v>
      </c>
      <c r="D116" s="113">
        <v>0</v>
      </c>
      <c r="E116" s="113">
        <v>0</v>
      </c>
      <c r="F116" s="113">
        <v>35</v>
      </c>
      <c r="G116" s="113" t="s">
        <v>903</v>
      </c>
      <c r="H116" s="113">
        <v>1</v>
      </c>
      <c r="I116" s="113" t="s">
        <v>652</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596</v>
      </c>
      <c r="B117" s="113" t="s">
        <v>902</v>
      </c>
      <c r="C117" s="113" t="s">
        <v>12</v>
      </c>
      <c r="D117" s="113">
        <v>0</v>
      </c>
      <c r="E117" s="113">
        <v>100</v>
      </c>
      <c r="F117" s="113">
        <v>10</v>
      </c>
      <c r="G117" s="113" t="s">
        <v>852</v>
      </c>
      <c r="H117" s="113">
        <v>1</v>
      </c>
      <c r="I117" s="113" t="s">
        <v>652</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599</v>
      </c>
      <c r="B118" s="113" t="s">
        <v>901</v>
      </c>
      <c r="C118" s="113" t="s">
        <v>19</v>
      </c>
      <c r="D118" s="113">
        <v>0</v>
      </c>
      <c r="E118" s="113">
        <v>0</v>
      </c>
      <c r="F118" s="113">
        <v>10</v>
      </c>
      <c r="G118" s="113" t="s">
        <v>854</v>
      </c>
      <c r="H118" s="113">
        <v>1</v>
      </c>
      <c r="I118" s="113" t="s">
        <v>652</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899</v>
      </c>
      <c r="B119" s="113" t="s">
        <v>900</v>
      </c>
      <c r="C119" s="113" t="s">
        <v>26</v>
      </c>
      <c r="D119" s="113">
        <v>0</v>
      </c>
      <c r="E119" s="113">
        <v>0</v>
      </c>
      <c r="F119" s="113">
        <v>10</v>
      </c>
      <c r="G119" s="113" t="s">
        <v>854</v>
      </c>
      <c r="H119" s="113">
        <v>1</v>
      </c>
      <c r="I119" s="113" t="s">
        <v>652</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897</v>
      </c>
      <c r="B120" s="113" t="s">
        <v>898</v>
      </c>
      <c r="C120" s="113" t="s">
        <v>32</v>
      </c>
      <c r="D120" s="113">
        <v>0</v>
      </c>
      <c r="E120" s="113">
        <v>0</v>
      </c>
      <c r="F120" s="113">
        <v>12</v>
      </c>
      <c r="G120" s="113" t="s">
        <v>852</v>
      </c>
      <c r="H120" s="113">
        <v>1</v>
      </c>
      <c r="I120" s="113" t="s">
        <v>652</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895</v>
      </c>
      <c r="B121" s="113" t="s">
        <v>896</v>
      </c>
      <c r="C121" s="113" t="s">
        <v>52</v>
      </c>
      <c r="D121" s="113">
        <v>8</v>
      </c>
      <c r="E121" s="113">
        <v>100</v>
      </c>
      <c r="F121" s="113">
        <v>10</v>
      </c>
      <c r="G121" s="113" t="s">
        <v>852</v>
      </c>
      <c r="H121" s="113">
        <v>1</v>
      </c>
      <c r="I121" s="113" t="s">
        <v>652</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893</v>
      </c>
      <c r="B122" s="113" t="s">
        <v>894</v>
      </c>
      <c r="C122" s="113" t="s">
        <v>44</v>
      </c>
      <c r="D122" s="113">
        <v>0</v>
      </c>
      <c r="E122" s="113">
        <v>25</v>
      </c>
      <c r="F122" s="113">
        <v>10</v>
      </c>
      <c r="G122" s="113" t="s">
        <v>854</v>
      </c>
      <c r="H122" s="113">
        <v>1</v>
      </c>
      <c r="I122" s="113" t="s">
        <v>849</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891</v>
      </c>
      <c r="B123" s="113" t="s">
        <v>892</v>
      </c>
      <c r="C123" s="113" t="s">
        <v>92</v>
      </c>
      <c r="D123" s="113">
        <v>4</v>
      </c>
      <c r="E123" s="113">
        <v>100</v>
      </c>
      <c r="F123" s="113">
        <v>10</v>
      </c>
      <c r="G123" s="113" t="s">
        <v>852</v>
      </c>
      <c r="H123" s="113">
        <v>1</v>
      </c>
      <c r="I123" s="113" t="s">
        <v>849</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889</v>
      </c>
      <c r="B124" s="113" t="s">
        <v>890</v>
      </c>
      <c r="C124" s="113" t="s">
        <v>97</v>
      </c>
      <c r="D124" s="113">
        <v>0</v>
      </c>
      <c r="E124" s="113">
        <v>50</v>
      </c>
      <c r="F124" s="113">
        <v>10</v>
      </c>
      <c r="G124" s="113" t="s">
        <v>854</v>
      </c>
      <c r="H124" s="113">
        <v>1</v>
      </c>
      <c r="I124" s="113" t="s">
        <v>849</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887</v>
      </c>
      <c r="B125" s="113" t="s">
        <v>888</v>
      </c>
      <c r="C125" s="113" t="s">
        <v>113</v>
      </c>
      <c r="D125" s="113">
        <v>0</v>
      </c>
      <c r="E125" s="113">
        <v>50</v>
      </c>
      <c r="F125" s="113">
        <v>10</v>
      </c>
      <c r="G125" s="113" t="s">
        <v>852</v>
      </c>
      <c r="H125" s="113">
        <v>1</v>
      </c>
      <c r="I125" s="113" t="s">
        <v>849</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885</v>
      </c>
      <c r="B126" s="113" t="s">
        <v>886</v>
      </c>
      <c r="C126" s="113" t="s">
        <v>123</v>
      </c>
      <c r="D126" s="113">
        <v>0</v>
      </c>
      <c r="E126" s="113">
        <v>100</v>
      </c>
      <c r="F126" s="113">
        <v>10</v>
      </c>
      <c r="G126" s="113" t="s">
        <v>854</v>
      </c>
      <c r="H126" s="113">
        <v>1</v>
      </c>
      <c r="I126" s="113" t="s">
        <v>849</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883</v>
      </c>
      <c r="B127" s="113" t="s">
        <v>884</v>
      </c>
      <c r="C127" s="113" t="s">
        <v>202</v>
      </c>
      <c r="D127" s="113">
        <v>0</v>
      </c>
      <c r="E127" s="113">
        <v>0</v>
      </c>
      <c r="F127" s="113">
        <v>10</v>
      </c>
      <c r="G127" s="113" t="s">
        <v>852</v>
      </c>
      <c r="H127" s="113">
        <v>1</v>
      </c>
      <c r="I127" s="113" t="s">
        <v>849</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881</v>
      </c>
      <c r="B128" s="113" t="s">
        <v>882</v>
      </c>
      <c r="C128" s="113" t="s">
        <v>200</v>
      </c>
      <c r="D128" s="113">
        <v>0</v>
      </c>
      <c r="E128" s="113">
        <v>0</v>
      </c>
      <c r="F128" s="113">
        <v>7</v>
      </c>
      <c r="G128" s="113" t="s">
        <v>854</v>
      </c>
      <c r="H128" s="113">
        <v>1</v>
      </c>
      <c r="I128" s="113" t="s">
        <v>849</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879</v>
      </c>
      <c r="B129" s="113" t="s">
        <v>880</v>
      </c>
      <c r="C129" s="113" t="s">
        <v>147</v>
      </c>
      <c r="D129" s="113">
        <v>0</v>
      </c>
      <c r="E129" s="113">
        <v>0</v>
      </c>
      <c r="F129" s="113">
        <v>4</v>
      </c>
      <c r="G129" s="113" t="s">
        <v>852</v>
      </c>
      <c r="H129" s="113">
        <v>1</v>
      </c>
      <c r="I129" s="113" t="s">
        <v>849</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877</v>
      </c>
      <c r="B130" s="113" t="s">
        <v>878</v>
      </c>
      <c r="C130" s="113" t="s">
        <v>152</v>
      </c>
      <c r="D130" s="113">
        <v>0</v>
      </c>
      <c r="E130" s="113">
        <v>0</v>
      </c>
      <c r="F130" s="113">
        <v>10</v>
      </c>
      <c r="G130" s="113" t="s">
        <v>854</v>
      </c>
      <c r="H130" s="113">
        <v>1</v>
      </c>
      <c r="I130" s="113" t="s">
        <v>652</v>
      </c>
      <c r="J130" s="113"/>
      <c r="K130" s="108" t="str">
        <f t="shared" ref="K130:K160"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875</v>
      </c>
      <c r="B131" s="113" t="s">
        <v>876</v>
      </c>
      <c r="C131" s="113" t="s">
        <v>218</v>
      </c>
      <c r="D131" s="113">
        <v>3</v>
      </c>
      <c r="E131" s="113">
        <v>50</v>
      </c>
      <c r="F131" s="113">
        <v>5</v>
      </c>
      <c r="G131" s="113" t="s">
        <v>852</v>
      </c>
      <c r="H131" s="113">
        <v>1</v>
      </c>
      <c r="I131" s="113" t="s">
        <v>849</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873</v>
      </c>
      <c r="B132" s="113" t="s">
        <v>874</v>
      </c>
      <c r="C132" s="113" t="s">
        <v>239</v>
      </c>
      <c r="D132" s="113">
        <v>0</v>
      </c>
      <c r="E132" s="113">
        <v>50</v>
      </c>
      <c r="F132" s="113">
        <v>10</v>
      </c>
      <c r="G132" s="113" t="s">
        <v>854</v>
      </c>
      <c r="H132" s="113">
        <v>1</v>
      </c>
      <c r="I132" s="113" t="s">
        <v>849</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871</v>
      </c>
      <c r="B133" s="113" t="s">
        <v>872</v>
      </c>
      <c r="C133" s="113" t="s">
        <v>450</v>
      </c>
      <c r="D133" s="113">
        <v>0</v>
      </c>
      <c r="E133" s="113">
        <v>0</v>
      </c>
      <c r="F133" s="113">
        <v>10</v>
      </c>
      <c r="G133" s="113" t="s">
        <v>852</v>
      </c>
      <c r="H133" s="113">
        <v>1</v>
      </c>
      <c r="I133" s="113" t="s">
        <v>652</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869</v>
      </c>
      <c r="B134" s="113" t="s">
        <v>870</v>
      </c>
      <c r="C134" s="113" t="s">
        <v>455</v>
      </c>
      <c r="D134" s="113">
        <v>0</v>
      </c>
      <c r="E134" s="113">
        <v>100</v>
      </c>
      <c r="F134" s="113">
        <v>15</v>
      </c>
      <c r="G134" s="113" t="s">
        <v>854</v>
      </c>
      <c r="H134" s="113">
        <v>1</v>
      </c>
      <c r="I134" s="113" t="s">
        <v>652</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867</v>
      </c>
      <c r="B135" s="113" t="s">
        <v>868</v>
      </c>
      <c r="C135" s="113" t="s">
        <v>461</v>
      </c>
      <c r="D135" s="113">
        <v>0</v>
      </c>
      <c r="E135" s="113">
        <v>0</v>
      </c>
      <c r="F135" s="113">
        <v>15</v>
      </c>
      <c r="G135" s="113" t="s">
        <v>852</v>
      </c>
      <c r="H135" s="113">
        <v>1</v>
      </c>
      <c r="I135" s="113" t="s">
        <v>849</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864</v>
      </c>
      <c r="B136" s="113" t="s">
        <v>866</v>
      </c>
      <c r="C136" s="113" t="s">
        <v>865</v>
      </c>
      <c r="D136" s="113">
        <v>0</v>
      </c>
      <c r="E136" s="113">
        <v>0</v>
      </c>
      <c r="F136" s="113">
        <v>1</v>
      </c>
      <c r="G136" s="113" t="s">
        <v>863</v>
      </c>
      <c r="H136" s="113">
        <v>1</v>
      </c>
      <c r="I136" s="113" t="s">
        <v>849</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861</v>
      </c>
      <c r="B137" s="113" t="s">
        <v>862</v>
      </c>
      <c r="C137" s="113" t="s">
        <v>465</v>
      </c>
      <c r="D137" s="113">
        <v>0</v>
      </c>
      <c r="E137" s="113">
        <v>0</v>
      </c>
      <c r="F137" s="113">
        <v>10</v>
      </c>
      <c r="G137" s="113" t="s">
        <v>854</v>
      </c>
      <c r="H137" s="113">
        <v>1</v>
      </c>
      <c r="I137" s="113" t="s">
        <v>652</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859</v>
      </c>
      <c r="B138" s="113" t="s">
        <v>860</v>
      </c>
      <c r="C138" s="113" t="s">
        <v>513</v>
      </c>
      <c r="D138" s="113">
        <v>0</v>
      </c>
      <c r="E138" s="113">
        <v>100</v>
      </c>
      <c r="F138" s="113">
        <v>15</v>
      </c>
      <c r="G138" s="113" t="s">
        <v>852</v>
      </c>
      <c r="H138" s="113">
        <v>1</v>
      </c>
      <c r="I138" s="113" t="s">
        <v>849</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857</v>
      </c>
      <c r="B139" s="113" t="s">
        <v>858</v>
      </c>
      <c r="C139" s="113" t="s">
        <v>526</v>
      </c>
      <c r="D139" s="113">
        <v>0</v>
      </c>
      <c r="E139" s="113">
        <v>100</v>
      </c>
      <c r="F139" s="113">
        <v>10</v>
      </c>
      <c r="G139" s="113" t="s">
        <v>854</v>
      </c>
      <c r="H139" s="113">
        <v>1</v>
      </c>
      <c r="I139" s="113" t="s">
        <v>652</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302</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652</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279</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849</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281</v>
      </c>
      <c r="B142" s="118" t="str">
        <f t="shared" ref="B142:B184"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849</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284</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849</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286</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652</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288</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652</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305</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652</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306</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849</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291</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652</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293</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849</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297</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652</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299</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652</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309</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652</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315</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849</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317</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652</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318</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849</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321</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849</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1252</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652</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322</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849</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122" t="s">
        <v>1257</v>
      </c>
      <c r="B159" s="118" t="str">
        <f t="shared" si="5"/>
        <v>SID_PARASITE</v>
      </c>
      <c r="C159" s="118" t="str">
        <f ca="1">OFFSET(CreepAbilities!$A$1,MATCH($A159,CreepAbilities!$F:$F,0)-1,MATCH("技能",CreepAbilities!$1:$1,0)-1)</f>
        <v>寄生</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0</v>
      </c>
      <c r="G159" s="118">
        <f ca="1">IF(OFFSET(CreepAbilities!$A$1,MATCH($A159,CreepAbilities!$F:$F,0)-1,MATCH("OID",CreepAbilities!$1:$1,0)-1)=0,0,"OrderId("&amp;CHAR(34)&amp;OFFSET(CreepAbilities!$A$1,MATCH($A159,CreepAbilities!$F:$F,0)-1,MATCH("OID",CreepAbilities!$1:$1,0)-1)&amp;CHAR(34)&amp;")")</f>
        <v>0</v>
      </c>
      <c r="H159" s="120">
        <v>1</v>
      </c>
      <c r="I159" s="120" t="s">
        <v>849</v>
      </c>
      <c r="J159" s="120"/>
      <c r="K159" s="108" t="str">
        <f t="shared" ca="1" si="4"/>
        <v>SpellData.create(SID_PARASITE,"寄生",0,0,0,0,1,ORDER_TYPE_TARGET);</v>
      </c>
      <c r="L159" s="120"/>
      <c r="M159" s="120"/>
      <c r="N159" s="120"/>
      <c r="O159" s="120"/>
      <c r="P159" s="120"/>
      <c r="Q159" s="120"/>
      <c r="R159" s="120"/>
      <c r="S159" s="120"/>
      <c r="T159" s="120"/>
      <c r="U159" s="120"/>
      <c r="V159" s="120"/>
      <c r="W159" s="120"/>
      <c r="X159" s="120"/>
    </row>
    <row r="160" spans="1:24" s="121" customFormat="1">
      <c r="A160" s="122" t="s">
        <v>1259</v>
      </c>
      <c r="B160" s="118" t="str">
        <f t="shared" si="5"/>
        <v>SID_GNAW</v>
      </c>
      <c r="C160" s="118" t="str">
        <f ca="1">OFFSET(CreepAbilities!$A$1,MATCH($A160,CreepAbilities!$F:$F,0)-1,MATCH("技能",CreepAbilities!$1:$1,0)-1)</f>
        <v>啃食</v>
      </c>
      <c r="D160" s="118">
        <f ca="1">OFFSET(CreepAbilities!$A$1,MATCH($A160,CreepAbilities!$F:$F,0)-1,MATCH("施",CreepAbilities!$1:$1,0)-1)</f>
        <v>5</v>
      </c>
      <c r="E160" s="118">
        <f ca="1">OFFSET(CreepAbilities!$A$1,MATCH($A160,CreepAbilities!$F:$F,0)-1,MATCH("耗",CreepAbilities!$1:$1,0)-1)</f>
        <v>0</v>
      </c>
      <c r="F160" s="118">
        <f ca="1">OFFSET(CreepAbilities!$A$1,MATCH($A160,CreepAbilities!$F:$F,0)-1,MATCH("冷",CreepAbilities!$1:$1,0)-1)</f>
        <v>0</v>
      </c>
      <c r="G160" s="118" t="str">
        <f ca="1">IF(OFFSET(CreepAbilities!$A$1,MATCH($A160,CreepAbilities!$F:$F,0)-1,MATCH("OID",CreepAbilities!$1:$1,0)-1)=0,0,"OrderId("&amp;CHAR(34)&amp;OFFSET(CreepAbilities!$A$1,MATCH($A160,CreepAbilities!$F:$F,0)-1,MATCH("OID",CreepAbilities!$1:$1,0)-1)&amp;CHAR(34)&amp;")")</f>
        <v>OrderId("sleep")</v>
      </c>
      <c r="H160" s="120">
        <v>2</v>
      </c>
      <c r="I160" s="120" t="s">
        <v>849</v>
      </c>
      <c r="J160" s="120"/>
      <c r="K160" s="108" t="str">
        <f t="shared" ca="1" si="4"/>
        <v>SpellData.create(SID_GNAW,"啃食",0,5,0,OrderId("sleep"),2,ORDER_TYPE_TARGET);</v>
      </c>
      <c r="L160" s="120"/>
      <c r="M160" s="120"/>
      <c r="N160" s="120"/>
      <c r="O160" s="120"/>
      <c r="P160" s="120"/>
      <c r="Q160" s="120"/>
      <c r="R160" s="120"/>
      <c r="S160" s="120"/>
      <c r="T160" s="120"/>
      <c r="U160" s="120"/>
      <c r="V160" s="120"/>
      <c r="W160" s="120"/>
      <c r="X160" s="120"/>
    </row>
    <row r="161" spans="1:24" s="121" customFormat="1">
      <c r="A161" s="122" t="s">
        <v>1262</v>
      </c>
      <c r="B161" s="118" t="str">
        <f t="shared" si="5"/>
        <v>SID_MANA_TAP</v>
      </c>
      <c r="C161" s="118" t="str">
        <f ca="1">OFFSET(CreepAbilities!$A$1,MATCH($A161,CreepAbilities!$F:$F,0)-1,MATCH("技能",CreepAbilities!$1:$1,0)-1)</f>
        <v>法力流失</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13</v>
      </c>
      <c r="G161" s="118" t="str">
        <f ca="1">IF(OFFSET(CreepAbilities!$A$1,MATCH($A161,CreepAbilities!$F:$F,0)-1,MATCH("OID",CreepAbilities!$1:$1,0)-1)=0,0,"OrderId("&amp;CHAR(34)&amp;OFFSET(CreepAbilities!$A$1,MATCH($A161,CreepAbilities!$F:$F,0)-1,MATCH("OID",CreepAbilities!$1:$1,0)-1)&amp;CHAR(34)&amp;")")</f>
        <v>OrderId("sleep")</v>
      </c>
      <c r="H161" s="120">
        <v>1</v>
      </c>
      <c r="I161" s="120" t="s">
        <v>934</v>
      </c>
      <c r="J161" s="120"/>
      <c r="K161" s="108" t="str">
        <f t="shared" ref="K161:K163" ca="1" si="6">IF(C161="N/A","//",CONCATENATE("SpellData.create(",B161,",",CHAR(34),C161,CHAR(34),",",E161,",",D161,",",F161,",",G161,",",H161,",",I161,")",J161,";"))</f>
        <v>SpellData.create(SID_MANA_TAP,"法力流失",0,0,13,OrderId("sleep"),1,ORDER_TYPE_POINT);</v>
      </c>
      <c r="L161" s="120"/>
      <c r="M161" s="120"/>
      <c r="N161" s="120"/>
      <c r="O161" s="120"/>
      <c r="P161" s="120"/>
      <c r="Q161" s="120"/>
      <c r="R161" s="120"/>
      <c r="S161" s="120"/>
      <c r="T161" s="120"/>
      <c r="U161" s="120"/>
      <c r="V161" s="120"/>
      <c r="W161" s="120"/>
      <c r="X161" s="120"/>
    </row>
    <row r="162" spans="1:24" s="121" customFormat="1">
      <c r="A162" s="122" t="s">
        <v>1264</v>
      </c>
      <c r="B162" s="118" t="str">
        <f t="shared" si="5"/>
        <v>SID_FROST_GRAVE</v>
      </c>
      <c r="C162" s="118" t="str">
        <f ca="1">OFFSET(CreepAbilities!$A$1,MATCH($A162,CreepAbilities!$F:$F,0)-1,MATCH("技能",CreepAbilities!$1:$1,0)-1)</f>
        <v>冰冻坟墓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8</v>
      </c>
      <c r="G162" s="118" t="str">
        <f ca="1">IF(OFFSET(CreepAbilities!$A$1,MATCH($A162,CreepAbilities!$F:$F,0)-1,MATCH("OID",CreepAbilities!$1:$1,0)-1)=0,0,"OrderId("&amp;CHAR(34)&amp;OFFSET(CreepAbilities!$A$1,MATCH($A162,CreepAbilities!$F:$F,0)-1,MATCH("OID",CreepAbilities!$1:$1,0)-1)&amp;CHAR(34)&amp;")")</f>
        <v>OrderId("sleep")</v>
      </c>
      <c r="H162" s="120">
        <v>1</v>
      </c>
      <c r="I162" s="120" t="s">
        <v>849</v>
      </c>
      <c r="J162" s="120"/>
      <c r="K162" s="108" t="str">
        <f t="shared" ca="1" si="6"/>
        <v>SpellData.create(SID_FROST_GRAVE,"冰冻坟墓",0,0,8,OrderId("sleep"),1,ORDER_TYPE_TARGET);</v>
      </c>
      <c r="L162" s="120"/>
      <c r="M162" s="120"/>
      <c r="N162" s="120"/>
      <c r="O162" s="120"/>
      <c r="P162" s="120"/>
      <c r="Q162" s="120"/>
      <c r="R162" s="120"/>
      <c r="S162" s="120"/>
      <c r="T162" s="120"/>
      <c r="U162" s="120"/>
      <c r="V162" s="120"/>
      <c r="W162" s="120"/>
      <c r="X162" s="120"/>
    </row>
    <row r="163" spans="1:24" s="121" customFormat="1">
      <c r="A163" s="122" t="s">
        <v>1265</v>
      </c>
      <c r="B163" s="118" t="str">
        <f t="shared" si="5"/>
        <v>SID_DEATH_AND_DECAY</v>
      </c>
      <c r="C163" s="118" t="str">
        <f ca="1">OFFSET(CreepAbilities!$A$1,MATCH($A163,CreepAbilities!$F:$F,0)-1,MATCH("技能",CreepAbilities!$1:$1,0)-1)</f>
        <v>死亡凋零</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OrderId("heal")</v>
      </c>
      <c r="H163" s="120">
        <v>1</v>
      </c>
      <c r="I163" s="120" t="s">
        <v>849</v>
      </c>
      <c r="J163" s="120"/>
      <c r="K163" s="108" t="str">
        <f t="shared" ca="1" si="6"/>
        <v>SpellData.create(SID_DEATH_AND_DECAY,"死亡凋零",0,0,8,OrderId("heal"),1,ORDER_TYPE_TARGET);</v>
      </c>
      <c r="L163" s="120"/>
      <c r="M163" s="120"/>
      <c r="N163" s="120"/>
      <c r="O163" s="120"/>
      <c r="P163" s="120"/>
      <c r="Q163" s="120"/>
      <c r="R163" s="120"/>
      <c r="S163" s="120"/>
      <c r="T163" s="120"/>
      <c r="U163" s="120"/>
      <c r="V163" s="120"/>
      <c r="W163" s="120"/>
      <c r="X163" s="120"/>
    </row>
    <row r="164" spans="1:24" s="121" customFormat="1">
      <c r="A164" s="123" t="s">
        <v>325</v>
      </c>
      <c r="B164" s="118" t="str">
        <f t="shared" si="5"/>
        <v>SID_NETHER_BOLT</v>
      </c>
      <c r="C164" s="118" t="str">
        <f ca="1">OFFSET(CreepAbilities!$A$1,MATCH($A164,CreepAbilities!$F:$F,0)-1,MATCH("技能",CreepAbilities!$1:$1,0)-1)</f>
        <v>虚空之箭</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OrderId("sleep")</v>
      </c>
      <c r="H164" s="120">
        <v>1</v>
      </c>
      <c r="I164" s="120" t="s">
        <v>849</v>
      </c>
      <c r="J164" s="120"/>
      <c r="K164" s="108" t="str">
        <f t="shared" ref="K164:K184" ca="1" si="7">IF(C164="N/A","//",CONCATENATE("SpellData.create(",B164,",",CHAR(34),C164,CHAR(34),",",E164,",",D164,",",F164,",",G164,",",H164,",",I164,")",J164,";"))</f>
        <v>SpellData.create(SID_NETHER_BOLT,"虚空之箭",0,0,7,OrderId("sleep"),1,ORDER_TYPE_TARGET);</v>
      </c>
      <c r="L164" s="120"/>
      <c r="M164" s="120"/>
      <c r="N164" s="120"/>
      <c r="O164" s="120"/>
      <c r="P164" s="120"/>
      <c r="Q164" s="120"/>
      <c r="R164" s="120"/>
      <c r="S164" s="120"/>
      <c r="T164" s="120"/>
      <c r="U164" s="120"/>
      <c r="V164" s="120"/>
      <c r="W164" s="120"/>
      <c r="X164" s="120"/>
    </row>
    <row r="165" spans="1:24" s="121" customFormat="1">
      <c r="A165" s="123" t="s">
        <v>326</v>
      </c>
      <c r="B165" s="118" t="str">
        <f t="shared" si="5"/>
        <v>SID_SHADOW_SHIFT</v>
      </c>
      <c r="C165" s="118" t="str">
        <f ca="1">OFFSET(CreepAbilities!$A$1,MATCH($A165,CreepAbilities!$F:$F,0)-1,MATCH("技能",CreepAbilities!$1:$1,0)-1)</f>
        <v>暗影转换</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5</v>
      </c>
      <c r="G165" s="118" t="str">
        <f ca="1">IF(OFFSET(CreepAbilities!$A$1,MATCH($A165,CreepAbilities!$F:$F,0)-1,MATCH("OID",CreepAbilities!$1:$1,0)-1)=0,0,"OrderId("&amp;CHAR(34)&amp;OFFSET(CreepAbilities!$A$1,MATCH($A165,CreepAbilities!$F:$F,0)-1,MATCH("OID",CreepAbilities!$1:$1,0)-1)&amp;CHAR(34)&amp;")")</f>
        <v>OrderId("slow")</v>
      </c>
      <c r="H165" s="120">
        <v>1</v>
      </c>
      <c r="I165" s="120" t="s">
        <v>849</v>
      </c>
      <c r="J165" s="120"/>
      <c r="K165" s="108" t="str">
        <f t="shared" ca="1" si="7"/>
        <v>SpellData.create(SID_SHADOW_SHIFT,"暗影转换",0,0,5,OrderId("slow"),1,ORDER_TYPE_TARGET);</v>
      </c>
      <c r="L165" s="120"/>
      <c r="M165" s="120"/>
      <c r="N165" s="120"/>
      <c r="O165" s="120"/>
      <c r="P165" s="120"/>
      <c r="Q165" s="120"/>
      <c r="R165" s="120"/>
      <c r="S165" s="120"/>
      <c r="T165" s="120"/>
      <c r="U165" s="120"/>
      <c r="V165" s="120"/>
      <c r="W165" s="120"/>
      <c r="X165" s="120"/>
    </row>
    <row r="166" spans="1:24" s="121" customFormat="1">
      <c r="A166" s="123" t="s">
        <v>328</v>
      </c>
      <c r="B166" s="118" t="str">
        <f t="shared" si="5"/>
        <v>SID_MANA_BURN</v>
      </c>
      <c r="C166" s="118" t="str">
        <f ca="1">OFFSET(CreepAbilities!$A$1,MATCH($A166,CreepAbilities!$F:$F,0)-1,MATCH("技能",CreepAbilities!$1:$1,0)-1)</f>
        <v>法力燃烧</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7</v>
      </c>
      <c r="G166" s="118" t="str">
        <f ca="1">IF(OFFSET(CreepAbilities!$A$1,MATCH($A166,CreepAbilities!$F:$F,0)-1,MATCH("OID",CreepAbilities!$1:$1,0)-1)=0,0,"OrderId("&amp;CHAR(34)&amp;OFFSET(CreepAbilities!$A$1,MATCH($A166,CreepAbilities!$F:$F,0)-1,MATCH("OID",CreepAbilities!$1:$1,0)-1)&amp;CHAR(34)&amp;")")</f>
        <v>OrderId("sleep")</v>
      </c>
      <c r="H166" s="120">
        <v>1</v>
      </c>
      <c r="I166" s="120" t="s">
        <v>849</v>
      </c>
      <c r="J166" s="120"/>
      <c r="K166" s="108" t="str">
        <f t="shared" ca="1" si="7"/>
        <v>SpellData.create(SID_MANA_BURN,"法力燃烧",0,0,7,OrderId("sleep"),1,ORDER_TYPE_TARGET);</v>
      </c>
      <c r="L166" s="120"/>
      <c r="M166" s="120"/>
      <c r="N166" s="120"/>
      <c r="O166" s="120"/>
      <c r="P166" s="120"/>
      <c r="Q166" s="120"/>
      <c r="R166" s="120"/>
      <c r="S166" s="120"/>
      <c r="T166" s="120"/>
      <c r="U166" s="120"/>
      <c r="V166" s="120"/>
      <c r="W166" s="120"/>
      <c r="X166" s="120"/>
    </row>
    <row r="167" spans="1:24" s="121" customFormat="1">
      <c r="A167" s="123" t="s">
        <v>330</v>
      </c>
      <c r="B167" s="118" t="str">
        <f t="shared" si="5"/>
        <v>SID_SHADOW_SPIKE</v>
      </c>
      <c r="C167" s="118" t="str">
        <f ca="1">OFFSET(CreepAbilities!$A$1,MATCH($A167,CreepAbilities!$F:$F,0)-1,MATCH("技能",CreepAbilities!$1:$1,0)-1)</f>
        <v>暗影之刺</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5</v>
      </c>
      <c r="G167" s="118" t="str">
        <f ca="1">IF(OFFSET(CreepAbilities!$A$1,MATCH($A167,CreepAbilities!$F:$F,0)-1,MATCH("OID",CreepAbilities!$1:$1,0)-1)=0,0,"OrderId("&amp;CHAR(34)&amp;OFFSET(CreepAbilities!$A$1,MATCH($A167,CreepAbilities!$F:$F,0)-1,MATCH("OID",CreepAbilities!$1:$1,0)-1)&amp;CHAR(34)&amp;")")</f>
        <v>OrderId("sleep")</v>
      </c>
      <c r="H167" s="120">
        <v>1</v>
      </c>
      <c r="I167" s="120" t="s">
        <v>849</v>
      </c>
      <c r="J167" s="120"/>
      <c r="K167" s="108" t="str">
        <f ca="1">IF(C167="N/A","//",CONCATENATE("SpellData.create(",B167,",",CHAR(34),C167,CHAR(34),",",E167,",",D167,",",F167,",",G167,",",H167,",",I167,")",J167,";"))</f>
        <v>SpellData.create(SID_SHADOW_SPIKE,"暗影之刺",0,0,5,OrderId("sleep"),1,ORDER_TYPE_TARGET);</v>
      </c>
      <c r="L167" s="120"/>
      <c r="M167" s="120"/>
      <c r="N167" s="120"/>
      <c r="O167" s="120"/>
      <c r="P167" s="120"/>
      <c r="Q167" s="120"/>
      <c r="R167" s="120"/>
      <c r="S167" s="120"/>
      <c r="T167" s="120"/>
      <c r="U167" s="120"/>
      <c r="V167" s="120"/>
      <c r="W167" s="120"/>
      <c r="X167" s="120"/>
    </row>
    <row r="168" spans="1:24" s="121" customFormat="1">
      <c r="A168" s="123" t="s">
        <v>332</v>
      </c>
      <c r="B168" s="118" t="str">
        <f t="shared" si="5"/>
        <v>SID_MARK_OF_AGONY</v>
      </c>
      <c r="C168" s="118" t="str">
        <f ca="1">OFFSET(CreepAbilities!$A$1,MATCH($A168,CreepAbilities!$F:$F,0)-1,MATCH("技能",CreepAbilities!$1:$1,0)-1)</f>
        <v>痛苦标记</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15</v>
      </c>
      <c r="G168" s="118" t="str">
        <f ca="1">IF(OFFSET(CreepAbilities!$A$1,MATCH($A168,CreepAbilities!$F:$F,0)-1,MATCH("OID",CreepAbilities!$1:$1,0)-1)=0,0,"OrderId("&amp;CHAR(34)&amp;OFFSET(CreepAbilities!$A$1,MATCH($A168,CreepAbilities!$F:$F,0)-1,MATCH("OID",CreepAbilities!$1:$1,0)-1)&amp;CHAR(34)&amp;")")</f>
        <v>OrderId("slow")</v>
      </c>
      <c r="H168" s="120">
        <v>1</v>
      </c>
      <c r="I168" s="120" t="s">
        <v>849</v>
      </c>
      <c r="J168" s="120"/>
      <c r="K168" s="108" t="str">
        <f t="shared" ca="1" si="7"/>
        <v>SpellData.create(SID_MARK_OF_AGONY,"痛苦标记",0,0,15,OrderId("slow"),1,ORDER_TYPE_TARGET);</v>
      </c>
      <c r="L168" s="120"/>
      <c r="M168" s="120"/>
      <c r="N168" s="120"/>
      <c r="O168" s="120"/>
      <c r="P168" s="120"/>
      <c r="Q168" s="120"/>
      <c r="R168" s="120"/>
      <c r="S168" s="120"/>
      <c r="T168" s="120"/>
      <c r="U168" s="120"/>
      <c r="V168" s="120"/>
      <c r="W168" s="120"/>
      <c r="X168" s="120"/>
    </row>
    <row r="169" spans="1:24" s="121" customFormat="1">
      <c r="A169" s="123" t="s">
        <v>336</v>
      </c>
      <c r="B169" s="118" t="str">
        <f t="shared" si="5"/>
        <v>SID_NETHER_IMPLOSION</v>
      </c>
      <c r="C169" s="118" t="str">
        <f ca="1">OFFSET(CreepAbilities!$A$1,MATCH($A169,CreepAbilities!$F:$F,0)-1,MATCH("技能",CreepAbilities!$1:$1,0)-1)</f>
        <v>虚空爆裂</v>
      </c>
      <c r="D169" s="118">
        <f ca="1">OFFSET(CreepAbilities!$A$1,MATCH($A169,CreepAbilities!$F:$F,0)-1,MATCH("施",CreepAbilities!$1:$1,0)-1)</f>
        <v>4</v>
      </c>
      <c r="E169" s="118">
        <f ca="1">OFFSET(CreepAbilities!$A$1,MATCH($A169,CreepAbilities!$F:$F,0)-1,MATCH("耗",CreepAbilities!$1:$1,0)-1)</f>
        <v>0</v>
      </c>
      <c r="F169" s="118">
        <f ca="1">OFFSET(CreepAbilities!$A$1,MATCH($A169,CreepAbilities!$F:$F,0)-1,MATCH("冷",CreepAbilities!$1:$1,0)-1)</f>
        <v>12</v>
      </c>
      <c r="G169" s="118" t="str">
        <f ca="1">IF(OFFSET(CreepAbilities!$A$1,MATCH($A169,CreepAbilities!$F:$F,0)-1,MATCH("OID",CreepAbilities!$1:$1,0)-1)=0,0,"OrderId("&amp;CHAR(34)&amp;OFFSET(CreepAbilities!$A$1,MATCH($A169,CreepAbilities!$F:$F,0)-1,MATCH("OID",CreepAbilities!$1:$1,0)-1)&amp;CHAR(34)&amp;")")</f>
        <v>OrderId("roar")</v>
      </c>
      <c r="H169" s="120">
        <v>1</v>
      </c>
      <c r="I169" s="114" t="s">
        <v>652</v>
      </c>
      <c r="J169" s="120"/>
      <c r="K169" s="108" t="str">
        <f t="shared" ca="1" si="7"/>
        <v>SpellData.create(SID_NETHER_IMPLOSION,"虚空爆裂",0,4,12,OrderId("roar"),1,ORDER_TYPE_IMMEDIATE);</v>
      </c>
      <c r="L169" s="120"/>
      <c r="M169" s="120"/>
      <c r="N169" s="120"/>
      <c r="O169" s="120"/>
      <c r="P169" s="120"/>
      <c r="Q169" s="120"/>
      <c r="R169" s="120"/>
      <c r="S169" s="120"/>
      <c r="T169" s="120"/>
      <c r="U169" s="120"/>
      <c r="V169" s="120"/>
      <c r="W169" s="120"/>
      <c r="X169" s="120"/>
    </row>
    <row r="170" spans="1:24" s="121" customFormat="1">
      <c r="A170" s="123" t="s">
        <v>337</v>
      </c>
      <c r="B170" s="118" t="str">
        <f t="shared" si="5"/>
        <v>SID_NETHER_BREATH</v>
      </c>
      <c r="C170" s="118" t="str">
        <f ca="1">OFFSET(CreepAbilities!$A$1,MATCH($A170,CreepAbilities!$F:$F,0)-1,MATCH("技能",CreepAbilities!$1:$1,0)-1)</f>
        <v>虚空吐息</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9</v>
      </c>
      <c r="G170" s="118" t="str">
        <f ca="1">IF(OFFSET(CreepAbilities!$A$1,MATCH($A170,CreepAbilities!$F:$F,0)-1,MATCH("OID",CreepAbilities!$1:$1,0)-1)=0,0,"OrderId("&amp;CHAR(34)&amp;OFFSET(CreepAbilities!$A$1,MATCH($A170,CreepAbilities!$F:$F,0)-1,MATCH("OID",CreepAbilities!$1:$1,0)-1)&amp;CHAR(34)&amp;")")</f>
        <v>OrderId("howlofterror")</v>
      </c>
      <c r="H170" s="120">
        <v>1</v>
      </c>
      <c r="I170" s="114" t="s">
        <v>652</v>
      </c>
      <c r="J170" s="120"/>
      <c r="K170" s="108" t="str">
        <f t="shared" ca="1" si="7"/>
        <v>SpellData.create(SID_NETHER_BREATH,"虚空吐息",0,0,9,OrderId("howlofterror"),1,ORDER_TYPE_IMMEDIATE);</v>
      </c>
      <c r="L170" s="120"/>
      <c r="M170" s="120"/>
      <c r="N170" s="120"/>
      <c r="O170" s="120"/>
      <c r="P170" s="120"/>
      <c r="Q170" s="120"/>
      <c r="R170" s="120"/>
      <c r="S170" s="120"/>
      <c r="T170" s="120"/>
      <c r="U170" s="120"/>
      <c r="V170" s="120"/>
      <c r="W170" s="120"/>
      <c r="X170" s="120"/>
    </row>
    <row r="171" spans="1:24" s="121" customFormat="1">
      <c r="A171" s="123" t="s">
        <v>339</v>
      </c>
      <c r="B171" s="118" t="str">
        <f t="shared" si="5"/>
        <v>SID_NETHER_SLOW</v>
      </c>
      <c r="C171" s="118" t="str">
        <f ca="1">OFFSET(CreepAbilities!$A$1,MATCH($A171,CreepAbilities!$F:$F,0)-1,MATCH("技能",CreepAbilities!$1:$1,0)-1)</f>
        <v>迟缓</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7</v>
      </c>
      <c r="G171" s="118" t="str">
        <f ca="1">IF(OFFSET(CreepAbilities!$A$1,MATCH($A171,CreepAbilities!$F:$F,0)-1,MATCH("OID",CreepAbilities!$1:$1,0)-1)=0,0,"OrderId("&amp;CHAR(34)&amp;OFFSET(CreepAbilities!$A$1,MATCH($A171,CreepAbilities!$F:$F,0)-1,MATCH("OID",CreepAbilities!$1:$1,0)-1)&amp;CHAR(34)&amp;")")</f>
        <v>OrderId("slow")</v>
      </c>
      <c r="H171" s="120">
        <v>1</v>
      </c>
      <c r="I171" s="120" t="s">
        <v>849</v>
      </c>
      <c r="J171" s="120"/>
      <c r="K171" s="108" t="str">
        <f t="shared" ca="1" si="7"/>
        <v>SpellData.create(SID_NETHER_SLOW,"迟缓",0,0,7,OrderId("slow"),1,ORDER_TYPE_TARGET);</v>
      </c>
      <c r="L171" s="120"/>
      <c r="M171" s="120"/>
      <c r="N171" s="120"/>
      <c r="O171" s="120"/>
      <c r="P171" s="120"/>
      <c r="Q171" s="120"/>
      <c r="R171" s="120"/>
      <c r="S171" s="120"/>
      <c r="T171" s="120"/>
      <c r="U171" s="120"/>
      <c r="V171" s="120"/>
      <c r="W171" s="120"/>
      <c r="X171" s="120"/>
    </row>
    <row r="172" spans="1:24" s="121" customFormat="1">
      <c r="A172" s="123" t="s">
        <v>1267</v>
      </c>
      <c r="B172" s="118" t="str">
        <f t="shared" si="5"/>
        <v>SID_METEOR</v>
      </c>
      <c r="C172" s="118" t="str">
        <f ca="1">OFFSET(CreepAbilities!$A$1,MATCH($A172,CreepAbilities!$F:$F,0)-1,MATCH("技能",CreepAbilities!$1:$1,0)-1)</f>
        <v>陨石</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OrderId("blizzard")</v>
      </c>
      <c r="H172" s="120">
        <v>1</v>
      </c>
      <c r="I172" s="120" t="s">
        <v>934</v>
      </c>
      <c r="J172" s="120"/>
      <c r="K172" s="108" t="str">
        <f t="shared" ca="1" si="7"/>
        <v>SpellData.create(SID_METEOR,"陨石",0,0,7,OrderId("blizzard"),1,ORDER_TYPE_POINT);</v>
      </c>
      <c r="L172" s="120"/>
      <c r="M172" s="120"/>
      <c r="N172" s="120"/>
      <c r="O172" s="120"/>
      <c r="P172" s="120"/>
      <c r="Q172" s="120"/>
      <c r="R172" s="120"/>
      <c r="S172" s="120"/>
      <c r="T172" s="120"/>
      <c r="U172" s="120"/>
      <c r="V172" s="120"/>
      <c r="W172" s="120"/>
      <c r="X172" s="120"/>
    </row>
    <row r="173" spans="1:24" s="121" customFormat="1">
      <c r="A173" s="123" t="s">
        <v>1268</v>
      </c>
      <c r="B173" s="118" t="str">
        <f t="shared" si="5"/>
        <v>SID_BURNING</v>
      </c>
      <c r="C173" s="118" t="str">
        <f ca="1">OFFSET(CreepAbilities!$A$1,MATCH($A173,CreepAbilities!$F:$F,0)-1,MATCH("技能",CreepAbilities!$1:$1,0)-1)</f>
        <v>燃烧</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OrderId("roar")</v>
      </c>
      <c r="H173" s="120">
        <v>1</v>
      </c>
      <c r="I173" s="114" t="s">
        <v>652</v>
      </c>
      <c r="J173" s="120"/>
      <c r="K173" s="108" t="str">
        <f t="shared" ca="1" si="7"/>
        <v>SpellData.create(SID_BURNING,"燃烧",0,0,20,OrderId("roar"),1,ORDER_TYPE_IMMEDIATE);</v>
      </c>
      <c r="L173" s="120"/>
      <c r="M173" s="120"/>
      <c r="N173" s="120"/>
      <c r="O173" s="120"/>
      <c r="P173" s="120"/>
      <c r="Q173" s="120"/>
      <c r="R173" s="120"/>
      <c r="S173" s="120"/>
      <c r="T173" s="120"/>
      <c r="U173" s="120"/>
      <c r="V173" s="120"/>
      <c r="W173" s="120"/>
      <c r="X173" s="120"/>
    </row>
    <row r="174" spans="1:24" s="121" customFormat="1">
      <c r="A174" s="114" t="s">
        <v>341</v>
      </c>
      <c r="B174" s="118" t="str">
        <f t="shared" si="5"/>
        <v>SID_CRUSHING_BLOW</v>
      </c>
      <c r="C174" s="118" t="str">
        <f ca="1">OFFSET(CreepAbilities!$A$1,MATCH($A174,CreepAbilities!$F:$F,0)-1,MATCH("技能",CreepAbilities!$1:$1,0)-1)</f>
        <v>重拳</v>
      </c>
      <c r="D174" s="118">
        <f ca="1">OFFSET(CreepAbilities!$A$1,MATCH($A174,CreepAbilities!$F:$F,0)-1,MATCH("施",CreepAbilities!$1:$1,0)-1)</f>
        <v>2</v>
      </c>
      <c r="E174" s="118">
        <f ca="1">OFFSET(CreepAbilities!$A$1,MATCH($A174,CreepAbilities!$F:$F,0)-1,MATCH("耗",CreepAbilities!$1:$1,0)-1)</f>
        <v>0</v>
      </c>
      <c r="F174" s="118">
        <f ca="1">OFFSET(CreepAbilities!$A$1,MATCH($A174,CreepAbilities!$F:$F,0)-1,MATCH("冷",CreepAbilities!$1:$1,0)-1)</f>
        <v>6</v>
      </c>
      <c r="G174" s="118" t="str">
        <f ca="1">IF(OFFSET(CreepAbilities!$A$1,MATCH($A174,CreepAbilities!$F:$F,0)-1,MATCH("OID",CreepAbilities!$1:$1,0)-1)=0,0,"OrderId("&amp;CHAR(34)&amp;OFFSET(CreepAbilities!$A$1,MATCH($A174,CreepAbilities!$F:$F,0)-1,MATCH("OID",CreepAbilities!$1:$1,0)-1)&amp;CHAR(34)&amp;")")</f>
        <v>OrderId("sleep")</v>
      </c>
      <c r="H174" s="120">
        <v>1</v>
      </c>
      <c r="I174" s="120" t="s">
        <v>849</v>
      </c>
      <c r="J174" s="120"/>
      <c r="K174" s="108" t="str">
        <f t="shared" ca="1" si="7"/>
        <v>SpellData.create(SID_CRUSHING_BLOW,"重拳",0,2,6,OrderId("sleep"),1,ORDER_TYPE_TARGET);</v>
      </c>
      <c r="L174" s="120"/>
      <c r="M174" s="120"/>
      <c r="N174" s="120"/>
      <c r="O174" s="120"/>
      <c r="P174" s="120"/>
      <c r="Q174" s="120"/>
      <c r="R174" s="120"/>
      <c r="S174" s="120"/>
      <c r="T174" s="120"/>
      <c r="U174" s="120"/>
      <c r="V174" s="120"/>
      <c r="W174" s="120"/>
      <c r="X174" s="120"/>
    </row>
    <row r="175" spans="1:24" s="121" customFormat="1">
      <c r="A175" s="114" t="s">
        <v>342</v>
      </c>
      <c r="B175" s="118" t="str">
        <f t="shared" si="5"/>
        <v>SID_FOREST_STOMP</v>
      </c>
      <c r="C175" s="118" t="str">
        <f ca="1">OFFSET(CreepAbilities!$A$1,MATCH($A175,CreepAbilities!$F:$F,0)-1,MATCH("技能",CreepAbilities!$1:$1,0)-1)</f>
        <v>震地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OrderId("roar")</v>
      </c>
      <c r="H175" s="120">
        <v>1</v>
      </c>
      <c r="I175" s="114" t="s">
        <v>652</v>
      </c>
      <c r="J175" s="120"/>
      <c r="K175" s="108" t="str">
        <f t="shared" ca="1" si="7"/>
        <v>SpellData.create(SID_FOREST_STOMP,"震地",0,0,12,OrderId("roar"),1,ORDER_TYPE_IMMEDIATE);</v>
      </c>
      <c r="L175" s="120"/>
      <c r="M175" s="120"/>
      <c r="N175" s="120"/>
      <c r="O175" s="120"/>
      <c r="P175" s="120"/>
      <c r="Q175" s="120"/>
      <c r="R175" s="120"/>
      <c r="S175" s="120"/>
      <c r="T175" s="120"/>
      <c r="U175" s="120"/>
      <c r="V175" s="120"/>
      <c r="W175" s="120"/>
      <c r="X175" s="120"/>
    </row>
    <row r="176" spans="1:24" s="121" customFormat="1">
      <c r="A176" s="114" t="s">
        <v>1272</v>
      </c>
      <c r="B176" s="118" t="str">
        <f t="shared" si="5"/>
        <v>SID_CORPSE_RAIN</v>
      </c>
      <c r="C176" s="118" t="str">
        <f ca="1">OFFSET(CreepAbilities!$A$1,MATCH($A176,CreepAbilities!$F:$F,0)-1,MATCH("技能",CreepAbilities!$1:$1,0)-1)</f>
        <v>尸雨</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12</v>
      </c>
      <c r="G176" s="118" t="str">
        <f ca="1">IF(OFFSET(CreepAbilities!$A$1,MATCH($A176,CreepAbilities!$F:$F,0)-1,MATCH("OID",CreepAbilities!$1:$1,0)-1)=0,0,"OrderId("&amp;CHAR(34)&amp;OFFSET(CreepAbilities!$A$1,MATCH($A176,CreepAbilities!$F:$F,0)-1,MATCH("OID",CreepAbilities!$1:$1,0)-1)&amp;CHAR(34)&amp;")")</f>
        <v>OrderId("slow")</v>
      </c>
      <c r="H176" s="120">
        <v>1</v>
      </c>
      <c r="I176" s="120" t="s">
        <v>849</v>
      </c>
      <c r="J176" s="120"/>
      <c r="K176" s="108" t="str">
        <f t="shared" ca="1" si="7"/>
        <v>SpellData.create(SID_CORPSE_RAIN,"尸雨",0,0,12,OrderId("slow"),1,ORDER_TYPE_TARGET);</v>
      </c>
      <c r="L176" s="120"/>
      <c r="M176" s="120"/>
      <c r="N176" s="120"/>
      <c r="O176" s="120"/>
      <c r="P176" s="120"/>
      <c r="Q176" s="120"/>
      <c r="R176" s="120"/>
      <c r="S176" s="120"/>
      <c r="T176" s="120"/>
      <c r="U176" s="120"/>
      <c r="V176" s="120"/>
      <c r="W176" s="120"/>
      <c r="X176" s="120"/>
    </row>
    <row r="177" spans="1:24" s="121" customFormat="1">
      <c r="A177" s="114" t="s">
        <v>1273</v>
      </c>
      <c r="B177" s="118" t="str">
        <f t="shared" si="5"/>
        <v>SID_VOODOO_DOLL</v>
      </c>
      <c r="C177" s="118" t="str">
        <f ca="1">OFFSET(CreepAbilities!$A$1,MATCH($A177,CreepAbilities!$F:$F,0)-1,MATCH("技能",CreepAbilities!$1:$1,0)-1)</f>
        <v>巫毒娃娃</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20</v>
      </c>
      <c r="G177" s="118" t="str">
        <f ca="1">IF(OFFSET(CreepAbilities!$A$1,MATCH($A177,CreepAbilities!$F:$F,0)-1,MATCH("OID",CreepAbilities!$1:$1,0)-1)=0,0,"OrderId("&amp;CHAR(34)&amp;OFFSET(CreepAbilities!$A$1,MATCH($A177,CreepAbilities!$F:$F,0)-1,MATCH("OID",CreepAbilities!$1:$1,0)-1)&amp;CHAR(34)&amp;")")</f>
        <v>OrderId("sleep")</v>
      </c>
      <c r="H177" s="120">
        <v>1</v>
      </c>
      <c r="I177" s="120" t="s">
        <v>849</v>
      </c>
      <c r="J177" s="120"/>
      <c r="K177" s="108" t="str">
        <f t="shared" ca="1" si="7"/>
        <v>SpellData.create(SID_VOODOO_DOLL,"巫毒娃娃",0,0,20,OrderId("sleep"),1,ORDER_TYPE_TARGET);</v>
      </c>
      <c r="L177" s="120"/>
      <c r="M177" s="120"/>
      <c r="N177" s="120"/>
      <c r="O177" s="120"/>
      <c r="P177" s="120"/>
      <c r="Q177" s="120"/>
      <c r="R177" s="120"/>
      <c r="S177" s="120"/>
      <c r="T177" s="120"/>
      <c r="U177" s="120"/>
      <c r="V177" s="120"/>
      <c r="W177" s="120"/>
      <c r="X177" s="120"/>
    </row>
    <row r="178" spans="1:24" s="121" customFormat="1">
      <c r="A178" s="215" t="s">
        <v>1879</v>
      </c>
      <c r="B178" s="118" t="str">
        <f t="shared" si="5"/>
        <v>SID_VOODOO_DOLL_ILLUSION</v>
      </c>
      <c r="C178" s="216" t="s">
        <v>1880</v>
      </c>
      <c r="D178" s="118">
        <v>0</v>
      </c>
      <c r="E178" s="118">
        <v>0</v>
      </c>
      <c r="F178" s="118">
        <v>0</v>
      </c>
      <c r="G178" s="118">
        <v>852274</v>
      </c>
      <c r="H178" s="120">
        <v>1</v>
      </c>
      <c r="I178" s="120" t="s">
        <v>849</v>
      </c>
      <c r="J178" s="120"/>
      <c r="K178" s="108" t="str">
        <f t="shared" si="7"/>
        <v>SpellData.create(SID_VOODOO_DOLL_ILLUSION,"DUMMY",0,0,0,852274,1,ORDER_TYPE_TARGET);</v>
      </c>
      <c r="L178" s="120"/>
      <c r="M178" s="120"/>
      <c r="N178" s="120"/>
      <c r="O178" s="120"/>
      <c r="P178" s="120"/>
      <c r="Q178" s="120"/>
      <c r="R178" s="120"/>
      <c r="S178" s="120"/>
      <c r="T178" s="120"/>
      <c r="U178" s="120"/>
      <c r="V178" s="120"/>
      <c r="W178" s="120"/>
      <c r="X178" s="120"/>
    </row>
    <row r="179" spans="1:24" s="121" customFormat="1">
      <c r="A179" s="114" t="s">
        <v>1275</v>
      </c>
      <c r="B179" s="118" t="str">
        <f t="shared" si="5"/>
        <v>SID_SLAM_STRIKE</v>
      </c>
      <c r="C179" s="118" t="str">
        <f ca="1">OFFSET(CreepAbilities!$A$1,MATCH($A179,CreepAbilities!$F:$F,0)-1,MATCH("技能",CreepAbilities!$1:$1,0)-1)</f>
        <v>分裂攻击（被动）</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0</v>
      </c>
      <c r="G179" s="118" t="str">
        <f ca="1">IF(OFFSET(CreepAbilities!$A$1,MATCH($A179,CreepAbilities!$F:$F,0)-1,MATCH("OID",CreepAbilities!$1:$1,0)-1)=0,0,"OrderId("&amp;CHAR(34)&amp;OFFSET(CreepAbilities!$A$1,MATCH($A179,CreepAbilities!$F:$F,0)-1,MATCH("OID",CreepAbilities!$1:$1,0)-1)&amp;CHAR(34)&amp;")")</f>
        <v>OrderId("w")</v>
      </c>
      <c r="H179" s="120">
        <v>1</v>
      </c>
      <c r="I179" s="114" t="s">
        <v>652</v>
      </c>
      <c r="J179" s="120"/>
      <c r="K179" s="108" t="str">
        <f t="shared" ca="1" si="7"/>
        <v>SpellData.create(SID_SLAM_STRIKE,"分裂攻击（被动）",0,0,0,OrderId("w"),1,ORDER_TYPE_IMMEDIATE);</v>
      </c>
      <c r="L179" s="120"/>
      <c r="M179" s="120"/>
      <c r="N179" s="120"/>
      <c r="O179" s="120"/>
      <c r="P179" s="120"/>
      <c r="Q179" s="120"/>
      <c r="R179" s="120"/>
      <c r="S179" s="120"/>
      <c r="T179" s="120"/>
      <c r="U179" s="120"/>
      <c r="V179" s="120"/>
      <c r="W179" s="120"/>
      <c r="X179" s="120"/>
    </row>
    <row r="180" spans="1:24" s="121" customFormat="1">
      <c r="A180" s="114" t="s">
        <v>1276</v>
      </c>
      <c r="B180" s="118" t="str">
        <f t="shared" si="5"/>
        <v>SID_VOMIT</v>
      </c>
      <c r="C180" s="118" t="str">
        <f ca="1">OFFSET(CreepAbilities!$A$1,MATCH($A180,CreepAbilities!$F:$F,0)-1,MATCH("技能",CreepAbilities!$1:$1,0)-1)</f>
        <v>呕吐</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0</v>
      </c>
      <c r="G180" s="118" t="str">
        <f ca="1">IF(OFFSET(CreepAbilities!$A$1,MATCH($A180,CreepAbilities!$F:$F,0)-1,MATCH("OID",CreepAbilities!$1:$1,0)-1)=0,0,"OrderId("&amp;CHAR(34)&amp;OFFSET(CreepAbilities!$A$1,MATCH($A180,CreepAbilities!$F:$F,0)-1,MATCH("OID",CreepAbilities!$1:$1,0)-1)&amp;CHAR(34)&amp;")")</f>
        <v>OrderId("X")</v>
      </c>
      <c r="H180" s="120">
        <v>1</v>
      </c>
      <c r="I180" s="114" t="s">
        <v>652</v>
      </c>
      <c r="J180" s="120"/>
      <c r="K180" s="108" t="str">
        <f t="shared" ca="1" si="7"/>
        <v>SpellData.create(SID_VOMIT,"呕吐",0,0,0,OrderId("X"),1,ORDER_TYPE_IMMEDIATE);</v>
      </c>
      <c r="L180" s="120"/>
      <c r="M180" s="120"/>
      <c r="N180" s="120"/>
      <c r="O180" s="120"/>
      <c r="P180" s="120"/>
      <c r="Q180" s="120"/>
      <c r="R180" s="120"/>
      <c r="S180" s="120"/>
      <c r="T180" s="120"/>
      <c r="U180" s="120"/>
      <c r="V180" s="120"/>
      <c r="W180" s="120"/>
      <c r="X180" s="120"/>
    </row>
    <row r="181" spans="1:24" s="121" customFormat="1">
      <c r="A181" s="114" t="s">
        <v>1279</v>
      </c>
      <c r="B181" s="118" t="str">
        <f t="shared" si="5"/>
        <v>SID_POISON_DART</v>
      </c>
      <c r="C181" s="118" t="str">
        <f ca="1">OFFSET(CreepAbilities!$A$1,MATCH($A181,CreepAbilities!$F:$F,0)-1,MATCH("技能",CreepAbilities!$1:$1,0)-1)</f>
        <v>毒液箭</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4</v>
      </c>
      <c r="G181" s="118" t="str">
        <f ca="1">IF(OFFSET(CreepAbilities!$A$1,MATCH($A181,CreepAbilities!$F:$F,0)-1,MATCH("OID",CreepAbilities!$1:$1,0)-1)=0,0,"OrderId("&amp;CHAR(34)&amp;OFFSET(CreepAbilities!$A$1,MATCH($A181,CreepAbilities!$F:$F,0)-1,MATCH("OID",CreepAbilities!$1:$1,0)-1)&amp;CHAR(34)&amp;")")</f>
        <v>OrderId("sleep")</v>
      </c>
      <c r="H181" s="120">
        <v>1</v>
      </c>
      <c r="I181" s="120" t="s">
        <v>849</v>
      </c>
      <c r="J181" s="120"/>
      <c r="K181" s="108" t="str">
        <f t="shared" ca="1" si="7"/>
        <v>SpellData.create(SID_POISON_DART,"毒液箭",0,0,4,OrderId("sleep"),1,ORDER_TYPE_TARGET);</v>
      </c>
      <c r="L181" s="120"/>
      <c r="M181" s="120"/>
      <c r="N181" s="120"/>
      <c r="O181" s="120"/>
      <c r="P181" s="120"/>
      <c r="Q181" s="120"/>
      <c r="R181" s="120"/>
      <c r="S181" s="120"/>
      <c r="T181" s="120"/>
      <c r="U181" s="120"/>
      <c r="V181" s="120"/>
      <c r="W181" s="120"/>
      <c r="X181" s="120"/>
    </row>
    <row r="182" spans="1:24" s="121" customFormat="1">
      <c r="A182" s="114" t="s">
        <v>1280</v>
      </c>
      <c r="B182" s="118" t="str">
        <f t="shared" si="5"/>
        <v>SID_GRIM_TOTEM</v>
      </c>
      <c r="C182" s="118" t="str">
        <f ca="1">OFFSET(CreepAbilities!$A$1,MATCH($A182,CreepAbilities!$F:$F,0)-1,MATCH("技能",CreepAbilities!$1:$1,0)-1)</f>
        <v>恐怖图腾</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8</v>
      </c>
      <c r="G182" s="118" t="str">
        <f ca="1">IF(OFFSET(CreepAbilities!$A$1,MATCH($A182,CreepAbilities!$F:$F,0)-1,MATCH("OID",CreepAbilities!$1:$1,0)-1)=0,0,"OrderId("&amp;CHAR(34)&amp;OFFSET(CreepAbilities!$A$1,MATCH($A182,CreepAbilities!$F:$F,0)-1,MATCH("OID",CreepAbilities!$1:$1,0)-1)&amp;CHAR(34)&amp;")")</f>
        <v>OrderId("healingward")</v>
      </c>
      <c r="H182" s="120">
        <v>1</v>
      </c>
      <c r="I182" s="114" t="s">
        <v>652</v>
      </c>
      <c r="J182" s="120"/>
      <c r="K182" s="108" t="str">
        <f t="shared" ca="1" si="7"/>
        <v>SpellData.create(SID_GRIM_TOTEM,"恐怖图腾",0,0,8,OrderId("healingward"),1,ORDER_TYPE_IMMEDIATE);</v>
      </c>
      <c r="L182" s="120"/>
      <c r="M182" s="120"/>
      <c r="N182" s="120"/>
      <c r="O182" s="120"/>
      <c r="P182" s="120"/>
      <c r="Q182" s="120"/>
      <c r="R182" s="120"/>
      <c r="S182" s="120"/>
      <c r="T182" s="120"/>
      <c r="U182" s="120"/>
      <c r="V182" s="120"/>
      <c r="W182" s="120"/>
      <c r="X182" s="120"/>
    </row>
    <row r="183" spans="1:24" s="121" customFormat="1">
      <c r="A183" s="114" t="s">
        <v>1282</v>
      </c>
      <c r="B183" s="118" t="str">
        <f t="shared" si="5"/>
        <v>SID_VICIOUS_STRIKE</v>
      </c>
      <c r="C183" s="118" t="str">
        <f ca="1">OFFSET(CreepAbilities!$A$1,MATCH($A183,CreepAbilities!$F:$F,0)-1,MATCH("技能",CreepAbilities!$1:$1,0)-1)</f>
        <v>险恶打击</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12</v>
      </c>
      <c r="G183" s="118" t="str">
        <f ca="1">IF(OFFSET(CreepAbilities!$A$1,MATCH($A183,CreepAbilities!$F:$F,0)-1,MATCH("OID",CreepAbilities!$1:$1,0)-1)=0,0,"OrderId("&amp;CHAR(34)&amp;OFFSET(CreepAbilities!$A$1,MATCH($A183,CreepAbilities!$F:$F,0)-1,MATCH("OID",CreepAbilities!$1:$1,0)-1)&amp;CHAR(34)&amp;")")</f>
        <v>OrderId("w")</v>
      </c>
      <c r="H183" s="120">
        <v>1</v>
      </c>
      <c r="I183" s="120" t="s">
        <v>849</v>
      </c>
      <c r="J183" s="120"/>
      <c r="K183" s="108" t="str">
        <f t="shared" ca="1" si="7"/>
        <v>SpellData.create(SID_VICIOUS_STRIKE,"险恶打击",0,0,12,OrderId("w"),1,ORDER_TYPE_TARGET);</v>
      </c>
      <c r="L183" s="120"/>
      <c r="M183" s="120"/>
      <c r="N183" s="120"/>
      <c r="O183" s="120"/>
      <c r="P183" s="120"/>
      <c r="Q183" s="120"/>
      <c r="R183" s="120"/>
      <c r="S183" s="120"/>
      <c r="T183" s="120"/>
      <c r="U183" s="120"/>
      <c r="V183" s="120"/>
      <c r="W183" s="120"/>
      <c r="X183" s="120"/>
    </row>
    <row r="184" spans="1:24" s="121" customFormat="1">
      <c r="A184" s="114" t="s">
        <v>1283</v>
      </c>
      <c r="B184" s="118" t="str">
        <f t="shared" si="5"/>
        <v>SID_FILTHY_LAND</v>
      </c>
      <c r="C184" s="118" t="str">
        <f ca="1">OFFSET(CreepAbilities!$A$1,MATCH($A184,CreepAbilities!$F:$F,0)-1,MATCH("技能",CreepAbilities!$1:$1,0)-1)</f>
        <v>污秽之地</v>
      </c>
      <c r="D184" s="118">
        <f ca="1">OFFSET(CreepAbilities!$A$1,MATCH($A184,CreepAbilities!$F:$F,0)-1,MATCH("施",CreepAbilities!$1:$1,0)-1)</f>
        <v>0</v>
      </c>
      <c r="E184" s="118">
        <f ca="1">OFFSET(CreepAbilities!$A$1,MATCH($A184,CreepAbilities!$F:$F,0)-1,MATCH("耗",CreepAbilities!$1:$1,0)-1)</f>
        <v>0</v>
      </c>
      <c r="F184" s="118">
        <f ca="1">OFFSET(CreepAbilities!$A$1,MATCH($A184,CreepAbilities!$F:$F,0)-1,MATCH("冷",CreepAbilities!$1:$1,0)-1)</f>
        <v>15</v>
      </c>
      <c r="G184" s="118" t="str">
        <f ca="1">IF(OFFSET(CreepAbilities!$A$1,MATCH($A184,CreepAbilities!$F:$F,0)-1,MATCH("OID",CreepAbilities!$1:$1,0)-1)=0,0,"OrderId("&amp;CHAR(34)&amp;OFFSET(CreepAbilities!$A$1,MATCH($A184,CreepAbilities!$F:$F,0)-1,MATCH("OID",CreepAbilities!$1:$1,0)-1)&amp;CHAR(34)&amp;")")</f>
        <v>OrderId("w")</v>
      </c>
      <c r="H184" s="120">
        <v>1</v>
      </c>
      <c r="I184" s="120" t="s">
        <v>934</v>
      </c>
      <c r="J184" s="120"/>
      <c r="K184" s="108" t="str">
        <f t="shared" ca="1" si="7"/>
        <v>SpellData.create(SID_FILTHY_LAND,"污秽之地",0,0,15,OrderId("w"),1,ORDER_TYPE_POINT);</v>
      </c>
      <c r="L184" s="120"/>
      <c r="M184" s="120"/>
      <c r="N184" s="120"/>
      <c r="O184" s="120"/>
      <c r="P184" s="120"/>
      <c r="Q184" s="120"/>
      <c r="R184" s="120"/>
      <c r="S184" s="120"/>
      <c r="T184" s="120"/>
      <c r="U184" s="120"/>
      <c r="V184" s="120"/>
      <c r="W184" s="120"/>
      <c r="X184" s="120"/>
    </row>
    <row r="185" spans="1:24" s="124" customFormat="1">
      <c r="A185" s="122" t="s">
        <v>846</v>
      </c>
      <c r="B185" s="122" t="s">
        <v>848</v>
      </c>
      <c r="C185" s="122" t="s">
        <v>847</v>
      </c>
      <c r="D185" s="122">
        <v>0</v>
      </c>
      <c r="E185" s="122">
        <v>0</v>
      </c>
      <c r="F185" s="122">
        <v>1</v>
      </c>
      <c r="G185" s="122" t="s">
        <v>653</v>
      </c>
      <c r="H185" s="122">
        <v>1</v>
      </c>
      <c r="I185" s="122" t="s">
        <v>652</v>
      </c>
      <c r="J185" s="122"/>
      <c r="K185" s="108" t="str">
        <f t="shared" ref="K185:K216" si="8">IF(C185="N/A","//",CONCATENATE("SpellData.create(",B185,",",CHAR(34),C185,CHAR(34),",",E185,",",D185,",",F185,",",G185,",",H185,",",I185,")",J185,";"))</f>
        <v>SpellData.create(SIDCALLTOARMS,"战斗召唤",0,0,1,OrderId("channel"),1,ORDER_TYPE_IMMEDIATE);</v>
      </c>
      <c r="L185" s="122"/>
      <c r="M185" s="122"/>
      <c r="N185" s="122"/>
      <c r="O185" s="122"/>
      <c r="P185" s="122"/>
      <c r="Q185" s="122"/>
      <c r="R185" s="122"/>
      <c r="S185" s="122"/>
      <c r="T185" s="122"/>
      <c r="U185" s="122"/>
      <c r="V185" s="122"/>
      <c r="W185" s="122"/>
      <c r="X185" s="122"/>
    </row>
    <row r="186" spans="1:24" s="124" customFormat="1">
      <c r="A186" s="122" t="s">
        <v>843</v>
      </c>
      <c r="B186" s="122" t="s">
        <v>845</v>
      </c>
      <c r="C186" s="122" t="s">
        <v>844</v>
      </c>
      <c r="D186" s="122">
        <v>0</v>
      </c>
      <c r="E186" s="122">
        <v>0</v>
      </c>
      <c r="F186" s="122">
        <v>1</v>
      </c>
      <c r="G186" s="122" t="s">
        <v>653</v>
      </c>
      <c r="H186" s="122">
        <v>1</v>
      </c>
      <c r="I186" s="122" t="s">
        <v>652</v>
      </c>
      <c r="J186" s="122"/>
      <c r="K186" s="108" t="str">
        <f t="shared" si="8"/>
        <v>SpellData.create(SID_CTHUNS_DERANGEMENT,"上古狂乱",0,0,1,OrderId("channel"),1,ORDER_TYPE_IMMEDIATE);</v>
      </c>
      <c r="L186" s="122"/>
      <c r="M186" s="122"/>
      <c r="N186" s="122"/>
      <c r="O186" s="122"/>
      <c r="P186" s="122"/>
      <c r="Q186" s="122"/>
      <c r="R186" s="122"/>
      <c r="S186" s="122"/>
      <c r="T186" s="122"/>
      <c r="U186" s="122"/>
      <c r="V186" s="122"/>
      <c r="W186" s="122"/>
      <c r="X186" s="122"/>
    </row>
    <row r="187" spans="1:24" s="124" customFormat="1">
      <c r="A187" s="122" t="s">
        <v>840</v>
      </c>
      <c r="B187" s="122" t="s">
        <v>842</v>
      </c>
      <c r="C187" s="122" t="s">
        <v>841</v>
      </c>
      <c r="D187" s="122">
        <v>0</v>
      </c>
      <c r="E187" s="122">
        <v>0</v>
      </c>
      <c r="F187" s="122">
        <v>1</v>
      </c>
      <c r="G187" s="122" t="s">
        <v>653</v>
      </c>
      <c r="H187" s="122">
        <v>1</v>
      </c>
      <c r="I187" s="122" t="s">
        <v>652</v>
      </c>
      <c r="J187" s="122"/>
      <c r="K187" s="108" t="str">
        <f t="shared" si="8"/>
        <v>SpellData.create(SIDENIGMA,"谜团",0,0,1,OrderId("channel"),1,ORDER_TYPE_IMMEDIATE);</v>
      </c>
      <c r="L187" s="122"/>
      <c r="M187" s="122"/>
      <c r="N187" s="122"/>
      <c r="O187" s="122"/>
      <c r="P187" s="122"/>
      <c r="Q187" s="122"/>
      <c r="R187" s="122"/>
      <c r="S187" s="122"/>
      <c r="T187" s="122"/>
      <c r="U187" s="122"/>
      <c r="V187" s="122"/>
      <c r="W187" s="122"/>
      <c r="X187" s="122"/>
    </row>
    <row r="188" spans="1:24" s="124" customFormat="1">
      <c r="A188" s="122" t="s">
        <v>837</v>
      </c>
      <c r="B188" s="122" t="s">
        <v>839</v>
      </c>
      <c r="C188" s="122" t="s">
        <v>838</v>
      </c>
      <c r="D188" s="122">
        <v>0</v>
      </c>
      <c r="E188" s="122">
        <v>0</v>
      </c>
      <c r="F188" s="122">
        <v>1</v>
      </c>
      <c r="G188" s="122" t="s">
        <v>653</v>
      </c>
      <c r="H188" s="122">
        <v>1</v>
      </c>
      <c r="I188" s="122" t="s">
        <v>652</v>
      </c>
      <c r="J188" s="122"/>
      <c r="K188" s="108" t="str">
        <f t="shared" si="8"/>
        <v>SpellData.create(SID_GOBLIN_ROCKET_BOOTS_LIMITED_EDITION,"地精火箭靴",0,0,1,OrderId("channel"),1,ORDER_TYPE_IMMEDIATE);</v>
      </c>
      <c r="L188" s="122"/>
      <c r="M188" s="122"/>
      <c r="N188" s="122"/>
      <c r="O188" s="122"/>
      <c r="P188" s="122"/>
      <c r="Q188" s="122"/>
      <c r="R188" s="122"/>
      <c r="S188" s="122"/>
      <c r="T188" s="122"/>
      <c r="U188" s="122"/>
      <c r="V188" s="122"/>
      <c r="W188" s="122"/>
      <c r="X188" s="122"/>
    </row>
    <row r="189" spans="1:24" s="124" customFormat="1">
      <c r="A189" s="122" t="s">
        <v>834</v>
      </c>
      <c r="B189" s="122" t="s">
        <v>836</v>
      </c>
      <c r="C189" s="122" t="s">
        <v>835</v>
      </c>
      <c r="D189" s="122">
        <v>0</v>
      </c>
      <c r="E189" s="122">
        <v>0</v>
      </c>
      <c r="F189" s="122">
        <v>1</v>
      </c>
      <c r="G189" s="122" t="s">
        <v>653</v>
      </c>
      <c r="H189" s="122">
        <v>1</v>
      </c>
      <c r="I189" s="122" t="s">
        <v>652</v>
      </c>
      <c r="J189" s="122"/>
      <c r="K189" s="108" t="str">
        <f t="shared" si="8"/>
        <v>SpellData.create(SID_HEALTH_STONE,"医疗石",0,0,1,OrderId("channel"),1,ORDER_TYPE_IMMEDIATE);</v>
      </c>
      <c r="L189" s="122"/>
      <c r="M189" s="122"/>
      <c r="N189" s="122"/>
      <c r="O189" s="122"/>
      <c r="P189" s="122"/>
      <c r="Q189" s="122"/>
      <c r="R189" s="122"/>
      <c r="S189" s="122"/>
      <c r="T189" s="122"/>
      <c r="U189" s="122"/>
      <c r="V189" s="122"/>
      <c r="W189" s="122"/>
      <c r="X189" s="122"/>
    </row>
    <row r="190" spans="1:24" s="124" customFormat="1">
      <c r="A190" s="122" t="s">
        <v>831</v>
      </c>
      <c r="B190" s="122" t="s">
        <v>833</v>
      </c>
      <c r="C190" s="122" t="s">
        <v>832</v>
      </c>
      <c r="D190" s="122">
        <v>0</v>
      </c>
      <c r="E190" s="122">
        <v>0</v>
      </c>
      <c r="F190" s="122">
        <v>1</v>
      </c>
      <c r="G190" s="122" t="s">
        <v>653</v>
      </c>
      <c r="H190" s="122">
        <v>1</v>
      </c>
      <c r="I190" s="122" t="s">
        <v>652</v>
      </c>
      <c r="J190" s="122"/>
      <c r="K190" s="108" t="str">
        <f t="shared" si="8"/>
        <v>SpellData.create(SID_MANA_STONE,"魔法石",0,0,1,OrderId("channel"),1,ORDER_TYPE_IMMEDIATE);</v>
      </c>
      <c r="L190" s="122"/>
      <c r="M190" s="122"/>
      <c r="N190" s="122"/>
      <c r="O190" s="122"/>
      <c r="P190" s="122"/>
      <c r="Q190" s="122"/>
      <c r="R190" s="122"/>
      <c r="S190" s="122"/>
      <c r="T190" s="122"/>
      <c r="U190" s="122"/>
      <c r="V190" s="122"/>
      <c r="W190" s="122"/>
      <c r="X190" s="122"/>
    </row>
    <row r="191" spans="1:24" s="124" customFormat="1">
      <c r="A191" s="122" t="s">
        <v>828</v>
      </c>
      <c r="B191" s="122" t="s">
        <v>830</v>
      </c>
      <c r="C191" s="122" t="s">
        <v>829</v>
      </c>
      <c r="D191" s="122">
        <v>0</v>
      </c>
      <c r="E191" s="122">
        <v>0</v>
      </c>
      <c r="F191" s="122">
        <v>1</v>
      </c>
      <c r="G191" s="122" t="s">
        <v>653</v>
      </c>
      <c r="H191" s="122">
        <v>1</v>
      </c>
      <c r="I191" s="122" t="s">
        <v>652</v>
      </c>
      <c r="J191" s="122"/>
      <c r="K191" s="108" t="str">
        <f t="shared" si="8"/>
        <v>SpellData.create(SID_HEX_SHRUNKEN_HEAD,"妖术之颅",0,0,1,OrderId("channel"),1,ORDER_TYPE_IMMEDIATE);</v>
      </c>
      <c r="L191" s="122"/>
      <c r="M191" s="122"/>
      <c r="N191" s="122"/>
      <c r="O191" s="122"/>
      <c r="P191" s="122"/>
      <c r="Q191" s="122"/>
      <c r="R191" s="122"/>
      <c r="S191" s="122"/>
      <c r="T191" s="122"/>
      <c r="U191" s="122"/>
      <c r="V191" s="122"/>
      <c r="W191" s="122"/>
      <c r="X191" s="122"/>
    </row>
    <row r="192" spans="1:24" s="124" customFormat="1">
      <c r="A192" s="122" t="s">
        <v>825</v>
      </c>
      <c r="B192" s="122" t="s">
        <v>827</v>
      </c>
      <c r="C192" s="122" t="s">
        <v>826</v>
      </c>
      <c r="D192" s="122">
        <v>0</v>
      </c>
      <c r="E192" s="122">
        <v>0</v>
      </c>
      <c r="F192" s="122">
        <v>1</v>
      </c>
      <c r="G192" s="122" t="s">
        <v>653</v>
      </c>
      <c r="H192" s="122">
        <v>1</v>
      </c>
      <c r="I192" s="122" t="s">
        <v>652</v>
      </c>
      <c r="J192" s="122"/>
      <c r="K192" s="108" t="str">
        <f t="shared" si="8"/>
        <v>SpellData.create(SID_ICON_OF_THE_UNGLAZED_CRESCENT,"无光的新月徽记",0,0,1,OrderId("channel"),1,ORDER_TYPE_IMMEDIATE);</v>
      </c>
      <c r="L192" s="122"/>
      <c r="M192" s="122"/>
      <c r="N192" s="122"/>
      <c r="O192" s="122"/>
      <c r="P192" s="122"/>
      <c r="Q192" s="122"/>
      <c r="R192" s="122"/>
      <c r="S192" s="122"/>
      <c r="T192" s="122"/>
      <c r="U192" s="122"/>
      <c r="V192" s="122"/>
      <c r="W192" s="122"/>
      <c r="X192" s="122"/>
    </row>
    <row r="193" spans="1:24" s="124" customFormat="1">
      <c r="A193" s="122" t="s">
        <v>822</v>
      </c>
      <c r="B193" s="122" t="s">
        <v>824</v>
      </c>
      <c r="C193" s="122" t="s">
        <v>823</v>
      </c>
      <c r="D193" s="122">
        <v>0</v>
      </c>
      <c r="E193" s="122">
        <v>0</v>
      </c>
      <c r="F193" s="122">
        <v>1</v>
      </c>
      <c r="G193" s="122" t="s">
        <v>653</v>
      </c>
      <c r="H193" s="122">
        <v>1</v>
      </c>
      <c r="I193" s="122" t="s">
        <v>652</v>
      </c>
      <c r="J193" s="122"/>
      <c r="K193" s="108" t="str">
        <f t="shared" si="8"/>
        <v>SpellData.create(SIDLIGHTSJUSTICE,"圣光的正义",0,0,1,OrderId("channel"),1,ORDER_TYPE_IMMEDIATE);</v>
      </c>
      <c r="L193" s="122"/>
      <c r="M193" s="122"/>
      <c r="N193" s="122"/>
      <c r="O193" s="122"/>
      <c r="P193" s="122"/>
      <c r="Q193" s="122"/>
      <c r="R193" s="122"/>
      <c r="S193" s="122"/>
      <c r="T193" s="122"/>
      <c r="U193" s="122"/>
      <c r="V193" s="122"/>
      <c r="W193" s="122"/>
      <c r="X193" s="122"/>
    </row>
    <row r="194" spans="1:24" s="124" customFormat="1">
      <c r="A194" s="122" t="s">
        <v>819</v>
      </c>
      <c r="B194" s="122" t="s">
        <v>821</v>
      </c>
      <c r="C194" s="122" t="s">
        <v>820</v>
      </c>
      <c r="D194" s="122">
        <v>0</v>
      </c>
      <c r="E194" s="122">
        <v>0</v>
      </c>
      <c r="F194" s="122">
        <v>1</v>
      </c>
      <c r="G194" s="122" t="s">
        <v>653</v>
      </c>
      <c r="H194" s="122">
        <v>1</v>
      </c>
      <c r="I194" s="122" t="s">
        <v>652</v>
      </c>
      <c r="J194" s="122"/>
      <c r="K194" s="108" t="str">
        <f t="shared" si="8"/>
        <v>SpellData.create(SID_MOROES_LUCKY_GEAR,"莫罗斯的幸运怀表",0,0,1,OrderId("channel"),1,ORDER_TYPE_IMMEDIATE);</v>
      </c>
      <c r="L194" s="122"/>
      <c r="M194" s="122"/>
      <c r="N194" s="122"/>
      <c r="O194" s="122"/>
      <c r="P194" s="122"/>
      <c r="Q194" s="122"/>
      <c r="R194" s="122"/>
      <c r="S194" s="122"/>
      <c r="T194" s="122"/>
      <c r="U194" s="122"/>
      <c r="V194" s="122"/>
      <c r="W194" s="122"/>
      <c r="X194" s="122"/>
    </row>
    <row r="195" spans="1:24" s="124" customFormat="1">
      <c r="A195" s="122" t="s">
        <v>816</v>
      </c>
      <c r="B195" s="122" t="s">
        <v>818</v>
      </c>
      <c r="C195" s="122" t="s">
        <v>817</v>
      </c>
      <c r="D195" s="122">
        <v>0</v>
      </c>
      <c r="E195" s="122">
        <v>0</v>
      </c>
      <c r="F195" s="122">
        <v>1</v>
      </c>
      <c r="G195" s="122" t="s">
        <v>653</v>
      </c>
      <c r="H195" s="122">
        <v>1</v>
      </c>
      <c r="I195" s="122" t="s">
        <v>652</v>
      </c>
      <c r="J195" s="122"/>
      <c r="K195" s="108" t="str">
        <f t="shared" si="8"/>
        <v>SpellData.create(SIDREFORGEDBADGEOFTENACITY,"重铸的坚韧徽章",0,0,1,OrderId("channel"),1,ORDER_TYPE_IMMEDIATE);</v>
      </c>
      <c r="L195" s="122"/>
      <c r="M195" s="122"/>
      <c r="N195" s="122"/>
      <c r="O195" s="122"/>
      <c r="P195" s="122"/>
      <c r="Q195" s="122"/>
      <c r="R195" s="122"/>
      <c r="S195" s="122"/>
      <c r="T195" s="122"/>
      <c r="U195" s="122"/>
      <c r="V195" s="122"/>
      <c r="W195" s="122"/>
      <c r="X195" s="122"/>
    </row>
    <row r="196" spans="1:24" s="124" customFormat="1">
      <c r="A196" s="122" t="s">
        <v>813</v>
      </c>
      <c r="B196" s="122" t="s">
        <v>815</v>
      </c>
      <c r="C196" s="122" t="s">
        <v>814</v>
      </c>
      <c r="D196" s="122">
        <v>0</v>
      </c>
      <c r="E196" s="122">
        <v>0</v>
      </c>
      <c r="F196" s="122">
        <v>1</v>
      </c>
      <c r="G196" s="122" t="s">
        <v>653</v>
      </c>
      <c r="H196" s="122">
        <v>1</v>
      </c>
      <c r="I196" s="122" t="s">
        <v>652</v>
      </c>
      <c r="J196" s="122"/>
      <c r="K196" s="108" t="str">
        <f t="shared" si="8"/>
        <v>SpellData.create(SID_TYRAELS_MIGHT,"正义天使之力",0,0,1,OrderId("channel"),1,ORDER_TYPE_IMMEDIATE);</v>
      </c>
      <c r="L196" s="122"/>
      <c r="M196" s="122"/>
      <c r="N196" s="122"/>
      <c r="O196" s="122"/>
      <c r="P196" s="122"/>
      <c r="Q196" s="122"/>
      <c r="R196" s="122"/>
      <c r="S196" s="122"/>
      <c r="T196" s="122"/>
      <c r="U196" s="122"/>
      <c r="V196" s="122"/>
      <c r="W196" s="122"/>
      <c r="X196" s="122"/>
    </row>
    <row r="197" spans="1:24" s="124" customFormat="1">
      <c r="A197" s="122" t="s">
        <v>810</v>
      </c>
      <c r="B197" s="122" t="s">
        <v>812</v>
      </c>
      <c r="C197" s="122" t="s">
        <v>811</v>
      </c>
      <c r="D197" s="122">
        <v>0</v>
      </c>
      <c r="E197" s="122">
        <v>0</v>
      </c>
      <c r="F197" s="122">
        <v>1</v>
      </c>
      <c r="G197" s="122" t="s">
        <v>653</v>
      </c>
      <c r="H197" s="122">
        <v>1</v>
      </c>
      <c r="I197" s="122" t="s">
        <v>652</v>
      </c>
      <c r="J197" s="122"/>
      <c r="K197" s="108" t="str">
        <f t="shared" si="8"/>
        <v>SpellData.create(SID_VOODOO_VIAL,"巫毒瓶",0,0,1,OrderId("channel"),1,ORDER_TYPE_IMMEDIATE);</v>
      </c>
      <c r="L197" s="122"/>
      <c r="M197" s="122"/>
      <c r="N197" s="122"/>
      <c r="O197" s="122"/>
      <c r="P197" s="122"/>
      <c r="Q197" s="122"/>
      <c r="R197" s="122"/>
      <c r="S197" s="122"/>
      <c r="T197" s="122"/>
      <c r="U197" s="122"/>
      <c r="V197" s="122"/>
      <c r="W197" s="122"/>
      <c r="X197" s="122"/>
    </row>
    <row r="198" spans="1:24">
      <c r="A198" s="113" t="s">
        <v>807</v>
      </c>
      <c r="B198" s="113" t="s">
        <v>809</v>
      </c>
      <c r="C198" s="113" t="s">
        <v>808</v>
      </c>
      <c r="D198" s="113">
        <v>0</v>
      </c>
      <c r="E198" s="113">
        <v>0</v>
      </c>
      <c r="F198" s="113">
        <v>1</v>
      </c>
      <c r="G198" s="113" t="s">
        <v>653</v>
      </c>
      <c r="H198" s="113">
        <v>1</v>
      </c>
      <c r="I198" s="113" t="s">
        <v>652</v>
      </c>
      <c r="J198" s="113"/>
      <c r="K198" s="108" t="str">
        <f t="shared" si="8"/>
        <v>SpellData.create(SID_ARMAGEDDON_SCROLL,"末日审判",0,0,1,OrderId("channel"),1,ORDER_TYPE_IMMEDIATE);</v>
      </c>
      <c r="L198" s="113"/>
      <c r="M198" s="113"/>
      <c r="N198" s="113"/>
      <c r="O198" s="113"/>
      <c r="P198" s="113"/>
      <c r="Q198" s="113"/>
      <c r="R198" s="113"/>
      <c r="S198" s="113"/>
      <c r="T198" s="113"/>
      <c r="U198" s="113"/>
      <c r="V198" s="113"/>
      <c r="W198" s="113"/>
      <c r="X198" s="113"/>
    </row>
    <row r="199" spans="1:24">
      <c r="A199" s="113" t="s">
        <v>804</v>
      </c>
      <c r="B199" s="113" t="s">
        <v>806</v>
      </c>
      <c r="C199" s="113" t="s">
        <v>805</v>
      </c>
      <c r="D199" s="113">
        <v>0</v>
      </c>
      <c r="E199" s="113">
        <v>0</v>
      </c>
      <c r="F199" s="113">
        <v>1</v>
      </c>
      <c r="G199" s="113" t="s">
        <v>653</v>
      </c>
      <c r="H199" s="113">
        <v>1</v>
      </c>
      <c r="I199" s="113" t="s">
        <v>652</v>
      </c>
      <c r="J199" s="113"/>
      <c r="K199" s="108" t="str">
        <f t="shared" si="8"/>
        <v>SpellData.create(SID_ARANS_COUNTER_SPELL_SCROLL,"埃兰的反制卷轴",0,0,1,OrderId("channel"),1,ORDER_TYPE_IMMEDIATE);</v>
      </c>
      <c r="L199" s="113"/>
      <c r="M199" s="113"/>
      <c r="N199" s="113"/>
      <c r="O199" s="113"/>
      <c r="P199" s="113"/>
      <c r="Q199" s="113"/>
      <c r="R199" s="113"/>
      <c r="S199" s="113"/>
      <c r="T199" s="113"/>
      <c r="U199" s="113"/>
      <c r="V199" s="113"/>
      <c r="W199" s="113"/>
      <c r="X199" s="113"/>
    </row>
    <row r="200" spans="1:24">
      <c r="A200" s="113" t="s">
        <v>801</v>
      </c>
      <c r="B200" s="113" t="s">
        <v>803</v>
      </c>
      <c r="C200" s="113" t="s">
        <v>802</v>
      </c>
      <c r="D200" s="113">
        <v>0</v>
      </c>
      <c r="E200" s="113">
        <v>0</v>
      </c>
      <c r="F200" s="113">
        <v>1</v>
      </c>
      <c r="G200" s="113" t="s">
        <v>653</v>
      </c>
      <c r="H200" s="113">
        <v>1</v>
      </c>
      <c r="I200" s="113" t="s">
        <v>652</v>
      </c>
      <c r="J200" s="113"/>
      <c r="K200" s="108" t="str">
        <f t="shared" si="8"/>
        <v>SpellData.create(SID_BANSHEE_SCROLL,"女妖之嚎卷轴",0,0,1,OrderId("channel"),1,ORDER_TYPE_IMMEDIATE);</v>
      </c>
      <c r="L200" s="113"/>
      <c r="M200" s="113"/>
      <c r="N200" s="113"/>
      <c r="O200" s="113"/>
      <c r="P200" s="113"/>
      <c r="Q200" s="113"/>
      <c r="R200" s="113"/>
      <c r="S200" s="113"/>
      <c r="T200" s="113"/>
      <c r="U200" s="113"/>
      <c r="V200" s="113"/>
      <c r="W200" s="113"/>
      <c r="X200" s="113"/>
    </row>
    <row r="201" spans="1:24">
      <c r="A201" s="113" t="s">
        <v>798</v>
      </c>
      <c r="B201" s="113" t="s">
        <v>800</v>
      </c>
      <c r="C201" s="113" t="s">
        <v>799</v>
      </c>
      <c r="D201" s="113">
        <v>0</v>
      </c>
      <c r="E201" s="113">
        <v>0</v>
      </c>
      <c r="F201" s="113">
        <v>1</v>
      </c>
      <c r="G201" s="113" t="s">
        <v>653</v>
      </c>
      <c r="H201" s="113">
        <v>1</v>
      </c>
      <c r="I201" s="113" t="s">
        <v>652</v>
      </c>
      <c r="J201" s="113"/>
      <c r="K201" s="108" t="str">
        <f t="shared" si="8"/>
        <v>SpellData.create(SID_CORRUPTION_SCROLL,"腐蚀卷轴",0,0,1,OrderId("channel"),1,ORDER_TYPE_IMMEDIATE);</v>
      </c>
      <c r="L201" s="113"/>
      <c r="M201" s="113"/>
      <c r="N201" s="113"/>
      <c r="O201" s="113"/>
      <c r="P201" s="113"/>
      <c r="Q201" s="113"/>
      <c r="R201" s="113"/>
      <c r="S201" s="113"/>
      <c r="T201" s="113"/>
      <c r="U201" s="113"/>
      <c r="V201" s="113"/>
      <c r="W201" s="113"/>
      <c r="X201" s="113"/>
    </row>
    <row r="202" spans="1:24">
      <c r="A202" s="113" t="s">
        <v>795</v>
      </c>
      <c r="B202" s="113" t="s">
        <v>797</v>
      </c>
      <c r="C202" s="113" t="s">
        <v>796</v>
      </c>
      <c r="D202" s="113">
        <v>0</v>
      </c>
      <c r="E202" s="113">
        <v>0</v>
      </c>
      <c r="F202" s="113">
        <v>1</v>
      </c>
      <c r="G202" s="113" t="s">
        <v>653</v>
      </c>
      <c r="H202" s="113">
        <v>1</v>
      </c>
      <c r="I202" s="113" t="s">
        <v>652</v>
      </c>
      <c r="J202" s="113"/>
      <c r="K202" s="108" t="str">
        <f t="shared" si="8"/>
        <v>SpellData.create(SID_DEFEND_SCROLL,"守护卷轴",0,0,1,OrderId("channel"),1,ORDER_TYPE_IMMEDIATE);</v>
      </c>
      <c r="L202" s="113"/>
      <c r="M202" s="113"/>
      <c r="N202" s="113"/>
      <c r="O202" s="113"/>
      <c r="P202" s="113"/>
      <c r="Q202" s="113"/>
      <c r="R202" s="113"/>
      <c r="S202" s="113"/>
      <c r="T202" s="113"/>
      <c r="U202" s="113"/>
      <c r="V202" s="113"/>
      <c r="W202" s="113"/>
      <c r="X202" s="113"/>
    </row>
    <row r="203" spans="1:24">
      <c r="A203" s="113" t="s">
        <v>792</v>
      </c>
      <c r="B203" s="113" t="s">
        <v>794</v>
      </c>
      <c r="C203" s="113" t="s">
        <v>793</v>
      </c>
      <c r="D203" s="113">
        <v>0</v>
      </c>
      <c r="E203" s="113">
        <v>0</v>
      </c>
      <c r="F203" s="113">
        <v>1</v>
      </c>
      <c r="G203" s="113" t="s">
        <v>653</v>
      </c>
      <c r="H203" s="113">
        <v>1</v>
      </c>
      <c r="I203" s="113" t="s">
        <v>652</v>
      </c>
      <c r="J203" s="113"/>
      <c r="K203" s="108" t="str">
        <f t="shared" si="8"/>
        <v>SpellData.create(SID_FRENZY_SCROLL,"狂热卷轴",0,0,1,OrderId("channel"),1,ORDER_TYPE_IMMEDIATE);</v>
      </c>
      <c r="L203" s="113"/>
      <c r="M203" s="113"/>
      <c r="N203" s="113"/>
      <c r="O203" s="113"/>
      <c r="P203" s="113"/>
      <c r="Q203" s="113"/>
      <c r="R203" s="113"/>
      <c r="S203" s="113"/>
      <c r="T203" s="113"/>
      <c r="U203" s="113"/>
      <c r="V203" s="113"/>
      <c r="W203" s="113"/>
      <c r="X203" s="113"/>
    </row>
    <row r="204" spans="1:24">
      <c r="A204" s="113" t="s">
        <v>789</v>
      </c>
      <c r="B204" s="113" t="s">
        <v>791</v>
      </c>
      <c r="C204" s="113" t="s">
        <v>790</v>
      </c>
      <c r="D204" s="113">
        <v>0</v>
      </c>
      <c r="E204" s="113">
        <v>0</v>
      </c>
      <c r="F204" s="113">
        <v>1</v>
      </c>
      <c r="G204" s="113" t="s">
        <v>653</v>
      </c>
      <c r="H204" s="113">
        <v>1</v>
      </c>
      <c r="I204" s="113" t="s">
        <v>652</v>
      </c>
      <c r="J204" s="113"/>
      <c r="K204" s="108" t="str">
        <f t="shared" si="8"/>
        <v>SpellData.create(SID_HEAL_SCROLL,"医疗卷轴",0,0,1,OrderId("channel"),1,ORDER_TYPE_IMMEDIATE);</v>
      </c>
      <c r="L204" s="113"/>
      <c r="M204" s="113"/>
      <c r="N204" s="113"/>
      <c r="O204" s="113"/>
      <c r="P204" s="113"/>
      <c r="Q204" s="113"/>
      <c r="R204" s="113"/>
      <c r="S204" s="113"/>
      <c r="T204" s="113"/>
      <c r="U204" s="113"/>
      <c r="V204" s="113"/>
      <c r="W204" s="113"/>
      <c r="X204" s="113"/>
    </row>
    <row r="205" spans="1:24">
      <c r="A205" s="113" t="s">
        <v>786</v>
      </c>
      <c r="B205" s="113" t="s">
        <v>788</v>
      </c>
      <c r="C205" s="113" t="s">
        <v>787</v>
      </c>
      <c r="D205" s="113">
        <v>0</v>
      </c>
      <c r="E205" s="113">
        <v>0</v>
      </c>
      <c r="F205" s="113">
        <v>1</v>
      </c>
      <c r="G205" s="113" t="s">
        <v>653</v>
      </c>
      <c r="H205" s="113">
        <v>1</v>
      </c>
      <c r="I205" s="113" t="s">
        <v>652</v>
      </c>
      <c r="J205" s="113"/>
      <c r="K205" s="108" t="str">
        <f t="shared" si="8"/>
        <v>SpellData.create(SID_MANA_SCROLL,"魔法卷轴",0,0,1,OrderId("channel"),1,ORDER_TYPE_IMMEDIATE);</v>
      </c>
      <c r="L205" s="113"/>
      <c r="M205" s="113"/>
      <c r="N205" s="113"/>
      <c r="O205" s="113"/>
      <c r="P205" s="113"/>
      <c r="Q205" s="113"/>
      <c r="R205" s="113"/>
      <c r="S205" s="113"/>
      <c r="T205" s="113"/>
      <c r="U205" s="113"/>
      <c r="V205" s="113"/>
      <c r="W205" s="113"/>
      <c r="X205" s="113"/>
    </row>
    <row r="206" spans="1:24">
      <c r="A206" s="113" t="s">
        <v>783</v>
      </c>
      <c r="B206" s="113" t="s">
        <v>785</v>
      </c>
      <c r="C206" s="113" t="s">
        <v>784</v>
      </c>
      <c r="D206" s="113">
        <v>0</v>
      </c>
      <c r="E206" s="113">
        <v>0</v>
      </c>
      <c r="F206" s="113">
        <v>1</v>
      </c>
      <c r="G206" s="113" t="s">
        <v>653</v>
      </c>
      <c r="H206" s="113">
        <v>1</v>
      </c>
      <c r="I206" s="113" t="s">
        <v>652</v>
      </c>
      <c r="J206" s="113"/>
      <c r="K206" s="108" t="str">
        <f t="shared" si="8"/>
        <v>SpellData.create(SID_MASS_DISPEL_SCROLL,"大型驱魔卷轴",0,0,1,OrderId("channel"),1,ORDER_TYPE_IMMEDIATE);</v>
      </c>
      <c r="L206" s="113"/>
      <c r="M206" s="113"/>
      <c r="N206" s="113"/>
      <c r="O206" s="113"/>
      <c r="P206" s="113"/>
      <c r="Q206" s="113"/>
      <c r="R206" s="113"/>
      <c r="S206" s="113"/>
      <c r="T206" s="113"/>
      <c r="U206" s="113"/>
      <c r="V206" s="113"/>
      <c r="W206" s="113"/>
      <c r="X206" s="113"/>
    </row>
    <row r="207" spans="1:24">
      <c r="A207" s="113" t="s">
        <v>780</v>
      </c>
      <c r="B207" s="113" t="s">
        <v>782</v>
      </c>
      <c r="C207" s="113" t="s">
        <v>781</v>
      </c>
      <c r="D207" s="113">
        <v>0</v>
      </c>
      <c r="E207" s="113">
        <v>0</v>
      </c>
      <c r="F207" s="113">
        <v>1</v>
      </c>
      <c r="G207" s="113" t="s">
        <v>653</v>
      </c>
      <c r="H207" s="113">
        <v>1</v>
      </c>
      <c r="I207" s="113" t="s">
        <v>652</v>
      </c>
      <c r="J207" s="113"/>
      <c r="K207" s="108" t="str">
        <f t="shared" si="8"/>
        <v>SpellData.create(SID_MASS_TELEPORT_SCROLL,"群体传送卷轴",0,0,1,OrderId("channel"),1,ORDER_TYPE_IMMEDIATE);</v>
      </c>
      <c r="L207" s="113"/>
      <c r="M207" s="113"/>
      <c r="N207" s="113"/>
      <c r="O207" s="113"/>
      <c r="P207" s="113"/>
      <c r="Q207" s="113"/>
      <c r="R207" s="113"/>
      <c r="S207" s="113"/>
      <c r="T207" s="113"/>
      <c r="U207" s="113"/>
      <c r="V207" s="113"/>
      <c r="W207" s="113"/>
      <c r="X207" s="113"/>
    </row>
    <row r="208" spans="1:24">
      <c r="A208" s="113" t="s">
        <v>777</v>
      </c>
      <c r="B208" s="113" t="s">
        <v>779</v>
      </c>
      <c r="C208" s="113" t="s">
        <v>778</v>
      </c>
      <c r="D208" s="113">
        <v>0</v>
      </c>
      <c r="E208" s="113">
        <v>0</v>
      </c>
      <c r="F208" s="113">
        <v>1</v>
      </c>
      <c r="G208" s="113" t="s">
        <v>653</v>
      </c>
      <c r="H208" s="113">
        <v>1</v>
      </c>
      <c r="I208" s="113" t="s">
        <v>652</v>
      </c>
      <c r="J208" s="113"/>
      <c r="K208" s="108" t="str">
        <f t="shared" si="8"/>
        <v>SpellData.create(SID_ROAR_SCROLL,"野兽卷轴",0,0,1,OrderId("channel"),1,ORDER_TYPE_IMMEDIATE);</v>
      </c>
      <c r="L208" s="113"/>
      <c r="M208" s="113"/>
      <c r="N208" s="113"/>
      <c r="O208" s="113"/>
      <c r="P208" s="113"/>
      <c r="Q208" s="113"/>
      <c r="R208" s="113"/>
      <c r="S208" s="113"/>
      <c r="T208" s="113"/>
      <c r="U208" s="113"/>
      <c r="V208" s="113"/>
      <c r="W208" s="113"/>
      <c r="X208" s="113"/>
    </row>
    <row r="209" spans="1:24">
      <c r="A209" s="113" t="s">
        <v>774</v>
      </c>
      <c r="B209" s="113" t="s">
        <v>776</v>
      </c>
      <c r="C209" s="113" t="s">
        <v>775</v>
      </c>
      <c r="D209" s="113">
        <v>0</v>
      </c>
      <c r="E209" s="113">
        <v>0</v>
      </c>
      <c r="F209" s="113">
        <v>1</v>
      </c>
      <c r="G209" s="113" t="s">
        <v>653</v>
      </c>
      <c r="H209" s="113">
        <v>1</v>
      </c>
      <c r="I209" s="113" t="s">
        <v>652</v>
      </c>
      <c r="J209" s="113"/>
      <c r="K209" s="108" t="str">
        <f t="shared" si="8"/>
        <v>SpellData.create(SID_SANCTUARY_SCROLL,"庇护所卷轴",0,0,1,OrderId("channel"),1,ORDER_TYPE_IMMEDIATE);</v>
      </c>
      <c r="L209" s="113"/>
      <c r="M209" s="113"/>
      <c r="N209" s="113"/>
      <c r="O209" s="113"/>
      <c r="P209" s="113"/>
      <c r="Q209" s="113"/>
      <c r="R209" s="113"/>
      <c r="S209" s="113"/>
      <c r="T209" s="113"/>
      <c r="U209" s="113"/>
      <c r="V209" s="113"/>
      <c r="W209" s="113"/>
      <c r="X209" s="113"/>
    </row>
    <row r="210" spans="1:24">
      <c r="A210" s="113" t="s">
        <v>771</v>
      </c>
      <c r="B210" s="113" t="s">
        <v>773</v>
      </c>
      <c r="C210" s="113" t="s">
        <v>772</v>
      </c>
      <c r="D210" s="113">
        <v>0</v>
      </c>
      <c r="E210" s="113">
        <v>0</v>
      </c>
      <c r="F210" s="113">
        <v>1</v>
      </c>
      <c r="G210" s="113" t="s">
        <v>653</v>
      </c>
      <c r="H210" s="113">
        <v>1</v>
      </c>
      <c r="I210" s="113" t="s">
        <v>652</v>
      </c>
      <c r="J210" s="113"/>
      <c r="K210" s="108" t="str">
        <f t="shared" si="8"/>
        <v>SpellData.create(SID_SLAYER_SCROLL,"杀戮卷轴",0,0,1,OrderId("channel"),1,ORDER_TYPE_IMMEDIATE);</v>
      </c>
      <c r="L210" s="113"/>
      <c r="M210" s="113"/>
      <c r="N210" s="113"/>
      <c r="O210" s="113"/>
      <c r="P210" s="113"/>
      <c r="Q210" s="113"/>
      <c r="R210" s="113"/>
      <c r="S210" s="113"/>
      <c r="T210" s="113"/>
      <c r="U210" s="113"/>
      <c r="V210" s="113"/>
      <c r="W210" s="113"/>
      <c r="X210" s="113"/>
    </row>
    <row r="211" spans="1:24">
      <c r="A211" s="113" t="s">
        <v>768</v>
      </c>
      <c r="B211" s="113" t="s">
        <v>770</v>
      </c>
      <c r="C211" s="113" t="s">
        <v>769</v>
      </c>
      <c r="D211" s="113">
        <v>0</v>
      </c>
      <c r="E211" s="113">
        <v>0</v>
      </c>
      <c r="F211" s="113">
        <v>1</v>
      </c>
      <c r="G211" s="113" t="s">
        <v>653</v>
      </c>
      <c r="H211" s="113">
        <v>1</v>
      </c>
      <c r="I211" s="113" t="s">
        <v>652</v>
      </c>
      <c r="J211" s="113"/>
      <c r="K211" s="108" t="str">
        <f t="shared" si="8"/>
        <v>SpellData.create(SID_SPEED_SCROLL,"加速卷轴",0,0,1,OrderId("channel"),1,ORDER_TYPE_IMMEDIATE);</v>
      </c>
      <c r="L211" s="113"/>
      <c r="M211" s="113"/>
      <c r="N211" s="113"/>
      <c r="O211" s="113"/>
      <c r="P211" s="113"/>
      <c r="Q211" s="113"/>
      <c r="R211" s="113"/>
      <c r="S211" s="113"/>
      <c r="T211" s="113"/>
      <c r="U211" s="113"/>
      <c r="V211" s="113"/>
      <c r="W211" s="113"/>
      <c r="X211" s="113"/>
    </row>
    <row r="212" spans="1:24">
      <c r="A212" s="113" t="s">
        <v>765</v>
      </c>
      <c r="B212" s="113" t="s">
        <v>767</v>
      </c>
      <c r="C212" s="113" t="s">
        <v>766</v>
      </c>
      <c r="D212" s="113">
        <v>0</v>
      </c>
      <c r="E212" s="113">
        <v>0</v>
      </c>
      <c r="F212" s="113">
        <v>1</v>
      </c>
      <c r="G212" s="113" t="s">
        <v>653</v>
      </c>
      <c r="H212" s="113">
        <v>1</v>
      </c>
      <c r="I212" s="113" t="s">
        <v>652</v>
      </c>
      <c r="J212" s="113"/>
      <c r="K212" s="108" t="str">
        <f t="shared" si="8"/>
        <v>SpellData.create(SID_SPELL_REFLECTION_SCROLL,"绝缘卷轴",0,0,1,OrderId("channel"),1,ORDER_TYPE_IMMEDIATE);</v>
      </c>
      <c r="L212" s="113"/>
      <c r="M212" s="113"/>
      <c r="N212" s="113"/>
      <c r="O212" s="113"/>
      <c r="P212" s="113"/>
      <c r="Q212" s="113"/>
      <c r="R212" s="113"/>
      <c r="S212" s="113"/>
      <c r="T212" s="113"/>
      <c r="U212" s="113"/>
      <c r="V212" s="113"/>
      <c r="W212" s="113"/>
      <c r="X212" s="113"/>
    </row>
    <row r="213" spans="1:24">
      <c r="A213" s="113" t="s">
        <v>762</v>
      </c>
      <c r="B213" s="113" t="s">
        <v>764</v>
      </c>
      <c r="C213" s="113" t="s">
        <v>763</v>
      </c>
      <c r="D213" s="113">
        <v>0</v>
      </c>
      <c r="E213" s="113">
        <v>0</v>
      </c>
      <c r="F213" s="113">
        <v>1</v>
      </c>
      <c r="G213" s="113" t="s">
        <v>653</v>
      </c>
      <c r="H213" s="113">
        <v>1</v>
      </c>
      <c r="I213" s="113" t="s">
        <v>652</v>
      </c>
      <c r="J213" s="113"/>
      <c r="K213" s="108" t="str">
        <f t="shared" si="8"/>
        <v>SpellData.create(SID_WEAKEN_CURSE_SCROLL,"虚弱诅咒卷轴",0,0,1,OrderId("channel"),1,ORDER_TYPE_IMMEDIATE);</v>
      </c>
      <c r="L213" s="113"/>
      <c r="M213" s="113"/>
      <c r="N213" s="113"/>
      <c r="O213" s="113"/>
      <c r="P213" s="113"/>
      <c r="Q213" s="113"/>
      <c r="R213" s="113"/>
      <c r="S213" s="113"/>
      <c r="T213" s="113"/>
      <c r="U213" s="113"/>
      <c r="V213" s="113"/>
      <c r="W213" s="113"/>
      <c r="X213" s="113"/>
    </row>
    <row r="214" spans="1:24">
      <c r="A214" s="114" t="s">
        <v>759</v>
      </c>
      <c r="B214" s="114" t="s">
        <v>761</v>
      </c>
      <c r="C214" s="114" t="s">
        <v>760</v>
      </c>
      <c r="D214" s="114">
        <v>0</v>
      </c>
      <c r="E214" s="114">
        <v>0</v>
      </c>
      <c r="F214" s="114">
        <v>1</v>
      </c>
      <c r="G214" s="114" t="s">
        <v>653</v>
      </c>
      <c r="H214" s="114">
        <v>1</v>
      </c>
      <c r="I214" s="114" t="s">
        <v>652</v>
      </c>
      <c r="J214" s="114"/>
      <c r="K214" s="108" t="str">
        <f t="shared" si="8"/>
        <v>SpellData.create(SID_LIFE_POTION,"生命药水",0,0,1,OrderId("channel"),1,ORDER_TYPE_IMMEDIATE);</v>
      </c>
      <c r="L214" s="114"/>
      <c r="M214" s="114"/>
      <c r="N214" s="114"/>
      <c r="O214" s="114"/>
      <c r="P214" s="114"/>
      <c r="Q214" s="114"/>
      <c r="R214" s="114"/>
      <c r="S214" s="114"/>
      <c r="T214" s="114"/>
      <c r="U214" s="114"/>
      <c r="V214" s="114"/>
      <c r="W214" s="114"/>
      <c r="X214" s="114"/>
    </row>
    <row r="215" spans="1:24">
      <c r="A215" s="114" t="s">
        <v>756</v>
      </c>
      <c r="B215" s="114" t="s">
        <v>758</v>
      </c>
      <c r="C215" s="114" t="s">
        <v>757</v>
      </c>
      <c r="D215" s="114">
        <v>0</v>
      </c>
      <c r="E215" s="114">
        <v>0</v>
      </c>
      <c r="F215" s="114">
        <v>1</v>
      </c>
      <c r="G215" s="114" t="s">
        <v>653</v>
      </c>
      <c r="H215" s="114">
        <v>1</v>
      </c>
      <c r="I215" s="114" t="s">
        <v>652</v>
      </c>
      <c r="J215" s="114"/>
      <c r="K215" s="108" t="str">
        <f t="shared" si="8"/>
        <v>SpellData.create(SID_MANA_POTION,"魔法药水",0,0,1,OrderId("channel"),1,ORDER_TYPE_IMMEDIATE);</v>
      </c>
      <c r="L215" s="114"/>
      <c r="M215" s="114"/>
      <c r="N215" s="114"/>
      <c r="O215" s="114"/>
      <c r="P215" s="114"/>
      <c r="Q215" s="114"/>
      <c r="R215" s="114"/>
      <c r="S215" s="114"/>
      <c r="T215" s="114"/>
      <c r="U215" s="114"/>
      <c r="V215" s="114"/>
      <c r="W215" s="114"/>
      <c r="X215" s="114"/>
    </row>
    <row r="216" spans="1:24">
      <c r="A216" s="114" t="s">
        <v>753</v>
      </c>
      <c r="B216" s="114" t="s">
        <v>755</v>
      </c>
      <c r="C216" s="114" t="s">
        <v>754</v>
      </c>
      <c r="D216" s="114">
        <v>0</v>
      </c>
      <c r="E216" s="114">
        <v>0</v>
      </c>
      <c r="F216" s="114">
        <v>1</v>
      </c>
      <c r="G216" s="114" t="s">
        <v>653</v>
      </c>
      <c r="H216" s="114">
        <v>1</v>
      </c>
      <c r="I216" s="114" t="s">
        <v>652</v>
      </c>
      <c r="J216" s="114"/>
      <c r="K216" s="108" t="str">
        <f t="shared" si="8"/>
        <v>SpellData.create(SID_LEECH_POTION,"吸血药水",0,0,1,OrderId("channel"),1,ORDER_TYPE_IMMEDIATE);</v>
      </c>
      <c r="L216" s="114"/>
      <c r="M216" s="114"/>
      <c r="N216" s="114"/>
      <c r="O216" s="114"/>
      <c r="P216" s="114"/>
      <c r="Q216" s="114"/>
      <c r="R216" s="114"/>
      <c r="S216" s="114"/>
      <c r="T216" s="114"/>
      <c r="U216" s="114"/>
      <c r="V216" s="114"/>
      <c r="W216" s="114"/>
      <c r="X216" s="114"/>
    </row>
    <row r="217" spans="1:24">
      <c r="A217" s="114" t="s">
        <v>750</v>
      </c>
      <c r="B217" s="114" t="s">
        <v>752</v>
      </c>
      <c r="C217" s="114" t="s">
        <v>751</v>
      </c>
      <c r="D217" s="114">
        <v>0</v>
      </c>
      <c r="E217" s="114">
        <v>0</v>
      </c>
      <c r="F217" s="114">
        <v>1</v>
      </c>
      <c r="G217" s="114" t="s">
        <v>653</v>
      </c>
      <c r="H217" s="114">
        <v>1</v>
      </c>
      <c r="I217" s="114" t="s">
        <v>652</v>
      </c>
      <c r="J217" s="114"/>
      <c r="K217" s="108" t="str">
        <f t="shared" ref="K217:K248" si="9">IF(C217="N/A","//",CONCATENATE("SpellData.create(",B217,",",CHAR(34),C217,CHAR(34),",",E217,",",D217,",",F217,",",G217,",",H217,",",I217,")",J217,";"))</f>
        <v>SpellData.create(SID_LIFE_REGEN_POTION,"再生药水",0,0,1,OrderId("channel"),1,ORDER_TYPE_IMMEDIATE);</v>
      </c>
      <c r="L217" s="114"/>
      <c r="M217" s="114"/>
      <c r="N217" s="114"/>
      <c r="O217" s="114"/>
      <c r="P217" s="114"/>
      <c r="Q217" s="114"/>
      <c r="R217" s="114"/>
      <c r="S217" s="114"/>
      <c r="T217" s="114"/>
      <c r="U217" s="114"/>
      <c r="V217" s="114"/>
      <c r="W217" s="114"/>
      <c r="X217" s="114"/>
    </row>
    <row r="218" spans="1:24">
      <c r="A218" s="114" t="s">
        <v>747</v>
      </c>
      <c r="B218" s="114" t="s">
        <v>749</v>
      </c>
      <c r="C218" s="114" t="s">
        <v>748</v>
      </c>
      <c r="D218" s="114">
        <v>0</v>
      </c>
      <c r="E218" s="114">
        <v>0</v>
      </c>
      <c r="F218" s="114">
        <v>1</v>
      </c>
      <c r="G218" s="114" t="s">
        <v>653</v>
      </c>
      <c r="H218" s="114">
        <v>1</v>
      </c>
      <c r="I218" s="114" t="s">
        <v>652</v>
      </c>
      <c r="J218" s="114"/>
      <c r="K218" s="108" t="str">
        <f t="shared" si="9"/>
        <v>SpellData.create(SID_MANA_REGEN_POTION,"清晰预兆药水",0,0,1,OrderId("channel"),1,ORDER_TYPE_IMMEDIATE);</v>
      </c>
      <c r="L218" s="114"/>
      <c r="M218" s="114"/>
      <c r="N218" s="114"/>
      <c r="O218" s="114"/>
      <c r="P218" s="114"/>
      <c r="Q218" s="114"/>
      <c r="R218" s="114"/>
      <c r="S218" s="114"/>
      <c r="T218" s="114"/>
      <c r="U218" s="114"/>
      <c r="V218" s="114"/>
      <c r="W218" s="114"/>
      <c r="X218" s="114"/>
    </row>
    <row r="219" spans="1:24">
      <c r="A219" s="114" t="s">
        <v>744</v>
      </c>
      <c r="B219" s="114" t="s">
        <v>746</v>
      </c>
      <c r="C219" s="114" t="s">
        <v>745</v>
      </c>
      <c r="D219" s="114">
        <v>0</v>
      </c>
      <c r="E219" s="114">
        <v>0</v>
      </c>
      <c r="F219" s="114">
        <v>1</v>
      </c>
      <c r="G219" s="114" t="s">
        <v>653</v>
      </c>
      <c r="H219" s="114">
        <v>1</v>
      </c>
      <c r="I219" s="114" t="s">
        <v>652</v>
      </c>
      <c r="J219" s="114"/>
      <c r="K219" s="108" t="str">
        <f t="shared" si="9"/>
        <v>SpellData.create(SID_MANA_SOURCE_POTION,"魔力之源",0,0,1,OrderId("channel"),1,ORDER_TYPE_IMMEDIATE);</v>
      </c>
      <c r="L219" s="114"/>
      <c r="M219" s="114"/>
      <c r="N219" s="114"/>
      <c r="O219" s="114"/>
      <c r="P219" s="114"/>
      <c r="Q219" s="114"/>
      <c r="R219" s="114"/>
      <c r="S219" s="114"/>
      <c r="T219" s="114"/>
      <c r="U219" s="114"/>
      <c r="V219" s="114"/>
      <c r="W219" s="114"/>
      <c r="X219" s="114"/>
    </row>
    <row r="220" spans="1:24">
      <c r="A220" s="114" t="s">
        <v>741</v>
      </c>
      <c r="B220" s="114" t="s">
        <v>743</v>
      </c>
      <c r="C220" s="114" t="s">
        <v>742</v>
      </c>
      <c r="D220" s="114">
        <v>0</v>
      </c>
      <c r="E220" s="114">
        <v>0</v>
      </c>
      <c r="F220" s="114">
        <v>1</v>
      </c>
      <c r="G220" s="114" t="s">
        <v>653</v>
      </c>
      <c r="H220" s="114">
        <v>1</v>
      </c>
      <c r="I220" s="114" t="s">
        <v>652</v>
      </c>
      <c r="J220" s="114"/>
      <c r="K220" s="108" t="str">
        <f t="shared" si="9"/>
        <v>SpellData.create(SID_TRANQUILITY_POTION,"宁静药水",0,0,1,OrderId("channel"),1,ORDER_TYPE_IMMEDIATE);</v>
      </c>
      <c r="L220" s="114"/>
      <c r="M220" s="114"/>
      <c r="N220" s="114"/>
      <c r="O220" s="114"/>
      <c r="P220" s="114"/>
      <c r="Q220" s="114"/>
      <c r="R220" s="114"/>
      <c r="S220" s="114"/>
      <c r="T220" s="114"/>
      <c r="U220" s="114"/>
      <c r="V220" s="114"/>
      <c r="W220" s="114"/>
      <c r="X220" s="114"/>
    </row>
    <row r="221" spans="1:24">
      <c r="A221" s="114" t="s">
        <v>738</v>
      </c>
      <c r="B221" s="114" t="s">
        <v>740</v>
      </c>
      <c r="C221" s="114" t="s">
        <v>739</v>
      </c>
      <c r="D221" s="114">
        <v>0</v>
      </c>
      <c r="E221" s="114">
        <v>0</v>
      </c>
      <c r="F221" s="114">
        <v>1</v>
      </c>
      <c r="G221" s="114" t="s">
        <v>653</v>
      </c>
      <c r="H221" s="114">
        <v>1</v>
      </c>
      <c r="I221" s="114" t="s">
        <v>652</v>
      </c>
      <c r="J221" s="114"/>
      <c r="K221" s="108" t="str">
        <f t="shared" si="9"/>
        <v>SpellData.create(SID_BIG_LIFE_POTION,"大生命药水",0,0,1,OrderId("channel"),1,ORDER_TYPE_IMMEDIATE);</v>
      </c>
      <c r="L221" s="114"/>
      <c r="M221" s="114"/>
      <c r="N221" s="114"/>
      <c r="O221" s="114"/>
      <c r="P221" s="114"/>
      <c r="Q221" s="114"/>
      <c r="R221" s="114"/>
      <c r="S221" s="114"/>
      <c r="T221" s="114"/>
      <c r="U221" s="114"/>
      <c r="V221" s="114"/>
      <c r="W221" s="114"/>
      <c r="X221" s="114"/>
    </row>
    <row r="222" spans="1:24">
      <c r="A222" s="114" t="s">
        <v>735</v>
      </c>
      <c r="B222" s="114" t="s">
        <v>737</v>
      </c>
      <c r="C222" s="114" t="s">
        <v>736</v>
      </c>
      <c r="D222" s="114">
        <v>0</v>
      </c>
      <c r="E222" s="114">
        <v>0</v>
      </c>
      <c r="F222" s="114">
        <v>1</v>
      </c>
      <c r="G222" s="114" t="s">
        <v>653</v>
      </c>
      <c r="H222" s="114">
        <v>1</v>
      </c>
      <c r="I222" s="114" t="s">
        <v>652</v>
      </c>
      <c r="J222" s="114"/>
      <c r="K222" s="108" t="str">
        <f t="shared" si="9"/>
        <v>SpellData.create(SID_ARCH_MAGE_POTION,"魔导师药水",0,0,1,OrderId("channel"),1,ORDER_TYPE_IMMEDIATE);</v>
      </c>
      <c r="L222" s="114"/>
      <c r="M222" s="114"/>
      <c r="N222" s="114"/>
      <c r="O222" s="114"/>
      <c r="P222" s="114"/>
      <c r="Q222" s="114"/>
      <c r="R222" s="114"/>
      <c r="S222" s="114"/>
      <c r="T222" s="114"/>
      <c r="U222" s="114"/>
      <c r="V222" s="114"/>
      <c r="W222" s="114"/>
      <c r="X222" s="114"/>
    </row>
    <row r="223" spans="1:24">
      <c r="A223" s="114" t="s">
        <v>732</v>
      </c>
      <c r="B223" s="114" t="s">
        <v>734</v>
      </c>
      <c r="C223" s="114" t="s">
        <v>733</v>
      </c>
      <c r="D223" s="114">
        <v>0</v>
      </c>
      <c r="E223" s="114">
        <v>0</v>
      </c>
      <c r="F223" s="114">
        <v>1</v>
      </c>
      <c r="G223" s="114" t="s">
        <v>653</v>
      </c>
      <c r="H223" s="114">
        <v>1</v>
      </c>
      <c r="I223" s="114" t="s">
        <v>652</v>
      </c>
      <c r="J223" s="114"/>
      <c r="K223" s="108" t="str">
        <f t="shared" si="9"/>
        <v>SpellData.create(SID_COMBAT_MASTER_POTION,"战斗大师药水",0,0,1,OrderId("channel"),1,ORDER_TYPE_IMMEDIATE);</v>
      </c>
      <c r="L223" s="114"/>
      <c r="M223" s="114"/>
      <c r="N223" s="114"/>
      <c r="O223" s="114"/>
      <c r="P223" s="114"/>
      <c r="Q223" s="114"/>
      <c r="R223" s="114"/>
      <c r="S223" s="114"/>
      <c r="T223" s="114"/>
      <c r="U223" s="114"/>
      <c r="V223" s="114"/>
      <c r="W223" s="114"/>
      <c r="X223" s="114"/>
    </row>
    <row r="224" spans="1:24">
      <c r="A224" s="114" t="s">
        <v>729</v>
      </c>
      <c r="B224" s="114" t="s">
        <v>731</v>
      </c>
      <c r="C224" s="114" t="s">
        <v>730</v>
      </c>
      <c r="D224" s="114">
        <v>0</v>
      </c>
      <c r="E224" s="114">
        <v>0</v>
      </c>
      <c r="F224" s="114">
        <v>1</v>
      </c>
      <c r="G224" s="114" t="s">
        <v>653</v>
      </c>
      <c r="H224" s="114">
        <v>1</v>
      </c>
      <c r="I224" s="114" t="s">
        <v>652</v>
      </c>
      <c r="J224" s="114"/>
      <c r="K224" s="108" t="str">
        <f t="shared" si="9"/>
        <v>SpellData.create(SID_EMPERORS_NEW_POTION,"皇帝的新药",0,0,1,OrderId("channel"),1,ORDER_TYPE_IMMEDIATE);</v>
      </c>
      <c r="L224" s="114"/>
      <c r="M224" s="114"/>
      <c r="N224" s="114"/>
      <c r="O224" s="114"/>
      <c r="P224" s="114"/>
      <c r="Q224" s="114"/>
      <c r="R224" s="114"/>
      <c r="S224" s="114"/>
      <c r="T224" s="114"/>
      <c r="U224" s="114"/>
      <c r="V224" s="114"/>
      <c r="W224" s="114"/>
      <c r="X224" s="114"/>
    </row>
    <row r="225" spans="1:24">
      <c r="A225" s="114" t="s">
        <v>726</v>
      </c>
      <c r="B225" s="114" t="s">
        <v>728</v>
      </c>
      <c r="C225" s="114" t="s">
        <v>727</v>
      </c>
      <c r="D225" s="114">
        <v>0</v>
      </c>
      <c r="E225" s="114">
        <v>0</v>
      </c>
      <c r="F225" s="114">
        <v>1</v>
      </c>
      <c r="G225" s="114" t="s">
        <v>653</v>
      </c>
      <c r="H225" s="114">
        <v>1</v>
      </c>
      <c r="I225" s="114" t="s">
        <v>652</v>
      </c>
      <c r="J225" s="114"/>
      <c r="K225" s="108" t="str">
        <f t="shared" si="9"/>
        <v>SpellData.create(SID_TRANSFER_POTION,"转换药水",0,0,1,OrderId("channel"),1,ORDER_TYPE_IMMEDIATE);</v>
      </c>
      <c r="L225" s="114"/>
      <c r="M225" s="114"/>
      <c r="N225" s="114"/>
      <c r="O225" s="114"/>
      <c r="P225" s="114"/>
      <c r="Q225" s="114"/>
      <c r="R225" s="114"/>
      <c r="S225" s="114"/>
      <c r="T225" s="114"/>
      <c r="U225" s="114"/>
      <c r="V225" s="114"/>
      <c r="W225" s="114"/>
      <c r="X225" s="114"/>
    </row>
    <row r="226" spans="1:24">
      <c r="A226" s="114" t="s">
        <v>723</v>
      </c>
      <c r="B226" s="114" t="s">
        <v>725</v>
      </c>
      <c r="C226" s="114" t="s">
        <v>724</v>
      </c>
      <c r="D226" s="114">
        <v>0</v>
      </c>
      <c r="E226" s="114">
        <v>0</v>
      </c>
      <c r="F226" s="114">
        <v>1</v>
      </c>
      <c r="G226" s="114" t="s">
        <v>653</v>
      </c>
      <c r="H226" s="114">
        <v>1</v>
      </c>
      <c r="I226" s="114" t="s">
        <v>652</v>
      </c>
      <c r="J226" s="114"/>
      <c r="K226" s="108" t="str">
        <f t="shared" si="9"/>
        <v>SpellData.create(SID_SHIELD_POTION,"护盾药水",0,0,1,OrderId("channel"),1,ORDER_TYPE_IMMEDIATE);</v>
      </c>
      <c r="L226" s="114"/>
      <c r="M226" s="114"/>
      <c r="N226" s="114"/>
      <c r="O226" s="114"/>
      <c r="P226" s="114"/>
      <c r="Q226" s="114"/>
      <c r="R226" s="114"/>
      <c r="S226" s="114"/>
      <c r="T226" s="114"/>
      <c r="U226" s="114"/>
      <c r="V226" s="114"/>
      <c r="W226" s="114"/>
      <c r="X226" s="114"/>
    </row>
    <row r="227" spans="1:24">
      <c r="A227" s="114" t="s">
        <v>720</v>
      </c>
      <c r="B227" s="114" t="s">
        <v>722</v>
      </c>
      <c r="C227" s="114" t="s">
        <v>721</v>
      </c>
      <c r="D227" s="114">
        <v>0</v>
      </c>
      <c r="E227" s="114">
        <v>0</v>
      </c>
      <c r="F227" s="114">
        <v>1</v>
      </c>
      <c r="G227" s="114" t="s">
        <v>653</v>
      </c>
      <c r="H227" s="114">
        <v>1</v>
      </c>
      <c r="I227" s="114" t="s">
        <v>652</v>
      </c>
      <c r="J227" s="114"/>
      <c r="K227" s="108" t="str">
        <f t="shared" si="9"/>
        <v>SpellData.create(SID_FORTRESS_POTION,"壁垒药水",0,0,1,OrderId("channel"),1,ORDER_TYPE_IMMEDIATE);</v>
      </c>
      <c r="L227" s="114"/>
      <c r="M227" s="114"/>
      <c r="N227" s="114"/>
      <c r="O227" s="114"/>
      <c r="P227" s="114"/>
      <c r="Q227" s="114"/>
      <c r="R227" s="114"/>
      <c r="S227" s="114"/>
      <c r="T227" s="114"/>
      <c r="U227" s="114"/>
      <c r="V227" s="114"/>
      <c r="W227" s="114"/>
      <c r="X227" s="114"/>
    </row>
    <row r="228" spans="1:24">
      <c r="A228" s="114" t="s">
        <v>717</v>
      </c>
      <c r="B228" s="114" t="s">
        <v>719</v>
      </c>
      <c r="C228" s="114" t="s">
        <v>718</v>
      </c>
      <c r="D228" s="114">
        <v>0</v>
      </c>
      <c r="E228" s="114">
        <v>0</v>
      </c>
      <c r="F228" s="114">
        <v>1</v>
      </c>
      <c r="G228" s="114" t="s">
        <v>653</v>
      </c>
      <c r="H228" s="114">
        <v>1</v>
      </c>
      <c r="I228" s="114" t="s">
        <v>652</v>
      </c>
      <c r="J228" s="114"/>
      <c r="K228" s="108" t="str">
        <f t="shared" si="9"/>
        <v>SpellData.create(SID_DODGE_POTION,"闪避药水",0,0,1,OrderId("channel"),1,ORDER_TYPE_IMMEDIATE);</v>
      </c>
      <c r="L228" s="114"/>
      <c r="M228" s="114"/>
      <c r="N228" s="114"/>
      <c r="O228" s="114"/>
      <c r="P228" s="114"/>
      <c r="Q228" s="114"/>
      <c r="R228" s="114"/>
      <c r="S228" s="114"/>
      <c r="T228" s="114"/>
      <c r="U228" s="114"/>
      <c r="V228" s="114"/>
      <c r="W228" s="114"/>
      <c r="X228" s="114"/>
    </row>
    <row r="229" spans="1:24">
      <c r="A229" s="114" t="s">
        <v>714</v>
      </c>
      <c r="B229" s="114" t="s">
        <v>716</v>
      </c>
      <c r="C229" s="114" t="s">
        <v>715</v>
      </c>
      <c r="D229" s="114">
        <v>0</v>
      </c>
      <c r="E229" s="114">
        <v>0</v>
      </c>
      <c r="F229" s="114">
        <v>1</v>
      </c>
      <c r="G229" s="114" t="s">
        <v>653</v>
      </c>
      <c r="H229" s="114">
        <v>1</v>
      </c>
      <c r="I229" s="114" t="s">
        <v>652</v>
      </c>
      <c r="J229" s="114"/>
      <c r="K229" s="108" t="str">
        <f t="shared" si="9"/>
        <v>SpellData.create(SID_SMALL_INVUL_POTION,"小无敌药水",0,0,1,OrderId("channel"),1,ORDER_TYPE_IMMEDIATE);</v>
      </c>
      <c r="L229" s="114"/>
      <c r="M229" s="114"/>
      <c r="N229" s="114"/>
      <c r="O229" s="114"/>
      <c r="P229" s="114"/>
      <c r="Q229" s="114"/>
      <c r="R229" s="114"/>
      <c r="S229" s="114"/>
      <c r="T229" s="114"/>
      <c r="U229" s="114"/>
      <c r="V229" s="114"/>
      <c r="W229" s="114"/>
      <c r="X229" s="114"/>
    </row>
    <row r="230" spans="1:24">
      <c r="A230" s="114" t="s">
        <v>711</v>
      </c>
      <c r="B230" s="114" t="s">
        <v>713</v>
      </c>
      <c r="C230" s="114" t="s">
        <v>712</v>
      </c>
      <c r="D230" s="114">
        <v>0</v>
      </c>
      <c r="E230" s="114">
        <v>0</v>
      </c>
      <c r="F230" s="114">
        <v>1</v>
      </c>
      <c r="G230" s="114" t="s">
        <v>653</v>
      </c>
      <c r="H230" s="114">
        <v>1</v>
      </c>
      <c r="I230" s="114" t="s">
        <v>652</v>
      </c>
      <c r="J230" s="114"/>
      <c r="K230" s="108" t="str">
        <f t="shared" si="9"/>
        <v>SpellData.create(SID_INVUL_POTION,"无敌药水",0,0,1,OrderId("channel"),1,ORDER_TYPE_IMMEDIATE);</v>
      </c>
      <c r="L230" s="114"/>
      <c r="M230" s="114"/>
      <c r="N230" s="114"/>
      <c r="O230" s="114"/>
      <c r="P230" s="114"/>
      <c r="Q230" s="114"/>
      <c r="R230" s="114"/>
      <c r="S230" s="114"/>
      <c r="T230" s="114"/>
      <c r="U230" s="114"/>
      <c r="V230" s="114"/>
      <c r="W230" s="114"/>
      <c r="X230" s="114"/>
    </row>
    <row r="231" spans="1:24">
      <c r="A231" s="114" t="s">
        <v>708</v>
      </c>
      <c r="B231" s="114" t="s">
        <v>710</v>
      </c>
      <c r="C231" s="114" t="s">
        <v>709</v>
      </c>
      <c r="D231" s="114">
        <v>0</v>
      </c>
      <c r="E231" s="114">
        <v>0</v>
      </c>
      <c r="F231" s="114">
        <v>1</v>
      </c>
      <c r="G231" s="114" t="s">
        <v>653</v>
      </c>
      <c r="H231" s="114">
        <v>1</v>
      </c>
      <c r="I231" s="114" t="s">
        <v>652</v>
      </c>
      <c r="J231" s="114"/>
      <c r="K231" s="108" t="str">
        <f t="shared" si="9"/>
        <v>SpellData.create(SID_STONE_SKIN_POTION,"石皮药水",0,0,1,OrderId("channel"),1,ORDER_TYPE_IMMEDIATE);</v>
      </c>
      <c r="L231" s="114"/>
      <c r="M231" s="114"/>
      <c r="N231" s="114"/>
      <c r="O231" s="114"/>
      <c r="P231" s="114"/>
      <c r="Q231" s="114"/>
      <c r="R231" s="114"/>
      <c r="S231" s="114"/>
      <c r="T231" s="114"/>
      <c r="U231" s="114"/>
      <c r="V231" s="114"/>
      <c r="W231" s="114"/>
      <c r="X231" s="114"/>
    </row>
    <row r="232" spans="1:24">
      <c r="A232" s="114" t="s">
        <v>705</v>
      </c>
      <c r="B232" s="114" t="s">
        <v>707</v>
      </c>
      <c r="C232" s="114" t="s">
        <v>706</v>
      </c>
      <c r="D232" s="114">
        <v>0</v>
      </c>
      <c r="E232" s="114">
        <v>0</v>
      </c>
      <c r="F232" s="114">
        <v>1</v>
      </c>
      <c r="G232" s="114" t="s">
        <v>653</v>
      </c>
      <c r="H232" s="114">
        <v>1</v>
      </c>
      <c r="I232" s="114" t="s">
        <v>652</v>
      </c>
      <c r="J232" s="114"/>
      <c r="K232" s="108" t="str">
        <f t="shared" si="9"/>
        <v>SpellData.create(SID_SPELL_POWER_POTION,"法能药水",0,0,1,OrderId("channel"),1,ORDER_TYPE_IMMEDIATE);</v>
      </c>
      <c r="L232" s="114"/>
      <c r="M232" s="114"/>
      <c r="N232" s="114"/>
      <c r="O232" s="114"/>
      <c r="P232" s="114"/>
      <c r="Q232" s="114"/>
      <c r="R232" s="114"/>
      <c r="S232" s="114"/>
      <c r="T232" s="114"/>
      <c r="U232" s="114"/>
      <c r="V232" s="114"/>
      <c r="W232" s="114"/>
      <c r="X232" s="114"/>
    </row>
    <row r="233" spans="1:24">
      <c r="A233" s="114" t="s">
        <v>702</v>
      </c>
      <c r="B233" s="114" t="s">
        <v>704</v>
      </c>
      <c r="C233" s="114" t="s">
        <v>703</v>
      </c>
      <c r="D233" s="114">
        <v>0</v>
      </c>
      <c r="E233" s="114">
        <v>0</v>
      </c>
      <c r="F233" s="114">
        <v>1</v>
      </c>
      <c r="G233" s="114" t="s">
        <v>653</v>
      </c>
      <c r="H233" s="114">
        <v>1</v>
      </c>
      <c r="I233" s="114" t="s">
        <v>652</v>
      </c>
      <c r="J233" s="114"/>
      <c r="K233" s="108" t="str">
        <f t="shared" si="9"/>
        <v>SpellData.create(SID_SPELL_MASTER_POTION,"法术掌控药水",0,0,1,OrderId("channel"),1,ORDER_TYPE_IMMEDIATE);</v>
      </c>
      <c r="L233" s="114"/>
      <c r="M233" s="114"/>
      <c r="N233" s="114"/>
      <c r="O233" s="114"/>
      <c r="P233" s="114"/>
      <c r="Q233" s="114"/>
      <c r="R233" s="114"/>
      <c r="S233" s="114"/>
      <c r="T233" s="114"/>
      <c r="U233" s="114"/>
      <c r="V233" s="114"/>
      <c r="W233" s="114"/>
      <c r="X233" s="114"/>
    </row>
    <row r="234" spans="1:24">
      <c r="A234" s="114" t="s">
        <v>699</v>
      </c>
      <c r="B234" s="114" t="s">
        <v>701</v>
      </c>
      <c r="C234" s="114" t="s">
        <v>700</v>
      </c>
      <c r="D234" s="114">
        <v>0</v>
      </c>
      <c r="E234" s="114">
        <v>0</v>
      </c>
      <c r="F234" s="114">
        <v>1</v>
      </c>
      <c r="G234" s="114" t="s">
        <v>653</v>
      </c>
      <c r="H234" s="114">
        <v>1</v>
      </c>
      <c r="I234" s="114" t="s">
        <v>652</v>
      </c>
      <c r="J234" s="114"/>
      <c r="K234" s="108" t="str">
        <f t="shared" si="9"/>
        <v>SpellData.create(SID_ARCANE_POTION,"秘法药剂",0,0,1,OrderId("channel"),1,ORDER_TYPE_IMMEDIATE);</v>
      </c>
      <c r="L234" s="114"/>
      <c r="M234" s="114"/>
      <c r="N234" s="114"/>
      <c r="O234" s="114"/>
      <c r="P234" s="114"/>
      <c r="Q234" s="114"/>
      <c r="R234" s="114"/>
      <c r="S234" s="114"/>
      <c r="T234" s="114"/>
      <c r="U234" s="114"/>
      <c r="V234" s="114"/>
      <c r="W234" s="114"/>
      <c r="X234" s="114"/>
    </row>
    <row r="235" spans="1:24">
      <c r="A235" s="114" t="s">
        <v>696</v>
      </c>
      <c r="B235" s="114" t="s">
        <v>698</v>
      </c>
      <c r="C235" s="114" t="s">
        <v>697</v>
      </c>
      <c r="D235" s="114">
        <v>0</v>
      </c>
      <c r="E235" s="114">
        <v>0</v>
      </c>
      <c r="F235" s="114">
        <v>1</v>
      </c>
      <c r="G235" s="114" t="s">
        <v>653</v>
      </c>
      <c r="H235" s="114">
        <v>1</v>
      </c>
      <c r="I235" s="114" t="s">
        <v>652</v>
      </c>
      <c r="J235" s="114"/>
      <c r="K235" s="108" t="str">
        <f t="shared" si="9"/>
        <v>SpellData.create(SID_ANGRY_CAST_POTION,"愤怒施法药水",0,0,1,OrderId("channel"),1,ORDER_TYPE_IMMEDIATE);</v>
      </c>
      <c r="L235" s="114"/>
      <c r="M235" s="114"/>
      <c r="N235" s="114"/>
      <c r="O235" s="114"/>
      <c r="P235" s="114"/>
      <c r="Q235" s="114"/>
      <c r="R235" s="114"/>
      <c r="S235" s="114"/>
      <c r="T235" s="114"/>
      <c r="U235" s="114"/>
      <c r="V235" s="114"/>
      <c r="W235" s="114"/>
      <c r="X235" s="114"/>
    </row>
    <row r="236" spans="1:24">
      <c r="A236" s="114" t="s">
        <v>693</v>
      </c>
      <c r="B236" s="114" t="s">
        <v>695</v>
      </c>
      <c r="C236" s="114" t="s">
        <v>694</v>
      </c>
      <c r="D236" s="114">
        <v>0</v>
      </c>
      <c r="E236" s="114">
        <v>0</v>
      </c>
      <c r="F236" s="114">
        <v>1</v>
      </c>
      <c r="G236" s="114" t="s">
        <v>653</v>
      </c>
      <c r="H236" s="114">
        <v>1</v>
      </c>
      <c r="I236" s="114" t="s">
        <v>652</v>
      </c>
      <c r="J236" s="114"/>
      <c r="K236" s="108" t="str">
        <f t="shared" si="9"/>
        <v>SpellData.create(SID_SPELL_PIERCE_POTION,"法术穿透药水",0,0,1,OrderId("channel"),1,ORDER_TYPE_IMMEDIATE);</v>
      </c>
      <c r="L236" s="114"/>
      <c r="M236" s="114"/>
      <c r="N236" s="114"/>
      <c r="O236" s="114"/>
      <c r="P236" s="114"/>
      <c r="Q236" s="114"/>
      <c r="R236" s="114"/>
      <c r="S236" s="114"/>
      <c r="T236" s="114"/>
      <c r="U236" s="114"/>
      <c r="V236" s="114"/>
      <c r="W236" s="114"/>
      <c r="X236" s="114"/>
    </row>
    <row r="237" spans="1:24">
      <c r="A237" s="114" t="s">
        <v>690</v>
      </c>
      <c r="B237" s="114" t="s">
        <v>692</v>
      </c>
      <c r="C237" s="114" t="s">
        <v>691</v>
      </c>
      <c r="D237" s="114">
        <v>0</v>
      </c>
      <c r="E237" s="114">
        <v>0</v>
      </c>
      <c r="F237" s="114">
        <v>1</v>
      </c>
      <c r="G237" s="114" t="s">
        <v>653</v>
      </c>
      <c r="H237" s="114">
        <v>1</v>
      </c>
      <c r="I237" s="114" t="s">
        <v>652</v>
      </c>
      <c r="J237" s="114"/>
      <c r="K237" s="108" t="str">
        <f t="shared" si="9"/>
        <v>SpellData.create(SID_UNSTABLE_POTION,"不稳定的药水",0,0,1,OrderId("channel"),1,ORDER_TYPE_IMMEDIATE);</v>
      </c>
      <c r="L237" s="114"/>
      <c r="M237" s="114"/>
      <c r="N237" s="114"/>
      <c r="O237" s="114"/>
      <c r="P237" s="114"/>
      <c r="Q237" s="114"/>
      <c r="R237" s="114"/>
      <c r="S237" s="114"/>
      <c r="T237" s="114"/>
      <c r="U237" s="114"/>
      <c r="V237" s="114"/>
      <c r="W237" s="114"/>
      <c r="X237" s="114"/>
    </row>
    <row r="238" spans="1:24">
      <c r="A238" s="114" t="s">
        <v>687</v>
      </c>
      <c r="B238" s="114" t="s">
        <v>689</v>
      </c>
      <c r="C238" s="114" t="s">
        <v>688</v>
      </c>
      <c r="D238" s="114">
        <v>0</v>
      </c>
      <c r="E238" s="114">
        <v>0</v>
      </c>
      <c r="F238" s="114">
        <v>1</v>
      </c>
      <c r="G238" s="114" t="s">
        <v>653</v>
      </c>
      <c r="H238" s="114">
        <v>1</v>
      </c>
      <c r="I238" s="114" t="s">
        <v>652</v>
      </c>
      <c r="J238" s="114"/>
      <c r="K238" s="108" t="str">
        <f t="shared" si="9"/>
        <v>SpellData.create(SID_AGILITY_POTION,"敏捷药水",0,0,1,OrderId("channel"),1,ORDER_TYPE_IMMEDIATE);</v>
      </c>
      <c r="L238" s="114"/>
      <c r="M238" s="114"/>
      <c r="N238" s="114"/>
      <c r="O238" s="114"/>
      <c r="P238" s="114"/>
      <c r="Q238" s="114"/>
      <c r="R238" s="114"/>
      <c r="S238" s="114"/>
      <c r="T238" s="114"/>
      <c r="U238" s="114"/>
      <c r="V238" s="114"/>
      <c r="W238" s="114"/>
      <c r="X238" s="114"/>
    </row>
    <row r="239" spans="1:24">
      <c r="A239" s="114" t="s">
        <v>684</v>
      </c>
      <c r="B239" s="114" t="s">
        <v>686</v>
      </c>
      <c r="C239" s="114" t="s">
        <v>685</v>
      </c>
      <c r="D239" s="114">
        <v>0</v>
      </c>
      <c r="E239" s="114">
        <v>0</v>
      </c>
      <c r="F239" s="114">
        <v>1</v>
      </c>
      <c r="G239" s="114" t="s">
        <v>653</v>
      </c>
      <c r="H239" s="114">
        <v>1</v>
      </c>
      <c r="I239" s="114" t="s">
        <v>652</v>
      </c>
      <c r="J239" s="114"/>
      <c r="K239" s="108" t="str">
        <f t="shared" si="9"/>
        <v>SpellData.create(SID_ACUTE_POTION,"敏锐药水",0,0,1,OrderId("channel"),1,ORDER_TYPE_IMMEDIATE);</v>
      </c>
      <c r="L239" s="114"/>
      <c r="M239" s="114"/>
      <c r="N239" s="114"/>
      <c r="O239" s="114"/>
      <c r="P239" s="114"/>
      <c r="Q239" s="114"/>
      <c r="R239" s="114"/>
      <c r="S239" s="114"/>
      <c r="T239" s="114"/>
      <c r="U239" s="114"/>
      <c r="V239" s="114"/>
      <c r="W239" s="114"/>
      <c r="X239" s="114"/>
    </row>
    <row r="240" spans="1:24">
      <c r="A240" s="114" t="s">
        <v>681</v>
      </c>
      <c r="B240" s="114" t="s">
        <v>683</v>
      </c>
      <c r="C240" s="114" t="s">
        <v>682</v>
      </c>
      <c r="D240" s="114">
        <v>0</v>
      </c>
      <c r="E240" s="114">
        <v>0</v>
      </c>
      <c r="F240" s="114">
        <v>1</v>
      </c>
      <c r="G240" s="114" t="s">
        <v>653</v>
      </c>
      <c r="H240" s="114">
        <v>1</v>
      </c>
      <c r="I240" s="114" t="s">
        <v>652</v>
      </c>
      <c r="J240" s="114"/>
      <c r="K240" s="108" t="str">
        <f t="shared" si="9"/>
        <v>SpellData.create(SID_DEXTERITY_POTION,"迅捷药水",0,0,1,OrderId("channel"),1,ORDER_TYPE_IMMEDIATE);</v>
      </c>
      <c r="L240" s="114"/>
      <c r="M240" s="114"/>
      <c r="N240" s="114"/>
      <c r="O240" s="114"/>
      <c r="P240" s="114"/>
      <c r="Q240" s="114"/>
      <c r="R240" s="114"/>
      <c r="S240" s="114"/>
      <c r="T240" s="114"/>
      <c r="U240" s="114"/>
      <c r="V240" s="114"/>
      <c r="W240" s="114"/>
      <c r="X240" s="114"/>
    </row>
    <row r="241" spans="1:24">
      <c r="A241" s="113" t="s">
        <v>678</v>
      </c>
      <c r="B241" s="113" t="s">
        <v>680</v>
      </c>
      <c r="C241" s="113" t="s">
        <v>679</v>
      </c>
      <c r="D241" s="113">
        <v>0</v>
      </c>
      <c r="E241" s="113">
        <v>0</v>
      </c>
      <c r="F241" s="113">
        <v>1</v>
      </c>
      <c r="G241" s="113" t="s">
        <v>653</v>
      </c>
      <c r="H241" s="113">
        <v>1</v>
      </c>
      <c r="I241" s="113" t="s">
        <v>652</v>
      </c>
      <c r="J241" s="113"/>
      <c r="K241" s="108" t="str">
        <f t="shared" si="9"/>
        <v>SpellData.create(SID_CHARM_OF_SIMPLE_HEAL,"简易治疗符咒",0,0,1,OrderId("channel"),1,ORDER_TYPE_IMMEDIATE);</v>
      </c>
      <c r="L241" s="113"/>
      <c r="M241" s="113"/>
      <c r="N241" s="113"/>
      <c r="O241" s="113"/>
      <c r="P241" s="113"/>
      <c r="Q241" s="113"/>
      <c r="R241" s="113"/>
      <c r="S241" s="113"/>
      <c r="T241" s="113"/>
      <c r="U241" s="113"/>
      <c r="V241" s="113"/>
      <c r="W241" s="113"/>
      <c r="X241" s="113"/>
    </row>
    <row r="242" spans="1:24">
      <c r="A242" s="113" t="s">
        <v>675</v>
      </c>
      <c r="B242" s="113" t="s">
        <v>677</v>
      </c>
      <c r="C242" s="113" t="s">
        <v>676</v>
      </c>
      <c r="D242" s="113">
        <v>0</v>
      </c>
      <c r="E242" s="113">
        <v>0</v>
      </c>
      <c r="F242" s="113">
        <v>1</v>
      </c>
      <c r="G242" s="113" t="s">
        <v>653</v>
      </c>
      <c r="H242" s="113">
        <v>1</v>
      </c>
      <c r="I242" s="113" t="s">
        <v>652</v>
      </c>
      <c r="J242" s="113"/>
      <c r="K242" s="108" t="str">
        <f t="shared" si="9"/>
        <v>SpellData.create(SID_CHARM_OF_DISPEL,"驱散术符咒",0,0,1,OrderId("channel"),1,ORDER_TYPE_IMMEDIATE);</v>
      </c>
      <c r="L242" s="113"/>
      <c r="M242" s="113"/>
      <c r="N242" s="113"/>
      <c r="O242" s="113"/>
      <c r="P242" s="113"/>
      <c r="Q242" s="113"/>
      <c r="R242" s="113"/>
      <c r="S242" s="113"/>
      <c r="T242" s="113"/>
      <c r="U242" s="113"/>
      <c r="V242" s="113"/>
      <c r="W242" s="113"/>
      <c r="X242" s="113"/>
    </row>
    <row r="243" spans="1:24">
      <c r="A243" s="113" t="s">
        <v>672</v>
      </c>
      <c r="B243" s="113" t="s">
        <v>674</v>
      </c>
      <c r="C243" s="113" t="s">
        <v>673</v>
      </c>
      <c r="D243" s="113">
        <v>0</v>
      </c>
      <c r="E243" s="113">
        <v>0</v>
      </c>
      <c r="F243" s="113">
        <v>1</v>
      </c>
      <c r="G243" s="113" t="s">
        <v>653</v>
      </c>
      <c r="H243" s="113">
        <v>1</v>
      </c>
      <c r="I243" s="113" t="s">
        <v>652</v>
      </c>
      <c r="J243" s="113"/>
      <c r="K243" s="108" t="str">
        <f t="shared" si="9"/>
        <v>SpellData.create(SID_CHARM_OF_HEALING_WARD,"治疗结界符咒",0,0,1,OrderId("channel"),1,ORDER_TYPE_IMMEDIATE);</v>
      </c>
      <c r="L243" s="113"/>
      <c r="M243" s="113"/>
      <c r="N243" s="113"/>
      <c r="O243" s="113"/>
      <c r="P243" s="113"/>
      <c r="Q243" s="113"/>
      <c r="R243" s="113"/>
      <c r="S243" s="113"/>
      <c r="T243" s="113"/>
      <c r="U243" s="113"/>
      <c r="V243" s="113"/>
      <c r="W243" s="113"/>
      <c r="X243" s="113"/>
    </row>
    <row r="244" spans="1:24">
      <c r="A244" s="113" t="s">
        <v>669</v>
      </c>
      <c r="B244" s="113" t="s">
        <v>671</v>
      </c>
      <c r="C244" s="113" t="s">
        <v>670</v>
      </c>
      <c r="D244" s="113">
        <v>0</v>
      </c>
      <c r="E244" s="113">
        <v>0</v>
      </c>
      <c r="F244" s="113">
        <v>1</v>
      </c>
      <c r="G244" s="113" t="s">
        <v>653</v>
      </c>
      <c r="H244" s="113">
        <v>1</v>
      </c>
      <c r="I244" s="113" t="s">
        <v>652</v>
      </c>
      <c r="J244" s="113"/>
      <c r="K244" s="108" t="str">
        <f t="shared" si="9"/>
        <v>SpellData.create(SID_CHARM_OF_INNER_FIRE,"心灵之火符咒",0,0,1,OrderId("channel"),1,ORDER_TYPE_IMMEDIATE);</v>
      </c>
      <c r="L244" s="113"/>
      <c r="M244" s="113"/>
      <c r="N244" s="113"/>
      <c r="O244" s="113"/>
      <c r="P244" s="113"/>
      <c r="Q244" s="113"/>
      <c r="R244" s="113"/>
      <c r="S244" s="113"/>
      <c r="T244" s="113"/>
      <c r="U244" s="113"/>
      <c r="V244" s="113"/>
      <c r="W244" s="113"/>
      <c r="X244" s="113"/>
    </row>
    <row r="245" spans="1:24">
      <c r="A245" s="113" t="s">
        <v>666</v>
      </c>
      <c r="B245" s="113" t="s">
        <v>668</v>
      </c>
      <c r="C245" s="113" t="s">
        <v>667</v>
      </c>
      <c r="D245" s="113">
        <v>0</v>
      </c>
      <c r="E245" s="113">
        <v>0</v>
      </c>
      <c r="F245" s="113">
        <v>1</v>
      </c>
      <c r="G245" s="113" t="s">
        <v>653</v>
      </c>
      <c r="H245" s="113">
        <v>1</v>
      </c>
      <c r="I245" s="113" t="s">
        <v>652</v>
      </c>
      <c r="J245" s="113"/>
      <c r="K245" s="108" t="str">
        <f t="shared" si="9"/>
        <v>SpellData.create(SID_CHARM_OF_CHAIN_LIGHTNING,"闪电链符咒",0,0,1,OrderId("channel"),1,ORDER_TYPE_IMMEDIATE);</v>
      </c>
      <c r="L245" s="113"/>
      <c r="M245" s="113"/>
      <c r="N245" s="113"/>
      <c r="O245" s="113"/>
      <c r="P245" s="113"/>
      <c r="Q245" s="113"/>
      <c r="R245" s="113"/>
      <c r="S245" s="113"/>
      <c r="T245" s="113"/>
      <c r="U245" s="113"/>
      <c r="V245" s="113"/>
      <c r="W245" s="113"/>
      <c r="X245" s="113"/>
    </row>
    <row r="246" spans="1:24">
      <c r="A246" s="113" t="s">
        <v>663</v>
      </c>
      <c r="B246" s="113" t="s">
        <v>665</v>
      </c>
      <c r="C246" s="113" t="s">
        <v>664</v>
      </c>
      <c r="D246" s="113">
        <v>0</v>
      </c>
      <c r="E246" s="113">
        <v>0</v>
      </c>
      <c r="F246" s="113">
        <v>1</v>
      </c>
      <c r="G246" s="113" t="s">
        <v>653</v>
      </c>
      <c r="H246" s="113">
        <v>1</v>
      </c>
      <c r="I246" s="113" t="s">
        <v>652</v>
      </c>
      <c r="J246" s="113"/>
      <c r="K246" s="108" t="str">
        <f t="shared" si="9"/>
        <v>SpellData.create(SID_CHARM_OF_DEATH_FINGER,"死亡之指符咒",0,0,1,OrderId("channel"),1,ORDER_TYPE_IMMEDIATE);</v>
      </c>
      <c r="L246" s="113"/>
      <c r="M246" s="113"/>
      <c r="N246" s="113"/>
      <c r="O246" s="113"/>
      <c r="P246" s="113"/>
      <c r="Q246" s="113"/>
      <c r="R246" s="113"/>
      <c r="S246" s="113"/>
      <c r="T246" s="113"/>
      <c r="U246" s="113"/>
      <c r="V246" s="113"/>
      <c r="W246" s="113"/>
      <c r="X246" s="113"/>
    </row>
    <row r="247" spans="1:24">
      <c r="A247" s="113" t="s">
        <v>660</v>
      </c>
      <c r="B247" s="113" t="s">
        <v>662</v>
      </c>
      <c r="C247" s="113" t="s">
        <v>661</v>
      </c>
      <c r="D247" s="113">
        <v>0</v>
      </c>
      <c r="E247" s="113">
        <v>0</v>
      </c>
      <c r="F247" s="113">
        <v>1</v>
      </c>
      <c r="G247" s="113" t="s">
        <v>653</v>
      </c>
      <c r="H247" s="113">
        <v>1</v>
      </c>
      <c r="I247" s="113" t="s">
        <v>652</v>
      </c>
      <c r="J247" s="113"/>
      <c r="K247" s="108" t="str">
        <f t="shared" si="9"/>
        <v>SpellData.create(SID_CHARM_OF_SIPHON_LIFE,"生命虹吸符咒",0,0,1,OrderId("channel"),1,ORDER_TYPE_IMMEDIATE);</v>
      </c>
      <c r="L247" s="113"/>
      <c r="M247" s="113"/>
      <c r="N247" s="113"/>
      <c r="O247" s="113"/>
      <c r="P247" s="113"/>
      <c r="Q247" s="113"/>
      <c r="R247" s="113"/>
      <c r="S247" s="113"/>
      <c r="T247" s="113"/>
      <c r="U247" s="113"/>
      <c r="V247" s="113"/>
      <c r="W247" s="113"/>
      <c r="X247" s="113"/>
    </row>
    <row r="248" spans="1:24">
      <c r="A248" s="113" t="s">
        <v>657</v>
      </c>
      <c r="B248" s="113" t="s">
        <v>659</v>
      </c>
      <c r="C248" s="113" t="s">
        <v>658</v>
      </c>
      <c r="D248" s="113">
        <v>0</v>
      </c>
      <c r="E248" s="113">
        <v>0</v>
      </c>
      <c r="F248" s="113">
        <v>1</v>
      </c>
      <c r="G248" s="113" t="s">
        <v>653</v>
      </c>
      <c r="H248" s="113">
        <v>1</v>
      </c>
      <c r="I248" s="113" t="s">
        <v>652</v>
      </c>
      <c r="J248" s="113"/>
      <c r="K248" s="108" t="str">
        <f t="shared" si="9"/>
        <v>SpellData.create(SID_DEMONIC_RUNE,"恶魔符文",0,0,1,OrderId("channel"),1,ORDER_TYPE_IMMEDIATE);</v>
      </c>
      <c r="L248" s="113"/>
      <c r="M248" s="113"/>
      <c r="N248" s="113"/>
      <c r="O248" s="113"/>
      <c r="P248" s="113"/>
      <c r="Q248" s="113"/>
      <c r="R248" s="113"/>
      <c r="S248" s="113"/>
      <c r="T248" s="113"/>
      <c r="U248" s="113"/>
      <c r="V248" s="113"/>
      <c r="W248" s="113"/>
      <c r="X248" s="113"/>
    </row>
    <row r="249" spans="1:24">
      <c r="A249" s="113" t="s">
        <v>654</v>
      </c>
      <c r="B249" s="113" t="s">
        <v>656</v>
      </c>
      <c r="C249" s="113" t="s">
        <v>655</v>
      </c>
      <c r="D249" s="113">
        <v>0</v>
      </c>
      <c r="E249" s="113">
        <v>0</v>
      </c>
      <c r="F249" s="113">
        <v>1</v>
      </c>
      <c r="G249" s="113" t="s">
        <v>653</v>
      </c>
      <c r="H249" s="113">
        <v>1</v>
      </c>
      <c r="I249" s="113" t="s">
        <v>652</v>
      </c>
      <c r="J249" s="113"/>
      <c r="K249" s="108" t="str">
        <f t="shared" ref="K249" si="10">IF(C249="N/A","//",CONCATENATE("SpellData.create(",B249,",",CHAR(34),C249,CHAR(34),",",E249,",",D249,",",F249,",",G249,",",H249,",",I249,")",J249,";"))</f>
        <v>SpellData.create(SID_STRANGE_WAND,"奇异的魔杖",0,0,1,OrderId("channel"),1,ORDER_TYPE_IMMEDIATE);</v>
      </c>
      <c r="L249" s="113"/>
      <c r="M249" s="113"/>
      <c r="N249" s="113"/>
      <c r="O249" s="113"/>
      <c r="P249" s="113"/>
      <c r="Q249" s="113"/>
      <c r="R249" s="113"/>
      <c r="S249" s="113"/>
      <c r="T249" s="113"/>
      <c r="U249" s="113"/>
      <c r="V249" s="113"/>
      <c r="W249" s="113"/>
      <c r="X249" s="113"/>
    </row>
    <row r="250" spans="1:24">
      <c r="K250" s="108"/>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row r="1000" spans="11:11">
      <c r="K1000" s="108"/>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2" t="s">
        <v>90</v>
      </c>
      <c r="B2" s="24" t="s">
        <v>5</v>
      </c>
      <c r="C2" s="24" t="s">
        <v>1768</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3"/>
      <c r="B3" s="24" t="s">
        <v>400</v>
      </c>
      <c r="C3" s="24" t="s">
        <v>1769</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4"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3"/>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3"/>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5"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3"/>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3"/>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3"/>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3"/>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3"/>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28" t="s">
        <v>63</v>
      </c>
      <c r="B1" s="227"/>
      <c r="C1" s="227"/>
      <c r="D1" s="227"/>
      <c r="E1" s="227"/>
      <c r="F1" s="227"/>
      <c r="G1" s="227"/>
      <c r="H1" s="227"/>
      <c r="I1" s="227"/>
      <c r="J1" s="227"/>
      <c r="K1" s="16"/>
      <c r="L1" s="16"/>
    </row>
    <row r="2" spans="1:12">
      <c r="A2" s="228" t="s">
        <v>64</v>
      </c>
      <c r="B2" s="227"/>
      <c r="C2" s="227"/>
      <c r="D2" s="227"/>
      <c r="E2" s="227"/>
      <c r="F2" s="227"/>
      <c r="G2" s="227"/>
      <c r="H2" s="227"/>
      <c r="I2" s="227"/>
      <c r="J2" s="227"/>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6" t="s">
        <v>268</v>
      </c>
      <c r="B5" s="15">
        <v>1</v>
      </c>
      <c r="C5" s="17" t="s">
        <v>360</v>
      </c>
      <c r="D5" s="17" t="s">
        <v>362</v>
      </c>
      <c r="E5" s="17" t="s">
        <v>363</v>
      </c>
      <c r="F5" s="17" t="s">
        <v>365</v>
      </c>
      <c r="G5" s="17"/>
      <c r="H5" s="17"/>
      <c r="I5" s="229" t="s">
        <v>366</v>
      </c>
      <c r="J5" s="231"/>
      <c r="K5" s="20"/>
      <c r="L5" s="17"/>
    </row>
    <row r="6" spans="1:12">
      <c r="A6" s="227"/>
      <c r="B6" s="15">
        <v>2</v>
      </c>
      <c r="C6" s="17" t="s">
        <v>404</v>
      </c>
      <c r="D6" s="17" t="s">
        <v>362</v>
      </c>
      <c r="E6" s="17" t="s">
        <v>363</v>
      </c>
      <c r="F6" s="17" t="s">
        <v>365</v>
      </c>
      <c r="G6" s="17" t="s">
        <v>405</v>
      </c>
      <c r="H6" s="17"/>
      <c r="I6" s="230"/>
      <c r="J6" s="230"/>
      <c r="K6" s="20"/>
      <c r="L6" s="17"/>
    </row>
    <row r="7" spans="1:12">
      <c r="A7" s="227"/>
      <c r="B7" s="15">
        <v>3</v>
      </c>
      <c r="C7" s="17" t="s">
        <v>409</v>
      </c>
      <c r="D7" s="17" t="s">
        <v>410</v>
      </c>
      <c r="E7" s="17" t="s">
        <v>362</v>
      </c>
      <c r="F7" s="17" t="s">
        <v>412</v>
      </c>
      <c r="G7" s="17"/>
      <c r="H7" s="17"/>
      <c r="I7" s="230"/>
      <c r="J7" s="230"/>
      <c r="K7" s="20"/>
      <c r="L7" s="17"/>
    </row>
    <row r="8" spans="1:12">
      <c r="A8" s="227"/>
      <c r="B8" s="15">
        <v>4</v>
      </c>
      <c r="C8" s="17" t="s">
        <v>417</v>
      </c>
      <c r="D8" s="17" t="s">
        <v>419</v>
      </c>
      <c r="E8" s="17" t="s">
        <v>363</v>
      </c>
      <c r="F8" s="17" t="s">
        <v>362</v>
      </c>
      <c r="G8" s="17" t="s">
        <v>405</v>
      </c>
      <c r="H8" s="17" t="s">
        <v>420</v>
      </c>
      <c r="I8" s="230"/>
      <c r="J8" s="230"/>
      <c r="K8" s="20"/>
      <c r="L8" s="17"/>
    </row>
    <row r="9" spans="1:12">
      <c r="A9" s="227"/>
      <c r="B9" s="15">
        <v>5</v>
      </c>
      <c r="C9" s="17" t="s">
        <v>422</v>
      </c>
      <c r="D9" s="17" t="s">
        <v>420</v>
      </c>
      <c r="E9" s="17" t="s">
        <v>419</v>
      </c>
      <c r="F9" s="17"/>
      <c r="G9" s="17"/>
      <c r="H9" s="17"/>
      <c r="I9" s="230"/>
      <c r="J9" s="230"/>
      <c r="K9" s="20"/>
      <c r="L9" s="17"/>
    </row>
    <row r="10" spans="1:12">
      <c r="A10" s="227"/>
      <c r="B10" s="15">
        <v>6</v>
      </c>
      <c r="C10" s="17" t="s">
        <v>426</v>
      </c>
      <c r="D10" s="17" t="s">
        <v>427</v>
      </c>
      <c r="E10" s="17" t="s">
        <v>428</v>
      </c>
      <c r="F10" s="17"/>
      <c r="G10" s="17"/>
      <c r="H10" s="17"/>
      <c r="I10" s="230"/>
      <c r="J10" s="230"/>
      <c r="K10" s="20"/>
      <c r="L10" s="17"/>
    </row>
    <row r="11" spans="1:12">
      <c r="A11" s="226" t="s">
        <v>437</v>
      </c>
      <c r="B11" s="15"/>
      <c r="C11" s="17" t="s">
        <v>360</v>
      </c>
      <c r="D11" s="17" t="s">
        <v>442</v>
      </c>
      <c r="E11" s="17" t="s">
        <v>444</v>
      </c>
      <c r="F11" s="17" t="s">
        <v>446</v>
      </c>
      <c r="G11" s="17"/>
      <c r="H11" s="17"/>
      <c r="I11" s="18"/>
      <c r="J11" s="19"/>
      <c r="K11" s="20"/>
      <c r="L11" s="17"/>
    </row>
    <row r="12" spans="1:12">
      <c r="A12" s="227"/>
      <c r="B12" s="15"/>
      <c r="C12" s="17" t="s">
        <v>404</v>
      </c>
      <c r="D12" s="17" t="s">
        <v>442</v>
      </c>
      <c r="E12" s="17" t="s">
        <v>444</v>
      </c>
      <c r="F12" s="17" t="s">
        <v>453</v>
      </c>
      <c r="G12" s="17"/>
      <c r="H12" s="17"/>
      <c r="I12" s="18"/>
      <c r="J12" s="19"/>
      <c r="K12" s="20"/>
      <c r="L12" s="17"/>
    </row>
    <row r="13" spans="1:12">
      <c r="A13" s="227"/>
      <c r="B13" s="15"/>
      <c r="C13" s="17" t="s">
        <v>409</v>
      </c>
      <c r="D13" s="17" t="s">
        <v>458</v>
      </c>
      <c r="E13" s="17" t="s">
        <v>460</v>
      </c>
      <c r="F13" s="17"/>
      <c r="G13" s="17"/>
      <c r="H13" s="17"/>
      <c r="I13" s="18"/>
      <c r="J13" s="19"/>
      <c r="K13" s="20"/>
      <c r="L13" s="17"/>
    </row>
    <row r="14" spans="1:12">
      <c r="A14" s="227"/>
      <c r="B14" s="15"/>
      <c r="C14" s="17" t="s">
        <v>417</v>
      </c>
      <c r="D14" s="17" t="s">
        <v>458</v>
      </c>
      <c r="E14" s="17" t="s">
        <v>467</v>
      </c>
      <c r="F14" s="17" t="s">
        <v>468</v>
      </c>
      <c r="G14" s="17" t="s">
        <v>470</v>
      </c>
      <c r="H14" s="17" t="s">
        <v>471</v>
      </c>
      <c r="I14" s="18"/>
      <c r="J14" s="19"/>
      <c r="K14" s="20"/>
      <c r="L14" s="17"/>
    </row>
    <row r="15" spans="1:12">
      <c r="A15" s="227"/>
      <c r="B15" s="15"/>
      <c r="C15" s="17" t="s">
        <v>422</v>
      </c>
      <c r="D15" s="17" t="s">
        <v>471</v>
      </c>
      <c r="E15" s="17" t="s">
        <v>458</v>
      </c>
      <c r="F15" s="17"/>
      <c r="G15" s="17"/>
      <c r="H15" s="17"/>
      <c r="I15" s="18"/>
      <c r="J15" s="19"/>
      <c r="K15" s="20"/>
      <c r="L15" s="17"/>
    </row>
    <row r="16" spans="1:12">
      <c r="A16" s="227"/>
      <c r="B16" s="15"/>
      <c r="C16" s="17" t="s">
        <v>426</v>
      </c>
      <c r="D16" s="17" t="s">
        <v>475</v>
      </c>
      <c r="E16" s="17"/>
      <c r="F16" s="17"/>
      <c r="G16" s="17"/>
      <c r="H16" s="17"/>
      <c r="I16" s="18"/>
      <c r="J16" s="19"/>
      <c r="K16" s="20"/>
      <c r="L16" s="17"/>
    </row>
    <row r="17" spans="1:12">
      <c r="A17" s="226" t="s">
        <v>476</v>
      </c>
      <c r="B17" s="15"/>
      <c r="C17" s="17" t="s">
        <v>479</v>
      </c>
      <c r="D17" s="17" t="s">
        <v>480</v>
      </c>
      <c r="E17" s="17" t="s">
        <v>481</v>
      </c>
      <c r="F17" s="17"/>
      <c r="G17" s="17"/>
      <c r="H17" s="17"/>
      <c r="I17" s="18"/>
      <c r="J17" s="19"/>
      <c r="K17" s="20"/>
      <c r="L17" s="17"/>
    </row>
    <row r="18" spans="1:12">
      <c r="A18" s="227"/>
      <c r="B18" s="15"/>
      <c r="C18" s="17" t="s">
        <v>484</v>
      </c>
      <c r="D18" s="17" t="s">
        <v>102</v>
      </c>
      <c r="E18" s="17" t="s">
        <v>480</v>
      </c>
      <c r="F18" s="17" t="s">
        <v>419</v>
      </c>
      <c r="G18" s="17" t="s">
        <v>481</v>
      </c>
      <c r="H18" s="17"/>
      <c r="I18" s="18"/>
      <c r="J18" s="19"/>
      <c r="K18" s="20"/>
      <c r="L18" s="17"/>
    </row>
    <row r="19" spans="1:12">
      <c r="A19" s="227"/>
      <c r="B19" s="15"/>
      <c r="C19" s="17" t="s">
        <v>488</v>
      </c>
      <c r="D19" s="17" t="s">
        <v>490</v>
      </c>
      <c r="E19" s="17" t="s">
        <v>480</v>
      </c>
      <c r="F19" s="17" t="s">
        <v>419</v>
      </c>
      <c r="G19" s="17" t="s">
        <v>102</v>
      </c>
      <c r="H19" s="17" t="s">
        <v>480</v>
      </c>
      <c r="I19" s="18"/>
      <c r="J19" s="19"/>
      <c r="K19" s="20"/>
      <c r="L19" s="17"/>
    </row>
    <row r="20" spans="1:12">
      <c r="A20" s="227"/>
      <c r="B20" s="15"/>
      <c r="C20" s="21" t="s">
        <v>493</v>
      </c>
      <c r="D20" s="17" t="s">
        <v>490</v>
      </c>
      <c r="E20" s="17" t="s">
        <v>480</v>
      </c>
      <c r="F20" s="17" t="s">
        <v>419</v>
      </c>
      <c r="G20" s="17" t="s">
        <v>102</v>
      </c>
      <c r="H20" s="17" t="s">
        <v>480</v>
      </c>
      <c r="I20" s="18"/>
      <c r="J20" s="19"/>
      <c r="K20" s="20"/>
      <c r="L20" s="17"/>
    </row>
    <row r="21" spans="1:12">
      <c r="A21" s="226" t="s">
        <v>503</v>
      </c>
      <c r="B21" s="15"/>
      <c r="C21" s="17" t="s">
        <v>479</v>
      </c>
      <c r="D21" s="17" t="s">
        <v>504</v>
      </c>
      <c r="E21" s="17" t="s">
        <v>505</v>
      </c>
      <c r="F21" s="17" t="s">
        <v>48</v>
      </c>
      <c r="G21" s="17"/>
      <c r="H21" s="17"/>
      <c r="I21" s="18"/>
      <c r="J21" s="19"/>
      <c r="K21" s="20"/>
      <c r="L21" s="17"/>
    </row>
    <row r="22" spans="1:12">
      <c r="A22" s="227"/>
      <c r="B22" s="15"/>
      <c r="C22" s="21" t="s">
        <v>506</v>
      </c>
      <c r="D22" s="17" t="s">
        <v>507</v>
      </c>
      <c r="E22" s="17" t="s">
        <v>508</v>
      </c>
      <c r="F22" s="17" t="s">
        <v>509</v>
      </c>
      <c r="G22" s="17"/>
      <c r="H22" s="17"/>
      <c r="I22" s="18"/>
      <c r="J22" s="19"/>
      <c r="K22" s="20"/>
      <c r="L22" s="17"/>
    </row>
    <row r="23" spans="1:12">
      <c r="A23" s="227"/>
      <c r="B23" s="15"/>
      <c r="C23" s="17" t="s">
        <v>488</v>
      </c>
      <c r="D23" s="17" t="s">
        <v>510</v>
      </c>
      <c r="E23" s="17" t="s">
        <v>511</v>
      </c>
      <c r="F23" s="17" t="s">
        <v>512</v>
      </c>
      <c r="G23" s="17"/>
      <c r="H23" s="17"/>
      <c r="I23" s="18"/>
      <c r="J23" s="19"/>
      <c r="K23" s="20"/>
      <c r="L23" s="17"/>
    </row>
    <row r="24" spans="1:12">
      <c r="A24" s="227"/>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2018-04-18T08:19:54Z</dcterms:modified>
</cp:coreProperties>
</file>