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W59" i="11" l="1"/>
  <c r="R59" i="11" l="1"/>
  <c r="T59" i="11" s="1"/>
  <c r="Q59" i="11"/>
  <c r="S59" i="11" s="1"/>
  <c r="P59" i="11"/>
  <c r="P66" i="11"/>
  <c r="R66" i="11" l="1"/>
  <c r="T66" i="11" s="1"/>
  <c r="Q66" i="11"/>
  <c r="W66" i="11"/>
  <c r="S66"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40" i="10"/>
  <c r="B141" i="10"/>
  <c r="Q65" i="11"/>
  <c r="P65" i="11" s="1"/>
  <c r="R65" i="11"/>
  <c r="S65" i="11"/>
  <c r="R42" i="3"/>
  <c r="T65" i="11" s="1"/>
  <c r="W65"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3" i="11"/>
  <c r="Q63" i="11"/>
  <c r="S63"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5" i="10" l="1"/>
  <c r="K167" i="10"/>
  <c r="K183" i="10"/>
  <c r="K181" i="10"/>
  <c r="K172" i="10"/>
  <c r="K165" i="10"/>
  <c r="K177" i="10"/>
  <c r="K170" i="10"/>
  <c r="K179" i="10"/>
  <c r="K173" i="10"/>
  <c r="K178" i="10"/>
  <c r="K171" i="10"/>
  <c r="K164" i="10"/>
  <c r="K176" i="10"/>
  <c r="K169" i="10"/>
  <c r="K182" i="10"/>
  <c r="K174" i="10"/>
  <c r="K168" i="10"/>
  <c r="K180"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H78" i="5"/>
  <c r="K84" i="5"/>
  <c r="K31" i="5"/>
  <c r="H12" i="5"/>
  <c r="L52" i="5"/>
  <c r="I85" i="5"/>
  <c r="K3" i="5"/>
  <c r="H41" i="5"/>
  <c r="H6" i="5"/>
  <c r="K33" i="5"/>
  <c r="K41" i="5"/>
  <c r="I43" i="5"/>
  <c r="J66" i="5"/>
  <c r="L30" i="5"/>
  <c r="H40" i="5"/>
  <c r="J4" i="5"/>
  <c r="K88" i="5"/>
  <c r="L34" i="5"/>
  <c r="I30" i="5"/>
  <c r="H7" i="5"/>
  <c r="H50" i="5"/>
  <c r="I33" i="5"/>
  <c r="I87" i="5"/>
  <c r="L25" i="5"/>
  <c r="H39" i="5"/>
  <c r="J76" i="5"/>
  <c r="I70" i="5"/>
  <c r="I31" i="5"/>
  <c r="I61" i="5"/>
  <c r="L41" i="5"/>
  <c r="K69" i="5"/>
  <c r="J49" i="5"/>
  <c r="J41" i="5"/>
  <c r="I57" i="5"/>
  <c r="I96" i="5"/>
  <c r="L68" i="5"/>
  <c r="H31" i="5"/>
  <c r="J12" i="5"/>
  <c r="J84" i="5"/>
  <c r="I84" i="5"/>
  <c r="I34" i="5"/>
  <c r="H93" i="5"/>
  <c r="H61" i="5"/>
  <c r="K48" i="5"/>
  <c r="H13" i="5"/>
  <c r="J42" i="5"/>
  <c r="H24" i="5"/>
  <c r="J13" i="5"/>
  <c r="J86" i="5"/>
  <c r="H70" i="5"/>
  <c r="L31" i="5"/>
  <c r="L50" i="5"/>
  <c r="L33" i="5"/>
  <c r="K85" i="5"/>
  <c r="K15" i="5"/>
  <c r="J25" i="5"/>
  <c r="H85" i="5"/>
  <c r="H66" i="5"/>
  <c r="H4" i="5"/>
  <c r="H52" i="5"/>
  <c r="H22" i="5"/>
  <c r="L85" i="5"/>
  <c r="I5" i="5"/>
  <c r="I25" i="5"/>
  <c r="L24" i="5"/>
  <c r="K97" i="5"/>
  <c r="J50" i="5"/>
  <c r="L93" i="5"/>
  <c r="I78" i="5"/>
  <c r="K61" i="5"/>
  <c r="J93" i="5"/>
  <c r="L88" i="5"/>
  <c r="L84" i="5"/>
  <c r="J5" i="5"/>
  <c r="L57" i="5"/>
  <c r="J16" i="5"/>
  <c r="H79" i="5"/>
  <c r="K66" i="5"/>
  <c r="L61" i="5"/>
  <c r="L95" i="5"/>
  <c r="H76" i="5"/>
  <c r="I95" i="5"/>
  <c r="I15" i="5"/>
  <c r="K4" i="5"/>
  <c r="K32" i="5"/>
  <c r="K68" i="5"/>
  <c r="L86" i="5"/>
  <c r="L66" i="5"/>
  <c r="J3" i="5"/>
  <c r="L59" i="5"/>
  <c r="J69" i="5"/>
  <c r="K70" i="5"/>
  <c r="L22" i="5"/>
  <c r="I39" i="5"/>
  <c r="I77" i="5"/>
  <c r="K87" i="5"/>
  <c r="K42" i="5"/>
  <c r="J79" i="5"/>
  <c r="L42" i="5"/>
  <c r="L16" i="5"/>
  <c r="L94" i="5"/>
  <c r="H60" i="5"/>
  <c r="L43" i="5"/>
  <c r="H5" i="5"/>
  <c r="H49" i="5"/>
  <c r="L78" i="5"/>
  <c r="I14" i="5"/>
  <c r="I97" i="5"/>
  <c r="J68" i="5"/>
  <c r="J61" i="5"/>
  <c r="I3" i="5"/>
  <c r="K95" i="5"/>
  <c r="H15" i="5"/>
  <c r="I22" i="5"/>
  <c r="I21" i="5"/>
  <c r="K60" i="5"/>
  <c r="L14" i="5"/>
  <c r="H94" i="5"/>
  <c r="K67" i="5"/>
  <c r="H42" i="5"/>
  <c r="L23" i="5"/>
  <c r="H87" i="5"/>
  <c r="K14" i="5"/>
  <c r="J34" i="5"/>
  <c r="J31" i="5"/>
  <c r="L40" i="5"/>
  <c r="L6" i="5"/>
  <c r="J94" i="5"/>
  <c r="I68" i="5"/>
  <c r="H3" i="5"/>
  <c r="I49" i="5"/>
  <c r="K51" i="5"/>
  <c r="L77" i="5"/>
  <c r="K50" i="5"/>
  <c r="J22" i="5"/>
  <c r="L51" i="5"/>
  <c r="H30" i="5"/>
  <c r="K76" i="5"/>
  <c r="H43" i="5"/>
  <c r="L58" i="5"/>
  <c r="L79" i="5"/>
  <c r="L70" i="5"/>
  <c r="I94" i="5"/>
  <c r="J14" i="5"/>
  <c r="K24" i="5"/>
  <c r="L7" i="5"/>
  <c r="K5" i="5"/>
  <c r="L67" i="5"/>
  <c r="L32" i="5"/>
  <c r="H67" i="5"/>
  <c r="K79" i="5"/>
  <c r="I76" i="5"/>
  <c r="J75" i="5"/>
  <c r="J77" i="5"/>
  <c r="K6" i="5"/>
  <c r="K49" i="5"/>
  <c r="K58" i="5"/>
  <c r="K78" i="5"/>
  <c r="J95" i="5"/>
  <c r="K52" i="5"/>
  <c r="J57" i="5"/>
  <c r="L5" i="5"/>
  <c r="J33" i="5"/>
  <c r="I12" i="5"/>
  <c r="I51" i="5"/>
  <c r="J97" i="5"/>
  <c r="K13" i="5"/>
  <c r="K57" i="5"/>
  <c r="I40" i="5"/>
  <c r="I41" i="5"/>
  <c r="J67" i="5"/>
  <c r="J87" i="5"/>
  <c r="H34" i="5"/>
  <c r="J40" i="5"/>
  <c r="K43" i="5"/>
  <c r="H16" i="5"/>
  <c r="J30" i="5"/>
  <c r="H23" i="5"/>
  <c r="J39" i="5"/>
  <c r="K25" i="5"/>
  <c r="L3" i="5"/>
  <c r="I24" i="5"/>
  <c r="J70" i="5"/>
  <c r="J23" i="5"/>
  <c r="J7" i="5"/>
  <c r="J78" i="5"/>
  <c r="J48" i="5"/>
  <c r="K16" i="5"/>
  <c r="I50" i="5"/>
  <c r="H77" i="5"/>
  <c r="H96" i="5"/>
  <c r="L21" i="5"/>
  <c r="I75" i="5"/>
  <c r="K39" i="5"/>
  <c r="L60" i="5"/>
  <c r="I93" i="5"/>
  <c r="J15" i="5"/>
  <c r="H51" i="5"/>
  <c r="K86" i="5"/>
  <c r="I4" i="5"/>
  <c r="K40" i="5"/>
  <c r="H84" i="5"/>
  <c r="L12" i="5"/>
  <c r="K77" i="5"/>
  <c r="L87" i="5"/>
  <c r="J88" i="5"/>
  <c r="J51" i="5"/>
  <c r="L76" i="5"/>
  <c r="L48" i="5"/>
  <c r="I86" i="5"/>
  <c r="H75" i="5"/>
  <c r="I6" i="5"/>
  <c r="J60" i="5"/>
  <c r="K75" i="5"/>
  <c r="J58" i="5"/>
  <c r="K7" i="5"/>
  <c r="J59" i="5"/>
  <c r="J24" i="5"/>
  <c r="I52" i="5"/>
  <c r="I42" i="5"/>
  <c r="I16" i="5"/>
  <c r="I60" i="5"/>
  <c r="I79" i="5"/>
  <c r="I32" i="5"/>
  <c r="K59" i="5"/>
  <c r="H33" i="5"/>
  <c r="K22" i="5"/>
  <c r="J21" i="5"/>
  <c r="I67" i="5"/>
  <c r="I58" i="5"/>
  <c r="J96" i="5"/>
  <c r="H68" i="5"/>
  <c r="H21" i="5"/>
  <c r="H58" i="5"/>
  <c r="H69" i="5"/>
  <c r="L96" i="5"/>
  <c r="K34" i="5"/>
  <c r="H97" i="5"/>
  <c r="J52" i="5"/>
  <c r="I59" i="5"/>
  <c r="H25" i="5"/>
  <c r="L69" i="5"/>
  <c r="I23" i="5"/>
  <c r="H86" i="5"/>
  <c r="L39" i="5"/>
  <c r="H95" i="5"/>
  <c r="I69" i="5"/>
  <c r="I13" i="5"/>
  <c r="H59" i="5"/>
  <c r="H32" i="5"/>
  <c r="J85" i="5"/>
  <c r="L97" i="5"/>
  <c r="K96" i="5"/>
  <c r="K21" i="5"/>
  <c r="K23" i="5"/>
  <c r="I7" i="5"/>
  <c r="J43" i="5"/>
  <c r="L75" i="5"/>
  <c r="H57" i="5"/>
  <c r="L13" i="5"/>
  <c r="I66" i="5"/>
  <c r="L4" i="5"/>
  <c r="L49" i="5"/>
  <c r="H48" i="5"/>
  <c r="H14" i="5"/>
  <c r="K94" i="5"/>
  <c r="H88" i="5"/>
  <c r="I88" i="5"/>
  <c r="L15" i="5"/>
  <c r="J6" i="5"/>
  <c r="J32" i="5"/>
  <c r="K12" i="5"/>
  <c r="K93" i="5"/>
  <c r="I48" i="5"/>
  <c r="K30"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<sst xmlns="http://schemas.openxmlformats.org/spreadsheetml/2006/main" count="3003" uniqueCount="1894">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</sst>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38" t="s">
        <v>1837</v>
      </c>
      <c r="B2" s="53">
        <v>0</v>
      </c>
      <c r="C2" s="53" t="s">
        <v>1458</v>
      </c>
      <c r="D2" s="53"/>
      <c r="E2" s="53"/>
      <c r="F2" s="53"/>
      <c r="G2" s="53"/>
      <c r="H2" s="53"/>
      <c r="I2" s="53"/>
      <c r="J2" s="51"/>
    </row>
    <row r="3" spans="1:10" ht="28.5">
      <c r="A3" s="138"/>
      <c r="B3" s="54"/>
      <c r="C3" s="52" t="s">
        <v>65</v>
      </c>
      <c r="D3" s="52" t="s">
        <v>66</v>
      </c>
      <c r="E3" s="55">
        <v>0</v>
      </c>
      <c r="F3" s="51" t="s">
        <v>67</v>
      </c>
      <c r="G3" s="51" t="s">
        <v>1459</v>
      </c>
      <c r="H3" s="51" t="s">
        <v>68</v>
      </c>
      <c r="I3" s="51" t="s">
        <v>1460</v>
      </c>
      <c r="J3" s="51" t="s">
        <v>69</v>
      </c>
    </row>
    <row r="4" spans="1:10">
      <c r="A4" s="138"/>
      <c r="B4" s="51">
        <v>1</v>
      </c>
      <c r="C4" s="51" t="s">
        <v>70</v>
      </c>
      <c r="D4" s="51" t="s">
        <v>71</v>
      </c>
      <c r="E4" s="51">
        <v>0</v>
      </c>
      <c r="F4" s="51">
        <v>1200</v>
      </c>
      <c r="G4" s="51" t="s">
        <v>1461</v>
      </c>
      <c r="H4" s="51" t="s">
        <v>1462</v>
      </c>
      <c r="I4" s="51" t="s">
        <v>1463</v>
      </c>
      <c r="J4" s="51" t="s">
        <v>72</v>
      </c>
    </row>
    <row r="5" spans="1:10" ht="42.75">
      <c r="A5" s="138"/>
      <c r="B5" s="51"/>
      <c r="C5" s="51" t="s">
        <v>73</v>
      </c>
      <c r="D5" s="51" t="s">
        <v>74</v>
      </c>
      <c r="E5" s="51">
        <v>10</v>
      </c>
      <c r="F5" s="51">
        <v>900</v>
      </c>
      <c r="G5" s="51" t="s">
        <v>1461</v>
      </c>
      <c r="H5" s="51" t="s">
        <v>1464</v>
      </c>
      <c r="I5" s="51" t="s">
        <v>1465</v>
      </c>
      <c r="J5" s="51" t="s">
        <v>75</v>
      </c>
    </row>
    <row r="6" spans="1:10">
      <c r="A6" s="138"/>
      <c r="B6" s="51" t="s">
        <v>76</v>
      </c>
      <c r="C6" s="51" t="s">
        <v>77</v>
      </c>
      <c r="D6" s="51" t="s">
        <v>78</v>
      </c>
      <c r="E6" s="51">
        <v>0</v>
      </c>
      <c r="F6" s="51">
        <v>0</v>
      </c>
      <c r="G6" s="51" t="s">
        <v>1466</v>
      </c>
      <c r="H6" s="51"/>
      <c r="I6" s="51" t="s">
        <v>1467</v>
      </c>
      <c r="J6" s="51"/>
    </row>
    <row r="7" spans="1:10">
      <c r="A7" s="138"/>
      <c r="B7" s="51"/>
      <c r="C7" s="51" t="s">
        <v>79</v>
      </c>
      <c r="D7" s="51" t="s">
        <v>80</v>
      </c>
      <c r="E7" s="51"/>
      <c r="F7" s="51"/>
      <c r="G7" s="51">
        <v>1</v>
      </c>
      <c r="H7" s="51"/>
      <c r="I7" s="51" t="s">
        <v>1468</v>
      </c>
      <c r="J7" s="51" t="s">
        <v>81</v>
      </c>
    </row>
    <row r="8" spans="1:10" ht="28.5">
      <c r="A8" s="138"/>
      <c r="B8" s="51"/>
      <c r="C8" s="56" t="s">
        <v>82</v>
      </c>
      <c r="D8" s="56" t="s">
        <v>84</v>
      </c>
      <c r="E8" s="56">
        <v>0</v>
      </c>
      <c r="F8" s="56">
        <v>900</v>
      </c>
      <c r="G8" s="56">
        <v>20</v>
      </c>
      <c r="H8" s="56" t="s">
        <v>1469</v>
      </c>
      <c r="I8" s="56" t="s">
        <v>1470</v>
      </c>
      <c r="J8" s="51" t="s">
        <v>131</v>
      </c>
    </row>
    <row r="9" spans="1:10">
      <c r="A9" s="138"/>
      <c r="B9" s="51" t="s">
        <v>1471</v>
      </c>
      <c r="C9" s="51" t="s">
        <v>133</v>
      </c>
      <c r="D9" s="51" t="s">
        <v>134</v>
      </c>
      <c r="E9" s="51">
        <v>1</v>
      </c>
      <c r="F9" s="51" t="s">
        <v>67</v>
      </c>
      <c r="G9" s="51">
        <v>0</v>
      </c>
      <c r="H9" s="51" t="s">
        <v>1472</v>
      </c>
      <c r="I9" s="51" t="s">
        <v>1473</v>
      </c>
      <c r="J9" s="51" t="s">
        <v>135</v>
      </c>
    </row>
    <row r="10" spans="1:10">
      <c r="A10" s="138" t="s">
        <v>1838</v>
      </c>
      <c r="B10" s="53">
        <v>0</v>
      </c>
      <c r="C10" s="134" t="s">
        <v>1458</v>
      </c>
      <c r="D10" s="135"/>
      <c r="E10" s="135"/>
      <c r="F10" s="135"/>
      <c r="G10" s="135"/>
      <c r="H10" s="135"/>
      <c r="I10" s="135"/>
      <c r="J10" s="51"/>
    </row>
    <row r="11" spans="1:10" ht="42.75">
      <c r="A11" s="138"/>
      <c r="B11" s="136">
        <v>1</v>
      </c>
      <c r="C11" s="51" t="s">
        <v>164</v>
      </c>
      <c r="D11" s="51" t="s">
        <v>165</v>
      </c>
      <c r="E11" s="51">
        <v>0</v>
      </c>
      <c r="F11" s="51">
        <v>900</v>
      </c>
      <c r="G11" s="51" t="s">
        <v>1474</v>
      </c>
      <c r="H11" s="51" t="s">
        <v>1475</v>
      </c>
      <c r="I11" s="51" t="s">
        <v>1476</v>
      </c>
      <c r="J11" s="51" t="s">
        <v>167</v>
      </c>
    </row>
    <row r="12" spans="1:10">
      <c r="A12" s="138"/>
      <c r="B12" s="137"/>
      <c r="C12" s="51" t="s">
        <v>168</v>
      </c>
      <c r="D12" s="51" t="s">
        <v>169</v>
      </c>
      <c r="E12" s="51">
        <v>0</v>
      </c>
      <c r="F12" s="51">
        <v>900</v>
      </c>
      <c r="G12" s="51" t="s">
        <v>1461</v>
      </c>
      <c r="H12" s="51" t="s">
        <v>1477</v>
      </c>
      <c r="I12" s="51" t="s">
        <v>1478</v>
      </c>
      <c r="J12" s="51" t="s">
        <v>170</v>
      </c>
    </row>
    <row r="13" spans="1:10">
      <c r="A13" s="138"/>
      <c r="B13" s="137"/>
      <c r="C13" s="56" t="s">
        <v>172</v>
      </c>
      <c r="D13" s="56" t="s">
        <v>173</v>
      </c>
      <c r="E13" s="56">
        <v>0</v>
      </c>
      <c r="F13" s="56">
        <v>0</v>
      </c>
      <c r="G13" s="56">
        <v>20</v>
      </c>
      <c r="H13" s="56"/>
      <c r="I13" s="56" t="s">
        <v>1479</v>
      </c>
      <c r="J13" s="51" t="s">
        <v>174</v>
      </c>
    </row>
    <row r="14" spans="1:10">
      <c r="A14" s="138"/>
      <c r="B14" s="137"/>
      <c r="C14" s="51" t="s">
        <v>175</v>
      </c>
      <c r="D14" s="51" t="s">
        <v>176</v>
      </c>
      <c r="E14" s="51" t="s">
        <v>1480</v>
      </c>
      <c r="F14" s="51" t="s">
        <v>1481</v>
      </c>
      <c r="G14" s="51" t="s">
        <v>1482</v>
      </c>
      <c r="H14" s="51" t="s">
        <v>1483</v>
      </c>
      <c r="I14" s="51" t="s">
        <v>1484</v>
      </c>
      <c r="J14" s="51" t="s">
        <v>177</v>
      </c>
    </row>
    <row r="15" spans="1:10">
      <c r="A15" s="138"/>
      <c r="B15" s="51" t="s">
        <v>178</v>
      </c>
      <c r="C15" s="51" t="s">
        <v>179</v>
      </c>
      <c r="D15" s="51" t="s">
        <v>180</v>
      </c>
      <c r="E15" s="51">
        <v>0</v>
      </c>
      <c r="F15" s="51">
        <v>0</v>
      </c>
      <c r="G15" s="51" t="s">
        <v>1466</v>
      </c>
      <c r="H15" s="51"/>
      <c r="I15" s="51" t="s">
        <v>1485</v>
      </c>
      <c r="J15" s="51" t="s">
        <v>181</v>
      </c>
    </row>
    <row r="16" spans="1:10">
      <c r="A16" s="138"/>
      <c r="B16" s="51" t="s">
        <v>1486</v>
      </c>
      <c r="C16" s="51" t="s">
        <v>182</v>
      </c>
      <c r="D16" s="51" t="s">
        <v>183</v>
      </c>
      <c r="E16" s="51">
        <v>0</v>
      </c>
      <c r="F16" s="51">
        <v>0</v>
      </c>
      <c r="G16" s="51" t="s">
        <v>1466</v>
      </c>
      <c r="H16" s="51"/>
      <c r="I16" s="51" t="s">
        <v>1487</v>
      </c>
      <c r="J16" s="51" t="s">
        <v>184</v>
      </c>
    </row>
    <row r="17" spans="1:10">
      <c r="A17" s="138" t="s">
        <v>1839</v>
      </c>
      <c r="B17" s="53">
        <v>0</v>
      </c>
      <c r="C17" s="134" t="s">
        <v>1488</v>
      </c>
      <c r="D17" s="135"/>
      <c r="E17" s="135"/>
      <c r="F17" s="135"/>
      <c r="G17" s="135"/>
      <c r="H17" s="135"/>
      <c r="I17" s="135"/>
      <c r="J17" s="51"/>
    </row>
    <row r="18" spans="1:10" ht="28.5">
      <c r="A18" s="138"/>
      <c r="B18" s="136" t="s">
        <v>1489</v>
      </c>
      <c r="C18" s="51" t="s">
        <v>189</v>
      </c>
      <c r="D18" s="51" t="s">
        <v>954</v>
      </c>
      <c r="E18" s="51">
        <v>3</v>
      </c>
      <c r="F18" s="51">
        <v>450</v>
      </c>
      <c r="G18" s="51" t="s">
        <v>1490</v>
      </c>
      <c r="H18" s="51" t="s">
        <v>1491</v>
      </c>
      <c r="I18" s="51" t="s">
        <v>1492</v>
      </c>
      <c r="J18" s="51"/>
    </row>
    <row r="19" spans="1:10">
      <c r="A19" s="138"/>
      <c r="B19" s="137"/>
      <c r="C19" s="51" t="s">
        <v>190</v>
      </c>
      <c r="D19" s="51" t="s">
        <v>191</v>
      </c>
      <c r="E19" s="51">
        <v>0</v>
      </c>
      <c r="F19" s="51">
        <v>900</v>
      </c>
      <c r="G19" s="51" t="s">
        <v>1493</v>
      </c>
      <c r="H19" s="51" t="s">
        <v>1494</v>
      </c>
      <c r="I19" s="51" t="s">
        <v>1495</v>
      </c>
      <c r="J19" s="51"/>
    </row>
    <row r="20" spans="1:10">
      <c r="A20" s="138"/>
      <c r="B20" s="136" t="s">
        <v>1496</v>
      </c>
      <c r="C20" s="51" t="s">
        <v>192</v>
      </c>
      <c r="D20" s="51" t="s">
        <v>193</v>
      </c>
      <c r="E20" s="51">
        <v>0</v>
      </c>
      <c r="F20" s="51">
        <v>100</v>
      </c>
      <c r="G20" s="51" t="s">
        <v>1497</v>
      </c>
      <c r="H20" s="51" t="s">
        <v>1498</v>
      </c>
      <c r="I20" s="51" t="s">
        <v>1499</v>
      </c>
      <c r="J20" s="51"/>
    </row>
    <row r="21" spans="1:10">
      <c r="A21" s="138"/>
      <c r="B21" s="137"/>
      <c r="C21" s="51" t="s">
        <v>194</v>
      </c>
      <c r="D21" s="51" t="s">
        <v>195</v>
      </c>
      <c r="E21" s="51">
        <v>0</v>
      </c>
      <c r="F21" s="51">
        <v>0</v>
      </c>
      <c r="G21" s="51" t="s">
        <v>1500</v>
      </c>
      <c r="H21" s="51" t="s">
        <v>1501</v>
      </c>
      <c r="I21" s="51" t="s">
        <v>1502</v>
      </c>
      <c r="J21" s="51"/>
    </row>
    <row r="22" spans="1:10">
      <c r="A22" s="138"/>
      <c r="B22" s="137"/>
      <c r="C22" s="51" t="s">
        <v>196</v>
      </c>
      <c r="D22" s="51" t="s">
        <v>198</v>
      </c>
      <c r="E22" s="51">
        <v>0</v>
      </c>
      <c r="F22" s="51" t="s">
        <v>1503</v>
      </c>
      <c r="G22" s="51">
        <v>25</v>
      </c>
      <c r="H22" s="51"/>
      <c r="I22" s="51" t="s">
        <v>1504</v>
      </c>
      <c r="J22" s="51"/>
    </row>
    <row r="23" spans="1:10">
      <c r="A23" s="138"/>
      <c r="B23" s="51" t="s">
        <v>1486</v>
      </c>
      <c r="C23" s="51" t="s">
        <v>182</v>
      </c>
      <c r="D23" s="51" t="s">
        <v>183</v>
      </c>
      <c r="E23" s="51">
        <v>0</v>
      </c>
      <c r="F23" s="51">
        <v>0</v>
      </c>
      <c r="G23" s="51" t="s">
        <v>1466</v>
      </c>
      <c r="H23" s="51"/>
      <c r="I23" s="51" t="s">
        <v>1487</v>
      </c>
      <c r="J23" s="51"/>
    </row>
    <row r="24" spans="1:10">
      <c r="A24" s="138" t="s">
        <v>1840</v>
      </c>
      <c r="B24" s="53">
        <v>0</v>
      </c>
      <c r="C24" s="53" t="s">
        <v>1458</v>
      </c>
      <c r="D24" s="53"/>
      <c r="E24" s="53"/>
      <c r="F24" s="53"/>
      <c r="G24" s="53"/>
      <c r="H24" s="53"/>
      <c r="I24" s="53"/>
      <c r="J24" s="51"/>
    </row>
    <row r="25" spans="1:10">
      <c r="A25" s="138"/>
      <c r="B25" s="51">
        <v>1</v>
      </c>
      <c r="C25" s="51" t="s">
        <v>202</v>
      </c>
      <c r="D25" s="51" t="s">
        <v>1561</v>
      </c>
      <c r="E25" s="51"/>
      <c r="F25" s="51" t="s">
        <v>1505</v>
      </c>
      <c r="G25" s="51">
        <v>20</v>
      </c>
      <c r="H25" s="51" t="s">
        <v>1506</v>
      </c>
      <c r="I25" s="51"/>
      <c r="J25" s="51"/>
    </row>
    <row r="26" spans="1:10">
      <c r="A26" s="138"/>
      <c r="B26" s="51"/>
      <c r="C26" s="51" t="s">
        <v>203</v>
      </c>
      <c r="D26" s="51" t="s">
        <v>204</v>
      </c>
      <c r="E26" s="51">
        <v>10</v>
      </c>
      <c r="F26" s="51"/>
      <c r="G26" s="51">
        <v>40</v>
      </c>
      <c r="H26" s="51" t="s">
        <v>1507</v>
      </c>
      <c r="I26" s="51" t="s">
        <v>1508</v>
      </c>
      <c r="J26" s="51"/>
    </row>
    <row r="27" spans="1:10">
      <c r="A27" s="138"/>
      <c r="B27" s="51"/>
      <c r="C27" s="57" t="s">
        <v>206</v>
      </c>
      <c r="D27" s="57" t="s">
        <v>212</v>
      </c>
      <c r="E27" s="57">
        <v>10</v>
      </c>
      <c r="F27" s="57"/>
      <c r="G27" s="57">
        <v>30</v>
      </c>
      <c r="H27" s="57" t="s">
        <v>1509</v>
      </c>
      <c r="I27" s="57" t="s">
        <v>1510</v>
      </c>
      <c r="J27" s="51"/>
    </row>
    <row r="28" spans="1:10">
      <c r="A28" s="138"/>
      <c r="B28" s="51" t="s">
        <v>221</v>
      </c>
      <c r="C28" s="51" t="s">
        <v>179</v>
      </c>
      <c r="D28" s="51" t="s">
        <v>222</v>
      </c>
      <c r="E28" s="51"/>
      <c r="F28" s="51"/>
      <c r="G28" s="51" t="s">
        <v>1466</v>
      </c>
      <c r="H28" s="51"/>
      <c r="I28" s="51" t="s">
        <v>1511</v>
      </c>
      <c r="J28" s="51"/>
    </row>
    <row r="29" spans="1:10">
      <c r="A29" s="138"/>
      <c r="B29" s="51" t="s">
        <v>1512</v>
      </c>
      <c r="C29" s="51" t="s">
        <v>182</v>
      </c>
      <c r="D29" s="51" t="s">
        <v>183</v>
      </c>
      <c r="E29" s="51"/>
      <c r="F29" s="51"/>
      <c r="G29" s="51" t="s">
        <v>1466</v>
      </c>
      <c r="H29" s="51"/>
      <c r="I29" s="51" t="s">
        <v>1487</v>
      </c>
      <c r="J29" s="51"/>
    </row>
    <row r="30" spans="1:10">
      <c r="A30" s="136" t="s">
        <v>1562</v>
      </c>
      <c r="B30" s="53">
        <v>0</v>
      </c>
      <c r="C30" s="53" t="s">
        <v>1458</v>
      </c>
      <c r="D30" s="53"/>
      <c r="E30" s="53"/>
      <c r="F30" s="53"/>
      <c r="G30" s="53"/>
      <c r="H30" s="53"/>
      <c r="I30" s="53"/>
      <c r="J30" s="51"/>
    </row>
    <row r="31" spans="1:10" ht="57">
      <c r="A31" s="137"/>
      <c r="B31" s="51">
        <v>1</v>
      </c>
      <c r="C31" s="51"/>
      <c r="D31" s="51" t="s">
        <v>225</v>
      </c>
      <c r="E31" s="51">
        <v>0</v>
      </c>
      <c r="F31" s="51">
        <v>9999</v>
      </c>
      <c r="G31" s="51">
        <v>15</v>
      </c>
      <c r="H31" s="51"/>
      <c r="I31" s="51" t="s">
        <v>227</v>
      </c>
      <c r="J31" s="51" t="s">
        <v>228</v>
      </c>
    </row>
    <row r="32" spans="1:10" ht="28.5">
      <c r="A32" s="137"/>
      <c r="B32" s="51" t="s">
        <v>229</v>
      </c>
      <c r="C32" s="51"/>
      <c r="D32" s="51" t="s">
        <v>927</v>
      </c>
      <c r="E32" s="51"/>
      <c r="F32" s="51">
        <v>9999</v>
      </c>
      <c r="G32" s="51">
        <v>25</v>
      </c>
      <c r="H32" s="51" t="s">
        <v>230</v>
      </c>
      <c r="I32" s="51" t="s">
        <v>231</v>
      </c>
      <c r="J32" s="51" t="s">
        <v>232</v>
      </c>
    </row>
    <row r="33" spans="1:10" ht="71.25">
      <c r="A33" s="137"/>
      <c r="B33" s="51"/>
      <c r="C33" s="51"/>
      <c r="D33" s="51" t="s">
        <v>234</v>
      </c>
      <c r="E33" s="51">
        <v>5</v>
      </c>
      <c r="F33" s="51">
        <v>9999</v>
      </c>
      <c r="G33" s="51">
        <v>25</v>
      </c>
      <c r="H33" s="51" t="s">
        <v>235</v>
      </c>
      <c r="I33" s="51" t="s">
        <v>238</v>
      </c>
      <c r="J33" s="51" t="s">
        <v>240</v>
      </c>
    </row>
    <row r="34" spans="1:10" ht="28.5">
      <c r="A34" s="137"/>
      <c r="B34" s="51" t="s">
        <v>241</v>
      </c>
      <c r="C34" s="51"/>
      <c r="D34" s="51" t="s">
        <v>924</v>
      </c>
      <c r="E34" s="51"/>
      <c r="F34" s="51">
        <v>9999</v>
      </c>
      <c r="G34" s="51">
        <v>15</v>
      </c>
      <c r="H34" s="51"/>
      <c r="I34" s="51" t="s">
        <v>247</v>
      </c>
      <c r="J34" s="51" t="s">
        <v>72</v>
      </c>
    </row>
    <row r="35" spans="1:10" ht="28.5">
      <c r="A35" s="137"/>
      <c r="B35" s="51" t="s">
        <v>250</v>
      </c>
      <c r="C35" s="51"/>
      <c r="D35" s="51" t="s">
        <v>251</v>
      </c>
      <c r="E35" s="51">
        <v>0</v>
      </c>
      <c r="F35" s="51">
        <v>0</v>
      </c>
      <c r="G35" s="51">
        <v>15</v>
      </c>
      <c r="H35" s="51"/>
      <c r="I35" s="51" t="s">
        <v>256</v>
      </c>
      <c r="J35" s="51" t="s">
        <v>259</v>
      </c>
    </row>
    <row r="36" spans="1:10" ht="14.25" customHeight="1">
      <c r="A36" s="138" t="s">
        <v>1841</v>
      </c>
      <c r="B36" s="58">
        <v>0</v>
      </c>
      <c r="C36" s="53" t="s">
        <v>1458</v>
      </c>
      <c r="D36" s="58"/>
      <c r="E36" s="58"/>
      <c r="F36" s="58"/>
      <c r="G36" s="58"/>
      <c r="H36" s="58"/>
      <c r="I36" s="58"/>
      <c r="J36" s="51"/>
    </row>
    <row r="37" spans="1:10" ht="57">
      <c r="A37" s="138"/>
      <c r="B37" s="51" t="s">
        <v>385</v>
      </c>
      <c r="C37" s="51"/>
      <c r="D37" s="51" t="s">
        <v>386</v>
      </c>
      <c r="E37" s="51"/>
      <c r="F37" s="51"/>
      <c r="G37" s="51">
        <v>20</v>
      </c>
      <c r="H37" s="51"/>
      <c r="I37" s="51" t="s">
        <v>387</v>
      </c>
      <c r="J37" s="51"/>
    </row>
    <row r="38" spans="1:10" ht="28.5">
      <c r="A38" s="138"/>
      <c r="B38" s="51"/>
      <c r="C38" s="51"/>
      <c r="D38" s="51" t="s">
        <v>388</v>
      </c>
      <c r="E38" s="51"/>
      <c r="F38" s="51"/>
      <c r="G38" s="51">
        <v>12</v>
      </c>
      <c r="H38" s="51"/>
      <c r="I38" s="51" t="s">
        <v>389</v>
      </c>
      <c r="J38" s="51"/>
    </row>
    <row r="39" spans="1:10" ht="28.5">
      <c r="A39" s="138"/>
      <c r="B39" s="51"/>
      <c r="C39" s="51"/>
      <c r="D39" s="51" t="s">
        <v>1563</v>
      </c>
      <c r="E39" s="51"/>
      <c r="F39" s="51"/>
      <c r="G39" s="51">
        <v>15</v>
      </c>
      <c r="H39" s="51"/>
      <c r="I39" s="51" t="s">
        <v>390</v>
      </c>
      <c r="J39" s="51"/>
    </row>
    <row r="40" spans="1:10" ht="28.5">
      <c r="A40" s="138"/>
      <c r="B40" s="51" t="s">
        <v>391</v>
      </c>
      <c r="C40" s="51"/>
      <c r="D40" s="51" t="s">
        <v>392</v>
      </c>
      <c r="E40" s="51">
        <v>4</v>
      </c>
      <c r="F40" s="51"/>
      <c r="G40" s="51">
        <v>15</v>
      </c>
      <c r="H40" s="51"/>
      <c r="I40" s="51" t="s">
        <v>393</v>
      </c>
      <c r="J40" s="51"/>
    </row>
    <row r="41" spans="1:10">
      <c r="A41" s="138"/>
      <c r="B41" s="51"/>
      <c r="C41" s="51"/>
      <c r="D41" s="51" t="s">
        <v>394</v>
      </c>
      <c r="E41" s="51">
        <v>0</v>
      </c>
      <c r="F41" s="51"/>
      <c r="G41" s="51">
        <v>10</v>
      </c>
      <c r="H41" s="51"/>
      <c r="I41" s="51" t="s">
        <v>395</v>
      </c>
      <c r="J41" s="51"/>
    </row>
    <row r="42" spans="1:10" ht="42.75">
      <c r="A42" s="138"/>
      <c r="B42" s="51" t="s">
        <v>396</v>
      </c>
      <c r="C42" s="51"/>
      <c r="D42" s="51"/>
      <c r="E42" s="51"/>
      <c r="F42" s="51"/>
      <c r="G42" s="51"/>
      <c r="H42" s="51"/>
      <c r="I42" s="51" t="s">
        <v>397</v>
      </c>
      <c r="J42" s="51"/>
    </row>
    <row r="43" spans="1:10">
      <c r="A43" s="138" t="s">
        <v>1842</v>
      </c>
      <c r="B43" s="53">
        <v>0</v>
      </c>
      <c r="C43" s="53" t="s">
        <v>1458</v>
      </c>
      <c r="D43" s="53"/>
      <c r="E43" s="53"/>
      <c r="F43" s="53"/>
      <c r="G43" s="53"/>
      <c r="H43" s="53"/>
      <c r="I43" s="53"/>
      <c r="J43" s="51"/>
    </row>
    <row r="44" spans="1:10">
      <c r="A44" s="138"/>
      <c r="B44" s="51">
        <v>1</v>
      </c>
      <c r="C44" s="51" t="s">
        <v>398</v>
      </c>
      <c r="D44" s="51" t="s">
        <v>399</v>
      </c>
      <c r="E44" s="51">
        <v>10</v>
      </c>
      <c r="F44" s="51"/>
      <c r="G44" s="51" t="s">
        <v>1513</v>
      </c>
      <c r="H44" s="51" t="s">
        <v>1514</v>
      </c>
      <c r="I44" s="51" t="s">
        <v>1515</v>
      </c>
      <c r="J44" s="51"/>
    </row>
    <row r="45" spans="1:10">
      <c r="A45" s="138"/>
      <c r="B45" s="51"/>
      <c r="C45" s="51" t="s">
        <v>400</v>
      </c>
      <c r="D45" s="51" t="s">
        <v>401</v>
      </c>
      <c r="E45" s="51"/>
      <c r="F45" s="51"/>
      <c r="G45" s="51"/>
      <c r="H45" s="51"/>
      <c r="I45" s="51"/>
      <c r="J45" s="51"/>
    </row>
    <row r="46" spans="1:10">
      <c r="A46" s="138"/>
      <c r="B46" s="51"/>
      <c r="C46" s="51" t="s">
        <v>1516</v>
      </c>
      <c r="D46" s="51" t="s">
        <v>402</v>
      </c>
      <c r="E46" s="51">
        <v>0</v>
      </c>
      <c r="F46" s="51"/>
      <c r="G46" s="51" t="s">
        <v>1517</v>
      </c>
      <c r="H46" s="51"/>
      <c r="I46" s="51" t="s">
        <v>1518</v>
      </c>
      <c r="J46" s="51"/>
    </row>
    <row r="47" spans="1:10">
      <c r="A47" s="138"/>
      <c r="B47" s="51" t="s">
        <v>5</v>
      </c>
      <c r="C47" s="51" t="s">
        <v>12</v>
      </c>
      <c r="D47" s="51" t="s">
        <v>403</v>
      </c>
      <c r="E47" s="51"/>
      <c r="F47" s="51" t="s">
        <v>1519</v>
      </c>
      <c r="G47" s="51">
        <v>10</v>
      </c>
      <c r="H47" s="51" t="s">
        <v>1520</v>
      </c>
      <c r="I47" s="51" t="s">
        <v>1521</v>
      </c>
      <c r="J47" s="51"/>
    </row>
    <row r="48" spans="1:10">
      <c r="A48" s="138"/>
      <c r="B48" s="51"/>
      <c r="C48" s="51" t="s">
        <v>19</v>
      </c>
      <c r="D48" s="51" t="s">
        <v>404</v>
      </c>
      <c r="E48" s="51"/>
      <c r="F48" s="51"/>
      <c r="G48" s="51">
        <v>10</v>
      </c>
      <c r="H48" s="51" t="s">
        <v>1522</v>
      </c>
      <c r="I48" s="51" t="s">
        <v>1523</v>
      </c>
      <c r="J48" s="51"/>
    </row>
    <row r="49" spans="1:10">
      <c r="A49" s="138"/>
      <c r="B49" s="51" t="s">
        <v>405</v>
      </c>
      <c r="C49" s="51" t="s">
        <v>26</v>
      </c>
      <c r="D49" s="51" t="s">
        <v>406</v>
      </c>
      <c r="E49" s="51"/>
      <c r="F49" s="51"/>
      <c r="G49" s="51">
        <v>10</v>
      </c>
      <c r="H49" s="51" t="s">
        <v>407</v>
      </c>
      <c r="I49" s="51" t="s">
        <v>1524</v>
      </c>
      <c r="J49" s="51"/>
    </row>
    <row r="50" spans="1:10">
      <c r="A50" s="138"/>
      <c r="B50" s="51"/>
      <c r="C50" s="51" t="s">
        <v>32</v>
      </c>
      <c r="D50" s="51" t="s">
        <v>408</v>
      </c>
      <c r="E50" s="51">
        <v>3</v>
      </c>
      <c r="F50" s="51"/>
      <c r="G50" s="51">
        <v>12</v>
      </c>
      <c r="H50" s="51" t="s">
        <v>1525</v>
      </c>
      <c r="I50" s="51" t="s">
        <v>1526</v>
      </c>
      <c r="J50" s="51"/>
    </row>
    <row r="51" spans="1:10">
      <c r="A51" s="138"/>
      <c r="B51" s="51" t="s">
        <v>43</v>
      </c>
      <c r="C51" s="51" t="s">
        <v>52</v>
      </c>
      <c r="D51" s="51" t="s">
        <v>411</v>
      </c>
      <c r="E51" s="51">
        <v>4</v>
      </c>
      <c r="F51" s="51"/>
      <c r="G51" s="51">
        <v>10</v>
      </c>
      <c r="H51" s="51" t="s">
        <v>1527</v>
      </c>
      <c r="I51" s="51" t="s">
        <v>1528</v>
      </c>
      <c r="J51" s="51"/>
    </row>
    <row r="52" spans="1:10">
      <c r="A52" s="138"/>
      <c r="B52" s="51"/>
      <c r="C52" s="51" t="s">
        <v>44</v>
      </c>
      <c r="D52" s="51" t="s">
        <v>412</v>
      </c>
      <c r="E52" s="51"/>
      <c r="F52" s="51"/>
      <c r="G52" s="51">
        <v>10</v>
      </c>
      <c r="H52" s="51" t="s">
        <v>413</v>
      </c>
      <c r="I52" s="51" t="s">
        <v>1529</v>
      </c>
      <c r="J52" s="51"/>
    </row>
    <row r="53" spans="1:10">
      <c r="A53" s="138"/>
      <c r="B53" s="51" t="s">
        <v>61</v>
      </c>
      <c r="C53" s="51" t="s">
        <v>93</v>
      </c>
      <c r="D53" s="51" t="s">
        <v>416</v>
      </c>
      <c r="E53" s="51">
        <v>4</v>
      </c>
      <c r="F53" s="51"/>
      <c r="G53" s="51">
        <v>10</v>
      </c>
      <c r="H53" s="51" t="s">
        <v>1530</v>
      </c>
      <c r="I53" s="51"/>
      <c r="J53" s="51"/>
    </row>
    <row r="54" spans="1:10">
      <c r="A54" s="138"/>
      <c r="B54" s="51"/>
      <c r="C54" s="51" t="s">
        <v>98</v>
      </c>
      <c r="D54" s="51" t="s">
        <v>418</v>
      </c>
      <c r="E54" s="51"/>
      <c r="F54" s="51">
        <v>600</v>
      </c>
      <c r="G54" s="51" t="s">
        <v>1461</v>
      </c>
      <c r="H54" s="51" t="s">
        <v>1531</v>
      </c>
      <c r="I54" s="51"/>
      <c r="J54" s="51"/>
    </row>
    <row r="55" spans="1:10">
      <c r="A55" s="138"/>
      <c r="B55" s="51" t="s">
        <v>113</v>
      </c>
      <c r="C55" s="51" t="s">
        <v>115</v>
      </c>
      <c r="D55" s="51" t="s">
        <v>421</v>
      </c>
      <c r="E55" s="51"/>
      <c r="F55" s="51"/>
      <c r="G55" s="51">
        <v>10</v>
      </c>
      <c r="H55" s="51" t="s">
        <v>1532</v>
      </c>
      <c r="I55" s="51" t="s">
        <v>1533</v>
      </c>
      <c r="J55" s="51"/>
    </row>
    <row r="56" spans="1:10">
      <c r="A56" s="138"/>
      <c r="B56" s="51"/>
      <c r="C56" s="51" t="s">
        <v>125</v>
      </c>
      <c r="D56" s="51" t="s">
        <v>426</v>
      </c>
      <c r="E56" s="51"/>
      <c r="F56" s="51"/>
      <c r="G56" s="51">
        <v>10</v>
      </c>
      <c r="H56" s="51" t="s">
        <v>1534</v>
      </c>
      <c r="I56" s="51" t="s">
        <v>1533</v>
      </c>
      <c r="J56" s="51"/>
    </row>
    <row r="57" spans="1:10">
      <c r="A57" s="138"/>
      <c r="B57" s="51" t="s">
        <v>188</v>
      </c>
      <c r="C57" s="51" t="s">
        <v>207</v>
      </c>
      <c r="D57" s="51" t="s">
        <v>428</v>
      </c>
      <c r="E57" s="51"/>
      <c r="F57" s="51"/>
      <c r="G57" s="51">
        <v>5</v>
      </c>
      <c r="H57" s="51" t="s">
        <v>429</v>
      </c>
      <c r="I57" s="51" t="s">
        <v>1535</v>
      </c>
      <c r="J57" s="51"/>
    </row>
    <row r="58" spans="1:10">
      <c r="A58" s="138"/>
      <c r="B58" s="51"/>
      <c r="C58" s="51" t="s">
        <v>205</v>
      </c>
      <c r="D58" s="51" t="s">
        <v>430</v>
      </c>
      <c r="E58" s="51"/>
      <c r="F58" s="51"/>
      <c r="G58" s="51"/>
      <c r="H58" s="51" t="s">
        <v>1536</v>
      </c>
      <c r="I58" s="51"/>
      <c r="J58" s="51"/>
    </row>
    <row r="59" spans="1:10">
      <c r="A59" s="138"/>
      <c r="B59" s="51" t="s">
        <v>136</v>
      </c>
      <c r="C59" s="51" t="s">
        <v>149</v>
      </c>
      <c r="D59" s="51" t="s">
        <v>437</v>
      </c>
      <c r="E59" s="51"/>
      <c r="F59" s="51"/>
      <c r="G59" s="51" t="s">
        <v>1537</v>
      </c>
      <c r="H59" s="51" t="s">
        <v>1538</v>
      </c>
      <c r="I59" s="51"/>
      <c r="J59" s="51"/>
    </row>
    <row r="60" spans="1:10">
      <c r="A60" s="138"/>
      <c r="B60" s="51"/>
      <c r="C60" s="51" t="s">
        <v>154</v>
      </c>
      <c r="D60" s="51" t="s">
        <v>440</v>
      </c>
      <c r="E60" s="51"/>
      <c r="F60" s="51"/>
      <c r="G60" s="51">
        <v>10</v>
      </c>
      <c r="H60" s="51" t="s">
        <v>1539</v>
      </c>
      <c r="I60" s="51" t="s">
        <v>1540</v>
      </c>
      <c r="J60" s="51"/>
    </row>
    <row r="61" spans="1:10">
      <c r="A61" s="138"/>
      <c r="B61" s="51" t="s">
        <v>213</v>
      </c>
      <c r="C61" s="51" t="s">
        <v>223</v>
      </c>
      <c r="D61" s="51" t="s">
        <v>445</v>
      </c>
      <c r="E61" s="51">
        <v>2</v>
      </c>
      <c r="F61" s="51">
        <v>600</v>
      </c>
      <c r="G61" s="51" t="s">
        <v>1541</v>
      </c>
      <c r="H61" s="51" t="s">
        <v>1542</v>
      </c>
      <c r="I61" s="51" t="s">
        <v>1543</v>
      </c>
      <c r="J61" s="51"/>
    </row>
    <row r="62" spans="1:10" ht="28.5">
      <c r="A62" s="138"/>
      <c r="B62" s="51"/>
      <c r="C62" s="51" t="s">
        <v>244</v>
      </c>
      <c r="D62" s="51" t="s">
        <v>450</v>
      </c>
      <c r="E62" s="51"/>
      <c r="F62" s="51">
        <v>600</v>
      </c>
      <c r="G62" s="51" t="s">
        <v>1544</v>
      </c>
      <c r="H62" s="51" t="s">
        <v>1545</v>
      </c>
      <c r="I62" s="51" t="s">
        <v>1546</v>
      </c>
      <c r="J62" s="51"/>
    </row>
    <row r="63" spans="1:10">
      <c r="A63" s="138"/>
      <c r="B63" s="51" t="s">
        <v>269</v>
      </c>
      <c r="C63" s="51" t="s">
        <v>455</v>
      </c>
      <c r="D63" s="51" t="s">
        <v>456</v>
      </c>
      <c r="E63" s="51"/>
      <c r="F63" s="51"/>
      <c r="G63" s="51">
        <v>10</v>
      </c>
      <c r="H63" s="51" t="s">
        <v>1547</v>
      </c>
      <c r="I63" s="51" t="s">
        <v>1548</v>
      </c>
      <c r="J63" s="51"/>
    </row>
    <row r="64" spans="1:10">
      <c r="A64" s="138"/>
      <c r="B64" s="51"/>
      <c r="C64" s="51" t="s">
        <v>460</v>
      </c>
      <c r="D64" s="51" t="s">
        <v>461</v>
      </c>
      <c r="E64" s="51"/>
      <c r="F64" s="51"/>
      <c r="G64" s="51">
        <v>15</v>
      </c>
      <c r="H64" s="51" t="s">
        <v>1549</v>
      </c>
      <c r="I64" s="51" t="s">
        <v>1550</v>
      </c>
      <c r="J64" s="51"/>
    </row>
    <row r="65" spans="1:10">
      <c r="A65" s="138"/>
      <c r="B65" s="51" t="s">
        <v>384</v>
      </c>
      <c r="C65" s="51" t="s">
        <v>466</v>
      </c>
      <c r="D65" s="51" t="s">
        <v>468</v>
      </c>
      <c r="E65" s="51"/>
      <c r="F65" s="51"/>
      <c r="G65" s="51"/>
      <c r="H65" s="51"/>
      <c r="I65" s="51"/>
      <c r="J65" s="51"/>
    </row>
    <row r="66" spans="1:10">
      <c r="A66" s="138"/>
      <c r="B66" s="51"/>
      <c r="C66" s="51" t="s">
        <v>470</v>
      </c>
      <c r="D66" s="51" t="s">
        <v>471</v>
      </c>
      <c r="E66" s="51"/>
      <c r="F66" s="51"/>
      <c r="G66" s="51">
        <v>10</v>
      </c>
      <c r="H66" s="51" t="s">
        <v>474</v>
      </c>
      <c r="I66" s="51" t="s">
        <v>1551</v>
      </c>
      <c r="J66" s="51"/>
    </row>
    <row r="67" spans="1:10">
      <c r="A67" s="138"/>
      <c r="B67" s="51" t="s">
        <v>477</v>
      </c>
      <c r="C67" s="51" t="s">
        <v>1552</v>
      </c>
      <c r="D67" s="51" t="s">
        <v>478</v>
      </c>
      <c r="E67" s="51"/>
      <c r="F67" s="51"/>
      <c r="G67" s="51">
        <v>10</v>
      </c>
      <c r="H67" s="51" t="s">
        <v>1553</v>
      </c>
      <c r="I67" s="51" t="s">
        <v>1554</v>
      </c>
      <c r="J67" s="51"/>
    </row>
    <row r="68" spans="1:10">
      <c r="A68" s="138"/>
      <c r="B68" s="51"/>
      <c r="C68" s="51" t="s">
        <v>1555</v>
      </c>
      <c r="D68" s="51" t="s">
        <v>479</v>
      </c>
      <c r="E68" s="51"/>
      <c r="F68" s="51"/>
      <c r="G68" s="51"/>
      <c r="H68" s="51"/>
      <c r="I68" s="51" t="s">
        <v>1556</v>
      </c>
      <c r="J68" s="51"/>
    </row>
    <row r="69" spans="1:10">
      <c r="A69" s="136" t="s">
        <v>1557</v>
      </c>
      <c r="B69" s="58">
        <v>0</v>
      </c>
      <c r="C69" s="58" t="s">
        <v>224</v>
      </c>
      <c r="D69" s="58"/>
      <c r="E69" s="58"/>
      <c r="F69" s="58"/>
      <c r="G69" s="58"/>
      <c r="H69" s="58"/>
      <c r="I69" s="58"/>
      <c r="J69" s="51"/>
    </row>
    <row r="70" spans="1:10">
      <c r="A70" s="137"/>
      <c r="B70" s="51">
        <v>1</v>
      </c>
      <c r="C70" s="51"/>
      <c r="D70" s="51" t="s">
        <v>490</v>
      </c>
      <c r="E70" s="51"/>
      <c r="F70" s="51"/>
      <c r="G70" s="51"/>
      <c r="H70" s="51"/>
      <c r="I70" s="51" t="s">
        <v>492</v>
      </c>
      <c r="J70" s="51"/>
    </row>
    <row r="71" spans="1:10" ht="42.75">
      <c r="A71" s="137"/>
      <c r="B71" s="51"/>
      <c r="C71" s="51"/>
      <c r="D71" s="51" t="s">
        <v>494</v>
      </c>
      <c r="E71" s="51"/>
      <c r="F71" s="51"/>
      <c r="G71" s="51"/>
      <c r="H71" s="51"/>
      <c r="I71" s="51" t="s">
        <v>496</v>
      </c>
      <c r="J71" s="51"/>
    </row>
    <row r="72" spans="1:10" ht="28.5">
      <c r="A72" s="137"/>
      <c r="B72" s="51"/>
      <c r="C72" s="51"/>
      <c r="D72" s="51" t="s">
        <v>499</v>
      </c>
      <c r="E72" s="51"/>
      <c r="F72" s="51"/>
      <c r="G72" s="51"/>
      <c r="H72" s="51"/>
      <c r="I72" s="51" t="s">
        <v>500</v>
      </c>
      <c r="J72" s="51"/>
    </row>
    <row r="73" spans="1:10" ht="85.5">
      <c r="A73" s="137"/>
      <c r="B73" s="51"/>
      <c r="C73" s="51"/>
      <c r="D73" s="51" t="s">
        <v>501</v>
      </c>
      <c r="E73" s="51"/>
      <c r="F73" s="51"/>
      <c r="G73" s="51"/>
      <c r="H73" s="51"/>
      <c r="I73" s="51" t="s">
        <v>504</v>
      </c>
      <c r="J73" s="51"/>
    </row>
    <row r="74" spans="1:10" ht="28.5">
      <c r="A74" s="137"/>
      <c r="B74" s="59">
        <v>2</v>
      </c>
      <c r="C74" s="59"/>
      <c r="D74" s="59" t="s">
        <v>549</v>
      </c>
      <c r="E74" s="59"/>
      <c r="F74" s="59"/>
      <c r="G74" s="59"/>
      <c r="H74" s="59"/>
      <c r="I74" s="59" t="s">
        <v>550</v>
      </c>
      <c r="J74" s="51"/>
    </row>
    <row r="75" spans="1:10" ht="28.5">
      <c r="A75" s="137"/>
      <c r="B75" s="59"/>
      <c r="C75" s="59"/>
      <c r="D75" s="59" t="s">
        <v>551</v>
      </c>
      <c r="E75" s="59"/>
      <c r="F75" s="59"/>
      <c r="G75" s="59"/>
      <c r="H75" s="59"/>
      <c r="I75" s="59" t="s">
        <v>552</v>
      </c>
      <c r="J75" s="51"/>
    </row>
    <row r="76" spans="1:10" ht="28.5">
      <c r="A76" s="137"/>
      <c r="B76" s="60">
        <v>2</v>
      </c>
      <c r="C76" s="60"/>
      <c r="D76" s="60" t="s">
        <v>554</v>
      </c>
      <c r="E76" s="60"/>
      <c r="F76" s="60"/>
      <c r="G76" s="60">
        <v>10</v>
      </c>
      <c r="H76" s="60"/>
      <c r="I76" s="60" t="s">
        <v>555</v>
      </c>
      <c r="J76" s="51"/>
    </row>
    <row r="77" spans="1:10" ht="28.5">
      <c r="A77" s="137"/>
      <c r="B77" s="61"/>
      <c r="C77" s="61"/>
      <c r="D77" s="61" t="s">
        <v>556</v>
      </c>
      <c r="E77" s="61"/>
      <c r="F77" s="61"/>
      <c r="G77" s="61"/>
      <c r="H77" s="61"/>
      <c r="I77" s="61" t="s">
        <v>558</v>
      </c>
      <c r="J77" s="51"/>
    </row>
    <row r="78" spans="1:10" ht="28.5">
      <c r="A78" s="137"/>
      <c r="B78" s="62">
        <v>2</v>
      </c>
      <c r="C78" s="62"/>
      <c r="D78" s="62" t="s">
        <v>559</v>
      </c>
      <c r="E78" s="62"/>
      <c r="F78" s="62"/>
      <c r="G78" s="62"/>
      <c r="H78" s="62"/>
      <c r="I78" s="62" t="s">
        <v>560</v>
      </c>
      <c r="J78" s="51"/>
    </row>
    <row r="79" spans="1:10">
      <c r="A79" s="137"/>
      <c r="B79" s="62"/>
      <c r="C79" s="62"/>
      <c r="D79" s="62" t="s">
        <v>561</v>
      </c>
      <c r="E79" s="62"/>
      <c r="F79" s="62"/>
      <c r="G79" s="62"/>
      <c r="H79" s="62"/>
      <c r="I79" s="62" t="s">
        <v>562</v>
      </c>
      <c r="J79" s="51"/>
    </row>
    <row r="80" spans="1:10" ht="42.75">
      <c r="A80" s="137"/>
      <c r="B80" s="51" t="s">
        <v>563</v>
      </c>
      <c r="C80" s="51"/>
      <c r="D80" s="51" t="s">
        <v>564</v>
      </c>
      <c r="E80" s="51"/>
      <c r="F80" s="51"/>
      <c r="G80" s="51">
        <v>15</v>
      </c>
      <c r="H80" s="51"/>
      <c r="I80" s="51" t="s">
        <v>565</v>
      </c>
      <c r="J80" s="51"/>
    </row>
    <row r="81" spans="1:10" ht="28.5">
      <c r="A81" s="137"/>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29" activePane="bottomLeft" state="frozen"/>
      <selection pane="bottomLeft" activeCell="T42" sqref="T42"/>
    </sheetView>
  </sheetViews>
  <sheetFormatPr defaultColWidth="17.28515625" defaultRowHeight="14.25" outlineLevelCol="1"/>
  <cols>
    <col min="1" max="1" width="3.5703125" style="229" customWidth="1"/>
    <col min="2" max="2" width="6.42578125" style="164" customWidth="1"/>
    <col min="3" max="3" width="14.140625" style="164" customWidth="1"/>
    <col min="4" max="4" width="18.42578125" style="164" customWidth="1" outlineLevel="1"/>
    <col min="5" max="5" width="13.42578125" style="164" bestFit="1" customWidth="1"/>
    <col min="6" max="6" width="14.7109375" style="164" customWidth="1" outlineLevel="1"/>
    <col min="7" max="7" width="4" style="226" bestFit="1" customWidth="1"/>
    <col min="8" max="8" width="3" style="226" bestFit="1" customWidth="1"/>
    <col min="9" max="9" width="5.7109375" style="226" bestFit="1" customWidth="1"/>
    <col min="10" max="11" width="4.7109375" style="226" bestFit="1" customWidth="1"/>
    <col min="12" max="13" width="3.7109375" style="226" bestFit="1" customWidth="1"/>
    <col min="14" max="15" width="2.85546875" style="227" bestFit="1" customWidth="1"/>
    <col min="16" max="16" width="50.7109375" style="225" customWidth="1"/>
    <col min="17" max="17" width="50.7109375" style="225" hidden="1" customWidth="1" outlineLevel="1"/>
    <col min="18" max="18" width="10.5703125" style="164" customWidth="1" collapsed="1"/>
    <col min="19" max="19" width="30.7109375" style="225" customWidth="1"/>
    <col min="20" max="20" width="12.42578125" style="164" bestFit="1" customWidth="1"/>
    <col min="21" max="21" width="2.7109375" style="164" bestFit="1" customWidth="1"/>
    <col min="22" max="22" width="9" style="164" customWidth="1"/>
    <col min="23" max="23" width="12.28515625" style="164" customWidth="1"/>
    <col min="24" max="24" width="7.85546875" style="164" customWidth="1"/>
    <col min="25" max="16384" width="17.28515625" style="164"/>
  </cols>
  <sheetData>
    <row r="1" spans="1:24" s="154" customFormat="1">
      <c r="A1" s="149" t="s">
        <v>1328</v>
      </c>
      <c r="B1" s="150" t="s">
        <v>16</v>
      </c>
      <c r="C1" s="150" t="s">
        <v>1329</v>
      </c>
      <c r="D1" s="150" t="s">
        <v>62</v>
      </c>
      <c r="E1" s="150" t="s">
        <v>10</v>
      </c>
      <c r="F1" s="150" t="s">
        <v>11</v>
      </c>
      <c r="G1" s="151" t="s">
        <v>1330</v>
      </c>
      <c r="H1" s="149" t="s">
        <v>1331</v>
      </c>
      <c r="I1" s="149" t="s">
        <v>1332</v>
      </c>
      <c r="J1" s="149" t="s">
        <v>1333</v>
      </c>
      <c r="K1" s="151" t="s">
        <v>1334</v>
      </c>
      <c r="L1" s="149" t="s">
        <v>1335</v>
      </c>
      <c r="M1" s="151" t="s">
        <v>1336</v>
      </c>
      <c r="N1" s="149" t="s">
        <v>1337</v>
      </c>
      <c r="O1" s="149" t="s">
        <v>1338</v>
      </c>
      <c r="P1" s="152"/>
      <c r="Q1" s="152"/>
      <c r="R1" s="150" t="s">
        <v>1254</v>
      </c>
      <c r="S1" s="152" t="s">
        <v>1253</v>
      </c>
      <c r="T1" s="153" t="s">
        <v>1316</v>
      </c>
      <c r="U1" s="153" t="s">
        <v>1317</v>
      </c>
      <c r="V1" s="154" t="s">
        <v>1248</v>
      </c>
      <c r="W1" s="155" t="s">
        <v>1251</v>
      </c>
      <c r="X1" s="155" t="s">
        <v>1252</v>
      </c>
    </row>
    <row r="2" spans="1:24">
      <c r="A2" s="156">
        <v>0</v>
      </c>
      <c r="B2" s="157" t="s">
        <v>1828</v>
      </c>
      <c r="C2" s="157" t="s">
        <v>1339</v>
      </c>
      <c r="D2" s="157" t="s">
        <v>306</v>
      </c>
      <c r="E2" s="157" t="s">
        <v>1870</v>
      </c>
      <c r="F2" s="157" t="s">
        <v>307</v>
      </c>
      <c r="G2" s="158"/>
      <c r="H2" s="158"/>
      <c r="I2" s="158"/>
      <c r="J2" s="158"/>
      <c r="K2" s="158"/>
      <c r="L2" s="158">
        <v>16</v>
      </c>
      <c r="M2" s="158">
        <v>1</v>
      </c>
      <c r="N2" s="159" t="s">
        <v>658</v>
      </c>
      <c r="O2" s="159" t="s">
        <v>657</v>
      </c>
      <c r="P2" s="160" t="s">
        <v>1340</v>
      </c>
      <c r="Q2" s="161"/>
      <c r="R2" s="162" t="str">
        <f t="shared" ref="R2:R32" si="0">E2</f>
        <v>毒刺（被动）</v>
      </c>
      <c r="S2" s="161" t="s">
        <v>1845</v>
      </c>
      <c r="T2" s="163">
        <v>0</v>
      </c>
      <c r="U2" s="163">
        <v>1</v>
      </c>
      <c r="V2" s="164" t="str">
        <f t="shared" ref="V2:V32" si="1">creepAbilityUberTipCN(P2,G2:M2)</f>
        <v>攻击使敌人受到50/2s的法术伤害。|n|n|cff99ccff持续时间:|r 16秒|n|cff99ccff冷却时间:|r 1秒|n</v>
      </c>
      <c r="W2" s="164" t="str">
        <f t="shared" ref="W2:W32" si="2">creepBuffTip(R2,O2)</f>
        <v>毒刺（被动）</v>
      </c>
      <c r="X2" s="164" t="str">
        <f t="shared" ref="X2:X32" si="3">creepBuffUber(S2,N2)</f>
        <v>物理状态：受到周期性的法术伤害。</v>
      </c>
    </row>
    <row r="3" spans="1:24">
      <c r="A3" s="165">
        <v>1</v>
      </c>
      <c r="B3" s="157" t="s">
        <v>1828</v>
      </c>
      <c r="C3" s="157" t="s">
        <v>1341</v>
      </c>
      <c r="D3" s="157" t="s">
        <v>105</v>
      </c>
      <c r="E3" s="157" t="s">
        <v>1342</v>
      </c>
      <c r="F3" s="157" t="s">
        <v>284</v>
      </c>
      <c r="G3" s="158">
        <v>3</v>
      </c>
      <c r="H3" s="158"/>
      <c r="I3" s="158">
        <v>600</v>
      </c>
      <c r="J3" s="158"/>
      <c r="K3" s="158">
        <v>75</v>
      </c>
      <c r="L3" s="158"/>
      <c r="M3" s="158">
        <v>2</v>
      </c>
      <c r="N3" s="159"/>
      <c r="O3" s="159"/>
      <c r="P3" s="160" t="s">
        <v>1343</v>
      </c>
      <c r="Q3" s="161"/>
      <c r="R3" s="162"/>
      <c r="S3" s="161"/>
      <c r="T3" s="163" t="s">
        <v>285</v>
      </c>
      <c r="U3" s="163">
        <v>1</v>
      </c>
      <c r="V3" s="164" t="str">
        <f t="shared" si="1"/>
        <v>造成320伤害|n|n|cff99ccff施法时间:|r 3秒|n|cff99ccff施法距离:|r 600码|n|cff99ccff法力消耗:|r 75点|n|cff99ccff冷却时间:|r 2秒|n</v>
      </c>
      <c r="W3" s="164" t="str">
        <f t="shared" si="2"/>
        <v/>
      </c>
      <c r="X3" s="164" t="str">
        <f t="shared" si="3"/>
        <v>物理状态：</v>
      </c>
    </row>
    <row r="4" spans="1:24">
      <c r="A4" s="165"/>
      <c r="B4" s="157"/>
      <c r="C4" s="157"/>
      <c r="D4" s="157"/>
      <c r="E4" s="157" t="s">
        <v>1344</v>
      </c>
      <c r="F4" s="157" t="s">
        <v>286</v>
      </c>
      <c r="G4" s="158"/>
      <c r="H4" s="158"/>
      <c r="I4" s="158">
        <v>600</v>
      </c>
      <c r="J4" s="158"/>
      <c r="K4" s="158"/>
      <c r="L4" s="158">
        <v>5</v>
      </c>
      <c r="M4" s="158">
        <v>8</v>
      </c>
      <c r="N4" s="159" t="s">
        <v>659</v>
      </c>
      <c r="O4" s="159" t="s">
        <v>657</v>
      </c>
      <c r="P4" s="160" t="s">
        <v>1345</v>
      </c>
      <c r="Q4" s="161"/>
      <c r="R4" s="162" t="str">
        <f t="shared" si="0"/>
        <v>冰霜冲击</v>
      </c>
      <c r="S4" s="161" t="s">
        <v>1843</v>
      </c>
      <c r="T4" s="163" t="s">
        <v>287</v>
      </c>
      <c r="U4" s="163">
        <v>1</v>
      </c>
      <c r="V4" s="164" t="str">
        <f t="shared" si="1"/>
        <v>造成200伤害,减攻击速度20%,移动速度30%,持续5秒|n|n|cff99ccff施法距离:|r 600码|n|cff99ccff持续时间:|r 5秒|n|cff99ccff冷却时间:|r 8秒|n</v>
      </c>
      <c r="W4" s="164" t="str">
        <f t="shared" si="2"/>
        <v>冰霜冲击</v>
      </c>
      <c r="X4" s="164" t="str">
        <f t="shared" si="3"/>
        <v>|cff6666ff魔法|r状态：攻击速度降低，移动速度降低。</v>
      </c>
    </row>
    <row r="5" spans="1:24" ht="28.5">
      <c r="A5" s="165" t="s">
        <v>1261</v>
      </c>
      <c r="B5" s="166" t="s">
        <v>1828</v>
      </c>
      <c r="C5" s="166" t="s">
        <v>1346</v>
      </c>
      <c r="D5" s="166" t="s">
        <v>288</v>
      </c>
      <c r="E5" s="166" t="s">
        <v>1347</v>
      </c>
      <c r="F5" s="166" t="s">
        <v>289</v>
      </c>
      <c r="G5" s="167">
        <v>3</v>
      </c>
      <c r="H5" s="167"/>
      <c r="I5" s="167">
        <v>800</v>
      </c>
      <c r="J5" s="167"/>
      <c r="K5" s="167">
        <v>200</v>
      </c>
      <c r="L5" s="167"/>
      <c r="M5" s="167">
        <v>5</v>
      </c>
      <c r="N5" s="168"/>
      <c r="O5" s="168"/>
      <c r="P5" s="169" t="s">
        <v>1348</v>
      </c>
      <c r="Q5" s="170"/>
      <c r="R5" s="162"/>
      <c r="S5" s="161"/>
      <c r="T5" s="163" t="s">
        <v>290</v>
      </c>
      <c r="U5" s="163">
        <v>1</v>
      </c>
      <c r="V5" s="164" t="str">
        <f t="shared" si="1"/>
        <v>治疗一个目标1000生命值, 每个目标递增50%, 最多3个目标.|n|n|cff99ccff施法时间:|r 3秒|n|cff99ccff施法距离:|r 800码|n|cff99ccff法力消耗:|r 200点|n|cff99ccff冷却时间:|r 5秒|n</v>
      </c>
      <c r="W5" s="164" t="str">
        <f t="shared" si="2"/>
        <v/>
      </c>
      <c r="X5" s="164" t="str">
        <f t="shared" si="3"/>
        <v>物理状态：</v>
      </c>
    </row>
    <row r="6" spans="1:24" ht="28.5">
      <c r="A6" s="165"/>
      <c r="B6" s="166"/>
      <c r="C6" s="166"/>
      <c r="D6" s="166"/>
      <c r="E6" s="166" t="s">
        <v>1349</v>
      </c>
      <c r="F6" s="166" t="s">
        <v>291</v>
      </c>
      <c r="G6" s="167"/>
      <c r="H6" s="167"/>
      <c r="I6" s="167"/>
      <c r="J6" s="167"/>
      <c r="K6" s="167">
        <v>100</v>
      </c>
      <c r="L6" s="167">
        <v>20</v>
      </c>
      <c r="M6" s="167">
        <v>15</v>
      </c>
      <c r="N6" s="168"/>
      <c r="O6" s="168"/>
      <c r="P6" s="169" t="s">
        <v>1350</v>
      </c>
      <c r="Q6" s="170"/>
      <c r="R6" s="162"/>
      <c r="S6" s="161"/>
      <c r="T6" s="163" t="s">
        <v>292</v>
      </c>
      <c r="U6" s="163">
        <v>1</v>
      </c>
      <c r="V6" s="164" t="str">
        <f t="shared" si="1"/>
        <v>制造一个100生命值的守卫，每秒治疗附近友军5%生命值。|n|n|cff99ccff法力消耗:|r 100点|n|cff99ccff持续时间:|r 20秒|n|cff99ccff冷却时间:|r 15秒|n</v>
      </c>
      <c r="W6" s="164" t="str">
        <f t="shared" si="2"/>
        <v/>
      </c>
      <c r="X6" s="164" t="str">
        <f t="shared" si="3"/>
        <v>物理状态：</v>
      </c>
    </row>
    <row r="7" spans="1:24" ht="28.5">
      <c r="A7" s="165"/>
      <c r="B7" s="166"/>
      <c r="C7" s="166"/>
      <c r="D7" s="166"/>
      <c r="E7" s="166" t="s">
        <v>1351</v>
      </c>
      <c r="F7" s="166" t="s">
        <v>293</v>
      </c>
      <c r="G7" s="167"/>
      <c r="H7" s="167"/>
      <c r="I7" s="167"/>
      <c r="J7" s="167"/>
      <c r="K7" s="167">
        <v>100</v>
      </c>
      <c r="L7" s="167">
        <v>30</v>
      </c>
      <c r="M7" s="167">
        <v>30</v>
      </c>
      <c r="N7" s="168" t="s">
        <v>658</v>
      </c>
      <c r="O7" s="168" t="s">
        <v>658</v>
      </c>
      <c r="P7" s="169" t="s">
        <v>1352</v>
      </c>
      <c r="Q7" s="170"/>
      <c r="R7" s="162" t="str">
        <f t="shared" si="0"/>
        <v>防护守卫</v>
      </c>
      <c r="S7" s="161" t="s">
        <v>1844</v>
      </c>
      <c r="T7" s="163" t="s">
        <v>294</v>
      </c>
      <c r="U7" s="163">
        <v>1</v>
      </c>
      <c r="V7" s="164" t="str">
        <f t="shared" si="1"/>
        <v>制造一个100生命值的守卫，使附近所有友军受到的伤害降低95%。|n|n|cff99ccff法力消耗:|r 100点|n|cff99ccff持续时间:|r 30秒|n|cff99ccff冷却时间:|r 30秒|n</v>
      </c>
      <c r="W7" s="164" t="str">
        <f t="shared" si="2"/>
        <v>|cff00ff00防护守卫|r</v>
      </c>
      <c r="X7" s="164" t="str">
        <f t="shared" si="3"/>
        <v>物理状态：受到的伤害降低。</v>
      </c>
    </row>
    <row r="8" spans="1:24">
      <c r="A8" s="165">
        <v>1</v>
      </c>
      <c r="B8" s="157" t="s">
        <v>300</v>
      </c>
      <c r="C8" s="157" t="s">
        <v>1353</v>
      </c>
      <c r="D8" s="157" t="s">
        <v>309</v>
      </c>
      <c r="E8" s="157" t="s">
        <v>1354</v>
      </c>
      <c r="F8" s="157" t="s">
        <v>310</v>
      </c>
      <c r="G8" s="158"/>
      <c r="H8" s="158"/>
      <c r="I8" s="158"/>
      <c r="J8" s="158">
        <v>600</v>
      </c>
      <c r="K8" s="158"/>
      <c r="L8" s="158"/>
      <c r="M8" s="158">
        <v>5</v>
      </c>
      <c r="N8" s="159"/>
      <c r="O8" s="159"/>
      <c r="P8" s="160" t="s">
        <v>1355</v>
      </c>
      <c r="Q8" s="171"/>
      <c r="R8" s="162"/>
      <c r="S8" s="161"/>
      <c r="T8" s="172" t="s">
        <v>285</v>
      </c>
      <c r="U8" s="172">
        <v>1</v>
      </c>
      <c r="V8" s="164" t="str">
        <f t="shared" si="1"/>
        <v>AOE法力值的伤害(MAXMP = 750)|n|n|cff99ccff影响范围:|r 600码|n|cff99ccff冷却时间:|r 5秒|n</v>
      </c>
      <c r="W8" s="164" t="str">
        <f t="shared" si="2"/>
        <v/>
      </c>
      <c r="X8" s="164" t="str">
        <f t="shared" si="3"/>
        <v>物理状态：</v>
      </c>
    </row>
    <row r="9" spans="1:24" ht="28.5">
      <c r="A9" s="165"/>
      <c r="B9" s="157"/>
      <c r="C9" s="157"/>
      <c r="D9" s="157"/>
      <c r="E9" s="157" t="s">
        <v>1356</v>
      </c>
      <c r="F9" s="157" t="s">
        <v>311</v>
      </c>
      <c r="G9" s="158"/>
      <c r="H9" s="158"/>
      <c r="I9" s="158">
        <v>900</v>
      </c>
      <c r="J9" s="158"/>
      <c r="K9" s="158"/>
      <c r="L9" s="158"/>
      <c r="M9" s="158">
        <v>5</v>
      </c>
      <c r="N9" s="159"/>
      <c r="O9" s="159"/>
      <c r="P9" s="160" t="s">
        <v>1357</v>
      </c>
      <c r="Q9" s="171"/>
      <c r="R9" s="162"/>
      <c r="S9" s="161"/>
      <c r="T9" s="172" t="s">
        <v>290</v>
      </c>
      <c r="U9" s="172">
        <v>1</v>
      </c>
      <c r="V9" s="164" t="str">
        <f t="shared" si="1"/>
        <v>抽取目标25%的法力值，总是会选择范围内可汲取法力值最多的目标。|n|n|cff99ccff施法距离:|r 900码|n|cff99ccff冷却时间:|r 5秒|n</v>
      </c>
      <c r="W9" s="164" t="str">
        <f t="shared" si="2"/>
        <v/>
      </c>
      <c r="X9" s="164" t="str">
        <f t="shared" si="3"/>
        <v>物理状态：</v>
      </c>
    </row>
    <row r="10" spans="1:24" ht="28.5">
      <c r="A10" s="173">
        <v>2</v>
      </c>
      <c r="B10" s="174" t="s">
        <v>1828</v>
      </c>
      <c r="C10" s="174" t="s">
        <v>1358</v>
      </c>
      <c r="D10" s="174" t="s">
        <v>295</v>
      </c>
      <c r="E10" s="174" t="s">
        <v>1359</v>
      </c>
      <c r="F10" s="174" t="s">
        <v>296</v>
      </c>
      <c r="G10" s="175"/>
      <c r="H10" s="175"/>
      <c r="I10" s="175"/>
      <c r="J10" s="175"/>
      <c r="K10" s="175"/>
      <c r="L10" s="175">
        <v>10</v>
      </c>
      <c r="M10" s="175">
        <v>20</v>
      </c>
      <c r="N10" s="176" t="s">
        <v>659</v>
      </c>
      <c r="O10" s="176" t="s">
        <v>658</v>
      </c>
      <c r="P10" s="177" t="s">
        <v>1360</v>
      </c>
      <c r="Q10" s="161"/>
      <c r="R10" s="162" t="str">
        <f t="shared" si="0"/>
        <v>狂乱</v>
      </c>
      <c r="S10" s="161" t="s">
        <v>1846</v>
      </c>
      <c r="T10" s="163" t="s">
        <v>297</v>
      </c>
      <c r="U10" s="163">
        <v>1</v>
      </c>
      <c r="V10" s="164" t="str">
        <f t="shared" si="1"/>
        <v>提升100%攻击速度。（在目标受到压碎护甲效果影响后开启。）|n|n|cff99ccff持续时间:|r 10秒|n|cff99ccff冷却时间:|r 20秒|n</v>
      </c>
      <c r="W10" s="164" t="str">
        <f t="shared" si="2"/>
        <v>|cff00ff00狂乱|r</v>
      </c>
      <c r="X10" s="164" t="str">
        <f t="shared" si="3"/>
        <v>|cff6666ff魔法|r状态：攻击速度提高。</v>
      </c>
    </row>
    <row r="11" spans="1:24">
      <c r="A11" s="173"/>
      <c r="B11" s="174"/>
      <c r="C11" s="174"/>
      <c r="D11" s="174"/>
      <c r="E11" s="174" t="s">
        <v>1361</v>
      </c>
      <c r="F11" s="174" t="s">
        <v>298</v>
      </c>
      <c r="G11" s="175"/>
      <c r="H11" s="175"/>
      <c r="I11" s="175">
        <v>200</v>
      </c>
      <c r="J11" s="175"/>
      <c r="K11" s="175"/>
      <c r="L11" s="175">
        <v>7</v>
      </c>
      <c r="M11" s="175">
        <v>20</v>
      </c>
      <c r="N11" s="176" t="s">
        <v>658</v>
      </c>
      <c r="O11" s="176" t="s">
        <v>657</v>
      </c>
      <c r="P11" s="177" t="s">
        <v>1362</v>
      </c>
      <c r="Q11" s="161"/>
      <c r="R11" s="162" t="str">
        <f t="shared" si="0"/>
        <v>压碎护甲</v>
      </c>
      <c r="S11" s="161" t="s">
        <v>1847</v>
      </c>
      <c r="T11" s="163" t="s">
        <v>299</v>
      </c>
      <c r="U11" s="163">
        <v>1</v>
      </c>
      <c r="V11" s="164" t="str">
        <f t="shared" si="1"/>
        <v>降低目标100点物理免伤。|n|n|cff99ccff施法距离:|r 200码|n|cff99ccff持续时间:|r 7秒|n|cff99ccff冷却时间:|r 20秒|n</v>
      </c>
      <c r="W11" s="164" t="str">
        <f t="shared" si="2"/>
        <v>压碎护甲</v>
      </c>
      <c r="X11" s="164" t="str">
        <f t="shared" si="3"/>
        <v>物理状态：物理免伤降低。</v>
      </c>
    </row>
    <row r="12" spans="1:24" ht="28.5">
      <c r="A12" s="173">
        <v>2</v>
      </c>
      <c r="B12" s="157" t="s">
        <v>300</v>
      </c>
      <c r="C12" s="157" t="s">
        <v>1363</v>
      </c>
      <c r="D12" s="157" t="s">
        <v>301</v>
      </c>
      <c r="E12" s="157" t="s">
        <v>1364</v>
      </c>
      <c r="F12" s="157" t="s">
        <v>302</v>
      </c>
      <c r="G12" s="158"/>
      <c r="H12" s="158"/>
      <c r="I12" s="158"/>
      <c r="J12" s="158"/>
      <c r="K12" s="158"/>
      <c r="L12" s="158">
        <v>6</v>
      </c>
      <c r="M12" s="158">
        <v>12</v>
      </c>
      <c r="N12" s="159" t="s">
        <v>659</v>
      </c>
      <c r="O12" s="159" t="s">
        <v>657</v>
      </c>
      <c r="P12" s="160" t="s">
        <v>1365</v>
      </c>
      <c r="Q12" s="170"/>
      <c r="R12" s="162" t="str">
        <f t="shared" si="0"/>
        <v>雷霆一击</v>
      </c>
      <c r="S12" s="161" t="s">
        <v>1845</v>
      </c>
      <c r="T12" s="163" t="s">
        <v>303</v>
      </c>
      <c r="U12" s="163">
        <v>1</v>
      </c>
      <c r="V12" s="164" t="str">
        <f t="shared" si="1"/>
        <v>400码AOE400伤害，如果目标被狂怒咆哮，附加法术DOT，100/s。 |n|n|cff99ccff持续时间:|r 6秒|n|cff99ccff冷却时间:|r 12秒|n</v>
      </c>
      <c r="W12" s="164" t="str">
        <f t="shared" si="2"/>
        <v>雷霆一击</v>
      </c>
      <c r="X12" s="164" t="str">
        <f t="shared" si="3"/>
        <v>|cff6666ff魔法|r状态：受到周期性的法术伤害。</v>
      </c>
    </row>
    <row r="13" spans="1:24">
      <c r="A13" s="173"/>
      <c r="B13" s="157"/>
      <c r="C13" s="157"/>
      <c r="D13" s="157"/>
      <c r="E13" s="157" t="s">
        <v>1366</v>
      </c>
      <c r="F13" s="157" t="s">
        <v>304</v>
      </c>
      <c r="G13" s="158"/>
      <c r="H13" s="158"/>
      <c r="I13" s="158"/>
      <c r="J13" s="158"/>
      <c r="K13" s="158"/>
      <c r="L13" s="158">
        <v>10</v>
      </c>
      <c r="M13" s="158">
        <v>20</v>
      </c>
      <c r="N13" s="159" t="s">
        <v>658</v>
      </c>
      <c r="O13" s="159" t="s">
        <v>657</v>
      </c>
      <c r="P13" s="160" t="s">
        <v>1367</v>
      </c>
      <c r="Q13" s="170"/>
      <c r="R13" s="162" t="str">
        <f t="shared" si="0"/>
        <v>狂怒咆哮</v>
      </c>
      <c r="S13" s="161" t="s">
        <v>1848</v>
      </c>
      <c r="T13" s="163" t="s">
        <v>305</v>
      </c>
      <c r="U13" s="163">
        <v>1</v>
      </c>
      <c r="V13" s="164" t="str">
        <f t="shared" si="1"/>
        <v>400Y AOE敌军受到50%额外伤害。|n|n|cff99ccff持续时间:|r 10秒|n|cff99ccff冷却时间:|r 20秒|n</v>
      </c>
      <c r="W13" s="164" t="str">
        <f t="shared" si="2"/>
        <v>狂怒咆哮</v>
      </c>
      <c r="X13" s="164" t="str">
        <f t="shared" si="3"/>
        <v>物理状态：受到的伤害提高。</v>
      </c>
    </row>
    <row r="14" spans="1:24">
      <c r="A14" s="178">
        <v>3</v>
      </c>
      <c r="B14" s="179" t="s">
        <v>1828</v>
      </c>
      <c r="C14" s="179" t="s">
        <v>1368</v>
      </c>
      <c r="D14" s="179" t="s">
        <v>312</v>
      </c>
      <c r="E14" s="179" t="s">
        <v>1369</v>
      </c>
      <c r="F14" s="180" t="s">
        <v>314</v>
      </c>
      <c r="G14" s="181"/>
      <c r="H14" s="181"/>
      <c r="I14" s="181"/>
      <c r="J14" s="181"/>
      <c r="K14" s="181"/>
      <c r="L14" s="181">
        <v>8</v>
      </c>
      <c r="M14" s="181">
        <v>12</v>
      </c>
      <c r="N14" s="182" t="s">
        <v>659</v>
      </c>
      <c r="O14" s="182" t="s">
        <v>658</v>
      </c>
      <c r="P14" s="183" t="s">
        <v>1370</v>
      </c>
      <c r="Q14" s="184"/>
      <c r="R14" s="162" t="str">
        <f t="shared" si="0"/>
        <v>邪恶狂热</v>
      </c>
      <c r="S14" s="161" t="s">
        <v>1846</v>
      </c>
      <c r="T14" s="172" t="s">
        <v>299</v>
      </c>
      <c r="U14" s="172">
        <v>1</v>
      </c>
      <c r="V14" s="164" t="str">
        <f t="shared" si="1"/>
        <v>攻击速度提升100%。|n|n|cff99ccff持续时间:|r 8秒|n|cff99ccff冷却时间:|r 12秒|n</v>
      </c>
      <c r="W14" s="164" t="str">
        <f t="shared" si="2"/>
        <v>|cff00ff00邪恶狂热|r</v>
      </c>
      <c r="X14" s="164" t="str">
        <f t="shared" si="3"/>
        <v>|cff6666ff魔法|r状态：攻击速度提高。</v>
      </c>
    </row>
    <row r="15" spans="1:24" ht="28.5">
      <c r="A15" s="178">
        <v>3</v>
      </c>
      <c r="B15" s="157" t="s">
        <v>1828</v>
      </c>
      <c r="C15" s="157" t="s">
        <v>1371</v>
      </c>
      <c r="D15" s="185" t="s">
        <v>319</v>
      </c>
      <c r="E15" s="185" t="s">
        <v>1372</v>
      </c>
      <c r="F15" s="185" t="s">
        <v>320</v>
      </c>
      <c r="G15" s="158"/>
      <c r="H15" s="158"/>
      <c r="I15" s="158">
        <v>800</v>
      </c>
      <c r="J15" s="158"/>
      <c r="K15" s="158"/>
      <c r="L15" s="158">
        <v>10</v>
      </c>
      <c r="M15" s="158">
        <v>20</v>
      </c>
      <c r="N15" s="159" t="s">
        <v>658</v>
      </c>
      <c r="O15" s="159" t="s">
        <v>657</v>
      </c>
      <c r="P15" s="186" t="s">
        <v>1373</v>
      </c>
      <c r="Q15" s="187"/>
      <c r="R15" s="162" t="str">
        <f t="shared" si="0"/>
        <v>混乱跳跃</v>
      </c>
      <c r="S15" s="161" t="s">
        <v>1849</v>
      </c>
      <c r="T15" s="163" t="s">
        <v>299</v>
      </c>
      <c r="U15" s="163">
        <v>1</v>
      </c>
      <c r="V15" s="164" t="str">
        <f t="shared" si="1"/>
        <v>向目标跳跃，落下时造成200AOE物理伤害。并使目标造成的仇恨值提高300%。|n|n|cff99ccff施法距离:|r 800码|n|cff99ccff持续时间:|r 10秒|n|cff99ccff冷却时间:|r 20秒|n</v>
      </c>
      <c r="W15" s="164" t="str">
        <f t="shared" si="2"/>
        <v>混乱跳跃</v>
      </c>
      <c r="X15" s="164" t="str">
        <f t="shared" si="3"/>
        <v>物理状态：造成的仇恨值提高。</v>
      </c>
    </row>
    <row r="16" spans="1:24" ht="28.5">
      <c r="A16" s="178">
        <v>3</v>
      </c>
      <c r="B16" s="179" t="s">
        <v>300</v>
      </c>
      <c r="C16" s="179" t="s">
        <v>1374</v>
      </c>
      <c r="D16" s="179" t="s">
        <v>321</v>
      </c>
      <c r="E16" s="179" t="s">
        <v>1375</v>
      </c>
      <c r="F16" s="179" t="s">
        <v>322</v>
      </c>
      <c r="G16" s="181">
        <v>4</v>
      </c>
      <c r="H16" s="181"/>
      <c r="I16" s="181"/>
      <c r="J16" s="181">
        <v>500</v>
      </c>
      <c r="K16" s="181"/>
      <c r="L16" s="181">
        <v>3</v>
      </c>
      <c r="M16" s="181">
        <v>8</v>
      </c>
      <c r="N16" s="182"/>
      <c r="O16" s="182"/>
      <c r="P16" s="188" t="s">
        <v>1376</v>
      </c>
      <c r="Q16" s="161" t="s">
        <v>1257</v>
      </c>
      <c r="R16" s="162"/>
      <c r="S16" s="161"/>
      <c r="T16" s="172" t="s">
        <v>299</v>
      </c>
      <c r="U16" s="172">
        <v>1</v>
      </c>
      <c r="V16" s="164" t="str">
        <f t="shared" si="1"/>
        <v>对附近所有玩家单位造成300物理伤害并昏迷3秒。|n|n|cff99ccff施法时间:|r 4秒|n|cff99ccff影响范围:|r 500码|n|cff99ccff持续时间:|r 3秒|n|cff99ccff冷却时间:|r 8秒|n</v>
      </c>
      <c r="W16" s="164" t="str">
        <f t="shared" si="2"/>
        <v/>
      </c>
      <c r="X16" s="164" t="str">
        <f t="shared" si="3"/>
        <v>物理状态：</v>
      </c>
    </row>
    <row r="17" spans="1:24">
      <c r="A17" s="178"/>
      <c r="B17" s="179"/>
      <c r="C17" s="179"/>
      <c r="D17" s="179"/>
      <c r="E17" s="179" t="s">
        <v>1377</v>
      </c>
      <c r="F17" s="179" t="s">
        <v>323</v>
      </c>
      <c r="G17" s="181"/>
      <c r="H17" s="181"/>
      <c r="I17" s="181"/>
      <c r="J17" s="181"/>
      <c r="K17" s="181"/>
      <c r="L17" s="181">
        <v>10</v>
      </c>
      <c r="M17" s="181">
        <v>6</v>
      </c>
      <c r="N17" s="182" t="s">
        <v>659</v>
      </c>
      <c r="O17" s="182" t="s">
        <v>658</v>
      </c>
      <c r="P17" s="188" t="s">
        <v>1378</v>
      </c>
      <c r="Q17" s="161" t="s">
        <v>324</v>
      </c>
      <c r="R17" s="162" t="str">
        <f t="shared" si="0"/>
        <v>战斗命令</v>
      </c>
      <c r="S17" s="161" t="s">
        <v>1850</v>
      </c>
      <c r="T17" s="172" t="s">
        <v>305</v>
      </c>
      <c r="U17" s="172">
        <v>1</v>
      </c>
      <c r="V17" s="164" t="str">
        <f t="shared" si="1"/>
        <v>目标单位造成100%的额外伤害。|n|n|cff99ccff持续时间:|r 10秒|n|cff99ccff冷却时间:|r 6秒|n</v>
      </c>
      <c r="W17" s="164" t="str">
        <f t="shared" si="2"/>
        <v>|cff00ff00战斗命令|r</v>
      </c>
      <c r="X17" s="164" t="str">
        <f t="shared" si="3"/>
        <v>|cff6666ff魔法|r状态：造成的伤害提高。</v>
      </c>
    </row>
    <row r="18" spans="1:24">
      <c r="A18" s="178">
        <v>3</v>
      </c>
      <c r="B18" s="157" t="s">
        <v>1828</v>
      </c>
      <c r="C18" s="157" t="s">
        <v>1379</v>
      </c>
      <c r="D18" s="157" t="s">
        <v>325</v>
      </c>
      <c r="E18" s="157" t="s">
        <v>1380</v>
      </c>
      <c r="F18" s="157" t="s">
        <v>326</v>
      </c>
      <c r="G18" s="158"/>
      <c r="H18" s="158"/>
      <c r="I18" s="158">
        <v>900</v>
      </c>
      <c r="J18" s="158"/>
      <c r="K18" s="158">
        <v>75</v>
      </c>
      <c r="L18" s="158">
        <v>20</v>
      </c>
      <c r="M18" s="158">
        <v>5</v>
      </c>
      <c r="N18" s="159" t="s">
        <v>659</v>
      </c>
      <c r="O18" s="159" t="s">
        <v>658</v>
      </c>
      <c r="P18" s="160" t="s">
        <v>1381</v>
      </c>
      <c r="Q18" s="170"/>
      <c r="R18" s="162" t="str">
        <f t="shared" si="0"/>
        <v>炽热疾速</v>
      </c>
      <c r="S18" s="161" t="s">
        <v>1851</v>
      </c>
      <c r="T18" s="163" t="s">
        <v>285</v>
      </c>
      <c r="U18" s="163">
        <v>1</v>
      </c>
      <c r="V18" s="164" t="str">
        <f t="shared" si="1"/>
        <v>提升75%法术急速，移动速度提升至最大。|n|n|cff99ccff施法距离:|r 900码|n|cff99ccff法力消耗:|r 75点|n|cff99ccff持续时间:|r 20秒|n|cff99ccff冷却时间:|r 5秒|n</v>
      </c>
      <c r="W18" s="164" t="str">
        <f t="shared" si="2"/>
        <v>|cff00ff00炽热疾速|r</v>
      </c>
      <c r="X18" s="164" t="str">
        <f t="shared" si="3"/>
        <v>|cff6666ff魔法|r状态：法术急速提高，移动速度提高。</v>
      </c>
    </row>
    <row r="19" spans="1:24">
      <c r="A19" s="178"/>
      <c r="B19" s="157"/>
      <c r="C19" s="157"/>
      <c r="D19" s="157"/>
      <c r="E19" s="157" t="s">
        <v>1382</v>
      </c>
      <c r="F19" s="157" t="s">
        <v>1260</v>
      </c>
      <c r="G19" s="158">
        <v>3</v>
      </c>
      <c r="H19" s="158"/>
      <c r="I19" s="158"/>
      <c r="J19" s="158">
        <v>900</v>
      </c>
      <c r="K19" s="158">
        <v>100</v>
      </c>
      <c r="L19" s="158"/>
      <c r="M19" s="158">
        <v>1</v>
      </c>
      <c r="N19" s="159"/>
      <c r="O19" s="159"/>
      <c r="P19" s="160" t="s">
        <v>1383</v>
      </c>
      <c r="Q19" s="170"/>
      <c r="R19" s="162"/>
      <c r="S19" s="161"/>
      <c r="T19" s="163" t="s">
        <v>299</v>
      </c>
      <c r="U19" s="163">
        <v>1</v>
      </c>
      <c r="V19" s="164" t="str">
        <f t="shared" si="1"/>
        <v>对附近所有玩家单位发射火球，造成600法术伤害。|n|n|cff99ccff施法时间:|r 3秒|n|cff99ccff影响范围:|r 900码|n|cff99ccff法力消耗:|r 100点|n|cff99ccff冷却时间:|r 1秒|n</v>
      </c>
      <c r="W19" s="164" t="str">
        <f t="shared" si="2"/>
        <v/>
      </c>
      <c r="X19" s="164" t="str">
        <f t="shared" si="3"/>
        <v>物理状态：</v>
      </c>
    </row>
    <row r="20" spans="1:24" ht="28.5">
      <c r="A20" s="178"/>
      <c r="B20" s="157"/>
      <c r="C20" s="157"/>
      <c r="D20" s="157"/>
      <c r="E20" s="157" t="s">
        <v>1384</v>
      </c>
      <c r="F20" s="157" t="s">
        <v>327</v>
      </c>
      <c r="G20" s="158"/>
      <c r="H20" s="158"/>
      <c r="I20" s="158">
        <v>800</v>
      </c>
      <c r="J20" s="158"/>
      <c r="K20" s="158">
        <v>50</v>
      </c>
      <c r="L20" s="158">
        <v>10</v>
      </c>
      <c r="M20" s="158">
        <v>5</v>
      </c>
      <c r="N20" s="159" t="s">
        <v>659</v>
      </c>
      <c r="O20" s="159" t="s">
        <v>657</v>
      </c>
      <c r="P20" s="160" t="s">
        <v>1385</v>
      </c>
      <c r="Q20" s="170" t="s">
        <v>328</v>
      </c>
      <c r="R20" s="162" t="str">
        <f t="shared" si="0"/>
        <v>烈焰震击</v>
      </c>
      <c r="S20" s="161" t="s">
        <v>1845</v>
      </c>
      <c r="T20" s="163" t="s">
        <v>305</v>
      </c>
      <c r="U20" s="163">
        <v>1</v>
      </c>
      <c r="V20" s="164" t="str">
        <f t="shared" si="1"/>
        <v>对目标造成400法术伤害，然后每2秒造成400法术伤害。|n|n|cff99ccff施法距离:|r 800码|n|cff99ccff法力消耗:|r 50点|n|cff99ccff持续时间:|r 10秒|n|cff99ccff冷却时间:|r 5秒|n</v>
      </c>
      <c r="W20" s="164" t="str">
        <f t="shared" si="2"/>
        <v>烈焰震击</v>
      </c>
      <c r="X20" s="164" t="str">
        <f t="shared" si="3"/>
        <v>|cff6666ff魔法|r状态：受到周期性的法术伤害。</v>
      </c>
    </row>
    <row r="21" spans="1:24" ht="28.5">
      <c r="A21" s="189">
        <v>4</v>
      </c>
      <c r="B21" s="190" t="s">
        <v>1828</v>
      </c>
      <c r="C21" s="190" t="s">
        <v>1386</v>
      </c>
      <c r="D21" s="190" t="s">
        <v>1262</v>
      </c>
      <c r="E21" s="190" t="s">
        <v>1871</v>
      </c>
      <c r="F21" s="190" t="s">
        <v>1263</v>
      </c>
      <c r="G21" s="191"/>
      <c r="H21" s="191"/>
      <c r="I21" s="191"/>
      <c r="J21" s="191"/>
      <c r="K21" s="191"/>
      <c r="L21" s="191"/>
      <c r="M21" s="191"/>
      <c r="N21" s="192" t="s">
        <v>1320</v>
      </c>
      <c r="O21" s="192" t="s">
        <v>1321</v>
      </c>
      <c r="P21" s="193" t="s">
        <v>1387</v>
      </c>
      <c r="Q21" s="170"/>
      <c r="R21" s="162" t="str">
        <f t="shared" si="0"/>
        <v>瘟疫（被动）</v>
      </c>
      <c r="S21" s="161" t="s">
        <v>1845</v>
      </c>
      <c r="T21" s="163">
        <v>0</v>
      </c>
      <c r="U21" s="163">
        <v>1</v>
      </c>
      <c r="V21" s="164" t="str">
        <f t="shared" si="1"/>
        <v>死亡后留下毒云，使范围内的玩家单位中毒。造成200伤害/2s。|n|n</v>
      </c>
      <c r="W21" s="164" t="str">
        <f t="shared" si="2"/>
        <v>瘟疫（被动）</v>
      </c>
      <c r="X21" s="164" t="str">
        <f t="shared" si="3"/>
        <v>物理状态：受到周期性的法术伤害。</v>
      </c>
    </row>
    <row r="22" spans="1:24" ht="42.75">
      <c r="A22" s="189">
        <v>4</v>
      </c>
      <c r="B22" s="157" t="s">
        <v>308</v>
      </c>
      <c r="C22" s="157" t="s">
        <v>1388</v>
      </c>
      <c r="D22" s="157" t="s">
        <v>1264</v>
      </c>
      <c r="E22" s="157" t="s">
        <v>1389</v>
      </c>
      <c r="F22" s="157" t="s">
        <v>1265</v>
      </c>
      <c r="G22" s="158"/>
      <c r="H22" s="158"/>
      <c r="I22" s="158">
        <v>600</v>
      </c>
      <c r="J22" s="158"/>
      <c r="K22" s="158"/>
      <c r="L22" s="158"/>
      <c r="M22" s="158"/>
      <c r="N22" s="159" t="s">
        <v>658</v>
      </c>
      <c r="O22" s="159" t="s">
        <v>657</v>
      </c>
      <c r="P22" s="160" t="s">
        <v>1390</v>
      </c>
      <c r="Q22" s="170"/>
      <c r="R22" s="162" t="str">
        <f t="shared" si="0"/>
        <v>寄生</v>
      </c>
      <c r="S22" s="161" t="s">
        <v>1852</v>
      </c>
      <c r="T22" s="163">
        <v>0</v>
      </c>
      <c r="U22" s="163">
        <v>1</v>
      </c>
      <c r="V22" s="164" t="str">
        <f t="shared" si="1"/>
        <v>战斗开始10秒后对目标单位施放，钻入目标体内。5秒内每秒对目标造成20%目标生命值上限的伤害。结束或者目标死亡后，孵化2个寄生蟑螂。|n|n|cff99ccff施法距离:|r 600码|n</v>
      </c>
      <c r="W22" s="164" t="str">
        <f t="shared" si="2"/>
        <v>寄生</v>
      </c>
      <c r="X22" s="164" t="str">
        <f t="shared" si="3"/>
        <v>物理状态：受到周期性的法术伤害，效果结束后孵化2个寄生蟑螂。</v>
      </c>
    </row>
    <row r="23" spans="1:24">
      <c r="A23" s="189">
        <v>4</v>
      </c>
      <c r="B23" s="190" t="s">
        <v>1828</v>
      </c>
      <c r="C23" s="190" t="s">
        <v>1391</v>
      </c>
      <c r="D23" s="190" t="s">
        <v>1266</v>
      </c>
      <c r="E23" s="190" t="s">
        <v>473</v>
      </c>
      <c r="F23" s="190" t="s">
        <v>1267</v>
      </c>
      <c r="G23" s="191">
        <v>5</v>
      </c>
      <c r="H23" s="191">
        <v>5</v>
      </c>
      <c r="I23" s="191">
        <v>128</v>
      </c>
      <c r="J23" s="191"/>
      <c r="K23" s="191"/>
      <c r="L23" s="191"/>
      <c r="M23" s="191"/>
      <c r="N23" s="192" t="s">
        <v>658</v>
      </c>
      <c r="O23" s="192" t="s">
        <v>657</v>
      </c>
      <c r="P23" s="193" t="s">
        <v>1392</v>
      </c>
      <c r="Q23" s="170"/>
      <c r="R23" s="162" t="str">
        <f t="shared" si="0"/>
        <v>啃食</v>
      </c>
      <c r="S23" s="161" t="s">
        <v>1853</v>
      </c>
      <c r="T23" s="163" t="s">
        <v>299</v>
      </c>
      <c r="U23" s="163">
        <v>1</v>
      </c>
      <c r="V23" s="164" t="str">
        <f t="shared" si="1"/>
        <v>使目标昏迷并且每秒造成1000点物理伤害。|n|n|cff99ccff施法时间:|r 5秒|n|cff99ccff引导时间:|r 5秒|n|cff99ccff施法距离:|r 128码|n</v>
      </c>
      <c r="W23" s="164" t="str">
        <f t="shared" si="2"/>
        <v>啃食</v>
      </c>
      <c r="X23" s="164" t="str">
        <f t="shared" si="3"/>
        <v>物理状态：受到周期性的物理伤害。</v>
      </c>
    </row>
    <row r="24" spans="1:24">
      <c r="A24" s="189">
        <v>4</v>
      </c>
      <c r="B24" s="157" t="s">
        <v>1828</v>
      </c>
      <c r="C24" s="157" t="s">
        <v>1393</v>
      </c>
      <c r="D24" s="157" t="s">
        <v>1268</v>
      </c>
      <c r="E24" s="157" t="s">
        <v>1394</v>
      </c>
      <c r="F24" s="157" t="s">
        <v>1269</v>
      </c>
      <c r="G24" s="158"/>
      <c r="H24" s="158"/>
      <c r="I24" s="158"/>
      <c r="J24" s="158"/>
      <c r="K24" s="158"/>
      <c r="L24" s="158"/>
      <c r="M24" s="158"/>
      <c r="N24" s="159" t="s">
        <v>658</v>
      </c>
      <c r="O24" s="159" t="s">
        <v>658</v>
      </c>
      <c r="P24" s="160" t="s">
        <v>1395</v>
      </c>
      <c r="Q24" s="170"/>
      <c r="R24" s="162" t="str">
        <f t="shared" si="0"/>
        <v>反射光环</v>
      </c>
      <c r="S24" s="161" t="s">
        <v>1854</v>
      </c>
      <c r="T24" s="163">
        <v>0</v>
      </c>
      <c r="U24" s="163">
        <v>1</v>
      </c>
      <c r="V24" s="164" t="str">
        <f t="shared" si="1"/>
        <v>附近范围内所有友军可以反射一切法术。|n|n</v>
      </c>
      <c r="W24" s="164" t="str">
        <f t="shared" si="2"/>
        <v>|cff00ff00反射光环|r</v>
      </c>
      <c r="X24" s="164" t="str">
        <f t="shared" si="3"/>
        <v>物理状态：可以反射指向你的法术。</v>
      </c>
    </row>
    <row r="25" spans="1:24" ht="28.5">
      <c r="A25" s="189"/>
      <c r="B25" s="157"/>
      <c r="C25" s="157"/>
      <c r="D25" s="157"/>
      <c r="E25" s="157" t="s">
        <v>1396</v>
      </c>
      <c r="F25" s="157" t="s">
        <v>1270</v>
      </c>
      <c r="G25" s="158"/>
      <c r="H25" s="158"/>
      <c r="I25" s="158">
        <v>900</v>
      </c>
      <c r="J25" s="158">
        <v>300</v>
      </c>
      <c r="K25" s="158"/>
      <c r="L25" s="158">
        <v>10</v>
      </c>
      <c r="M25" s="158">
        <v>13</v>
      </c>
      <c r="N25" s="159" t="s">
        <v>659</v>
      </c>
      <c r="O25" s="159" t="s">
        <v>657</v>
      </c>
      <c r="P25" s="160" t="s">
        <v>1397</v>
      </c>
      <c r="Q25" s="170"/>
      <c r="R25" s="162" t="str">
        <f t="shared" si="0"/>
        <v>法力流失</v>
      </c>
      <c r="S25" s="161" t="s">
        <v>1855</v>
      </c>
      <c r="T25" s="163" t="s">
        <v>299</v>
      </c>
      <c r="U25" s="163">
        <v>1</v>
      </c>
      <c r="V25" s="164" t="str">
        <f t="shared" si="1"/>
        <v>受影响的单位每次施放法术，会流失等值的所消耗法力值。|n|n|cff99ccff施法距离:|r 900码|n|cff99ccff影响范围:|r 300码|n|cff99ccff持续时间:|r 10秒|n|cff99ccff冷却时间:|r 13秒|n</v>
      </c>
      <c r="W25" s="164" t="str">
        <f t="shared" si="2"/>
        <v>法力流失</v>
      </c>
      <c r="X25" s="164" t="str">
        <f t="shared" si="3"/>
        <v>|cff6666ff魔法|r状态：每次施放法术，会流失额外1倍的法力值。</v>
      </c>
    </row>
    <row r="26" spans="1:24">
      <c r="A26" s="189">
        <v>4</v>
      </c>
      <c r="B26" s="190" t="s">
        <v>300</v>
      </c>
      <c r="C26" s="190" t="s">
        <v>1398</v>
      </c>
      <c r="D26" s="190" t="s">
        <v>1271</v>
      </c>
      <c r="E26" s="190" t="s">
        <v>1399</v>
      </c>
      <c r="F26" s="190" t="s">
        <v>1272</v>
      </c>
      <c r="G26" s="191"/>
      <c r="H26" s="191"/>
      <c r="I26" s="191">
        <v>900</v>
      </c>
      <c r="J26" s="191"/>
      <c r="K26" s="191"/>
      <c r="L26" s="191">
        <v>3</v>
      </c>
      <c r="M26" s="191">
        <v>8</v>
      </c>
      <c r="N26" s="192" t="s">
        <v>659</v>
      </c>
      <c r="O26" s="192" t="s">
        <v>657</v>
      </c>
      <c r="P26" s="193" t="s">
        <v>1400</v>
      </c>
      <c r="Q26" s="170"/>
      <c r="R26" s="162" t="str">
        <f t="shared" si="0"/>
        <v>冰冻坟墓</v>
      </c>
      <c r="S26" s="161" t="s">
        <v>1856</v>
      </c>
      <c r="T26" s="163" t="s">
        <v>299</v>
      </c>
      <c r="U26" s="163">
        <v>1</v>
      </c>
      <c r="V26" s="164" t="str">
        <f t="shared" si="1"/>
        <v>冰冻目标，对冰冻的目标每秒造成200点法术伤害。|n|n|cff99ccff施法距离:|r 900码|n|cff99ccff持续时间:|r 3秒|n|cff99ccff冷却时间:|r 8秒|n</v>
      </c>
      <c r="W26" s="164" t="str">
        <f t="shared" si="2"/>
        <v>冰冻坟墓</v>
      </c>
      <c r="X26" s="164" t="str">
        <f t="shared" si="3"/>
        <v>|cff6666ff魔法|r状态：昏迷，受到周期性的法术伤害。</v>
      </c>
    </row>
    <row r="27" spans="1:24" ht="28.5">
      <c r="A27" s="189"/>
      <c r="B27" s="190"/>
      <c r="C27" s="190"/>
      <c r="D27" s="190"/>
      <c r="E27" s="190" t="s">
        <v>1401</v>
      </c>
      <c r="F27" s="190" t="s">
        <v>1273</v>
      </c>
      <c r="G27" s="191"/>
      <c r="H27" s="191"/>
      <c r="I27" s="191">
        <v>1800</v>
      </c>
      <c r="J27" s="191">
        <v>300</v>
      </c>
      <c r="K27" s="191"/>
      <c r="L27" s="191">
        <v>5</v>
      </c>
      <c r="M27" s="191">
        <v>8</v>
      </c>
      <c r="N27" s="192"/>
      <c r="O27" s="192"/>
      <c r="P27" s="193" t="s">
        <v>1402</v>
      </c>
      <c r="Q27" s="170"/>
      <c r="R27" s="162"/>
      <c r="S27" s="161"/>
      <c r="T27" s="163" t="s">
        <v>285</v>
      </c>
      <c r="U27" s="163">
        <v>1</v>
      </c>
      <c r="V27" s="164" t="str">
        <f t="shared" si="1"/>
        <v>召唤一片不断移动的凋零区域，每秒对里面的玩家单位造成30%生命上限的伤害。|n|n|cff99ccff施法距离:|r 1800码|n|cff99ccff影响范围:|r 300码|n|cff99ccff持续时间:|r 5秒|n|cff99ccff冷却时间:|r 8秒|n</v>
      </c>
      <c r="W27" s="164" t="str">
        <f t="shared" si="2"/>
        <v/>
      </c>
      <c r="X27" s="164" t="str">
        <f t="shared" si="3"/>
        <v>物理状态：</v>
      </c>
    </row>
    <row r="28" spans="1:24" ht="28.5">
      <c r="A28" s="194">
        <v>5</v>
      </c>
      <c r="B28" s="162" t="s">
        <v>1828</v>
      </c>
      <c r="C28" s="162" t="s">
        <v>1403</v>
      </c>
      <c r="D28" s="162" t="s">
        <v>329</v>
      </c>
      <c r="E28" s="162" t="s">
        <v>1404</v>
      </c>
      <c r="F28" s="162" t="s">
        <v>330</v>
      </c>
      <c r="G28" s="195"/>
      <c r="H28" s="195"/>
      <c r="I28" s="195">
        <v>600</v>
      </c>
      <c r="J28" s="195"/>
      <c r="K28" s="195"/>
      <c r="L28" s="195"/>
      <c r="M28" s="195">
        <v>7</v>
      </c>
      <c r="N28" s="196"/>
      <c r="O28" s="196"/>
      <c r="P28" s="161" t="s">
        <v>1405</v>
      </c>
      <c r="Q28" s="161"/>
      <c r="R28" s="162"/>
      <c r="S28" s="161"/>
      <c r="T28" s="172" t="s">
        <v>299</v>
      </c>
      <c r="U28" s="172">
        <v>1</v>
      </c>
      <c r="V28" s="164" t="str">
        <f t="shared" si="1"/>
        <v>牺牲自身20%的生命值, 对生命值最高的目标造成1000法术伤害.|n|n|cff99ccff施法距离:|r 600码|n|cff99ccff冷却时间:|r 7秒|n</v>
      </c>
      <c r="W28" s="164" t="str">
        <f t="shared" si="2"/>
        <v/>
      </c>
      <c r="X28" s="164" t="str">
        <f t="shared" si="3"/>
        <v>物理状态：</v>
      </c>
    </row>
    <row r="29" spans="1:24" ht="28.5">
      <c r="A29" s="194"/>
      <c r="B29" s="162"/>
      <c r="C29" s="162"/>
      <c r="D29" s="162"/>
      <c r="E29" s="162" t="s">
        <v>1406</v>
      </c>
      <c r="F29" s="162" t="s">
        <v>331</v>
      </c>
      <c r="G29" s="195"/>
      <c r="H29" s="195"/>
      <c r="I29" s="195">
        <v>600</v>
      </c>
      <c r="J29" s="195"/>
      <c r="K29" s="195"/>
      <c r="L29" s="195"/>
      <c r="M29" s="195">
        <v>5</v>
      </c>
      <c r="N29" s="196"/>
      <c r="O29" s="196"/>
      <c r="P29" s="161" t="s">
        <v>1878</v>
      </c>
      <c r="Q29" s="161"/>
      <c r="R29" s="162"/>
      <c r="S29" s="161"/>
      <c r="T29" s="172" t="s">
        <v>305</v>
      </c>
      <c r="U29" s="172">
        <v>1</v>
      </c>
      <c r="V29" s="164" t="str">
        <f t="shared" si="1"/>
        <v>对目标造成其生命上限20%的伤害，并以5倍的效果治疗自己。|n|n|cff99ccff施法距离:|r 600码|n|cff99ccff冷却时间:|r 5秒|n</v>
      </c>
      <c r="W29" s="164" t="str">
        <f t="shared" si="2"/>
        <v/>
      </c>
      <c r="X29" s="164" t="str">
        <f t="shared" si="3"/>
        <v>物理状态：</v>
      </c>
    </row>
    <row r="30" spans="1:24">
      <c r="A30" s="194">
        <v>5</v>
      </c>
      <c r="B30" s="197" t="s">
        <v>308</v>
      </c>
      <c r="C30" s="197" t="s">
        <v>1407</v>
      </c>
      <c r="D30" s="197" t="s">
        <v>332</v>
      </c>
      <c r="E30" s="197" t="s">
        <v>1408</v>
      </c>
      <c r="F30" s="197" t="s">
        <v>333</v>
      </c>
      <c r="G30" s="198"/>
      <c r="H30" s="198"/>
      <c r="I30" s="198">
        <v>600</v>
      </c>
      <c r="J30" s="198"/>
      <c r="K30" s="198"/>
      <c r="L30" s="198"/>
      <c r="M30" s="198">
        <v>7</v>
      </c>
      <c r="N30" s="199"/>
      <c r="O30" s="199"/>
      <c r="P30" s="200" t="s">
        <v>1409</v>
      </c>
      <c r="Q30" s="170"/>
      <c r="R30" s="162"/>
      <c r="S30" s="161"/>
      <c r="T30" s="172" t="s">
        <v>299</v>
      </c>
      <c r="U30" s="172">
        <v>1</v>
      </c>
      <c r="V30" s="164" t="str">
        <f t="shared" si="1"/>
        <v>燃烧目标20%的法力值，并造成等量伤害。|n|n|cff99ccff施法距离:|r 600码|n|cff99ccff冷却时间:|r 7秒|n</v>
      </c>
      <c r="W30" s="164" t="str">
        <f t="shared" si="2"/>
        <v/>
      </c>
      <c r="X30" s="164" t="str">
        <f t="shared" si="3"/>
        <v>物理状态：</v>
      </c>
    </row>
    <row r="31" spans="1:24" ht="42.75">
      <c r="A31" s="194">
        <v>5</v>
      </c>
      <c r="B31" s="162" t="s">
        <v>1828</v>
      </c>
      <c r="C31" s="162" t="s">
        <v>1410</v>
      </c>
      <c r="D31" s="162" t="s">
        <v>334</v>
      </c>
      <c r="E31" s="162" t="s">
        <v>1411</v>
      </c>
      <c r="F31" s="162" t="s">
        <v>335</v>
      </c>
      <c r="G31" s="195"/>
      <c r="H31" s="195"/>
      <c r="I31" s="195">
        <v>600</v>
      </c>
      <c r="J31" s="195"/>
      <c r="K31" s="195"/>
      <c r="L31" s="195">
        <v>12</v>
      </c>
      <c r="M31" s="195">
        <v>5</v>
      </c>
      <c r="N31" s="196" t="s">
        <v>659</v>
      </c>
      <c r="O31" s="196" t="s">
        <v>657</v>
      </c>
      <c r="P31" s="161" t="s">
        <v>1882</v>
      </c>
      <c r="Q31" s="161" t="s">
        <v>336</v>
      </c>
      <c r="R31" s="162" t="str">
        <f t="shared" si="0"/>
        <v>暗影之刺</v>
      </c>
      <c r="S31" s="161" t="s">
        <v>1845</v>
      </c>
      <c r="T31" s="172" t="s">
        <v>299</v>
      </c>
      <c r="U31" s="172">
        <v>1</v>
      </c>
      <c r="V31" s="164" t="str">
        <f t="shared" si="1"/>
        <v>造成直接的法术伤害，然后再持续地对目标造成基于损失生命的法术伤害。|n|n|cff99ccff施法距离:|r 600码|n|cff99ccff持续时间:|r 12秒|n|cff99ccff冷却时间:|r 5秒|n</v>
      </c>
      <c r="W31" s="164" t="str">
        <f t="shared" si="2"/>
        <v>暗影之刺</v>
      </c>
      <c r="X31" s="164" t="str">
        <f t="shared" si="3"/>
        <v>|cff6666ff魔法|r状态：受到周期性的法术伤害。</v>
      </c>
    </row>
    <row r="32" spans="1:24" ht="28.5">
      <c r="A32" s="194"/>
      <c r="B32" s="162"/>
      <c r="C32" s="162"/>
      <c r="D32" s="162"/>
      <c r="E32" s="162" t="s">
        <v>1412</v>
      </c>
      <c r="F32" s="162" t="s">
        <v>337</v>
      </c>
      <c r="G32" s="195"/>
      <c r="H32" s="195"/>
      <c r="I32" s="195">
        <v>600</v>
      </c>
      <c r="J32" s="195"/>
      <c r="K32" s="195"/>
      <c r="L32" s="195"/>
      <c r="M32" s="195">
        <v>15</v>
      </c>
      <c r="N32" s="196" t="s">
        <v>659</v>
      </c>
      <c r="O32" s="196" t="s">
        <v>657</v>
      </c>
      <c r="P32" s="161" t="s">
        <v>1857</v>
      </c>
      <c r="Q32" s="161" t="s">
        <v>338</v>
      </c>
      <c r="R32" s="162" t="str">
        <f t="shared" si="0"/>
        <v>痛苦标记</v>
      </c>
      <c r="S32" s="161" t="s">
        <v>1858</v>
      </c>
      <c r="T32" s="172" t="s">
        <v>305</v>
      </c>
      <c r="U32" s="172">
        <v>1</v>
      </c>
      <c r="V32" s="164" t="str">
        <f t="shared" si="1"/>
        <v>目标受到等同于痛苦之女受到的伤害。|n|n|cff99ccff施法距离:|r 600码|n|cff99ccff冷却时间:|r 15秒|n</v>
      </c>
      <c r="W32" s="164" t="str">
        <f t="shared" si="2"/>
        <v>痛苦标记</v>
      </c>
      <c r="X32" s="164" t="str">
        <f t="shared" si="3"/>
        <v>|cff6666ff魔法|r状态：受到等同于痛苦之女所受的伤害。</v>
      </c>
    </row>
    <row r="33" spans="1:25">
      <c r="A33" s="194">
        <v>5</v>
      </c>
      <c r="B33" s="197" t="s">
        <v>300</v>
      </c>
      <c r="C33" s="197" t="s">
        <v>1413</v>
      </c>
      <c r="D33" s="197" t="s">
        <v>339</v>
      </c>
      <c r="E33" s="201" t="s">
        <v>1414</v>
      </c>
      <c r="F33" s="201" t="s">
        <v>340</v>
      </c>
      <c r="G33" s="202"/>
      <c r="H33" s="202"/>
      <c r="I33" s="202"/>
      <c r="J33" s="202"/>
      <c r="K33" s="202"/>
      <c r="L33" s="202"/>
      <c r="M33" s="202"/>
      <c r="N33" s="203"/>
      <c r="O33" s="203"/>
      <c r="P33" s="204" t="s">
        <v>1415</v>
      </c>
      <c r="Q33" s="204"/>
      <c r="R33" s="205" t="str">
        <f t="shared" ref="R33:R53" si="4">E33</f>
        <v>相位变换</v>
      </c>
      <c r="S33" s="206" t="s">
        <v>1859</v>
      </c>
      <c r="T33" s="207" t="s">
        <v>1452</v>
      </c>
      <c r="U33" s="208" t="s">
        <v>1319</v>
      </c>
      <c r="V33" s="209" t="str">
        <f t="shared" ref="V33:V53" si="5">creepAbilityUberTipCN(P33,G33:M33)</f>
        <v>X秒永久隐形|n|n</v>
      </c>
      <c r="W33" s="209" t="str">
        <f t="shared" ref="W33:W53" si="6">creepBuffTip(R33,O33)</f>
        <v>相位变换</v>
      </c>
      <c r="X33" s="209" t="str">
        <f t="shared" ref="X33:X53" si="7">creepBuffUber(S33,N33)</f>
        <v>物理状态：隐身。</v>
      </c>
      <c r="Y33" s="209"/>
    </row>
    <row r="34" spans="1:25" ht="28.5">
      <c r="A34" s="194"/>
      <c r="B34" s="197"/>
      <c r="C34" s="197"/>
      <c r="D34" s="197"/>
      <c r="E34" s="197" t="s">
        <v>1416</v>
      </c>
      <c r="F34" s="197" t="s">
        <v>341</v>
      </c>
      <c r="G34" s="198">
        <v>4</v>
      </c>
      <c r="H34" s="198"/>
      <c r="I34" s="198"/>
      <c r="J34" s="198"/>
      <c r="K34" s="198"/>
      <c r="L34" s="198"/>
      <c r="M34" s="198">
        <v>12</v>
      </c>
      <c r="N34" s="199"/>
      <c r="O34" s="199"/>
      <c r="P34" s="200" t="s">
        <v>1417</v>
      </c>
      <c r="Q34" s="170"/>
      <c r="R34" s="162"/>
      <c r="S34" s="161"/>
      <c r="T34" s="172" t="s">
        <v>1887</v>
      </c>
      <c r="U34" s="172">
        <v>1</v>
      </c>
      <c r="V34" s="164" t="str">
        <f t="shared" si="5"/>
        <v>将所有敌人拉至身边, 然后开始施放魔爆术, 造成1500伤害.|n|n|cff99ccff施法时间:|r 4秒|n|cff99ccff冷却时间:|r 12秒|n</v>
      </c>
      <c r="W34" s="164" t="str">
        <f t="shared" si="6"/>
        <v/>
      </c>
      <c r="X34" s="164" t="str">
        <f t="shared" si="7"/>
        <v>物理状态：</v>
      </c>
    </row>
    <row r="35" spans="1:25">
      <c r="A35" s="194"/>
      <c r="B35" s="197"/>
      <c r="C35" s="197"/>
      <c r="D35" s="197"/>
      <c r="E35" s="197" t="s">
        <v>1418</v>
      </c>
      <c r="F35" s="197" t="s">
        <v>342</v>
      </c>
      <c r="G35" s="198"/>
      <c r="H35" s="198"/>
      <c r="I35" s="198"/>
      <c r="J35" s="198"/>
      <c r="K35" s="198"/>
      <c r="L35" s="198">
        <v>12</v>
      </c>
      <c r="M35" s="198">
        <v>9</v>
      </c>
      <c r="N35" s="199" t="s">
        <v>659</v>
      </c>
      <c r="O35" s="199" t="s">
        <v>657</v>
      </c>
      <c r="P35" s="200" t="s">
        <v>1419</v>
      </c>
      <c r="Q35" s="170"/>
      <c r="R35" s="162" t="str">
        <f t="shared" si="4"/>
        <v>虚空吐息</v>
      </c>
      <c r="S35" s="161" t="s">
        <v>1860</v>
      </c>
      <c r="T35" s="172" t="s">
        <v>1888</v>
      </c>
      <c r="U35" s="172">
        <v>1</v>
      </c>
      <c r="V35" s="164" t="str">
        <f t="shared" si="5"/>
        <v>正面锥形AOE, 并且使受影响的目标受到的法伤增幅.|n|n|cff99ccff持续时间:|r 12秒|n|cff99ccff冷却时间:|r 9秒|n</v>
      </c>
      <c r="W35" s="164" t="str">
        <f t="shared" si="6"/>
        <v>虚空吐息</v>
      </c>
      <c r="X35" s="164" t="str">
        <f t="shared" si="7"/>
        <v>|cff6666ff魔法|r状态：受到的法术伤害提高。</v>
      </c>
    </row>
    <row r="36" spans="1:25">
      <c r="A36" s="194">
        <v>5</v>
      </c>
      <c r="B36" s="162" t="s">
        <v>308</v>
      </c>
      <c r="C36" s="162" t="s">
        <v>1420</v>
      </c>
      <c r="D36" s="162" t="s">
        <v>343</v>
      </c>
      <c r="E36" s="205" t="s">
        <v>1414</v>
      </c>
      <c r="F36" s="205" t="s">
        <v>340</v>
      </c>
      <c r="G36" s="210"/>
      <c r="H36" s="210"/>
      <c r="I36" s="210"/>
      <c r="J36" s="210"/>
      <c r="K36" s="210"/>
      <c r="L36" s="210"/>
      <c r="M36" s="210"/>
      <c r="N36" s="211"/>
      <c r="O36" s="211"/>
      <c r="P36" s="206" t="s">
        <v>1415</v>
      </c>
      <c r="Q36" s="206"/>
      <c r="R36" s="205" t="str">
        <f t="shared" si="4"/>
        <v>相位变换</v>
      </c>
      <c r="S36" s="206" t="s">
        <v>1859</v>
      </c>
      <c r="T36" s="207" t="s">
        <v>1452</v>
      </c>
      <c r="U36" s="208" t="s">
        <v>1319</v>
      </c>
      <c r="V36" s="209" t="str">
        <f t="shared" si="5"/>
        <v>X秒永久隐形|n|n</v>
      </c>
      <c r="W36" s="209" t="str">
        <f t="shared" si="6"/>
        <v>相位变换</v>
      </c>
      <c r="X36" s="209" t="str">
        <f t="shared" si="7"/>
        <v>物理状态：隐身。</v>
      </c>
      <c r="Y36" s="209"/>
    </row>
    <row r="37" spans="1:25">
      <c r="A37" s="194"/>
      <c r="B37" s="162"/>
      <c r="C37" s="162"/>
      <c r="D37" s="162"/>
      <c r="E37" s="162" t="s">
        <v>1421</v>
      </c>
      <c r="F37" s="162" t="s">
        <v>344</v>
      </c>
      <c r="G37" s="195"/>
      <c r="H37" s="195"/>
      <c r="I37" s="195">
        <v>600</v>
      </c>
      <c r="J37" s="195"/>
      <c r="K37" s="195"/>
      <c r="L37" s="195"/>
      <c r="M37" s="195">
        <v>7</v>
      </c>
      <c r="N37" s="196" t="s">
        <v>659</v>
      </c>
      <c r="O37" s="196" t="s">
        <v>657</v>
      </c>
      <c r="P37" s="161" t="s">
        <v>1422</v>
      </c>
      <c r="Q37" s="161"/>
      <c r="R37" s="162" t="str">
        <f t="shared" si="4"/>
        <v>迟缓</v>
      </c>
      <c r="S37" s="161" t="s">
        <v>1861</v>
      </c>
      <c r="T37" s="172" t="s">
        <v>305</v>
      </c>
      <c r="U37" s="172">
        <v>1</v>
      </c>
      <c r="V37" s="164" t="str">
        <f t="shared" si="5"/>
        <v>降低目标75%移动速度.|n|n|cff99ccff施法距离:|r 600码|n|cff99ccff冷却时间:|r 7秒|n</v>
      </c>
      <c r="W37" s="164" t="str">
        <f t="shared" si="6"/>
        <v>迟缓</v>
      </c>
      <c r="X37" s="164" t="str">
        <f t="shared" si="7"/>
        <v>|cff6666ff魔法|r状态：移动速度降低。</v>
      </c>
    </row>
    <row r="38" spans="1:25">
      <c r="A38" s="194">
        <v>5</v>
      </c>
      <c r="B38" s="212" t="s">
        <v>300</v>
      </c>
      <c r="C38" s="212" t="s">
        <v>1423</v>
      </c>
      <c r="D38" s="212" t="s">
        <v>1274</v>
      </c>
      <c r="E38" s="212" t="s">
        <v>1424</v>
      </c>
      <c r="F38" s="212" t="s">
        <v>1275</v>
      </c>
      <c r="G38" s="213">
        <v>0</v>
      </c>
      <c r="H38" s="213"/>
      <c r="I38" s="213">
        <v>900</v>
      </c>
      <c r="J38" s="213">
        <v>350</v>
      </c>
      <c r="K38" s="213">
        <v>0</v>
      </c>
      <c r="L38" s="213"/>
      <c r="M38" s="213">
        <v>7</v>
      </c>
      <c r="N38" s="214"/>
      <c r="O38" s="214"/>
      <c r="P38" s="215" t="s">
        <v>1425</v>
      </c>
      <c r="Q38" s="161"/>
      <c r="R38" s="162"/>
      <c r="S38" s="161"/>
      <c r="T38" s="172" t="s">
        <v>1315</v>
      </c>
      <c r="U38" s="172">
        <v>1</v>
      </c>
      <c r="V38" s="164" t="str">
        <f t="shared" si="5"/>
        <v>对目标区域内造成6000点物理伤害，由所有目标分担。|n|n|cff99ccff施法时间:|r 0秒|n|cff99ccff施法距离:|r 900码|n|cff99ccff影响范围:|r 350码|n|cff99ccff法力消耗:|r 0点|n|cff99ccff冷却时间:|r 7秒|n</v>
      </c>
      <c r="W38" s="164" t="str">
        <f t="shared" si="6"/>
        <v/>
      </c>
      <c r="X38" s="164" t="str">
        <f t="shared" si="7"/>
        <v>物理状态：</v>
      </c>
    </row>
    <row r="39" spans="1:25">
      <c r="A39" s="194"/>
      <c r="B39" s="212"/>
      <c r="C39" s="212"/>
      <c r="D39" s="212"/>
      <c r="E39" s="212" t="s">
        <v>1890</v>
      </c>
      <c r="F39" s="212" t="s">
        <v>1276</v>
      </c>
      <c r="G39" s="213"/>
      <c r="H39" s="213"/>
      <c r="I39" s="213"/>
      <c r="J39" s="213"/>
      <c r="K39" s="213"/>
      <c r="L39" s="213"/>
      <c r="M39" s="213">
        <v>20</v>
      </c>
      <c r="N39" s="214" t="s">
        <v>658</v>
      </c>
      <c r="O39" s="214" t="s">
        <v>658</v>
      </c>
      <c r="P39" s="215" t="s">
        <v>1426</v>
      </c>
      <c r="Q39" s="161"/>
      <c r="R39" s="162" t="s">
        <v>1890</v>
      </c>
      <c r="S39" s="161" t="s">
        <v>1891</v>
      </c>
      <c r="T39" s="216" t="s">
        <v>1887</v>
      </c>
      <c r="U39" s="216">
        <v>1</v>
      </c>
      <c r="V39" s="164" t="str">
        <f t="shared" si="5"/>
        <v>每秒对附近的玩家单位造成100点法术伤害。|n|n|cff99ccff冷却时间:|r 20秒|n</v>
      </c>
      <c r="W39" s="164" t="str">
        <f t="shared" si="6"/>
        <v>|cff00ff00燃烧|r</v>
      </c>
      <c r="X39" s="164" t="str">
        <f t="shared" si="7"/>
        <v>物理状态：周期性地对周围敌军造成伤害。</v>
      </c>
    </row>
    <row r="40" spans="1:25" ht="28.5">
      <c r="A40" s="194"/>
      <c r="B40" s="212"/>
      <c r="C40" s="212"/>
      <c r="D40" s="212"/>
      <c r="E40" s="205" t="s">
        <v>1427</v>
      </c>
      <c r="F40" s="205" t="s">
        <v>1277</v>
      </c>
      <c r="G40" s="210"/>
      <c r="H40" s="210"/>
      <c r="I40" s="210"/>
      <c r="J40" s="210"/>
      <c r="K40" s="210"/>
      <c r="L40" s="210"/>
      <c r="M40" s="210"/>
      <c r="N40" s="211"/>
      <c r="O40" s="211"/>
      <c r="P40" s="206" t="s">
        <v>1428</v>
      </c>
      <c r="Q40" s="206"/>
      <c r="R40" s="205"/>
      <c r="S40" s="206"/>
      <c r="T40" s="207" t="s">
        <v>1452</v>
      </c>
      <c r="U40" s="208" t="s">
        <v>1319</v>
      </c>
      <c r="V40" s="209" t="str">
        <f t="shared" si="5"/>
        <v>对附近生命百分比最高的单位造成80%生命上限的伤害。|n|n</v>
      </c>
      <c r="W40" s="209" t="str">
        <f t="shared" si="6"/>
        <v/>
      </c>
      <c r="X40" s="209" t="str">
        <f t="shared" si="7"/>
        <v>物理状态：</v>
      </c>
      <c r="Y40" s="209"/>
    </row>
    <row r="41" spans="1:25">
      <c r="A41" s="217">
        <v>6</v>
      </c>
      <c r="B41" s="157" t="s">
        <v>1828</v>
      </c>
      <c r="C41" s="157" t="s">
        <v>1429</v>
      </c>
      <c r="D41" s="157" t="s">
        <v>345</v>
      </c>
      <c r="E41" s="157" t="s">
        <v>1430</v>
      </c>
      <c r="F41" s="157" t="s">
        <v>346</v>
      </c>
      <c r="G41" s="158">
        <v>2</v>
      </c>
      <c r="H41" s="158"/>
      <c r="I41" s="158"/>
      <c r="J41" s="158"/>
      <c r="K41" s="158"/>
      <c r="L41" s="158"/>
      <c r="M41" s="158">
        <v>6</v>
      </c>
      <c r="N41" s="159"/>
      <c r="O41" s="159"/>
      <c r="P41" s="160" t="s">
        <v>1453</v>
      </c>
      <c r="Q41" s="170"/>
      <c r="R41" s="162"/>
      <c r="S41" s="161"/>
      <c r="T41" s="172" t="s">
        <v>299</v>
      </c>
      <c r="U41" s="172">
        <v>1</v>
      </c>
      <c r="V41" s="164" t="str">
        <f t="shared" si="5"/>
        <v>立即对目标造成70%其生命上限的物理伤害。|n|n|cff99ccff施法时间:|r 2秒|n|cff99ccff冷却时间:|r 6秒|n</v>
      </c>
      <c r="W41" s="164" t="str">
        <f t="shared" si="6"/>
        <v/>
      </c>
      <c r="X41" s="164" t="str">
        <f t="shared" si="7"/>
        <v>物理状态：</v>
      </c>
    </row>
    <row r="42" spans="1:25" ht="28.5">
      <c r="A42" s="217"/>
      <c r="B42" s="157"/>
      <c r="C42" s="157"/>
      <c r="D42" s="185"/>
      <c r="E42" s="185" t="s">
        <v>1431</v>
      </c>
      <c r="F42" s="185" t="s">
        <v>347</v>
      </c>
      <c r="G42" s="158"/>
      <c r="H42" s="158"/>
      <c r="I42" s="158"/>
      <c r="J42" s="158"/>
      <c r="K42" s="158"/>
      <c r="L42" s="158">
        <v>3</v>
      </c>
      <c r="M42" s="158">
        <v>12</v>
      </c>
      <c r="N42" s="159" t="s">
        <v>658</v>
      </c>
      <c r="O42" s="159" t="s">
        <v>657</v>
      </c>
      <c r="P42" s="186" t="s">
        <v>1432</v>
      </c>
      <c r="Q42" s="187"/>
      <c r="R42" s="162" t="str">
        <f t="shared" si="4"/>
        <v>震地</v>
      </c>
      <c r="S42" s="161" t="s">
        <v>1861</v>
      </c>
      <c r="T42" s="48" t="s">
        <v>1887</v>
      </c>
      <c r="U42" s="48">
        <v>1</v>
      </c>
      <c r="V42" s="164" t="str">
        <f t="shared" si="5"/>
        <v>击飞附近所有敌人，造成300点物理伤害，并降低他们的移动速度75%。|n|n|cff99ccff持续时间:|r 3秒|n|cff99ccff冷却时间:|r 12秒|n</v>
      </c>
      <c r="W42" s="164" t="str">
        <f t="shared" si="6"/>
        <v>震地</v>
      </c>
      <c r="X42" s="164" t="str">
        <f t="shared" si="7"/>
        <v>物理状态：移动速度降低。</v>
      </c>
    </row>
    <row r="43" spans="1:25">
      <c r="A43" s="220">
        <v>6</v>
      </c>
      <c r="B43" s="221" t="s">
        <v>1828</v>
      </c>
      <c r="C43" s="221" t="s">
        <v>1433</v>
      </c>
      <c r="D43" s="221" t="s">
        <v>1278</v>
      </c>
      <c r="E43" s="221" t="s">
        <v>1434</v>
      </c>
      <c r="F43" s="221" t="s">
        <v>1279</v>
      </c>
      <c r="G43" s="222"/>
      <c r="H43" s="222"/>
      <c r="I43" s="222"/>
      <c r="J43" s="222"/>
      <c r="K43" s="222"/>
      <c r="L43" s="222"/>
      <c r="M43" s="222"/>
      <c r="N43" s="223" t="s">
        <v>658</v>
      </c>
      <c r="O43" s="223" t="s">
        <v>658</v>
      </c>
      <c r="P43" s="224" t="s">
        <v>1435</v>
      </c>
      <c r="R43" s="162" t="str">
        <f t="shared" si="4"/>
        <v>狂热</v>
      </c>
      <c r="S43" s="161" t="s">
        <v>1862</v>
      </c>
      <c r="T43" s="218" t="s">
        <v>1452</v>
      </c>
      <c r="U43" s="219" t="s">
        <v>1319</v>
      </c>
      <c r="V43" s="164" t="str">
        <f t="shared" si="5"/>
        <v>每次攻击可以使攻击力提高50点。|n|n</v>
      </c>
      <c r="W43" s="164" t="str">
        <f t="shared" si="6"/>
        <v>|cff00ff00狂热|r</v>
      </c>
      <c r="X43" s="164" t="str">
        <f t="shared" si="7"/>
        <v>物理状态：攻击强度提高。</v>
      </c>
    </row>
    <row r="44" spans="1:25" ht="28.5">
      <c r="A44" s="220">
        <v>6</v>
      </c>
      <c r="B44" s="164" t="s">
        <v>1828</v>
      </c>
      <c r="C44" s="164" t="s">
        <v>1436</v>
      </c>
      <c r="D44" s="164" t="s">
        <v>1285</v>
      </c>
      <c r="E44" s="164" t="s">
        <v>1437</v>
      </c>
      <c r="F44" s="164" t="s">
        <v>1280</v>
      </c>
      <c r="P44" s="225" t="s">
        <v>1438</v>
      </c>
      <c r="R44" s="162"/>
      <c r="S44" s="161"/>
      <c r="T44" s="218" t="s">
        <v>1452</v>
      </c>
      <c r="U44" s="219" t="s">
        <v>1319</v>
      </c>
      <c r="V44" s="164" t="str">
        <f t="shared" si="5"/>
        <v>尸体从天而降，对范围内的友军治疗，对玩家单位造成伤害。|n|n</v>
      </c>
      <c r="W44" s="164" t="str">
        <f t="shared" si="6"/>
        <v/>
      </c>
      <c r="X44" s="164" t="str">
        <f t="shared" si="7"/>
        <v>物理状态：</v>
      </c>
    </row>
    <row r="45" spans="1:25" ht="42.75">
      <c r="A45" s="220"/>
      <c r="E45" s="164" t="s">
        <v>1439</v>
      </c>
      <c r="F45" s="164" t="s">
        <v>1281</v>
      </c>
      <c r="P45" s="225" t="s">
        <v>1863</v>
      </c>
      <c r="R45" s="162"/>
      <c r="S45" s="161"/>
      <c r="T45" s="218" t="s">
        <v>1452</v>
      </c>
      <c r="U45" s="219" t="s">
        <v>1319</v>
      </c>
      <c r="V45" s="164" t="str">
        <f t="shared" si="5"/>
        <v>召唤目标的幻象，幻象受到伤害时，目标也会受到同样百分比的伤害。幻象每秒受到20%生命上限的伤害并恢复15%生命上限的生命值。|n|n</v>
      </c>
      <c r="W45" s="164" t="str">
        <f t="shared" si="6"/>
        <v/>
      </c>
      <c r="X45" s="164" t="str">
        <f t="shared" si="7"/>
        <v>物理状态：</v>
      </c>
    </row>
    <row r="46" spans="1:25">
      <c r="A46" s="220">
        <v>6</v>
      </c>
      <c r="B46" s="221" t="s">
        <v>300</v>
      </c>
      <c r="C46" s="221" t="s">
        <v>1440</v>
      </c>
      <c r="D46" s="221" t="s">
        <v>1282</v>
      </c>
      <c r="E46" s="221" t="s">
        <v>1872</v>
      </c>
      <c r="F46" s="221" t="s">
        <v>1283</v>
      </c>
      <c r="G46" s="222"/>
      <c r="H46" s="222"/>
      <c r="I46" s="222"/>
      <c r="J46" s="222"/>
      <c r="K46" s="222"/>
      <c r="L46" s="222"/>
      <c r="M46" s="222"/>
      <c r="N46" s="223"/>
      <c r="O46" s="223"/>
      <c r="P46" s="224" t="s">
        <v>1441</v>
      </c>
      <c r="R46" s="162"/>
      <c r="S46" s="161"/>
      <c r="T46" s="218" t="s">
        <v>1452</v>
      </c>
      <c r="U46" s="219" t="s">
        <v>1319</v>
      </c>
      <c r="V46" s="164" t="str">
        <f t="shared" si="5"/>
        <v>每次攻击对附近所有玩家单位造成伤害。|n|n</v>
      </c>
      <c r="W46" s="164" t="str">
        <f t="shared" si="6"/>
        <v/>
      </c>
      <c r="X46" s="164" t="str">
        <f t="shared" si="7"/>
        <v>物理状态：</v>
      </c>
    </row>
    <row r="47" spans="1:25" ht="28.5">
      <c r="A47" s="220"/>
      <c r="B47" s="221"/>
      <c r="C47" s="221"/>
      <c r="D47" s="221"/>
      <c r="E47" s="221" t="s">
        <v>1442</v>
      </c>
      <c r="F47" s="221" t="s">
        <v>1284</v>
      </c>
      <c r="G47" s="222"/>
      <c r="H47" s="222"/>
      <c r="I47" s="222"/>
      <c r="J47" s="222"/>
      <c r="K47" s="222"/>
      <c r="L47" s="222"/>
      <c r="M47" s="222"/>
      <c r="N47" s="223" t="s">
        <v>659</v>
      </c>
      <c r="O47" s="223" t="s">
        <v>657</v>
      </c>
      <c r="P47" s="224" t="s">
        <v>1443</v>
      </c>
      <c r="R47" s="162" t="str">
        <f t="shared" si="4"/>
        <v>呕吐</v>
      </c>
      <c r="S47" s="161" t="s">
        <v>1865</v>
      </c>
      <c r="T47" s="219" t="s">
        <v>1318</v>
      </c>
      <c r="U47" s="219" t="s">
        <v>1319</v>
      </c>
      <c r="V47" s="164" t="str">
        <f t="shared" si="5"/>
        <v>呕吐出一堆蛆虫来攻击范围内的玩家单位，被蛆虫攻击的单位的命中率降低40%。|n|n</v>
      </c>
      <c r="W47" s="164" t="str">
        <f t="shared" si="6"/>
        <v>呕吐</v>
      </c>
      <c r="X47" s="164" t="str">
        <f t="shared" si="7"/>
        <v>|cff6666ff魔法|r状态：命中几率降低。</v>
      </c>
    </row>
    <row r="48" spans="1:25" ht="28.5">
      <c r="A48" s="220">
        <v>6</v>
      </c>
      <c r="B48" s="164" t="s">
        <v>1828</v>
      </c>
      <c r="C48" s="164" t="s">
        <v>1867</v>
      </c>
      <c r="D48" s="164" t="s">
        <v>1286</v>
      </c>
      <c r="E48" s="164" t="s">
        <v>1444</v>
      </c>
      <c r="F48" s="164" t="s">
        <v>1287</v>
      </c>
      <c r="M48" s="226">
        <v>4</v>
      </c>
      <c r="P48" s="225" t="s">
        <v>1445</v>
      </c>
      <c r="R48" s="162"/>
      <c r="S48" s="161"/>
      <c r="T48" s="172" t="s">
        <v>299</v>
      </c>
      <c r="U48" s="172">
        <v>1</v>
      </c>
      <c r="V48" s="164" t="str">
        <f t="shared" si="5"/>
        <v>发射一枝毒箭，对路径上的所有玩家单位造成伤害。恐怖图腾也会一起发射毒箭。|n|n|cff99ccff冷却时间:|r 4秒|n</v>
      </c>
      <c r="W48" s="164" t="str">
        <f t="shared" si="6"/>
        <v/>
      </c>
      <c r="X48" s="164" t="str">
        <f t="shared" si="7"/>
        <v>物理状态：</v>
      </c>
    </row>
    <row r="49" spans="1:24" ht="28.5">
      <c r="A49" s="220"/>
      <c r="E49" s="164" t="s">
        <v>1446</v>
      </c>
      <c r="F49" s="164" t="s">
        <v>1288</v>
      </c>
      <c r="M49" s="226">
        <v>8</v>
      </c>
      <c r="N49" s="227" t="s">
        <v>658</v>
      </c>
      <c r="O49" s="227" t="s">
        <v>657</v>
      </c>
      <c r="P49" s="225" t="s">
        <v>1876</v>
      </c>
      <c r="R49" s="162" t="str">
        <f t="shared" si="4"/>
        <v>恐怖图腾</v>
      </c>
      <c r="S49" s="161" t="s">
        <v>1864</v>
      </c>
      <c r="T49" s="163" t="s">
        <v>292</v>
      </c>
      <c r="U49" s="172">
        <v>1</v>
      </c>
      <c r="V49" s="164" t="str">
        <f t="shared" si="5"/>
        <v>召唤一个无敌的恐怖图腾，附近的玩家单位造成的伤害降低15%。|n|n|cff99ccff冷却时间:|r 8秒|n</v>
      </c>
      <c r="W49" s="164" t="str">
        <f t="shared" si="6"/>
        <v>恐怖图腾</v>
      </c>
      <c r="X49" s="164" t="str">
        <f t="shared" si="7"/>
        <v>物理状态：造成的伤害降低。</v>
      </c>
    </row>
    <row r="50" spans="1:24">
      <c r="A50" s="220">
        <v>6</v>
      </c>
      <c r="B50" s="221" t="s">
        <v>300</v>
      </c>
      <c r="C50" s="221" t="s">
        <v>1447</v>
      </c>
      <c r="D50" s="221" t="s">
        <v>1289</v>
      </c>
      <c r="E50" s="221" t="s">
        <v>1448</v>
      </c>
      <c r="F50" s="221" t="s">
        <v>1290</v>
      </c>
      <c r="G50" s="222"/>
      <c r="H50" s="222"/>
      <c r="I50" s="222">
        <v>1200</v>
      </c>
      <c r="J50" s="222"/>
      <c r="K50" s="222"/>
      <c r="L50" s="222">
        <v>9</v>
      </c>
      <c r="M50" s="222">
        <v>12</v>
      </c>
      <c r="N50" s="223" t="s">
        <v>659</v>
      </c>
      <c r="O50" s="223" t="s">
        <v>657</v>
      </c>
      <c r="P50" s="224" t="s">
        <v>1449</v>
      </c>
      <c r="R50" s="162" t="str">
        <f t="shared" si="4"/>
        <v>险恶打击</v>
      </c>
      <c r="S50" s="161" t="s">
        <v>1866</v>
      </c>
      <c r="T50" s="218" t="s">
        <v>1452</v>
      </c>
      <c r="U50" s="219" t="s">
        <v>1319</v>
      </c>
      <c r="V50" s="164" t="str">
        <f t="shared" si="5"/>
        <v>目标单位每2秒昏迷1秒。|n|n|cff99ccff施法距离:|r 1200码|n|cff99ccff持续时间:|r 9秒|n|cff99ccff冷却时间:|r 12秒|n</v>
      </c>
      <c r="W50" s="164" t="str">
        <f t="shared" si="6"/>
        <v>险恶打击</v>
      </c>
      <c r="X50" s="164" t="str">
        <f t="shared" si="7"/>
        <v>|cff6666ff魔法|r状态：周期性的昏迷。</v>
      </c>
    </row>
    <row r="51" spans="1:24" ht="28.5">
      <c r="A51" s="220"/>
      <c r="B51" s="221"/>
      <c r="C51" s="221"/>
      <c r="D51" s="221"/>
      <c r="E51" s="221" t="s">
        <v>1450</v>
      </c>
      <c r="F51" s="221" t="s">
        <v>1291</v>
      </c>
      <c r="G51" s="222"/>
      <c r="H51" s="222"/>
      <c r="I51" s="222">
        <v>1200</v>
      </c>
      <c r="J51" s="222">
        <v>300</v>
      </c>
      <c r="K51" s="222"/>
      <c r="L51" s="222">
        <v>15</v>
      </c>
      <c r="M51" s="222">
        <v>15</v>
      </c>
      <c r="N51" s="223"/>
      <c r="O51" s="223"/>
      <c r="P51" s="224" t="s">
        <v>1451</v>
      </c>
      <c r="R51" s="162"/>
      <c r="S51" s="161"/>
      <c r="T51" s="218" t="s">
        <v>1452</v>
      </c>
      <c r="U51" s="219" t="s">
        <v>1319</v>
      </c>
      <c r="V51" s="164" t="str">
        <f t="shared" si="5"/>
        <v>对目标区域内的所有玩家每秒造成伤害，范围会逐渐扩大。|n|n|cff99ccff施法距离:|r 1200码|n|cff99ccff影响范围:|r 300码|n|cff99ccff持续时间:|r 15秒|n|cff99ccff冷却时间:|r 15秒|n</v>
      </c>
      <c r="W51" s="164" t="str">
        <f t="shared" si="6"/>
        <v/>
      </c>
      <c r="X51" s="164" t="str">
        <f t="shared" si="7"/>
        <v>物理状态：</v>
      </c>
    </row>
    <row r="52" spans="1:24" ht="28.5">
      <c r="A52" s="228">
        <v>2</v>
      </c>
      <c r="B52" s="174" t="s">
        <v>1325</v>
      </c>
      <c r="C52" s="174" t="s">
        <v>1358</v>
      </c>
      <c r="D52" s="174" t="s">
        <v>1324</v>
      </c>
      <c r="E52" s="174" t="s">
        <v>1359</v>
      </c>
      <c r="F52" s="174" t="s">
        <v>296</v>
      </c>
      <c r="G52" s="175"/>
      <c r="H52" s="175"/>
      <c r="I52" s="175"/>
      <c r="J52" s="175"/>
      <c r="K52" s="175"/>
      <c r="L52" s="175">
        <v>10</v>
      </c>
      <c r="M52" s="175">
        <v>20</v>
      </c>
      <c r="N52" s="176" t="s">
        <v>659</v>
      </c>
      <c r="O52" s="176" t="s">
        <v>658</v>
      </c>
      <c r="P52" s="177" t="s">
        <v>1360</v>
      </c>
      <c r="Q52" s="161"/>
      <c r="R52" s="162" t="str">
        <f t="shared" si="4"/>
        <v>狂乱</v>
      </c>
      <c r="S52" s="161" t="s">
        <v>1846</v>
      </c>
      <c r="T52" s="163" t="s">
        <v>297</v>
      </c>
      <c r="U52" s="163">
        <v>1</v>
      </c>
      <c r="V52" s="164" t="str">
        <f t="shared" si="5"/>
        <v>提升100%攻击速度。（在目标受到压碎护甲效果影响后开启。）|n|n|cff99ccff持续时间:|r 10秒|n|cff99ccff冷却时间:|r 20秒|n</v>
      </c>
      <c r="W52" s="164" t="str">
        <f t="shared" si="6"/>
        <v>|cff00ff00狂乱|r</v>
      </c>
      <c r="X52" s="164" t="str">
        <f t="shared" si="7"/>
        <v>|cff6666ff魔法|r状态：攻击速度提高。</v>
      </c>
    </row>
    <row r="53" spans="1:24">
      <c r="A53" s="228"/>
      <c r="B53" s="174"/>
      <c r="C53" s="174"/>
      <c r="D53" s="174"/>
      <c r="E53" s="174" t="s">
        <v>1361</v>
      </c>
      <c r="F53" s="174" t="s">
        <v>298</v>
      </c>
      <c r="G53" s="175"/>
      <c r="H53" s="175"/>
      <c r="I53" s="175">
        <v>200</v>
      </c>
      <c r="J53" s="175"/>
      <c r="K53" s="175"/>
      <c r="L53" s="175">
        <v>7</v>
      </c>
      <c r="M53" s="175">
        <v>20</v>
      </c>
      <c r="N53" s="176" t="s">
        <v>658</v>
      </c>
      <c r="O53" s="176" t="s">
        <v>657</v>
      </c>
      <c r="P53" s="177" t="s">
        <v>1362</v>
      </c>
      <c r="Q53" s="161"/>
      <c r="R53" s="162" t="str">
        <f t="shared" si="4"/>
        <v>压碎护甲</v>
      </c>
      <c r="S53" s="161" t="s">
        <v>1847</v>
      </c>
      <c r="T53" s="163" t="s">
        <v>299</v>
      </c>
      <c r="U53" s="163">
        <v>1</v>
      </c>
      <c r="V53" s="164" t="str">
        <f t="shared" si="5"/>
        <v>降低目标100点物理免伤。|n|n|cff99ccff施法距离:|r 200码|n|cff99ccff持续时间:|r 7秒|n|cff99ccff冷却时间:|r 20秒|n</v>
      </c>
      <c r="W53" s="164" t="str">
        <f t="shared" si="6"/>
        <v>压碎护甲</v>
      </c>
      <c r="X53" s="164"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6"/>
  <sheetViews>
    <sheetView workbookViewId="0">
      <pane ySplit="1" topLeftCell="A33" activePane="bottomLeft" state="frozen"/>
      <selection pane="bottomLeft" activeCell="W64" sqref="W64"/>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5" si="3">Q3-1</f>
        <v>29</v>
      </c>
      <c r="T3" s="91">
        <f t="shared" ref="T3:T65" si="4">R3+1</f>
        <v>6</v>
      </c>
      <c r="U3" s="89" t="s">
        <v>1230</v>
      </c>
      <c r="V3" s="89"/>
      <c r="W3" s="92" t="str">
        <f t="shared" ref="W3:W66"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1881</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5" si="9">C38-1-D38*10</f>
        <v>1499499</v>
      </c>
      <c r="Q38" s="91">
        <f t="shared" ref="Q38:Q65" si="10">G38-CHOOSE( IF( B38="ATT_AGI", 2, IF( B38="ATT_INT", 3, 1 ) ), D38, E38, F38 )</f>
        <v>10</v>
      </c>
      <c r="R38" s="91">
        <f t="shared" ref="R38:R65"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126"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126"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125"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125"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125"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125"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125"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127"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127"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127"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128"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128"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128"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128"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130"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130"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130"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130"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130"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131"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131" t="s">
        <v>1879</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1880</v>
      </c>
      <c r="V59" s="102"/>
      <c r="W59" s="92" t="str">
        <f t="shared" ca="1" si="5"/>
        <v>ModelInfo.rg(UTID_FEL_HOUND,ATT_NON,69999,550,200,5,0.05,0,0,1,0.01,CAREER_TYPE_CREEP,"ReplaceableTextures\\CommandButtons\\BTNPurpleFelhound.blp");</v>
      </c>
    </row>
    <row r="60" spans="1:23">
      <c r="A60" s="132" t="s">
        <v>1883</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04" t="s">
        <v>1884</v>
      </c>
      <c r="V60" s="102"/>
      <c r="W60" s="92" t="str">
        <f t="shared" ca="1" si="5"/>
        <v>ModelInfo.rg(UTID_MAID_OF_AGONY,ATT_NON,89999,800,300,5,0.2,0,0,0.9,0.1,CAREER_TYPE_CREEP,"ReplaceableTextures\\CommandButtons\\BTNBlueDemoness.blp");</v>
      </c>
    </row>
    <row r="61" spans="1:23">
      <c r="A61" s="132" t="s">
        <v>1885</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04" t="s">
        <v>1886</v>
      </c>
      <c r="V61" s="102"/>
      <c r="W61" s="92" t="str">
        <f t="shared" ca="1" si="5"/>
        <v>ModelInfo.rg(UTID_NETHER_DRAKE,ATT_NON,179999,750,350,0,0.1,0,0,0.8,0.01,CAREER_TYPE_CREEP,"ReplaceableTextures\\CommandButtons\\BTNNetherDragon.blp");</v>
      </c>
    </row>
    <row r="62" spans="1:23">
      <c r="A62" s="132" t="s">
        <v>1889</v>
      </c>
      <c r="B62" s="102" t="s">
        <v>1135</v>
      </c>
      <c r="C62" s="102">
        <v>60000</v>
      </c>
      <c r="D62" s="102">
        <v>0</v>
      </c>
      <c r="E62" s="102">
        <v>0</v>
      </c>
      <c r="F62" s="102">
        <v>0</v>
      </c>
      <c r="G62" s="102">
        <v>300</v>
      </c>
      <c r="H62" s="102">
        <v>600</v>
      </c>
      <c r="I62" s="103">
        <v>0</v>
      </c>
      <c r="J62" s="103">
        <v>0.03</v>
      </c>
      <c r="K62" s="103">
        <v>0</v>
      </c>
      <c r="L62" s="103">
        <v>0</v>
      </c>
      <c r="M62" s="103">
        <v>1</v>
      </c>
      <c r="N62" s="103">
        <v>0</v>
      </c>
      <c r="O62" s="102" t="s">
        <v>1134</v>
      </c>
      <c r="P62" s="91">
        <f t="shared" si="9"/>
        <v>59999</v>
      </c>
      <c r="Q62" s="91">
        <f t="shared" si="10"/>
        <v>300</v>
      </c>
      <c r="R62" s="91">
        <f t="shared" si="11"/>
        <v>300</v>
      </c>
      <c r="S62" s="91">
        <f t="shared" si="3"/>
        <v>299</v>
      </c>
      <c r="T62" s="91">
        <f t="shared" si="4"/>
        <v>301</v>
      </c>
      <c r="U62" s="104" t="s">
        <v>1886</v>
      </c>
      <c r="V62" s="102"/>
      <c r="W62" s="92" t="str">
        <f t="shared" ca="1" si="5"/>
        <v>ModelInfo.rg(UTID_NETHER_HATCHLING,ATT_NON,59999,300,300,0,0.03,0,0,1,0,CAREER_TYPE_CREEP,"ReplaceableTextures\\CommandButtons\\BTNNetherDragon.blp");</v>
      </c>
    </row>
    <row r="63" spans="1:23">
      <c r="A63" s="131" t="s">
        <v>1313</v>
      </c>
      <c r="B63" s="102" t="s">
        <v>1135</v>
      </c>
      <c r="C63" s="102">
        <v>220000</v>
      </c>
      <c r="D63" s="102">
        <v>0</v>
      </c>
      <c r="E63" s="102">
        <v>0</v>
      </c>
      <c r="F63" s="102">
        <v>0</v>
      </c>
      <c r="G63" s="102">
        <v>900</v>
      </c>
      <c r="H63" s="102">
        <v>1200</v>
      </c>
      <c r="I63" s="103">
        <v>10</v>
      </c>
      <c r="J63" s="103">
        <v>0.05</v>
      </c>
      <c r="K63" s="103">
        <v>10</v>
      </c>
      <c r="L63" s="103">
        <v>150</v>
      </c>
      <c r="M63" s="103">
        <v>1</v>
      </c>
      <c r="N63" s="103">
        <v>0.1</v>
      </c>
      <c r="O63" s="102" t="s">
        <v>1134</v>
      </c>
      <c r="P63" s="91">
        <f t="shared" si="9"/>
        <v>219999</v>
      </c>
      <c r="Q63" s="91">
        <f t="shared" si="10"/>
        <v>900</v>
      </c>
      <c r="R63" s="91">
        <f t="shared" si="11"/>
        <v>300</v>
      </c>
      <c r="S63" s="91">
        <f t="shared" si="3"/>
        <v>899</v>
      </c>
      <c r="T63" s="91">
        <f t="shared" si="4"/>
        <v>301</v>
      </c>
      <c r="U63" s="102" t="s">
        <v>1314</v>
      </c>
      <c r="V63" s="102"/>
      <c r="W63" s="92" t="str">
        <f t="shared" ca="1" si="5"/>
        <v>ModelInfo.rg(UTID_INFERNO_CONSTRUCT,ATT_NON,219999,900,300,10,0.05,10,150,1,0.1,CAREER_TYPE_CREEP,"ReplaceableTextures\\CommandButtons\\BTNInfernal.blp");</v>
      </c>
    </row>
    <row r="64" spans="1:23">
      <c r="A64" s="133" t="s">
        <v>1892</v>
      </c>
      <c r="B64" s="102" t="s">
        <v>1135</v>
      </c>
      <c r="C64" s="102">
        <v>150000</v>
      </c>
      <c r="D64" s="102">
        <v>0</v>
      </c>
      <c r="E64" s="102">
        <v>0</v>
      </c>
      <c r="F64" s="102">
        <v>0</v>
      </c>
      <c r="G64" s="102">
        <v>1200</v>
      </c>
      <c r="H64" s="102">
        <v>1500</v>
      </c>
      <c r="I64" s="103">
        <v>5</v>
      </c>
      <c r="J64" s="103">
        <v>0.01</v>
      </c>
      <c r="K64" s="103">
        <v>0</v>
      </c>
      <c r="L64" s="103">
        <v>0</v>
      </c>
      <c r="M64" s="103">
        <v>1</v>
      </c>
      <c r="N64" s="103">
        <v>0.01</v>
      </c>
      <c r="O64" s="102" t="s">
        <v>1134</v>
      </c>
      <c r="P64" s="91">
        <f t="shared" si="9"/>
        <v>149999</v>
      </c>
      <c r="Q64" s="91">
        <f t="shared" si="10"/>
        <v>1200</v>
      </c>
      <c r="R64" s="91">
        <f t="shared" si="11"/>
        <v>300</v>
      </c>
      <c r="S64" s="91">
        <f t="shared" si="3"/>
        <v>1199</v>
      </c>
      <c r="T64" s="91">
        <f t="shared" si="4"/>
        <v>301</v>
      </c>
      <c r="U64" s="104" t="s">
        <v>1893</v>
      </c>
      <c r="V64" s="102"/>
      <c r="W64" s="92" t="str">
        <f t="shared" ca="1" si="5"/>
        <v>ModelInfo.rg(UTID_FOREST_TROLL,ATT_NON,149999,1200,300,5,0.01,0,0,1,0.01,CAREER_TYPE_CREEP,"ReplaceableTextures\\CommandButtons\\BTNFurbolgTracker.blp");</v>
      </c>
    </row>
    <row r="65" spans="1:23">
      <c r="A65" s="129" t="s">
        <v>1868</v>
      </c>
      <c r="B65" s="102" t="s">
        <v>1135</v>
      </c>
      <c r="C65" s="102">
        <v>140000</v>
      </c>
      <c r="D65" s="102">
        <v>0</v>
      </c>
      <c r="E65" s="102">
        <v>0</v>
      </c>
      <c r="F65" s="102">
        <v>0</v>
      </c>
      <c r="G65" s="102">
        <v>1100</v>
      </c>
      <c r="H65" s="102">
        <v>1400</v>
      </c>
      <c r="I65" s="103">
        <v>5</v>
      </c>
      <c r="J65" s="103">
        <v>0.05</v>
      </c>
      <c r="K65" s="103">
        <v>0</v>
      </c>
      <c r="L65" s="103">
        <v>0</v>
      </c>
      <c r="M65" s="103">
        <v>1</v>
      </c>
      <c r="N65" s="103">
        <v>0.05</v>
      </c>
      <c r="O65" s="102" t="s">
        <v>1134</v>
      </c>
      <c r="P65" s="91">
        <f t="shared" si="9"/>
        <v>139999</v>
      </c>
      <c r="Q65" s="91">
        <f t="shared" si="10"/>
        <v>1100</v>
      </c>
      <c r="R65" s="91">
        <f t="shared" si="11"/>
        <v>300</v>
      </c>
      <c r="S65" s="91">
        <f t="shared" si="3"/>
        <v>1099</v>
      </c>
      <c r="T65" s="91">
        <f t="shared" si="4"/>
        <v>301</v>
      </c>
      <c r="U65" s="102" t="s">
        <v>1869</v>
      </c>
      <c r="V65" s="102"/>
      <c r="W65" s="92" t="str">
        <f t="shared" ca="1" si="5"/>
        <v>ModelInfo.rg(UTID_TWILIGHT_WITCH_DOCTOR,ATT_NON,139999,1100,300,5,0.05,0,0,1,0.05,CAREER_TYPE_CREEP,"ReplaceableTextures\\CommandButtons\\BTNDarkTrollShadowPriest.blp");</v>
      </c>
    </row>
    <row r="66" spans="1:23">
      <c r="A66" s="129" t="s">
        <v>1877</v>
      </c>
      <c r="B66" s="102" t="s">
        <v>1135</v>
      </c>
      <c r="C66" s="102">
        <v>200000</v>
      </c>
      <c r="D66" s="102">
        <v>0</v>
      </c>
      <c r="E66" s="102">
        <v>0</v>
      </c>
      <c r="F66" s="102">
        <v>0</v>
      </c>
      <c r="G66" s="102">
        <v>1</v>
      </c>
      <c r="H66" s="102">
        <v>1</v>
      </c>
      <c r="I66" s="103">
        <v>0</v>
      </c>
      <c r="J66" s="103">
        <v>0</v>
      </c>
      <c r="K66" s="103">
        <v>0</v>
      </c>
      <c r="L66" s="103">
        <v>0</v>
      </c>
      <c r="M66" s="103">
        <v>1</v>
      </c>
      <c r="N66" s="103">
        <v>0</v>
      </c>
      <c r="O66" s="102" t="s">
        <v>1134</v>
      </c>
      <c r="P66" s="91">
        <f t="shared" ref="P66" si="12">C66-1-D66*10</f>
        <v>199999</v>
      </c>
      <c r="Q66" s="91">
        <f t="shared" ref="Q66" si="13">G66-CHOOSE( IF( B66="ATT_AGI", 2, IF( B66="ATT_INT", 3, 1 ) ), D66, E66, F66 )</f>
        <v>1</v>
      </c>
      <c r="R66" s="91">
        <f t="shared" ref="R66" si="14">H66-G66</f>
        <v>0</v>
      </c>
      <c r="S66" s="91">
        <f t="shared" ref="S66" si="15">Q66-1</f>
        <v>0</v>
      </c>
      <c r="T66" s="91">
        <f t="shared" ref="T66" si="16">R66+1</f>
        <v>1</v>
      </c>
      <c r="U66" s="102" t="s">
        <v>1149</v>
      </c>
      <c r="V66" s="102"/>
      <c r="W66"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99"/>
  <sheetViews>
    <sheetView workbookViewId="0">
      <pane ySplit="1" topLeftCell="A155" activePane="bottomLeft" state="frozen"/>
      <selection pane="bottomLeft" activeCell="K175" sqref="K175"/>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1131</v>
      </c>
      <c r="B1" s="105" t="s">
        <v>1310</v>
      </c>
      <c r="C1" s="105" t="s">
        <v>1132</v>
      </c>
      <c r="D1" s="105" t="s">
        <v>1129</v>
      </c>
      <c r="E1" s="105" t="s">
        <v>1130</v>
      </c>
      <c r="F1" s="105" t="s">
        <v>3</v>
      </c>
      <c r="G1" s="105" t="s">
        <v>1128</v>
      </c>
      <c r="H1" s="105" t="s">
        <v>658</v>
      </c>
      <c r="I1" s="105" t="s">
        <v>1127</v>
      </c>
      <c r="J1" s="105" t="s">
        <v>1126</v>
      </c>
      <c r="K1" s="105" t="s">
        <v>1125</v>
      </c>
      <c r="L1" s="105"/>
      <c r="M1" s="105"/>
      <c r="N1" s="105"/>
      <c r="O1" s="105"/>
      <c r="P1" s="105"/>
      <c r="Q1" s="105"/>
      <c r="R1" s="105"/>
      <c r="S1" s="105"/>
      <c r="T1" s="105"/>
      <c r="U1" s="105"/>
      <c r="V1" s="105"/>
      <c r="W1" s="105"/>
      <c r="X1" s="105"/>
    </row>
    <row r="2" spans="1:24">
      <c r="A2" s="107" t="s">
        <v>1123</v>
      </c>
      <c r="B2" s="107">
        <v>0</v>
      </c>
      <c r="C2" s="107" t="s">
        <v>1124</v>
      </c>
      <c r="D2" s="107">
        <v>0</v>
      </c>
      <c r="E2" s="107">
        <v>0</v>
      </c>
      <c r="F2" s="107">
        <v>0</v>
      </c>
      <c r="G2" s="107">
        <v>0</v>
      </c>
      <c r="H2" s="107">
        <v>1</v>
      </c>
      <c r="I2" s="107" t="s">
        <v>660</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1120</v>
      </c>
      <c r="B3" s="107" t="s">
        <v>1122</v>
      </c>
      <c r="C3" s="107" t="s">
        <v>1121</v>
      </c>
      <c r="D3" s="107">
        <v>0</v>
      </c>
      <c r="E3" s="107">
        <v>0</v>
      </c>
      <c r="F3" s="107">
        <v>1</v>
      </c>
      <c r="G3" s="107">
        <v>0</v>
      </c>
      <c r="H3" s="107">
        <v>1</v>
      </c>
      <c r="I3" s="107" t="s">
        <v>660</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1117</v>
      </c>
      <c r="B4" s="107" t="s">
        <v>1119</v>
      </c>
      <c r="C4" s="107" t="s">
        <v>1118</v>
      </c>
      <c r="D4" s="107">
        <v>0</v>
      </c>
      <c r="E4" s="107">
        <v>0</v>
      </c>
      <c r="F4" s="107">
        <v>1</v>
      </c>
      <c r="G4" s="107">
        <v>0</v>
      </c>
      <c r="H4" s="107">
        <v>1</v>
      </c>
      <c r="I4" s="107" t="s">
        <v>857</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1114</v>
      </c>
      <c r="B5" s="107" t="s">
        <v>1116</v>
      </c>
      <c r="C5" s="107" t="s">
        <v>1115</v>
      </c>
      <c r="D5" s="107">
        <v>0</v>
      </c>
      <c r="E5" s="107">
        <v>0</v>
      </c>
      <c r="F5" s="107">
        <v>5</v>
      </c>
      <c r="G5" s="107">
        <v>852581</v>
      </c>
      <c r="H5" s="107">
        <v>1</v>
      </c>
      <c r="I5" s="107" t="s">
        <v>660</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1111</v>
      </c>
      <c r="B6" s="107" t="s">
        <v>1113</v>
      </c>
      <c r="C6" s="107" t="s">
        <v>1112</v>
      </c>
      <c r="D6" s="107">
        <v>0</v>
      </c>
      <c r="E6" s="107">
        <v>0</v>
      </c>
      <c r="F6" s="107">
        <v>5</v>
      </c>
      <c r="G6" s="107" t="s">
        <v>661</v>
      </c>
      <c r="H6" s="107">
        <v>1</v>
      </c>
      <c r="I6" s="107" t="s">
        <v>660</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600</v>
      </c>
      <c r="B7" s="109" t="s">
        <v>55</v>
      </c>
      <c r="C7" s="109" t="s">
        <v>6</v>
      </c>
      <c r="D7" s="109">
        <v>0</v>
      </c>
      <c r="E7" s="109">
        <v>30</v>
      </c>
      <c r="F7" s="109">
        <v>7</v>
      </c>
      <c r="G7" s="109">
        <v>852055</v>
      </c>
      <c r="H7" s="109">
        <v>1</v>
      </c>
      <c r="I7" s="109" t="s">
        <v>660</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601</v>
      </c>
      <c r="B8" s="109" t="s">
        <v>57</v>
      </c>
      <c r="C8" s="109" t="s">
        <v>12</v>
      </c>
      <c r="D8" s="109">
        <v>0</v>
      </c>
      <c r="E8" s="109">
        <v>20</v>
      </c>
      <c r="F8" s="109">
        <v>8</v>
      </c>
      <c r="G8" s="109">
        <v>852488</v>
      </c>
      <c r="H8" s="109">
        <v>1</v>
      </c>
      <c r="I8" s="109" t="s">
        <v>660</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602</v>
      </c>
      <c r="B9" s="109" t="s">
        <v>58</v>
      </c>
      <c r="C9" s="109" t="s">
        <v>17</v>
      </c>
      <c r="D9" s="109">
        <v>0</v>
      </c>
      <c r="E9" s="109">
        <v>10</v>
      </c>
      <c r="F9" s="109">
        <v>2</v>
      </c>
      <c r="G9" s="109">
        <v>852480</v>
      </c>
      <c r="H9" s="109">
        <v>1</v>
      </c>
      <c r="I9" s="109" t="s">
        <v>857</v>
      </c>
      <c r="J9" s="109" t="s">
        <v>1110</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603</v>
      </c>
      <c r="B10" s="109" t="s">
        <v>59</v>
      </c>
      <c r="C10" s="109" t="s">
        <v>18</v>
      </c>
      <c r="D10" s="109">
        <v>0</v>
      </c>
      <c r="E10" s="109">
        <v>0</v>
      </c>
      <c r="F10" s="109">
        <v>14</v>
      </c>
      <c r="G10" s="109">
        <v>852128</v>
      </c>
      <c r="H10" s="109">
        <v>1</v>
      </c>
      <c r="I10" s="109" t="s">
        <v>857</v>
      </c>
      <c r="J10" s="109" t="s">
        <v>1109</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604</v>
      </c>
      <c r="B11" s="109" t="s">
        <v>60</v>
      </c>
      <c r="C11" s="109" t="s">
        <v>19</v>
      </c>
      <c r="D11" s="109">
        <v>0</v>
      </c>
      <c r="E11" s="109">
        <v>0</v>
      </c>
      <c r="F11" s="109">
        <v>30</v>
      </c>
      <c r="G11" s="109">
        <v>852090</v>
      </c>
      <c r="H11" s="109">
        <v>1</v>
      </c>
      <c r="I11" s="109" t="s">
        <v>660</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1108</v>
      </c>
      <c r="B12" s="110" t="s">
        <v>274</v>
      </c>
      <c r="C12" s="110" t="s">
        <v>25</v>
      </c>
      <c r="D12" s="110">
        <v>0</v>
      </c>
      <c r="E12" s="110">
        <v>0</v>
      </c>
      <c r="F12" s="110">
        <v>1.5</v>
      </c>
      <c r="G12" s="110" t="s">
        <v>1107</v>
      </c>
      <c r="H12" s="110">
        <v>1</v>
      </c>
      <c r="I12" s="110" t="s">
        <v>857</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907</v>
      </c>
      <c r="B13" s="110" t="s">
        <v>275</v>
      </c>
      <c r="C13" s="110" t="s">
        <v>26</v>
      </c>
      <c r="D13" s="110">
        <v>0</v>
      </c>
      <c r="E13" s="110">
        <v>0</v>
      </c>
      <c r="F13" s="110">
        <v>5</v>
      </c>
      <c r="G13" s="110" t="s">
        <v>1019</v>
      </c>
      <c r="H13" s="110">
        <v>1</v>
      </c>
      <c r="I13" s="110" t="s">
        <v>660</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1106</v>
      </c>
      <c r="B14" s="110" t="s">
        <v>276</v>
      </c>
      <c r="C14" s="110" t="s">
        <v>30</v>
      </c>
      <c r="D14" s="110">
        <v>0</v>
      </c>
      <c r="E14" s="110">
        <v>0</v>
      </c>
      <c r="F14" s="110">
        <v>1</v>
      </c>
      <c r="G14" s="110" t="s">
        <v>1003</v>
      </c>
      <c r="H14" s="110">
        <v>1</v>
      </c>
      <c r="I14" s="110" t="s">
        <v>660</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905</v>
      </c>
      <c r="B15" s="110" t="s">
        <v>277</v>
      </c>
      <c r="C15" s="110" t="s">
        <v>32</v>
      </c>
      <c r="D15" s="110">
        <v>0</v>
      </c>
      <c r="E15" s="110">
        <v>0</v>
      </c>
      <c r="F15" s="110">
        <v>15</v>
      </c>
      <c r="G15" s="110" t="s">
        <v>990</v>
      </c>
      <c r="H15" s="110">
        <v>1</v>
      </c>
      <c r="I15" s="110" t="s">
        <v>660</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1105</v>
      </c>
      <c r="B16" s="110" t="s">
        <v>278</v>
      </c>
      <c r="C16" s="110" t="s">
        <v>34</v>
      </c>
      <c r="D16" s="110">
        <v>0</v>
      </c>
      <c r="E16" s="110">
        <v>0</v>
      </c>
      <c r="F16" s="110">
        <v>60</v>
      </c>
      <c r="G16" s="110" t="s">
        <v>1093</v>
      </c>
      <c r="H16" s="110">
        <v>1</v>
      </c>
      <c r="I16" s="110" t="s">
        <v>660</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901</v>
      </c>
      <c r="B17" s="111" t="s">
        <v>313</v>
      </c>
      <c r="C17" s="111" t="s">
        <v>44</v>
      </c>
      <c r="D17" s="111">
        <v>0</v>
      </c>
      <c r="E17" s="111">
        <v>50</v>
      </c>
      <c r="F17" s="111">
        <v>1</v>
      </c>
      <c r="G17" s="111" t="s">
        <v>1093</v>
      </c>
      <c r="H17" s="111">
        <v>1</v>
      </c>
      <c r="I17" s="111" t="s">
        <v>857</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1104</v>
      </c>
      <c r="B18" s="111" t="s">
        <v>315</v>
      </c>
      <c r="C18" s="111" t="s">
        <v>45</v>
      </c>
      <c r="D18" s="111">
        <v>0</v>
      </c>
      <c r="E18" s="111">
        <v>75</v>
      </c>
      <c r="F18" s="111">
        <v>1</v>
      </c>
      <c r="G18" s="111" t="s">
        <v>1103</v>
      </c>
      <c r="H18" s="111">
        <v>1</v>
      </c>
      <c r="I18" s="111" t="s">
        <v>857</v>
      </c>
      <c r="J18" s="111" t="s">
        <v>1102</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1101</v>
      </c>
      <c r="B19" s="111" t="s">
        <v>316</v>
      </c>
      <c r="C19" s="111" t="s">
        <v>48</v>
      </c>
      <c r="D19" s="111">
        <v>3</v>
      </c>
      <c r="E19" s="111">
        <v>100</v>
      </c>
      <c r="F19" s="111">
        <v>0</v>
      </c>
      <c r="G19" s="111" t="s">
        <v>858</v>
      </c>
      <c r="H19" s="111">
        <v>1</v>
      </c>
      <c r="I19" s="111" t="s">
        <v>857</v>
      </c>
      <c r="J19" s="111" t="s">
        <v>1100</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1099</v>
      </c>
      <c r="B20" s="111" t="s">
        <v>317</v>
      </c>
      <c r="C20" s="111" t="s">
        <v>49</v>
      </c>
      <c r="D20" s="111">
        <v>0</v>
      </c>
      <c r="E20" s="111">
        <v>150</v>
      </c>
      <c r="F20" s="111">
        <v>11</v>
      </c>
      <c r="G20" s="111" t="s">
        <v>1098</v>
      </c>
      <c r="H20" s="111">
        <v>1</v>
      </c>
      <c r="I20" s="111" t="s">
        <v>857</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903</v>
      </c>
      <c r="B21" s="111" t="s">
        <v>318</v>
      </c>
      <c r="C21" s="111" t="s">
        <v>52</v>
      </c>
      <c r="D21" s="111">
        <v>8</v>
      </c>
      <c r="E21" s="111">
        <v>200</v>
      </c>
      <c r="F21" s="111">
        <v>40</v>
      </c>
      <c r="G21" s="111" t="s">
        <v>1097</v>
      </c>
      <c r="H21" s="111">
        <v>1</v>
      </c>
      <c r="I21" s="111" t="s">
        <v>660</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903</v>
      </c>
      <c r="B22" s="111" t="s">
        <v>1096</v>
      </c>
      <c r="C22" s="111" t="s">
        <v>52</v>
      </c>
      <c r="D22" s="111">
        <v>8</v>
      </c>
      <c r="E22" s="111">
        <v>200</v>
      </c>
      <c r="F22" s="111">
        <v>1</v>
      </c>
      <c r="G22" s="111" t="s">
        <v>661</v>
      </c>
      <c r="H22" s="111">
        <v>1</v>
      </c>
      <c r="I22" s="111" t="s">
        <v>660</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1094</v>
      </c>
      <c r="B23" s="112" t="s">
        <v>348</v>
      </c>
      <c r="C23" s="112" t="s">
        <v>86</v>
      </c>
      <c r="D23" s="112">
        <v>0</v>
      </c>
      <c r="E23" s="112">
        <v>50</v>
      </c>
      <c r="F23" s="112">
        <v>3.5</v>
      </c>
      <c r="G23" s="112" t="s">
        <v>986</v>
      </c>
      <c r="H23" s="112">
        <v>1</v>
      </c>
      <c r="I23" s="112" t="s">
        <v>857</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1094</v>
      </c>
      <c r="B24" s="112" t="s">
        <v>1095</v>
      </c>
      <c r="C24" s="112" t="s">
        <v>86</v>
      </c>
      <c r="D24" s="112">
        <v>0</v>
      </c>
      <c r="E24" s="112">
        <v>50</v>
      </c>
      <c r="F24" s="112">
        <v>2.2000000000000002</v>
      </c>
      <c r="G24" s="112" t="s">
        <v>1093</v>
      </c>
      <c r="H24" s="112">
        <v>1</v>
      </c>
      <c r="I24" s="112" t="s">
        <v>857</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899</v>
      </c>
      <c r="B25" s="112" t="s">
        <v>349</v>
      </c>
      <c r="C25" s="112" t="s">
        <v>93</v>
      </c>
      <c r="D25" s="112">
        <v>2.6</v>
      </c>
      <c r="E25" s="112">
        <v>100</v>
      </c>
      <c r="F25" s="112">
        <v>0</v>
      </c>
      <c r="G25" s="112" t="s">
        <v>1092</v>
      </c>
      <c r="H25" s="112">
        <v>1</v>
      </c>
      <c r="I25" s="112" t="s">
        <v>857</v>
      </c>
      <c r="J25" s="112" t="s">
        <v>1091</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899</v>
      </c>
      <c r="B26" s="112" t="s">
        <v>1090</v>
      </c>
      <c r="C26" s="112" t="s">
        <v>93</v>
      </c>
      <c r="D26" s="112">
        <v>0</v>
      </c>
      <c r="E26" s="112">
        <v>0</v>
      </c>
      <c r="F26" s="112">
        <v>1</v>
      </c>
      <c r="G26" s="112" t="s">
        <v>1089</v>
      </c>
      <c r="H26" s="112">
        <v>1</v>
      </c>
      <c r="I26" s="112" t="s">
        <v>857</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897</v>
      </c>
      <c r="B27" s="112" t="s">
        <v>350</v>
      </c>
      <c r="C27" s="112" t="s">
        <v>98</v>
      </c>
      <c r="D27" s="112">
        <v>0</v>
      </c>
      <c r="E27" s="112">
        <v>100</v>
      </c>
      <c r="F27" s="112">
        <v>15</v>
      </c>
      <c r="G27" s="112" t="s">
        <v>1088</v>
      </c>
      <c r="H27" s="112">
        <v>1</v>
      </c>
      <c r="I27" s="112" t="s">
        <v>857</v>
      </c>
      <c r="J27" s="112" t="s">
        <v>1087</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1086</v>
      </c>
      <c r="B28" s="112" t="s">
        <v>351</v>
      </c>
      <c r="C28" s="112" t="s">
        <v>103</v>
      </c>
      <c r="D28" s="112">
        <v>0</v>
      </c>
      <c r="E28" s="112">
        <v>50</v>
      </c>
      <c r="F28" s="112">
        <v>20</v>
      </c>
      <c r="G28" s="112" t="s">
        <v>1053</v>
      </c>
      <c r="H28" s="112">
        <v>1</v>
      </c>
      <c r="I28" s="112" t="s">
        <v>660</v>
      </c>
      <c r="J28" s="112" t="s">
        <v>1085</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1084</v>
      </c>
      <c r="B29" s="112" t="s">
        <v>352</v>
      </c>
      <c r="C29" s="112" t="s">
        <v>106</v>
      </c>
      <c r="D29" s="112">
        <v>0</v>
      </c>
      <c r="E29" s="112">
        <v>10</v>
      </c>
      <c r="F29" s="112">
        <v>10</v>
      </c>
      <c r="G29" s="112" t="s">
        <v>1083</v>
      </c>
      <c r="H29" s="112">
        <v>1</v>
      </c>
      <c r="I29" s="112" t="s">
        <v>857</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895</v>
      </c>
      <c r="B30" s="113" t="s">
        <v>434</v>
      </c>
      <c r="C30" s="113" t="s">
        <v>1082</v>
      </c>
      <c r="D30" s="113">
        <v>0</v>
      </c>
      <c r="E30" s="113">
        <v>75</v>
      </c>
      <c r="F30" s="113">
        <v>1</v>
      </c>
      <c r="G30" s="113">
        <v>852063</v>
      </c>
      <c r="H30" s="113">
        <v>1</v>
      </c>
      <c r="I30" s="113" t="s">
        <v>857</v>
      </c>
      <c r="J30" s="113" t="s">
        <v>1081</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1080</v>
      </c>
      <c r="B31" s="113" t="s">
        <v>435</v>
      </c>
      <c r="C31" s="113" t="s">
        <v>119</v>
      </c>
      <c r="D31" s="113">
        <v>2.4</v>
      </c>
      <c r="E31" s="113">
        <v>100</v>
      </c>
      <c r="F31" s="113">
        <v>0</v>
      </c>
      <c r="G31" s="113" t="s">
        <v>1016</v>
      </c>
      <c r="H31" s="113">
        <v>1</v>
      </c>
      <c r="I31" s="113" t="s">
        <v>942</v>
      </c>
      <c r="J31" s="113" t="s">
        <v>1079</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893</v>
      </c>
      <c r="B32" s="113" t="s">
        <v>436</v>
      </c>
      <c r="C32" s="113" t="s">
        <v>125</v>
      </c>
      <c r="D32" s="113">
        <v>0</v>
      </c>
      <c r="E32" s="113">
        <v>100</v>
      </c>
      <c r="F32" s="113">
        <v>4</v>
      </c>
      <c r="G32" s="113">
        <v>852055</v>
      </c>
      <c r="H32" s="113">
        <v>1</v>
      </c>
      <c r="I32" s="113" t="s">
        <v>857</v>
      </c>
      <c r="J32" s="113" t="s">
        <v>1078</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893</v>
      </c>
      <c r="B33" s="113" t="s">
        <v>1077</v>
      </c>
      <c r="C33" s="113" t="s">
        <v>125</v>
      </c>
      <c r="D33" s="113">
        <v>0</v>
      </c>
      <c r="E33" s="113">
        <v>0</v>
      </c>
      <c r="F33" s="113">
        <v>0</v>
      </c>
      <c r="G33" s="113">
        <v>1</v>
      </c>
      <c r="H33" s="113">
        <v>1</v>
      </c>
      <c r="I33" s="113" t="s">
        <v>857</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1076</v>
      </c>
      <c r="B34" s="113" t="s">
        <v>439</v>
      </c>
      <c r="C34" s="113" t="s">
        <v>130</v>
      </c>
      <c r="D34" s="113">
        <v>0</v>
      </c>
      <c r="E34" s="113">
        <v>75</v>
      </c>
      <c r="F34" s="113">
        <v>9</v>
      </c>
      <c r="G34" s="113">
        <v>852075</v>
      </c>
      <c r="H34" s="113">
        <v>1</v>
      </c>
      <c r="I34" s="113" t="s">
        <v>857</v>
      </c>
      <c r="J34" s="113" t="s">
        <v>1075</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1073</v>
      </c>
      <c r="B35" s="113" t="s">
        <v>443</v>
      </c>
      <c r="C35" s="113" t="s">
        <v>1074</v>
      </c>
      <c r="D35" s="113">
        <v>0</v>
      </c>
      <c r="E35" s="113">
        <v>45</v>
      </c>
      <c r="F35" s="113">
        <v>3</v>
      </c>
      <c r="G35" s="113">
        <v>852057</v>
      </c>
      <c r="H35" s="113">
        <v>1</v>
      </c>
      <c r="I35" s="113" t="s">
        <v>857</v>
      </c>
      <c r="J35" s="113" t="s">
        <v>1072</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887</v>
      </c>
      <c r="B36" s="114" t="s">
        <v>537</v>
      </c>
      <c r="C36" s="114" t="s">
        <v>149</v>
      </c>
      <c r="D36" s="114">
        <v>0</v>
      </c>
      <c r="E36" s="114">
        <v>4</v>
      </c>
      <c r="F36" s="114">
        <v>5</v>
      </c>
      <c r="G36" s="114" t="s">
        <v>993</v>
      </c>
      <c r="H36" s="114">
        <v>1</v>
      </c>
      <c r="I36" s="114" t="s">
        <v>857</v>
      </c>
      <c r="J36" s="114" t="s">
        <v>1071</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1070</v>
      </c>
      <c r="B37" s="114" t="s">
        <v>538</v>
      </c>
      <c r="C37" s="114" t="s">
        <v>152</v>
      </c>
      <c r="D37" s="114">
        <v>0</v>
      </c>
      <c r="E37" s="114">
        <v>0</v>
      </c>
      <c r="F37" s="114">
        <v>13</v>
      </c>
      <c r="G37" s="114" t="s">
        <v>861</v>
      </c>
      <c r="H37" s="114">
        <v>1</v>
      </c>
      <c r="I37" s="114" t="s">
        <v>660</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885</v>
      </c>
      <c r="B38" s="114" t="s">
        <v>539</v>
      </c>
      <c r="C38" s="114" t="s">
        <v>154</v>
      </c>
      <c r="D38" s="114">
        <v>0</v>
      </c>
      <c r="E38" s="114">
        <v>0</v>
      </c>
      <c r="F38" s="114">
        <v>16</v>
      </c>
      <c r="G38" s="114" t="s">
        <v>1016</v>
      </c>
      <c r="H38" s="114">
        <v>1</v>
      </c>
      <c r="I38" s="114" t="s">
        <v>942</v>
      </c>
      <c r="J38" s="114" t="s">
        <v>1069</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1067</v>
      </c>
      <c r="B39" s="114" t="s">
        <v>540</v>
      </c>
      <c r="C39" s="114" t="s">
        <v>1068</v>
      </c>
      <c r="D39" s="114">
        <v>0</v>
      </c>
      <c r="E39" s="114">
        <v>0</v>
      </c>
      <c r="F39" s="114">
        <v>1</v>
      </c>
      <c r="G39" s="114" t="s">
        <v>1059</v>
      </c>
      <c r="H39" s="114">
        <v>1</v>
      </c>
      <c r="I39" s="114" t="s">
        <v>660</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1066</v>
      </c>
      <c r="B40" s="114" t="s">
        <v>541</v>
      </c>
      <c r="C40" s="114" t="s">
        <v>161</v>
      </c>
      <c r="D40" s="114">
        <v>0</v>
      </c>
      <c r="E40" s="114">
        <v>0</v>
      </c>
      <c r="F40" s="114">
        <v>5</v>
      </c>
      <c r="G40" s="114" t="s">
        <v>871</v>
      </c>
      <c r="H40" s="114">
        <v>1</v>
      </c>
      <c r="I40" s="114" t="s">
        <v>660</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1064</v>
      </c>
      <c r="B41" s="114" t="s">
        <v>1065</v>
      </c>
      <c r="C41" s="114" t="s">
        <v>163</v>
      </c>
      <c r="D41" s="114">
        <v>0</v>
      </c>
      <c r="E41" s="114">
        <v>50</v>
      </c>
      <c r="F41" s="114">
        <v>60</v>
      </c>
      <c r="G41" s="114">
        <v>852503</v>
      </c>
      <c r="H41" s="114">
        <v>1</v>
      </c>
      <c r="I41" s="114" t="s">
        <v>660</v>
      </c>
      <c r="J41" s="114" t="s">
        <v>1063</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1061</v>
      </c>
      <c r="B42" s="114" t="s">
        <v>1062</v>
      </c>
      <c r="C42" s="114" t="s">
        <v>171</v>
      </c>
      <c r="D42" s="114">
        <v>0</v>
      </c>
      <c r="E42" s="114">
        <v>0</v>
      </c>
      <c r="F42" s="114">
        <v>1</v>
      </c>
      <c r="G42" s="114">
        <v>0</v>
      </c>
      <c r="H42" s="114">
        <v>1</v>
      </c>
      <c r="I42" s="114" t="s">
        <v>660</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1060</v>
      </c>
      <c r="B43" s="115" t="s">
        <v>1874</v>
      </c>
      <c r="C43" s="115" t="s">
        <v>197</v>
      </c>
      <c r="D43" s="115">
        <v>0</v>
      </c>
      <c r="E43" s="115">
        <v>0</v>
      </c>
      <c r="F43" s="115">
        <v>1</v>
      </c>
      <c r="G43" s="115" t="s">
        <v>1873</v>
      </c>
      <c r="H43" s="115">
        <v>1</v>
      </c>
      <c r="I43" s="115" t="s">
        <v>660</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1058</v>
      </c>
      <c r="B44" s="115" t="s">
        <v>576</v>
      </c>
      <c r="C44" s="115" t="s">
        <v>192</v>
      </c>
      <c r="D44" s="115">
        <v>0</v>
      </c>
      <c r="E44" s="115">
        <v>30</v>
      </c>
      <c r="F44" s="115">
        <v>6</v>
      </c>
      <c r="G44" s="115" t="s">
        <v>1057</v>
      </c>
      <c r="H44" s="115">
        <v>1</v>
      </c>
      <c r="I44" s="115" t="s">
        <v>857</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889</v>
      </c>
      <c r="B45" s="115" t="s">
        <v>577</v>
      </c>
      <c r="C45" s="115" t="s">
        <v>205</v>
      </c>
      <c r="D45" s="115">
        <v>0</v>
      </c>
      <c r="E45" s="115">
        <v>0</v>
      </c>
      <c r="F45" s="115">
        <v>3.5</v>
      </c>
      <c r="G45" s="115" t="s">
        <v>1056</v>
      </c>
      <c r="H45" s="115">
        <v>1</v>
      </c>
      <c r="I45" s="115" t="s">
        <v>857</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891</v>
      </c>
      <c r="B46" s="115" t="s">
        <v>578</v>
      </c>
      <c r="C46" s="115" t="s">
        <v>207</v>
      </c>
      <c r="D46" s="115">
        <v>0</v>
      </c>
      <c r="E46" s="115">
        <v>15</v>
      </c>
      <c r="F46" s="115">
        <v>9</v>
      </c>
      <c r="G46" s="115" t="s">
        <v>1055</v>
      </c>
      <c r="H46" s="115">
        <v>1</v>
      </c>
      <c r="I46" s="115" t="s">
        <v>857</v>
      </c>
      <c r="J46" s="115" t="s">
        <v>1054</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1044</v>
      </c>
      <c r="B47" s="115" t="s">
        <v>579</v>
      </c>
      <c r="C47" s="115" t="s">
        <v>211</v>
      </c>
      <c r="D47" s="115">
        <v>0</v>
      </c>
      <c r="E47" s="115">
        <v>0</v>
      </c>
      <c r="F47" s="115">
        <v>1</v>
      </c>
      <c r="G47" s="115" t="s">
        <v>1053</v>
      </c>
      <c r="H47" s="115">
        <v>1</v>
      </c>
      <c r="I47" s="115" t="s">
        <v>857</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1044</v>
      </c>
      <c r="B48" s="115" t="s">
        <v>1052</v>
      </c>
      <c r="C48" s="115" t="s">
        <v>211</v>
      </c>
      <c r="D48" s="115">
        <v>0</v>
      </c>
      <c r="E48" s="115">
        <v>0</v>
      </c>
      <c r="F48" s="115">
        <v>1</v>
      </c>
      <c r="G48" s="115" t="s">
        <v>1051</v>
      </c>
      <c r="H48" s="115">
        <v>1</v>
      </c>
      <c r="I48" s="115" t="s">
        <v>857</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1044</v>
      </c>
      <c r="B49" s="115" t="s">
        <v>1050</v>
      </c>
      <c r="C49" s="115" t="s">
        <v>211</v>
      </c>
      <c r="D49" s="115">
        <v>0</v>
      </c>
      <c r="E49" s="115">
        <v>0</v>
      </c>
      <c r="F49" s="115">
        <v>1</v>
      </c>
      <c r="G49" s="115" t="s">
        <v>871</v>
      </c>
      <c r="H49" s="115">
        <v>1</v>
      </c>
      <c r="I49" s="115" t="s">
        <v>857</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1044</v>
      </c>
      <c r="B50" s="115" t="s">
        <v>1049</v>
      </c>
      <c r="C50" s="115" t="s">
        <v>211</v>
      </c>
      <c r="D50" s="115">
        <v>0</v>
      </c>
      <c r="E50" s="115">
        <v>0</v>
      </c>
      <c r="F50" s="115">
        <v>1</v>
      </c>
      <c r="G50" s="115" t="s">
        <v>860</v>
      </c>
      <c r="H50" s="115">
        <v>1</v>
      </c>
      <c r="I50" s="115" t="s">
        <v>857</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1044</v>
      </c>
      <c r="B51" s="115" t="s">
        <v>1048</v>
      </c>
      <c r="C51" s="115" t="s">
        <v>211</v>
      </c>
      <c r="D51" s="115">
        <v>0</v>
      </c>
      <c r="E51" s="115">
        <v>0</v>
      </c>
      <c r="F51" s="115">
        <v>1</v>
      </c>
      <c r="G51" s="115" t="s">
        <v>661</v>
      </c>
      <c r="H51" s="115">
        <v>1</v>
      </c>
      <c r="I51" s="115" t="s">
        <v>857</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1044</v>
      </c>
      <c r="B52" s="115" t="s">
        <v>1047</v>
      </c>
      <c r="C52" s="115" t="s">
        <v>211</v>
      </c>
      <c r="D52" s="115">
        <v>0</v>
      </c>
      <c r="E52" s="115">
        <v>0</v>
      </c>
      <c r="F52" s="115">
        <v>1</v>
      </c>
      <c r="G52" s="115" t="s">
        <v>1046</v>
      </c>
      <c r="H52" s="115">
        <v>1</v>
      </c>
      <c r="I52" s="115" t="s">
        <v>857</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1044</v>
      </c>
      <c r="B53" s="115" t="s">
        <v>1045</v>
      </c>
      <c r="C53" s="115" t="s">
        <v>211</v>
      </c>
      <c r="D53" s="115">
        <v>0</v>
      </c>
      <c r="E53" s="115">
        <v>0</v>
      </c>
      <c r="F53" s="115">
        <v>1</v>
      </c>
      <c r="G53" s="115" t="s">
        <v>1022</v>
      </c>
      <c r="H53" s="115">
        <v>1</v>
      </c>
      <c r="I53" s="115" t="s">
        <v>857</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883</v>
      </c>
      <c r="B54" s="116" t="s">
        <v>580</v>
      </c>
      <c r="C54" s="116" t="s">
        <v>223</v>
      </c>
      <c r="D54" s="116">
        <v>2</v>
      </c>
      <c r="E54" s="116">
        <v>15</v>
      </c>
      <c r="F54" s="116">
        <v>0</v>
      </c>
      <c r="G54" s="116" t="s">
        <v>859</v>
      </c>
      <c r="H54" s="116">
        <v>1</v>
      </c>
      <c r="I54" s="116" t="s">
        <v>857</v>
      </c>
      <c r="J54" s="116" t="s">
        <v>1043</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1041</v>
      </c>
      <c r="B55" s="116" t="s">
        <v>581</v>
      </c>
      <c r="C55" s="116" t="s">
        <v>226</v>
      </c>
      <c r="D55" s="116">
        <v>5</v>
      </c>
      <c r="E55" s="116">
        <v>100</v>
      </c>
      <c r="F55" s="116">
        <v>0</v>
      </c>
      <c r="G55" s="116" t="s">
        <v>1016</v>
      </c>
      <c r="H55" s="116">
        <v>1</v>
      </c>
      <c r="I55" s="116" t="s">
        <v>942</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1041</v>
      </c>
      <c r="B56" s="116" t="s">
        <v>1042</v>
      </c>
      <c r="C56" s="116" t="s">
        <v>226</v>
      </c>
      <c r="D56" s="116">
        <v>0</v>
      </c>
      <c r="E56" s="116">
        <v>170</v>
      </c>
      <c r="F56" s="116">
        <v>5</v>
      </c>
      <c r="G56" s="116" t="s">
        <v>1016</v>
      </c>
      <c r="H56" s="116">
        <v>1</v>
      </c>
      <c r="I56" s="116" t="s">
        <v>942</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1040</v>
      </c>
      <c r="B57" s="116" t="s">
        <v>582</v>
      </c>
      <c r="C57" s="116" t="s">
        <v>233</v>
      </c>
      <c r="D57" s="116">
        <v>0</v>
      </c>
      <c r="E57" s="116">
        <v>70</v>
      </c>
      <c r="F57" s="116">
        <v>15</v>
      </c>
      <c r="G57" s="116" t="s">
        <v>1039</v>
      </c>
      <c r="H57" s="116">
        <v>1</v>
      </c>
      <c r="I57" s="116" t="s">
        <v>660</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881</v>
      </c>
      <c r="B58" s="116" t="s">
        <v>583</v>
      </c>
      <c r="C58" s="116" t="s">
        <v>244</v>
      </c>
      <c r="D58" s="116">
        <v>0</v>
      </c>
      <c r="E58" s="116">
        <v>25</v>
      </c>
      <c r="F58" s="116">
        <v>30</v>
      </c>
      <c r="G58" s="116" t="s">
        <v>1038</v>
      </c>
      <c r="H58" s="116">
        <v>1</v>
      </c>
      <c r="I58" s="116" t="s">
        <v>857</v>
      </c>
      <c r="J58" s="116" t="s">
        <v>1037</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881</v>
      </c>
      <c r="B59" s="116" t="s">
        <v>1036</v>
      </c>
      <c r="C59" s="116" t="s">
        <v>244</v>
      </c>
      <c r="D59" s="116">
        <v>0</v>
      </c>
      <c r="E59" s="116">
        <v>25</v>
      </c>
      <c r="F59" s="116">
        <v>5</v>
      </c>
      <c r="G59" s="116" t="s">
        <v>911</v>
      </c>
      <c r="H59" s="116">
        <v>1</v>
      </c>
      <c r="I59" s="116" t="s">
        <v>857</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1035</v>
      </c>
      <c r="B60" s="116" t="s">
        <v>1875</v>
      </c>
      <c r="C60" s="116" t="s">
        <v>258</v>
      </c>
      <c r="D60" s="116">
        <v>0</v>
      </c>
      <c r="E60" s="116">
        <v>70</v>
      </c>
      <c r="F60" s="116">
        <v>6</v>
      </c>
      <c r="G60" s="116" t="s">
        <v>990</v>
      </c>
      <c r="H60" s="116">
        <v>1</v>
      </c>
      <c r="I60" s="116" t="s">
        <v>857</v>
      </c>
      <c r="J60" s="116" t="s">
        <v>1034</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1032</v>
      </c>
      <c r="B61" s="116" t="s">
        <v>1033</v>
      </c>
      <c r="C61" s="116" t="s">
        <v>267</v>
      </c>
      <c r="D61" s="116">
        <v>0</v>
      </c>
      <c r="E61" s="116">
        <v>0</v>
      </c>
      <c r="F61" s="116">
        <v>1</v>
      </c>
      <c r="G61" s="116" t="s">
        <v>661</v>
      </c>
      <c r="H61" s="116">
        <v>1</v>
      </c>
      <c r="I61" s="116" t="s">
        <v>857</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1031</v>
      </c>
      <c r="B62" s="114" t="s">
        <v>585</v>
      </c>
      <c r="C62" s="114" t="s">
        <v>372</v>
      </c>
      <c r="D62" s="114">
        <v>2</v>
      </c>
      <c r="E62" s="114">
        <v>10</v>
      </c>
      <c r="F62" s="114">
        <v>0</v>
      </c>
      <c r="G62" s="114" t="s">
        <v>1026</v>
      </c>
      <c r="H62" s="114">
        <v>1</v>
      </c>
      <c r="I62" s="114" t="s">
        <v>857</v>
      </c>
      <c r="J62" s="114" t="s">
        <v>1030</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1027</v>
      </c>
      <c r="B63" s="114" t="s">
        <v>1029</v>
      </c>
      <c r="C63" s="114" t="s">
        <v>1028</v>
      </c>
      <c r="D63" s="114">
        <v>0</v>
      </c>
      <c r="E63" s="114">
        <v>0</v>
      </c>
      <c r="F63" s="114">
        <v>1</v>
      </c>
      <c r="G63" s="114" t="s">
        <v>1026</v>
      </c>
      <c r="H63" s="114">
        <v>1</v>
      </c>
      <c r="I63" s="114" t="s">
        <v>857</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1023</v>
      </c>
      <c r="B64" s="114" t="s">
        <v>586</v>
      </c>
      <c r="C64" s="114" t="s">
        <v>145</v>
      </c>
      <c r="D64" s="114">
        <v>0</v>
      </c>
      <c r="E64" s="114">
        <v>85</v>
      </c>
      <c r="F64" s="114">
        <v>9</v>
      </c>
      <c r="G64" s="114" t="s">
        <v>993</v>
      </c>
      <c r="H64" s="114">
        <v>1</v>
      </c>
      <c r="I64" s="114" t="s">
        <v>857</v>
      </c>
      <c r="J64" s="114" t="s">
        <v>1025</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1023</v>
      </c>
      <c r="B65" s="114" t="s">
        <v>1024</v>
      </c>
      <c r="C65" s="114" t="s">
        <v>145</v>
      </c>
      <c r="D65" s="114">
        <v>0</v>
      </c>
      <c r="E65" s="114">
        <v>0</v>
      </c>
      <c r="F65" s="114">
        <v>9</v>
      </c>
      <c r="G65" s="114" t="s">
        <v>1022</v>
      </c>
      <c r="H65" s="114">
        <v>1</v>
      </c>
      <c r="I65" s="114" t="s">
        <v>857</v>
      </c>
      <c r="J65" s="114" t="s">
        <v>1021</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1020</v>
      </c>
      <c r="B66" s="114" t="s">
        <v>587</v>
      </c>
      <c r="C66" s="114" t="s">
        <v>146</v>
      </c>
      <c r="D66" s="114">
        <v>0</v>
      </c>
      <c r="E66" s="114">
        <v>15</v>
      </c>
      <c r="F66" s="114">
        <v>15</v>
      </c>
      <c r="G66" s="114" t="s">
        <v>1019</v>
      </c>
      <c r="H66" s="114">
        <v>1</v>
      </c>
      <c r="I66" s="114" t="s">
        <v>857</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1018</v>
      </c>
      <c r="B67" s="114" t="s">
        <v>588</v>
      </c>
      <c r="C67" s="114" t="s">
        <v>379</v>
      </c>
      <c r="D67" s="114">
        <v>0</v>
      </c>
      <c r="E67" s="114">
        <v>0</v>
      </c>
      <c r="F67" s="114">
        <v>1</v>
      </c>
      <c r="G67" s="114" t="s">
        <v>864</v>
      </c>
      <c r="H67" s="114">
        <v>1</v>
      </c>
      <c r="I67" s="114" t="s">
        <v>660</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879</v>
      </c>
      <c r="B68" s="114" t="s">
        <v>1017</v>
      </c>
      <c r="C68" s="114" t="s">
        <v>455</v>
      </c>
      <c r="D68" s="114">
        <v>0</v>
      </c>
      <c r="E68" s="114">
        <v>0</v>
      </c>
      <c r="F68" s="114">
        <v>10</v>
      </c>
      <c r="G68" s="114" t="s">
        <v>1016</v>
      </c>
      <c r="H68" s="114">
        <v>1</v>
      </c>
      <c r="I68" s="114" t="s">
        <v>942</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1013</v>
      </c>
      <c r="B69" s="114" t="s">
        <v>1015</v>
      </c>
      <c r="C69" s="114" t="s">
        <v>1014</v>
      </c>
      <c r="D69" s="114">
        <v>0</v>
      </c>
      <c r="E69" s="114">
        <v>0</v>
      </c>
      <c r="F69" s="114">
        <v>10</v>
      </c>
      <c r="G69" s="114" t="s">
        <v>1012</v>
      </c>
      <c r="H69" s="114">
        <v>1</v>
      </c>
      <c r="I69" s="114" t="s">
        <v>942</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1009</v>
      </c>
      <c r="B70" s="114" t="s">
        <v>1011</v>
      </c>
      <c r="C70" s="114" t="s">
        <v>1010</v>
      </c>
      <c r="D70" s="114">
        <v>0</v>
      </c>
      <c r="E70" s="114">
        <v>0</v>
      </c>
      <c r="F70" s="114">
        <v>10</v>
      </c>
      <c r="G70" s="114" t="s">
        <v>990</v>
      </c>
      <c r="H70" s="114">
        <v>1</v>
      </c>
      <c r="I70" s="114" t="s">
        <v>942</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1008</v>
      </c>
      <c r="B71" s="114" t="s">
        <v>589</v>
      </c>
      <c r="C71" s="114" t="s">
        <v>147</v>
      </c>
      <c r="D71" s="114">
        <v>0</v>
      </c>
      <c r="E71" s="114">
        <v>25</v>
      </c>
      <c r="F71" s="114">
        <v>40</v>
      </c>
      <c r="G71" s="114" t="s">
        <v>1007</v>
      </c>
      <c r="H71" s="114">
        <v>1</v>
      </c>
      <c r="I71" s="114" t="s">
        <v>660</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1006</v>
      </c>
      <c r="B72" s="111" t="s">
        <v>590</v>
      </c>
      <c r="C72" s="111" t="s">
        <v>482</v>
      </c>
      <c r="D72" s="111">
        <v>0</v>
      </c>
      <c r="E72" s="111">
        <v>0</v>
      </c>
      <c r="F72" s="111">
        <v>2</v>
      </c>
      <c r="G72" s="111" t="s">
        <v>860</v>
      </c>
      <c r="H72" s="111">
        <v>1</v>
      </c>
      <c r="I72" s="111" t="s">
        <v>857</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1005</v>
      </c>
      <c r="B73" s="111" t="s">
        <v>591</v>
      </c>
      <c r="C73" s="111" t="s">
        <v>491</v>
      </c>
      <c r="D73" s="111">
        <v>0</v>
      </c>
      <c r="E73" s="111">
        <v>0</v>
      </c>
      <c r="F73" s="111">
        <v>2</v>
      </c>
      <c r="G73" s="111" t="s">
        <v>930</v>
      </c>
      <c r="H73" s="111">
        <v>1</v>
      </c>
      <c r="I73" s="111" t="s">
        <v>857</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1004</v>
      </c>
      <c r="B74" s="111" t="s">
        <v>592</v>
      </c>
      <c r="C74" s="111" t="s">
        <v>497</v>
      </c>
      <c r="D74" s="111">
        <v>0</v>
      </c>
      <c r="E74" s="111">
        <v>0</v>
      </c>
      <c r="F74" s="111">
        <v>16</v>
      </c>
      <c r="G74" s="111" t="s">
        <v>1003</v>
      </c>
      <c r="H74" s="111">
        <v>1</v>
      </c>
      <c r="I74" s="111" t="s">
        <v>857</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869</v>
      </c>
      <c r="B75" s="111" t="s">
        <v>593</v>
      </c>
      <c r="C75" s="111" t="s">
        <v>470</v>
      </c>
      <c r="D75" s="111">
        <v>0</v>
      </c>
      <c r="E75" s="111">
        <v>0</v>
      </c>
      <c r="F75" s="111">
        <v>30</v>
      </c>
      <c r="G75" s="111" t="s">
        <v>1002</v>
      </c>
      <c r="H75" s="111">
        <v>1</v>
      </c>
      <c r="I75" s="111" t="s">
        <v>660</v>
      </c>
      <c r="J75" s="111" t="s">
        <v>1001</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875</v>
      </c>
      <c r="B76" s="111" t="s">
        <v>594</v>
      </c>
      <c r="C76" s="111" t="s">
        <v>466</v>
      </c>
      <c r="D76" s="111">
        <v>0</v>
      </c>
      <c r="E76" s="111">
        <v>0</v>
      </c>
      <c r="F76" s="111">
        <v>45</v>
      </c>
      <c r="G76" s="111" t="s">
        <v>1000</v>
      </c>
      <c r="H76" s="111">
        <v>1</v>
      </c>
      <c r="I76" s="111" t="s">
        <v>660</v>
      </c>
      <c r="J76" s="111" t="s">
        <v>999</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996</v>
      </c>
      <c r="B77" s="111" t="s">
        <v>998</v>
      </c>
      <c r="C77" s="111" t="s">
        <v>997</v>
      </c>
      <c r="D77" s="111">
        <v>0</v>
      </c>
      <c r="E77" s="111">
        <v>0</v>
      </c>
      <c r="F77" s="111">
        <v>1</v>
      </c>
      <c r="G77" s="111" t="s">
        <v>995</v>
      </c>
      <c r="H77" s="111">
        <v>1</v>
      </c>
      <c r="I77" s="111" t="s">
        <v>857</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872</v>
      </c>
      <c r="B78" s="111" t="s">
        <v>994</v>
      </c>
      <c r="C78" s="111" t="s">
        <v>873</v>
      </c>
      <c r="D78" s="111">
        <v>0</v>
      </c>
      <c r="E78" s="111">
        <v>0</v>
      </c>
      <c r="F78" s="111">
        <v>1</v>
      </c>
      <c r="G78" s="111" t="s">
        <v>993</v>
      </c>
      <c r="H78" s="111">
        <v>1</v>
      </c>
      <c r="I78" s="111" t="s">
        <v>857</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867</v>
      </c>
      <c r="B79" s="113" t="s">
        <v>595</v>
      </c>
      <c r="C79" s="113" t="s">
        <v>518</v>
      </c>
      <c r="D79" s="113">
        <v>0</v>
      </c>
      <c r="E79" s="113">
        <v>100</v>
      </c>
      <c r="F79" s="113">
        <v>2</v>
      </c>
      <c r="G79" s="113" t="s">
        <v>860</v>
      </c>
      <c r="H79" s="113">
        <v>1</v>
      </c>
      <c r="I79" s="113" t="s">
        <v>857</v>
      </c>
      <c r="J79" s="113" t="s">
        <v>992</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991</v>
      </c>
      <c r="B80" s="113" t="s">
        <v>596</v>
      </c>
      <c r="C80" s="113" t="s">
        <v>523</v>
      </c>
      <c r="D80" s="113">
        <v>2.2999999999999998</v>
      </c>
      <c r="E80" s="113">
        <v>70</v>
      </c>
      <c r="F80" s="113">
        <v>0</v>
      </c>
      <c r="G80" s="113" t="s">
        <v>990</v>
      </c>
      <c r="H80" s="113">
        <v>1</v>
      </c>
      <c r="I80" s="113" t="s">
        <v>857</v>
      </c>
      <c r="J80" s="113" t="s">
        <v>989</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988</v>
      </c>
      <c r="B81" s="113" t="s">
        <v>597</v>
      </c>
      <c r="C81" s="113" t="s">
        <v>524</v>
      </c>
      <c r="D81" s="113">
        <v>3</v>
      </c>
      <c r="E81" s="113">
        <v>50</v>
      </c>
      <c r="F81" s="113">
        <v>0</v>
      </c>
      <c r="G81" s="113" t="s">
        <v>859</v>
      </c>
      <c r="H81" s="113">
        <v>1</v>
      </c>
      <c r="I81" s="113" t="s">
        <v>857</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987</v>
      </c>
      <c r="B82" s="113" t="s">
        <v>598</v>
      </c>
      <c r="C82" s="113" t="s">
        <v>526</v>
      </c>
      <c r="D82" s="113">
        <v>0</v>
      </c>
      <c r="E82" s="113">
        <v>0</v>
      </c>
      <c r="F82" s="113">
        <v>7</v>
      </c>
      <c r="G82" s="113" t="s">
        <v>986</v>
      </c>
      <c r="H82" s="113">
        <v>1</v>
      </c>
      <c r="I82" s="113" t="s">
        <v>857</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865</v>
      </c>
      <c r="B83" s="113" t="s">
        <v>599</v>
      </c>
      <c r="C83" s="113" t="s">
        <v>531</v>
      </c>
      <c r="D83" s="113">
        <v>0</v>
      </c>
      <c r="E83" s="113">
        <v>75</v>
      </c>
      <c r="F83" s="113">
        <v>12</v>
      </c>
      <c r="G83" s="113" t="s">
        <v>863</v>
      </c>
      <c r="H83" s="113">
        <v>1</v>
      </c>
      <c r="I83" s="113" t="s">
        <v>660</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180</v>
      </c>
      <c r="B84" s="111" t="s">
        <v>985</v>
      </c>
      <c r="C84" s="111" t="s">
        <v>179</v>
      </c>
      <c r="D84" s="111">
        <v>0</v>
      </c>
      <c r="E84" s="111">
        <v>0</v>
      </c>
      <c r="F84" s="111">
        <v>200</v>
      </c>
      <c r="G84" s="111" t="s">
        <v>661</v>
      </c>
      <c r="H84" s="111">
        <v>1</v>
      </c>
      <c r="I84" s="111" t="s">
        <v>660</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183</v>
      </c>
      <c r="B85" s="111" t="s">
        <v>984</v>
      </c>
      <c r="C85" s="111" t="s">
        <v>182</v>
      </c>
      <c r="D85" s="111">
        <v>0</v>
      </c>
      <c r="E85" s="111">
        <v>0</v>
      </c>
      <c r="F85" s="111">
        <v>200</v>
      </c>
      <c r="G85" s="111" t="s">
        <v>923</v>
      </c>
      <c r="H85" s="111">
        <v>1</v>
      </c>
      <c r="I85" s="111" t="s">
        <v>660</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982</v>
      </c>
      <c r="B86" s="113" t="s">
        <v>983</v>
      </c>
      <c r="C86" s="113" t="s">
        <v>65</v>
      </c>
      <c r="D86" s="113">
        <v>0</v>
      </c>
      <c r="E86" s="113">
        <v>0</v>
      </c>
      <c r="F86" s="113">
        <v>1</v>
      </c>
      <c r="G86" s="113" t="s">
        <v>858</v>
      </c>
      <c r="H86" s="113">
        <v>1</v>
      </c>
      <c r="I86" s="113" t="s">
        <v>857</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980</v>
      </c>
      <c r="B87" s="113" t="s">
        <v>981</v>
      </c>
      <c r="C87" s="113" t="s">
        <v>70</v>
      </c>
      <c r="D87" s="113">
        <v>0</v>
      </c>
      <c r="E87" s="113">
        <v>0</v>
      </c>
      <c r="F87" s="113">
        <v>10</v>
      </c>
      <c r="G87" s="113" t="s">
        <v>923</v>
      </c>
      <c r="H87" s="113">
        <v>1</v>
      </c>
      <c r="I87" s="113" t="s">
        <v>857</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978</v>
      </c>
      <c r="B88" s="113" t="s">
        <v>979</v>
      </c>
      <c r="C88" s="113" t="s">
        <v>73</v>
      </c>
      <c r="D88" s="113">
        <v>10</v>
      </c>
      <c r="E88" s="113">
        <v>0</v>
      </c>
      <c r="F88" s="113">
        <v>25</v>
      </c>
      <c r="G88" s="113" t="s">
        <v>859</v>
      </c>
      <c r="H88" s="113">
        <v>2</v>
      </c>
      <c r="I88" s="113" t="s">
        <v>857</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976</v>
      </c>
      <c r="B89" s="113" t="s">
        <v>977</v>
      </c>
      <c r="C89" s="113" t="s">
        <v>77</v>
      </c>
      <c r="D89" s="113">
        <v>0</v>
      </c>
      <c r="E89" s="113">
        <v>0</v>
      </c>
      <c r="F89" s="113">
        <v>0</v>
      </c>
      <c r="G89" s="113" t="s">
        <v>949</v>
      </c>
      <c r="H89" s="113">
        <v>1</v>
      </c>
      <c r="I89" s="113" t="s">
        <v>660</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974</v>
      </c>
      <c r="B90" s="113" t="s">
        <v>975</v>
      </c>
      <c r="C90" s="113" t="s">
        <v>79</v>
      </c>
      <c r="D90" s="113">
        <v>0</v>
      </c>
      <c r="E90" s="113">
        <v>0</v>
      </c>
      <c r="F90" s="113">
        <v>1</v>
      </c>
      <c r="G90" s="113" t="s">
        <v>973</v>
      </c>
      <c r="H90" s="113">
        <v>1</v>
      </c>
      <c r="I90" s="113" t="s">
        <v>660</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971</v>
      </c>
      <c r="B91" s="113" t="s">
        <v>972</v>
      </c>
      <c r="C91" s="113" t="s">
        <v>82</v>
      </c>
      <c r="D91" s="113">
        <v>0</v>
      </c>
      <c r="E91" s="113">
        <v>0</v>
      </c>
      <c r="F91" s="113">
        <v>10</v>
      </c>
      <c r="G91" s="113" t="s">
        <v>967</v>
      </c>
      <c r="H91" s="113">
        <v>1</v>
      </c>
      <c r="I91" s="113" t="s">
        <v>660</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968</v>
      </c>
      <c r="B92" s="113" t="s">
        <v>970</v>
      </c>
      <c r="C92" s="113" t="s">
        <v>969</v>
      </c>
      <c r="D92" s="113">
        <v>4</v>
      </c>
      <c r="E92" s="113">
        <v>0</v>
      </c>
      <c r="F92" s="113">
        <v>1</v>
      </c>
      <c r="G92" s="113" t="s">
        <v>967</v>
      </c>
      <c r="H92" s="113">
        <v>2</v>
      </c>
      <c r="I92" s="113" t="s">
        <v>660</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964</v>
      </c>
      <c r="B93" s="113" t="s">
        <v>966</v>
      </c>
      <c r="C93" s="113" t="s">
        <v>965</v>
      </c>
      <c r="D93" s="113">
        <v>3</v>
      </c>
      <c r="E93" s="113">
        <v>0</v>
      </c>
      <c r="F93" s="113">
        <v>1</v>
      </c>
      <c r="G93" s="113" t="s">
        <v>963</v>
      </c>
      <c r="H93" s="113">
        <v>2</v>
      </c>
      <c r="I93" s="113" t="s">
        <v>857</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961</v>
      </c>
      <c r="B94" s="113" t="s">
        <v>962</v>
      </c>
      <c r="C94" s="113" t="s">
        <v>133</v>
      </c>
      <c r="D94" s="113">
        <v>1</v>
      </c>
      <c r="E94" s="113">
        <v>0</v>
      </c>
      <c r="F94" s="113">
        <v>1</v>
      </c>
      <c r="G94" s="113" t="s">
        <v>960</v>
      </c>
      <c r="H94" s="113">
        <v>2</v>
      </c>
      <c r="I94" s="113" t="s">
        <v>660</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165</v>
      </c>
      <c r="B95" s="114" t="s">
        <v>959</v>
      </c>
      <c r="C95" s="114" t="s">
        <v>164</v>
      </c>
      <c r="D95" s="114">
        <v>0</v>
      </c>
      <c r="E95" s="114">
        <v>100</v>
      </c>
      <c r="F95" s="114">
        <v>7</v>
      </c>
      <c r="G95" s="114">
        <v>852063</v>
      </c>
      <c r="H95" s="114">
        <v>1</v>
      </c>
      <c r="I95" s="114" t="s">
        <v>857</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169</v>
      </c>
      <c r="B96" s="114" t="s">
        <v>958</v>
      </c>
      <c r="C96" s="114" t="s">
        <v>168</v>
      </c>
      <c r="D96" s="114">
        <v>0</v>
      </c>
      <c r="E96" s="114">
        <v>100</v>
      </c>
      <c r="F96" s="114">
        <v>14</v>
      </c>
      <c r="G96" s="114">
        <v>852555</v>
      </c>
      <c r="H96" s="114">
        <v>1</v>
      </c>
      <c r="I96" s="114" t="s">
        <v>857</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173</v>
      </c>
      <c r="B97" s="114" t="s">
        <v>957</v>
      </c>
      <c r="C97" s="114" t="s">
        <v>172</v>
      </c>
      <c r="D97" s="114">
        <v>0</v>
      </c>
      <c r="E97" s="114">
        <v>100</v>
      </c>
      <c r="F97" s="114">
        <v>30</v>
      </c>
      <c r="G97" s="114">
        <v>852066</v>
      </c>
      <c r="H97" s="114">
        <v>1</v>
      </c>
      <c r="I97" s="114" t="s">
        <v>660</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176</v>
      </c>
      <c r="B98" s="114" t="s">
        <v>956</v>
      </c>
      <c r="C98" s="114" t="s">
        <v>175</v>
      </c>
      <c r="D98" s="114">
        <v>10</v>
      </c>
      <c r="E98" s="114">
        <v>0</v>
      </c>
      <c r="F98" s="114">
        <v>40</v>
      </c>
      <c r="G98" s="114">
        <v>852069</v>
      </c>
      <c r="H98" s="114">
        <v>2</v>
      </c>
      <c r="I98" s="114" t="s">
        <v>857</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954</v>
      </c>
      <c r="B99" s="112" t="s">
        <v>955</v>
      </c>
      <c r="C99" s="112" t="s">
        <v>189</v>
      </c>
      <c r="D99" s="112">
        <v>3.5</v>
      </c>
      <c r="E99" s="112">
        <v>0</v>
      </c>
      <c r="F99" s="112">
        <v>5</v>
      </c>
      <c r="G99" s="112" t="s">
        <v>859</v>
      </c>
      <c r="H99" s="112">
        <v>1</v>
      </c>
      <c r="I99" s="112" t="s">
        <v>857</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191</v>
      </c>
      <c r="B100" s="112" t="s">
        <v>953</v>
      </c>
      <c r="C100" s="112" t="s">
        <v>190</v>
      </c>
      <c r="D100" s="112">
        <v>0</v>
      </c>
      <c r="E100" s="112">
        <v>0</v>
      </c>
      <c r="F100" s="112">
        <v>12</v>
      </c>
      <c r="G100" s="112" t="s">
        <v>860</v>
      </c>
      <c r="H100" s="112">
        <v>1</v>
      </c>
      <c r="I100" s="112" t="s">
        <v>857</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950</v>
      </c>
      <c r="B101" s="112" t="s">
        <v>952</v>
      </c>
      <c r="C101" s="112" t="s">
        <v>951</v>
      </c>
      <c r="D101" s="112">
        <v>0</v>
      </c>
      <c r="E101" s="112">
        <v>0</v>
      </c>
      <c r="F101" s="112">
        <v>35</v>
      </c>
      <c r="G101" s="112" t="s">
        <v>949</v>
      </c>
      <c r="H101" s="112">
        <v>1</v>
      </c>
      <c r="I101" s="112" t="s">
        <v>660</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947</v>
      </c>
      <c r="B102" s="112" t="s">
        <v>948</v>
      </c>
      <c r="C102" s="112" t="s">
        <v>192</v>
      </c>
      <c r="D102" s="112">
        <v>0</v>
      </c>
      <c r="E102" s="112">
        <v>0</v>
      </c>
      <c r="F102" s="112">
        <v>12</v>
      </c>
      <c r="G102" s="112" t="s">
        <v>860</v>
      </c>
      <c r="H102" s="112">
        <v>1</v>
      </c>
      <c r="I102" s="112" t="s">
        <v>857</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195</v>
      </c>
      <c r="B103" s="112" t="s">
        <v>946</v>
      </c>
      <c r="C103" s="112" t="s">
        <v>194</v>
      </c>
      <c r="D103" s="112">
        <v>0</v>
      </c>
      <c r="E103" s="112">
        <v>0</v>
      </c>
      <c r="F103" s="112">
        <v>15</v>
      </c>
      <c r="G103" s="112" t="s">
        <v>661</v>
      </c>
      <c r="H103" s="112">
        <v>1</v>
      </c>
      <c r="I103" s="112" t="s">
        <v>857</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198</v>
      </c>
      <c r="B104" s="112" t="s">
        <v>945</v>
      </c>
      <c r="C104" s="112" t="s">
        <v>196</v>
      </c>
      <c r="D104" s="112">
        <v>0</v>
      </c>
      <c r="E104" s="112">
        <v>0</v>
      </c>
      <c r="F104" s="112">
        <v>25</v>
      </c>
      <c r="G104" s="112" t="s">
        <v>930</v>
      </c>
      <c r="H104" s="112">
        <v>1</v>
      </c>
      <c r="I104" s="112" t="s">
        <v>660</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198</v>
      </c>
      <c r="B105" s="112" t="s">
        <v>944</v>
      </c>
      <c r="C105" s="112" t="s">
        <v>196</v>
      </c>
      <c r="D105" s="112">
        <v>0</v>
      </c>
      <c r="E105" s="112">
        <v>0</v>
      </c>
      <c r="F105" s="112">
        <v>1</v>
      </c>
      <c r="G105" s="112" t="s">
        <v>943</v>
      </c>
      <c r="H105" s="112">
        <v>1</v>
      </c>
      <c r="I105" s="112" t="s">
        <v>942</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940</v>
      </c>
      <c r="B106" s="116" t="s">
        <v>941</v>
      </c>
      <c r="C106" s="116" t="s">
        <v>202</v>
      </c>
      <c r="D106" s="116">
        <v>0</v>
      </c>
      <c r="E106" s="116">
        <v>100</v>
      </c>
      <c r="F106" s="116">
        <v>5</v>
      </c>
      <c r="G106" s="116" t="s">
        <v>862</v>
      </c>
      <c r="H106" s="116">
        <v>1</v>
      </c>
      <c r="I106" s="116" t="s">
        <v>857</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938</v>
      </c>
      <c r="B107" s="116" t="s">
        <v>939</v>
      </c>
      <c r="C107" s="116" t="s">
        <v>203</v>
      </c>
      <c r="D107" s="116">
        <v>10</v>
      </c>
      <c r="E107" s="116">
        <v>100</v>
      </c>
      <c r="F107" s="116">
        <v>40</v>
      </c>
      <c r="G107" s="116" t="s">
        <v>860</v>
      </c>
      <c r="H107" s="116">
        <v>2</v>
      </c>
      <c r="I107" s="116" t="s">
        <v>660</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936</v>
      </c>
      <c r="B108" s="116" t="s">
        <v>937</v>
      </c>
      <c r="C108" s="116" t="s">
        <v>206</v>
      </c>
      <c r="D108" s="116">
        <v>10</v>
      </c>
      <c r="E108" s="116">
        <v>100</v>
      </c>
      <c r="F108" s="116">
        <v>30</v>
      </c>
      <c r="G108" s="116" t="s">
        <v>935</v>
      </c>
      <c r="H108" s="116">
        <v>1</v>
      </c>
      <c r="I108" s="116" t="s">
        <v>660</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180</v>
      </c>
      <c r="B109" s="116" t="s">
        <v>934</v>
      </c>
      <c r="C109" s="116" t="s">
        <v>179</v>
      </c>
      <c r="D109" s="116">
        <v>0</v>
      </c>
      <c r="E109" s="116">
        <v>0</v>
      </c>
      <c r="F109" s="116">
        <v>200</v>
      </c>
      <c r="G109" s="116" t="s">
        <v>871</v>
      </c>
      <c r="H109" s="116">
        <v>1</v>
      </c>
      <c r="I109" s="116" t="s">
        <v>660</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931</v>
      </c>
      <c r="B110" s="114" t="s">
        <v>933</v>
      </c>
      <c r="C110" s="114" t="s">
        <v>932</v>
      </c>
      <c r="D110" s="114">
        <v>0</v>
      </c>
      <c r="E110" s="114">
        <v>0</v>
      </c>
      <c r="F110" s="114">
        <v>15</v>
      </c>
      <c r="G110" s="114" t="s">
        <v>930</v>
      </c>
      <c r="H110" s="114">
        <v>1</v>
      </c>
      <c r="I110" s="114" t="s">
        <v>857</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927</v>
      </c>
      <c r="B111" s="114" t="s">
        <v>929</v>
      </c>
      <c r="C111" s="114" t="s">
        <v>928</v>
      </c>
      <c r="D111" s="114">
        <v>0</v>
      </c>
      <c r="E111" s="114">
        <v>0</v>
      </c>
      <c r="F111" s="114">
        <v>25</v>
      </c>
      <c r="G111" s="114" t="s">
        <v>860</v>
      </c>
      <c r="H111" s="114">
        <v>1</v>
      </c>
      <c r="I111" s="114" t="s">
        <v>660</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924</v>
      </c>
      <c r="B112" s="114" t="s">
        <v>926</v>
      </c>
      <c r="C112" s="114" t="s">
        <v>925</v>
      </c>
      <c r="D112" s="114">
        <v>0</v>
      </c>
      <c r="E112" s="114">
        <v>0</v>
      </c>
      <c r="F112" s="114">
        <v>15</v>
      </c>
      <c r="G112" s="114" t="s">
        <v>923</v>
      </c>
      <c r="H112" s="114">
        <v>1</v>
      </c>
      <c r="I112" s="114" t="s">
        <v>660</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920</v>
      </c>
      <c r="B113" s="114" t="s">
        <v>922</v>
      </c>
      <c r="C113" s="114" t="s">
        <v>921</v>
      </c>
      <c r="D113" s="114">
        <v>0</v>
      </c>
      <c r="E113" s="114">
        <v>0</v>
      </c>
      <c r="F113" s="114">
        <v>15</v>
      </c>
      <c r="G113" s="114" t="s">
        <v>919</v>
      </c>
      <c r="H113" s="114">
        <v>1</v>
      </c>
      <c r="I113" s="114" t="s">
        <v>660</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916</v>
      </c>
      <c r="B114" s="114" t="s">
        <v>918</v>
      </c>
      <c r="C114" s="114" t="s">
        <v>917</v>
      </c>
      <c r="D114" s="114">
        <v>5</v>
      </c>
      <c r="E114" s="114">
        <v>0</v>
      </c>
      <c r="F114" s="114">
        <v>25</v>
      </c>
      <c r="G114" s="114" t="s">
        <v>862</v>
      </c>
      <c r="H114" s="114">
        <v>2</v>
      </c>
      <c r="I114" s="114" t="s">
        <v>660</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914</v>
      </c>
      <c r="B115" s="113" t="s">
        <v>915</v>
      </c>
      <c r="C115" s="113" t="s">
        <v>398</v>
      </c>
      <c r="D115" s="113">
        <v>10</v>
      </c>
      <c r="E115" s="113">
        <v>50</v>
      </c>
      <c r="F115" s="113">
        <v>40</v>
      </c>
      <c r="G115" s="113" t="s">
        <v>859</v>
      </c>
      <c r="H115" s="113">
        <v>2</v>
      </c>
      <c r="I115" s="113" t="s">
        <v>660</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912</v>
      </c>
      <c r="B116" s="113" t="s">
        <v>913</v>
      </c>
      <c r="C116" s="113" t="s">
        <v>400</v>
      </c>
      <c r="D116" s="113">
        <v>0</v>
      </c>
      <c r="E116" s="113">
        <v>0</v>
      </c>
      <c r="F116" s="113">
        <v>35</v>
      </c>
      <c r="G116" s="113" t="s">
        <v>911</v>
      </c>
      <c r="H116" s="113">
        <v>1</v>
      </c>
      <c r="I116" s="113" t="s">
        <v>660</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601</v>
      </c>
      <c r="B117" s="113" t="s">
        <v>910</v>
      </c>
      <c r="C117" s="113" t="s">
        <v>12</v>
      </c>
      <c r="D117" s="113">
        <v>0</v>
      </c>
      <c r="E117" s="113">
        <v>100</v>
      </c>
      <c r="F117" s="113">
        <v>10</v>
      </c>
      <c r="G117" s="113" t="s">
        <v>860</v>
      </c>
      <c r="H117" s="113">
        <v>1</v>
      </c>
      <c r="I117" s="113" t="s">
        <v>660</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604</v>
      </c>
      <c r="B118" s="113" t="s">
        <v>909</v>
      </c>
      <c r="C118" s="113" t="s">
        <v>19</v>
      </c>
      <c r="D118" s="113">
        <v>0</v>
      </c>
      <c r="E118" s="113">
        <v>0</v>
      </c>
      <c r="F118" s="113">
        <v>10</v>
      </c>
      <c r="G118" s="113" t="s">
        <v>862</v>
      </c>
      <c r="H118" s="113">
        <v>1</v>
      </c>
      <c r="I118" s="113" t="s">
        <v>660</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907</v>
      </c>
      <c r="B119" s="113" t="s">
        <v>908</v>
      </c>
      <c r="C119" s="113" t="s">
        <v>26</v>
      </c>
      <c r="D119" s="113">
        <v>0</v>
      </c>
      <c r="E119" s="113">
        <v>0</v>
      </c>
      <c r="F119" s="113">
        <v>10</v>
      </c>
      <c r="G119" s="113" t="s">
        <v>862</v>
      </c>
      <c r="H119" s="113">
        <v>1</v>
      </c>
      <c r="I119" s="113" t="s">
        <v>660</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905</v>
      </c>
      <c r="B120" s="113" t="s">
        <v>906</v>
      </c>
      <c r="C120" s="113" t="s">
        <v>32</v>
      </c>
      <c r="D120" s="113">
        <v>0</v>
      </c>
      <c r="E120" s="113">
        <v>0</v>
      </c>
      <c r="F120" s="113">
        <v>12</v>
      </c>
      <c r="G120" s="113" t="s">
        <v>860</v>
      </c>
      <c r="H120" s="113">
        <v>1</v>
      </c>
      <c r="I120" s="113" t="s">
        <v>660</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903</v>
      </c>
      <c r="B121" s="113" t="s">
        <v>904</v>
      </c>
      <c r="C121" s="113" t="s">
        <v>52</v>
      </c>
      <c r="D121" s="113">
        <v>8</v>
      </c>
      <c r="E121" s="113">
        <v>100</v>
      </c>
      <c r="F121" s="113">
        <v>10</v>
      </c>
      <c r="G121" s="113" t="s">
        <v>860</v>
      </c>
      <c r="H121" s="113">
        <v>1</v>
      </c>
      <c r="I121" s="113" t="s">
        <v>660</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901</v>
      </c>
      <c r="B122" s="113" t="s">
        <v>902</v>
      </c>
      <c r="C122" s="113" t="s">
        <v>44</v>
      </c>
      <c r="D122" s="113">
        <v>0</v>
      </c>
      <c r="E122" s="113">
        <v>25</v>
      </c>
      <c r="F122" s="113">
        <v>10</v>
      </c>
      <c r="G122" s="113" t="s">
        <v>862</v>
      </c>
      <c r="H122" s="113">
        <v>1</v>
      </c>
      <c r="I122" s="113" t="s">
        <v>857</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899</v>
      </c>
      <c r="B123" s="113" t="s">
        <v>900</v>
      </c>
      <c r="C123" s="113" t="s">
        <v>93</v>
      </c>
      <c r="D123" s="113">
        <v>4</v>
      </c>
      <c r="E123" s="113">
        <v>100</v>
      </c>
      <c r="F123" s="113">
        <v>10</v>
      </c>
      <c r="G123" s="113" t="s">
        <v>860</v>
      </c>
      <c r="H123" s="113">
        <v>1</v>
      </c>
      <c r="I123" s="113" t="s">
        <v>857</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897</v>
      </c>
      <c r="B124" s="113" t="s">
        <v>898</v>
      </c>
      <c r="C124" s="113" t="s">
        <v>98</v>
      </c>
      <c r="D124" s="113">
        <v>0</v>
      </c>
      <c r="E124" s="113">
        <v>50</v>
      </c>
      <c r="F124" s="113">
        <v>10</v>
      </c>
      <c r="G124" s="113" t="s">
        <v>862</v>
      </c>
      <c r="H124" s="113">
        <v>1</v>
      </c>
      <c r="I124" s="113" t="s">
        <v>857</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895</v>
      </c>
      <c r="B125" s="113" t="s">
        <v>896</v>
      </c>
      <c r="C125" s="113" t="s">
        <v>115</v>
      </c>
      <c r="D125" s="113">
        <v>0</v>
      </c>
      <c r="E125" s="113">
        <v>50</v>
      </c>
      <c r="F125" s="113">
        <v>10</v>
      </c>
      <c r="G125" s="113" t="s">
        <v>860</v>
      </c>
      <c r="H125" s="113">
        <v>1</v>
      </c>
      <c r="I125" s="113" t="s">
        <v>857</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893</v>
      </c>
      <c r="B126" s="113" t="s">
        <v>894</v>
      </c>
      <c r="C126" s="113" t="s">
        <v>125</v>
      </c>
      <c r="D126" s="113">
        <v>0</v>
      </c>
      <c r="E126" s="113">
        <v>100</v>
      </c>
      <c r="F126" s="113">
        <v>10</v>
      </c>
      <c r="G126" s="113" t="s">
        <v>862</v>
      </c>
      <c r="H126" s="113">
        <v>1</v>
      </c>
      <c r="I126" s="113" t="s">
        <v>857</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891</v>
      </c>
      <c r="B127" s="113" t="s">
        <v>892</v>
      </c>
      <c r="C127" s="113" t="s">
        <v>207</v>
      </c>
      <c r="D127" s="113">
        <v>0</v>
      </c>
      <c r="E127" s="113">
        <v>0</v>
      </c>
      <c r="F127" s="113">
        <v>10</v>
      </c>
      <c r="G127" s="113" t="s">
        <v>860</v>
      </c>
      <c r="H127" s="113">
        <v>1</v>
      </c>
      <c r="I127" s="113" t="s">
        <v>857</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889</v>
      </c>
      <c r="B128" s="113" t="s">
        <v>890</v>
      </c>
      <c r="C128" s="113" t="s">
        <v>205</v>
      </c>
      <c r="D128" s="113">
        <v>0</v>
      </c>
      <c r="E128" s="113">
        <v>0</v>
      </c>
      <c r="F128" s="113">
        <v>7</v>
      </c>
      <c r="G128" s="113" t="s">
        <v>862</v>
      </c>
      <c r="H128" s="113">
        <v>1</v>
      </c>
      <c r="I128" s="113" t="s">
        <v>857</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887</v>
      </c>
      <c r="B129" s="113" t="s">
        <v>888</v>
      </c>
      <c r="C129" s="113" t="s">
        <v>149</v>
      </c>
      <c r="D129" s="113">
        <v>0</v>
      </c>
      <c r="E129" s="113">
        <v>0</v>
      </c>
      <c r="F129" s="113">
        <v>4</v>
      </c>
      <c r="G129" s="113" t="s">
        <v>860</v>
      </c>
      <c r="H129" s="113">
        <v>1</v>
      </c>
      <c r="I129" s="113" t="s">
        <v>857</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885</v>
      </c>
      <c r="B130" s="113" t="s">
        <v>886</v>
      </c>
      <c r="C130" s="113" t="s">
        <v>154</v>
      </c>
      <c r="D130" s="113">
        <v>0</v>
      </c>
      <c r="E130" s="113">
        <v>0</v>
      </c>
      <c r="F130" s="113">
        <v>10</v>
      </c>
      <c r="G130" s="113" t="s">
        <v>862</v>
      </c>
      <c r="H130" s="113">
        <v>1</v>
      </c>
      <c r="I130" s="113" t="s">
        <v>660</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883</v>
      </c>
      <c r="B131" s="113" t="s">
        <v>884</v>
      </c>
      <c r="C131" s="113" t="s">
        <v>223</v>
      </c>
      <c r="D131" s="113">
        <v>3</v>
      </c>
      <c r="E131" s="113">
        <v>50</v>
      </c>
      <c r="F131" s="113">
        <v>5</v>
      </c>
      <c r="G131" s="113" t="s">
        <v>860</v>
      </c>
      <c r="H131" s="113">
        <v>1</v>
      </c>
      <c r="I131" s="113" t="s">
        <v>857</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881</v>
      </c>
      <c r="B132" s="113" t="s">
        <v>882</v>
      </c>
      <c r="C132" s="113" t="s">
        <v>244</v>
      </c>
      <c r="D132" s="113">
        <v>0</v>
      </c>
      <c r="E132" s="113">
        <v>50</v>
      </c>
      <c r="F132" s="113">
        <v>10</v>
      </c>
      <c r="G132" s="113" t="s">
        <v>862</v>
      </c>
      <c r="H132" s="113">
        <v>1</v>
      </c>
      <c r="I132" s="113" t="s">
        <v>857</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879</v>
      </c>
      <c r="B133" s="113" t="s">
        <v>880</v>
      </c>
      <c r="C133" s="113" t="s">
        <v>455</v>
      </c>
      <c r="D133" s="113">
        <v>0</v>
      </c>
      <c r="E133" s="113">
        <v>0</v>
      </c>
      <c r="F133" s="113">
        <v>10</v>
      </c>
      <c r="G133" s="113" t="s">
        <v>860</v>
      </c>
      <c r="H133" s="113">
        <v>1</v>
      </c>
      <c r="I133" s="113" t="s">
        <v>660</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877</v>
      </c>
      <c r="B134" s="113" t="s">
        <v>878</v>
      </c>
      <c r="C134" s="113" t="s">
        <v>460</v>
      </c>
      <c r="D134" s="113">
        <v>0</v>
      </c>
      <c r="E134" s="113">
        <v>100</v>
      </c>
      <c r="F134" s="113">
        <v>15</v>
      </c>
      <c r="G134" s="113" t="s">
        <v>862</v>
      </c>
      <c r="H134" s="113">
        <v>1</v>
      </c>
      <c r="I134" s="113" t="s">
        <v>660</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875</v>
      </c>
      <c r="B135" s="113" t="s">
        <v>876</v>
      </c>
      <c r="C135" s="113" t="s">
        <v>466</v>
      </c>
      <c r="D135" s="113">
        <v>0</v>
      </c>
      <c r="E135" s="113">
        <v>0</v>
      </c>
      <c r="F135" s="113">
        <v>15</v>
      </c>
      <c r="G135" s="113" t="s">
        <v>860</v>
      </c>
      <c r="H135" s="113">
        <v>1</v>
      </c>
      <c r="I135" s="113" t="s">
        <v>857</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872</v>
      </c>
      <c r="B136" s="113" t="s">
        <v>874</v>
      </c>
      <c r="C136" s="113" t="s">
        <v>873</v>
      </c>
      <c r="D136" s="113">
        <v>0</v>
      </c>
      <c r="E136" s="113">
        <v>0</v>
      </c>
      <c r="F136" s="113">
        <v>1</v>
      </c>
      <c r="G136" s="113" t="s">
        <v>871</v>
      </c>
      <c r="H136" s="113">
        <v>1</v>
      </c>
      <c r="I136" s="113" t="s">
        <v>857</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869</v>
      </c>
      <c r="B137" s="113" t="s">
        <v>870</v>
      </c>
      <c r="C137" s="113" t="s">
        <v>470</v>
      </c>
      <c r="D137" s="113">
        <v>0</v>
      </c>
      <c r="E137" s="113">
        <v>0</v>
      </c>
      <c r="F137" s="113">
        <v>10</v>
      </c>
      <c r="G137" s="113" t="s">
        <v>862</v>
      </c>
      <c r="H137" s="113">
        <v>1</v>
      </c>
      <c r="I137" s="113" t="s">
        <v>660</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867</v>
      </c>
      <c r="B138" s="113" t="s">
        <v>868</v>
      </c>
      <c r="C138" s="113" t="s">
        <v>518</v>
      </c>
      <c r="D138" s="113">
        <v>0</v>
      </c>
      <c r="E138" s="113">
        <v>100</v>
      </c>
      <c r="F138" s="113">
        <v>15</v>
      </c>
      <c r="G138" s="113" t="s">
        <v>860</v>
      </c>
      <c r="H138" s="113">
        <v>1</v>
      </c>
      <c r="I138" s="113" t="s">
        <v>857</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865</v>
      </c>
      <c r="B139" s="113" t="s">
        <v>866</v>
      </c>
      <c r="C139" s="113" t="s">
        <v>531</v>
      </c>
      <c r="D139" s="113">
        <v>0</v>
      </c>
      <c r="E139" s="113">
        <v>100</v>
      </c>
      <c r="F139" s="113">
        <v>10</v>
      </c>
      <c r="G139" s="113" t="s">
        <v>862</v>
      </c>
      <c r="H139" s="113">
        <v>1</v>
      </c>
      <c r="I139" s="113" t="s">
        <v>660</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307</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660</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284</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857</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286</v>
      </c>
      <c r="B142" s="118" t="str">
        <f t="shared" ref="B142:B183"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857</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289</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857</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291</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660</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293</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660</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310</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660</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311</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857</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296</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660</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298</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857</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302</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660</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304</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660</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314</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660</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320</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857</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322</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660</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323</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857</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326</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857</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1260</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660</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327</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857</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1265</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857</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1267</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857</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1270</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942</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1272</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857</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1273</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857</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330</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857</v>
      </c>
      <c r="J164" s="120"/>
      <c r="K164" s="108" t="str">
        <f t="shared" ref="K164:K183"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331</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857</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333</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857</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335</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857</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337</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857</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341</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660</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342</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660</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344</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857</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1275</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942</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1276</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660</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346</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857</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347</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660</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1280</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0</v>
      </c>
      <c r="G176" s="118" t="str">
        <f ca="1">IF(OFFSET(CreepAbilities!$A$1,MATCH($A176,CreepAbilities!$F:$F,0)-1,MATCH("OID",CreepAbilities!$1:$1,0)-1)=0,0,"OrderId("&amp;CHAR(34)&amp;OFFSET(CreepAbilities!$A$1,MATCH($A176,CreepAbilities!$F:$F,0)-1,MATCH("OID",CreepAbilities!$1:$1,0)-1)&amp;CHAR(34)&amp;")")</f>
        <v>OrderId("w")</v>
      </c>
      <c r="H176" s="120">
        <v>1</v>
      </c>
      <c r="I176" s="120" t="s">
        <v>942</v>
      </c>
      <c r="J176" s="120"/>
      <c r="K176" s="108" t="str">
        <f t="shared" ca="1" si="7"/>
        <v>SpellData.create(SID_CORPSE_RAIN,"尸雨",0,0,0,OrderId("w"),1,ORDER_TYPE_POINT);</v>
      </c>
      <c r="L176" s="120"/>
      <c r="M176" s="120"/>
      <c r="N176" s="120"/>
      <c r="O176" s="120"/>
      <c r="P176" s="120"/>
      <c r="Q176" s="120"/>
      <c r="R176" s="120"/>
      <c r="S176" s="120"/>
      <c r="T176" s="120"/>
      <c r="U176" s="120"/>
      <c r="V176" s="120"/>
      <c r="W176" s="120"/>
      <c r="X176" s="120"/>
    </row>
    <row r="177" spans="1:24" s="121" customFormat="1">
      <c r="A177" s="114" t="s">
        <v>1281</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0</v>
      </c>
      <c r="G177" s="118" t="str">
        <f ca="1">IF(OFFSET(CreepAbilities!$A$1,MATCH($A177,CreepAbilities!$F:$F,0)-1,MATCH("OID",CreepAbilities!$1:$1,0)-1)=0,0,"OrderId("&amp;CHAR(34)&amp;OFFSET(CreepAbilities!$A$1,MATCH($A177,CreepAbilities!$F:$F,0)-1,MATCH("OID",CreepAbilities!$1:$1,0)-1)&amp;CHAR(34)&amp;")")</f>
        <v>OrderId("w")</v>
      </c>
      <c r="H177" s="120">
        <v>1</v>
      </c>
      <c r="I177" s="120" t="s">
        <v>857</v>
      </c>
      <c r="J177" s="120"/>
      <c r="K177" s="108" t="str">
        <f t="shared" ca="1" si="7"/>
        <v>SpellData.create(SID_VOODOO_DOLL,"巫毒娃娃",0,0,0,OrderId("w"),1,ORDER_TYPE_TARGET);</v>
      </c>
      <c r="L177" s="120"/>
      <c r="M177" s="120"/>
      <c r="N177" s="120"/>
      <c r="O177" s="120"/>
      <c r="P177" s="120"/>
      <c r="Q177" s="120"/>
      <c r="R177" s="120"/>
      <c r="S177" s="120"/>
      <c r="T177" s="120"/>
      <c r="U177" s="120"/>
      <c r="V177" s="120"/>
      <c r="W177" s="120"/>
      <c r="X177" s="120"/>
    </row>
    <row r="178" spans="1:24" s="121" customFormat="1">
      <c r="A178" s="114" t="s">
        <v>1283</v>
      </c>
      <c r="B178" s="118" t="str">
        <f t="shared" si="5"/>
        <v>SID_SLAM_STRIKE</v>
      </c>
      <c r="C178" s="118" t="str">
        <f ca="1">OFFSET(CreepAbilities!$A$1,MATCH($A178,CreepAbilities!$F:$F,0)-1,MATCH("技能",CreepAbilities!$1:$1,0)-1)</f>
        <v>分裂攻击（被动）</v>
      </c>
      <c r="D178" s="118">
        <f ca="1">OFFSET(CreepAbilities!$A$1,MATCH($A178,CreepAbilities!$F:$F,0)-1,MATCH("施",CreepAbilities!$1:$1,0)-1)</f>
        <v>0</v>
      </c>
      <c r="E178" s="118">
        <f ca="1">OFFSET(CreepAbilities!$A$1,MATCH($A178,CreepAbilities!$F:$F,0)-1,MATCH("耗",CreepAbilities!$1:$1,0)-1)</f>
        <v>0</v>
      </c>
      <c r="F178" s="118">
        <f ca="1">OFFSET(CreepAbilities!$A$1,MATCH($A178,CreepAbilities!$F:$F,0)-1,MATCH("冷",CreepAbilities!$1:$1,0)-1)</f>
        <v>0</v>
      </c>
      <c r="G178" s="118" t="str">
        <f ca="1">IF(OFFSET(CreepAbilities!$A$1,MATCH($A178,CreepAbilities!$F:$F,0)-1,MATCH("OID",CreepAbilities!$1:$1,0)-1)=0,0,"OrderId("&amp;CHAR(34)&amp;OFFSET(CreepAbilities!$A$1,MATCH($A178,CreepAbilities!$F:$F,0)-1,MATCH("OID",CreepAbilities!$1:$1,0)-1)&amp;CHAR(34)&amp;")")</f>
        <v>OrderId("w")</v>
      </c>
      <c r="H178" s="120">
        <v>1</v>
      </c>
      <c r="I178" s="114" t="s">
        <v>660</v>
      </c>
      <c r="J178" s="120"/>
      <c r="K178" s="108" t="str">
        <f t="shared" ca="1" si="7"/>
        <v>SpellData.create(SID_SLAM_STRIKE,"分裂攻击（被动）",0,0,0,OrderId("w"),1,ORDER_TYPE_IMMEDIATE);</v>
      </c>
      <c r="L178" s="120"/>
      <c r="M178" s="120"/>
      <c r="N178" s="120"/>
      <c r="O178" s="120"/>
      <c r="P178" s="120"/>
      <c r="Q178" s="120"/>
      <c r="R178" s="120"/>
      <c r="S178" s="120"/>
      <c r="T178" s="120"/>
      <c r="U178" s="120"/>
      <c r="V178" s="120"/>
      <c r="W178" s="120"/>
      <c r="X178" s="120"/>
    </row>
    <row r="179" spans="1:24" s="121" customFormat="1">
      <c r="A179" s="114" t="s">
        <v>1284</v>
      </c>
      <c r="B179" s="118" t="str">
        <f t="shared" si="5"/>
        <v>SID_VOMIT</v>
      </c>
      <c r="C179" s="118" t="str">
        <f ca="1">OFFSET(CreepAbilities!$A$1,MATCH($A179,CreepAbilities!$F:$F,0)-1,MATCH("技能",CreepAbilities!$1:$1,0)-1)</f>
        <v>呕吐</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OrderId("X")</v>
      </c>
      <c r="H179" s="120">
        <v>1</v>
      </c>
      <c r="I179" s="114" t="s">
        <v>660</v>
      </c>
      <c r="J179" s="120"/>
      <c r="K179" s="108" t="str">
        <f t="shared" ca="1" si="7"/>
        <v>SpellData.create(SID_VOMIT,"呕吐",0,0,0,OrderId("X"),1,ORDER_TYPE_IMMEDIATE);</v>
      </c>
      <c r="L179" s="120"/>
      <c r="M179" s="120"/>
      <c r="N179" s="120"/>
      <c r="O179" s="120"/>
      <c r="P179" s="120"/>
      <c r="Q179" s="120"/>
      <c r="R179" s="120"/>
      <c r="S179" s="120"/>
      <c r="T179" s="120"/>
      <c r="U179" s="120"/>
      <c r="V179" s="120"/>
      <c r="W179" s="120"/>
      <c r="X179" s="120"/>
    </row>
    <row r="180" spans="1:24" s="121" customFormat="1">
      <c r="A180" s="114" t="s">
        <v>1287</v>
      </c>
      <c r="B180" s="118" t="str">
        <f t="shared" si="5"/>
        <v>SID_POISON_DART</v>
      </c>
      <c r="C180" s="118" t="str">
        <f ca="1">OFFSET(CreepAbilities!$A$1,MATCH($A180,CreepAbilities!$F:$F,0)-1,MATCH("技能",CreepAbilities!$1:$1,0)-1)</f>
        <v>毒液箭</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4</v>
      </c>
      <c r="G180" s="118" t="str">
        <f ca="1">IF(OFFSET(CreepAbilities!$A$1,MATCH($A180,CreepAbilities!$F:$F,0)-1,MATCH("OID",CreepAbilities!$1:$1,0)-1)=0,0,"OrderId("&amp;CHAR(34)&amp;OFFSET(CreepAbilities!$A$1,MATCH($A180,CreepAbilities!$F:$F,0)-1,MATCH("OID",CreepAbilities!$1:$1,0)-1)&amp;CHAR(34)&amp;")")</f>
        <v>OrderId("sleep")</v>
      </c>
      <c r="H180" s="120">
        <v>1</v>
      </c>
      <c r="I180" s="120" t="s">
        <v>857</v>
      </c>
      <c r="J180" s="120"/>
      <c r="K180" s="108" t="str">
        <f t="shared" ca="1" si="7"/>
        <v>SpellData.create(SID_POISON_DART,"毒液箭",0,0,4,OrderId("sleep"),1,ORDER_TYPE_TARGET);</v>
      </c>
      <c r="L180" s="120"/>
      <c r="M180" s="120"/>
      <c r="N180" s="120"/>
      <c r="O180" s="120"/>
      <c r="P180" s="120"/>
      <c r="Q180" s="120"/>
      <c r="R180" s="120"/>
      <c r="S180" s="120"/>
      <c r="T180" s="120"/>
      <c r="U180" s="120"/>
      <c r="V180" s="120"/>
      <c r="W180" s="120"/>
      <c r="X180" s="120"/>
    </row>
    <row r="181" spans="1:24" s="121" customFormat="1">
      <c r="A181" s="114" t="s">
        <v>1288</v>
      </c>
      <c r="B181" s="118" t="str">
        <f t="shared" si="5"/>
        <v>SID_GRIM_TOTEM</v>
      </c>
      <c r="C181" s="118" t="str">
        <f ca="1">OFFSET(CreepAbilities!$A$1,MATCH($A181,CreepAbilities!$F:$F,0)-1,MATCH("技能",CreepAbilities!$1:$1,0)-1)</f>
        <v>恐怖图腾</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8</v>
      </c>
      <c r="G181" s="118" t="str">
        <f ca="1">IF(OFFSET(CreepAbilities!$A$1,MATCH($A181,CreepAbilities!$F:$F,0)-1,MATCH("OID",CreepAbilities!$1:$1,0)-1)=0,0,"OrderId("&amp;CHAR(34)&amp;OFFSET(CreepAbilities!$A$1,MATCH($A181,CreepAbilities!$F:$F,0)-1,MATCH("OID",CreepAbilities!$1:$1,0)-1)&amp;CHAR(34)&amp;")")</f>
        <v>OrderId("healingward")</v>
      </c>
      <c r="H181" s="120">
        <v>1</v>
      </c>
      <c r="I181" s="114" t="s">
        <v>660</v>
      </c>
      <c r="J181" s="120"/>
      <c r="K181" s="108" t="str">
        <f t="shared" ca="1" si="7"/>
        <v>SpellData.create(SID_GRIM_TOTEM,"恐怖图腾",0,0,8,OrderId("healingward"),1,ORDER_TYPE_IMMEDIATE);</v>
      </c>
      <c r="L181" s="120"/>
      <c r="M181" s="120"/>
      <c r="N181" s="120"/>
      <c r="O181" s="120"/>
      <c r="P181" s="120"/>
      <c r="Q181" s="120"/>
      <c r="R181" s="120"/>
      <c r="S181" s="120"/>
      <c r="T181" s="120"/>
      <c r="U181" s="120"/>
      <c r="V181" s="120"/>
      <c r="W181" s="120"/>
      <c r="X181" s="120"/>
    </row>
    <row r="182" spans="1:24" s="121" customFormat="1">
      <c r="A182" s="114" t="s">
        <v>1290</v>
      </c>
      <c r="B182" s="118" t="str">
        <f t="shared" si="5"/>
        <v>SID_VICIOUS_STRIKE</v>
      </c>
      <c r="C182" s="118" t="str">
        <f ca="1">OFFSET(CreepAbilities!$A$1,MATCH($A182,CreepAbilities!$F:$F,0)-1,MATCH("技能",CreepAbilities!$1:$1,0)-1)</f>
        <v>险恶打击</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12</v>
      </c>
      <c r="G182" s="118" t="str">
        <f ca="1">IF(OFFSET(CreepAbilities!$A$1,MATCH($A182,CreepAbilities!$F:$F,0)-1,MATCH("OID",CreepAbilities!$1:$1,0)-1)=0,0,"OrderId("&amp;CHAR(34)&amp;OFFSET(CreepAbilities!$A$1,MATCH($A182,CreepAbilities!$F:$F,0)-1,MATCH("OID",CreepAbilities!$1:$1,0)-1)&amp;CHAR(34)&amp;")")</f>
        <v>OrderId("w")</v>
      </c>
      <c r="H182" s="120">
        <v>1</v>
      </c>
      <c r="I182" s="120" t="s">
        <v>857</v>
      </c>
      <c r="J182" s="120"/>
      <c r="K182" s="108" t="str">
        <f t="shared" ca="1" si="7"/>
        <v>SpellData.create(SID_VICIOUS_STRIKE,"险恶打击",0,0,12,OrderId("w"),1,ORDER_TYPE_TARGET);</v>
      </c>
      <c r="L182" s="120"/>
      <c r="M182" s="120"/>
      <c r="N182" s="120"/>
      <c r="O182" s="120"/>
      <c r="P182" s="120"/>
      <c r="Q182" s="120"/>
      <c r="R182" s="120"/>
      <c r="S182" s="120"/>
      <c r="T182" s="120"/>
      <c r="U182" s="120"/>
      <c r="V182" s="120"/>
      <c r="W182" s="120"/>
      <c r="X182" s="120"/>
    </row>
    <row r="183" spans="1:24" s="121" customFormat="1">
      <c r="A183" s="114" t="s">
        <v>1291</v>
      </c>
      <c r="B183" s="118" t="str">
        <f t="shared" si="5"/>
        <v>SID_FILTHY_LAND</v>
      </c>
      <c r="C183" s="118" t="str">
        <f ca="1">OFFSET(CreepAbilities!$A$1,MATCH($A183,CreepAbilities!$F:$F,0)-1,MATCH("技能",CreepAbilities!$1:$1,0)-1)</f>
        <v>污秽之地</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15</v>
      </c>
      <c r="G183" s="118" t="str">
        <f ca="1">IF(OFFSET(CreepAbilities!$A$1,MATCH($A183,CreepAbilities!$F:$F,0)-1,MATCH("OID",CreepAbilities!$1:$1,0)-1)=0,0,"OrderId("&amp;CHAR(34)&amp;OFFSET(CreepAbilities!$A$1,MATCH($A183,CreepAbilities!$F:$F,0)-1,MATCH("OID",CreepAbilities!$1:$1,0)-1)&amp;CHAR(34)&amp;")")</f>
        <v>OrderId("w")</v>
      </c>
      <c r="H183" s="120">
        <v>1</v>
      </c>
      <c r="I183" s="120" t="s">
        <v>942</v>
      </c>
      <c r="J183" s="120"/>
      <c r="K183" s="108" t="str">
        <f t="shared" ca="1" si="7"/>
        <v>SpellData.create(SID_FILTHY_LAND,"污秽之地",0,0,15,OrderId("w"),1,ORDER_TYPE_POINT);</v>
      </c>
      <c r="L183" s="120"/>
      <c r="M183" s="120"/>
      <c r="N183" s="120"/>
      <c r="O183" s="120"/>
      <c r="P183" s="120"/>
      <c r="Q183" s="120"/>
      <c r="R183" s="120"/>
      <c r="S183" s="120"/>
      <c r="T183" s="120"/>
      <c r="U183" s="120"/>
      <c r="V183" s="120"/>
      <c r="W183" s="120"/>
      <c r="X183" s="120"/>
    </row>
    <row r="184" spans="1:24" s="124" customFormat="1">
      <c r="A184" s="122" t="s">
        <v>854</v>
      </c>
      <c r="B184" s="122" t="s">
        <v>856</v>
      </c>
      <c r="C184" s="122" t="s">
        <v>855</v>
      </c>
      <c r="D184" s="122">
        <v>0</v>
      </c>
      <c r="E184" s="122">
        <v>0</v>
      </c>
      <c r="F184" s="122">
        <v>1</v>
      </c>
      <c r="G184" s="122" t="s">
        <v>661</v>
      </c>
      <c r="H184" s="122">
        <v>1</v>
      </c>
      <c r="I184" s="122" t="s">
        <v>660</v>
      </c>
      <c r="J184" s="122"/>
      <c r="K184" s="108" t="str">
        <f t="shared" ref="K184:K215" si="8">IF(C184="N/A","//",CONCATENATE("SpellData.create(",B184,",",CHAR(34),C184,CHAR(34),",",E184,",",D184,",",F184,",",G184,",",H184,",",I184,")",J184,";"))</f>
        <v>SpellData.create(SIDCALLTOARMS,"战斗召唤",0,0,1,OrderId("channel"),1,ORDER_TYPE_IMMEDIATE);</v>
      </c>
      <c r="L184" s="122"/>
      <c r="M184" s="122"/>
      <c r="N184" s="122"/>
      <c r="O184" s="122"/>
      <c r="P184" s="122"/>
      <c r="Q184" s="122"/>
      <c r="R184" s="122"/>
      <c r="S184" s="122"/>
      <c r="T184" s="122"/>
      <c r="U184" s="122"/>
      <c r="V184" s="122"/>
      <c r="W184" s="122"/>
      <c r="X184" s="122"/>
    </row>
    <row r="185" spans="1:24" s="124" customFormat="1">
      <c r="A185" s="122" t="s">
        <v>851</v>
      </c>
      <c r="B185" s="122" t="s">
        <v>853</v>
      </c>
      <c r="C185" s="122" t="s">
        <v>852</v>
      </c>
      <c r="D185" s="122">
        <v>0</v>
      </c>
      <c r="E185" s="122">
        <v>0</v>
      </c>
      <c r="F185" s="122">
        <v>1</v>
      </c>
      <c r="G185" s="122" t="s">
        <v>661</v>
      </c>
      <c r="H185" s="122">
        <v>1</v>
      </c>
      <c r="I185" s="122" t="s">
        <v>660</v>
      </c>
      <c r="J185" s="122"/>
      <c r="K185" s="108" t="str">
        <f t="shared" si="8"/>
        <v>SpellData.create(SID_CTHUNS_DERANGEMENT,"上古狂乱",0,0,1,OrderId("channel"),1,ORDER_TYPE_IMMEDIATE);</v>
      </c>
      <c r="L185" s="122"/>
      <c r="M185" s="122"/>
      <c r="N185" s="122"/>
      <c r="O185" s="122"/>
      <c r="P185" s="122"/>
      <c r="Q185" s="122"/>
      <c r="R185" s="122"/>
      <c r="S185" s="122"/>
      <c r="T185" s="122"/>
      <c r="U185" s="122"/>
      <c r="V185" s="122"/>
      <c r="W185" s="122"/>
      <c r="X185" s="122"/>
    </row>
    <row r="186" spans="1:24" s="124" customFormat="1">
      <c r="A186" s="122" t="s">
        <v>848</v>
      </c>
      <c r="B186" s="122" t="s">
        <v>850</v>
      </c>
      <c r="C186" s="122" t="s">
        <v>849</v>
      </c>
      <c r="D186" s="122">
        <v>0</v>
      </c>
      <c r="E186" s="122">
        <v>0</v>
      </c>
      <c r="F186" s="122">
        <v>1</v>
      </c>
      <c r="G186" s="122" t="s">
        <v>661</v>
      </c>
      <c r="H186" s="122">
        <v>1</v>
      </c>
      <c r="I186" s="122" t="s">
        <v>660</v>
      </c>
      <c r="J186" s="122"/>
      <c r="K186" s="108" t="str">
        <f t="shared" si="8"/>
        <v>SpellData.create(SIDENIGMA,"谜团",0,0,1,OrderId("channel"),1,ORDER_TYPE_IMMEDIATE);</v>
      </c>
      <c r="L186" s="122"/>
      <c r="M186" s="122"/>
      <c r="N186" s="122"/>
      <c r="O186" s="122"/>
      <c r="P186" s="122"/>
      <c r="Q186" s="122"/>
      <c r="R186" s="122"/>
      <c r="S186" s="122"/>
      <c r="T186" s="122"/>
      <c r="U186" s="122"/>
      <c r="V186" s="122"/>
      <c r="W186" s="122"/>
      <c r="X186" s="122"/>
    </row>
    <row r="187" spans="1:24" s="124" customFormat="1">
      <c r="A187" s="122" t="s">
        <v>845</v>
      </c>
      <c r="B187" s="122" t="s">
        <v>847</v>
      </c>
      <c r="C187" s="122" t="s">
        <v>846</v>
      </c>
      <c r="D187" s="122">
        <v>0</v>
      </c>
      <c r="E187" s="122">
        <v>0</v>
      </c>
      <c r="F187" s="122">
        <v>1</v>
      </c>
      <c r="G187" s="122" t="s">
        <v>661</v>
      </c>
      <c r="H187" s="122">
        <v>1</v>
      </c>
      <c r="I187" s="122" t="s">
        <v>660</v>
      </c>
      <c r="J187" s="122"/>
      <c r="K187" s="108" t="str">
        <f t="shared" si="8"/>
        <v>SpellData.create(SID_GOBLIN_ROCKET_BOOTS_LIMITED_EDITION,"地精火箭靴",0,0,1,OrderId("channel"),1,ORDER_TYPE_IMMEDIATE);</v>
      </c>
      <c r="L187" s="122"/>
      <c r="M187" s="122"/>
      <c r="N187" s="122"/>
      <c r="O187" s="122"/>
      <c r="P187" s="122"/>
      <c r="Q187" s="122"/>
      <c r="R187" s="122"/>
      <c r="S187" s="122"/>
      <c r="T187" s="122"/>
      <c r="U187" s="122"/>
      <c r="V187" s="122"/>
      <c r="W187" s="122"/>
      <c r="X187" s="122"/>
    </row>
    <row r="188" spans="1:24" s="124" customFormat="1">
      <c r="A188" s="122" t="s">
        <v>842</v>
      </c>
      <c r="B188" s="122" t="s">
        <v>844</v>
      </c>
      <c r="C188" s="122" t="s">
        <v>843</v>
      </c>
      <c r="D188" s="122">
        <v>0</v>
      </c>
      <c r="E188" s="122">
        <v>0</v>
      </c>
      <c r="F188" s="122">
        <v>1</v>
      </c>
      <c r="G188" s="122" t="s">
        <v>661</v>
      </c>
      <c r="H188" s="122">
        <v>1</v>
      </c>
      <c r="I188" s="122" t="s">
        <v>660</v>
      </c>
      <c r="J188" s="122"/>
      <c r="K188" s="108" t="str">
        <f t="shared" si="8"/>
        <v>SpellData.create(SID_HEALTH_STONE,"医疗石",0,0,1,OrderId("channel"),1,ORDER_TYPE_IMMEDIATE);</v>
      </c>
      <c r="L188" s="122"/>
      <c r="M188" s="122"/>
      <c r="N188" s="122"/>
      <c r="O188" s="122"/>
      <c r="P188" s="122"/>
      <c r="Q188" s="122"/>
      <c r="R188" s="122"/>
      <c r="S188" s="122"/>
      <c r="T188" s="122"/>
      <c r="U188" s="122"/>
      <c r="V188" s="122"/>
      <c r="W188" s="122"/>
      <c r="X188" s="122"/>
    </row>
    <row r="189" spans="1:24" s="124" customFormat="1">
      <c r="A189" s="122" t="s">
        <v>839</v>
      </c>
      <c r="B189" s="122" t="s">
        <v>841</v>
      </c>
      <c r="C189" s="122" t="s">
        <v>840</v>
      </c>
      <c r="D189" s="122">
        <v>0</v>
      </c>
      <c r="E189" s="122">
        <v>0</v>
      </c>
      <c r="F189" s="122">
        <v>1</v>
      </c>
      <c r="G189" s="122" t="s">
        <v>661</v>
      </c>
      <c r="H189" s="122">
        <v>1</v>
      </c>
      <c r="I189" s="122" t="s">
        <v>660</v>
      </c>
      <c r="J189" s="122"/>
      <c r="K189" s="108" t="str">
        <f t="shared" si="8"/>
        <v>SpellData.create(SID_MANA_STONE,"魔法石",0,0,1,OrderId("channel"),1,ORDER_TYPE_IMMEDIATE);</v>
      </c>
      <c r="L189" s="122"/>
      <c r="M189" s="122"/>
      <c r="N189" s="122"/>
      <c r="O189" s="122"/>
      <c r="P189" s="122"/>
      <c r="Q189" s="122"/>
      <c r="R189" s="122"/>
      <c r="S189" s="122"/>
      <c r="T189" s="122"/>
      <c r="U189" s="122"/>
      <c r="V189" s="122"/>
      <c r="W189" s="122"/>
      <c r="X189" s="122"/>
    </row>
    <row r="190" spans="1:24" s="124" customFormat="1">
      <c r="A190" s="122" t="s">
        <v>836</v>
      </c>
      <c r="B190" s="122" t="s">
        <v>838</v>
      </c>
      <c r="C190" s="122" t="s">
        <v>837</v>
      </c>
      <c r="D190" s="122">
        <v>0</v>
      </c>
      <c r="E190" s="122">
        <v>0</v>
      </c>
      <c r="F190" s="122">
        <v>1</v>
      </c>
      <c r="G190" s="122" t="s">
        <v>661</v>
      </c>
      <c r="H190" s="122">
        <v>1</v>
      </c>
      <c r="I190" s="122" t="s">
        <v>660</v>
      </c>
      <c r="J190" s="122"/>
      <c r="K190" s="108" t="str">
        <f t="shared" si="8"/>
        <v>SpellData.create(SID_HEX_SHRUNKEN_HEAD,"妖术之颅",0,0,1,OrderId("channel"),1,ORDER_TYPE_IMMEDIATE);</v>
      </c>
      <c r="L190" s="122"/>
      <c r="M190" s="122"/>
      <c r="N190" s="122"/>
      <c r="O190" s="122"/>
      <c r="P190" s="122"/>
      <c r="Q190" s="122"/>
      <c r="R190" s="122"/>
      <c r="S190" s="122"/>
      <c r="T190" s="122"/>
      <c r="U190" s="122"/>
      <c r="V190" s="122"/>
      <c r="W190" s="122"/>
      <c r="X190" s="122"/>
    </row>
    <row r="191" spans="1:24" s="124" customFormat="1">
      <c r="A191" s="122" t="s">
        <v>833</v>
      </c>
      <c r="B191" s="122" t="s">
        <v>835</v>
      </c>
      <c r="C191" s="122" t="s">
        <v>834</v>
      </c>
      <c r="D191" s="122">
        <v>0</v>
      </c>
      <c r="E191" s="122">
        <v>0</v>
      </c>
      <c r="F191" s="122">
        <v>1</v>
      </c>
      <c r="G191" s="122" t="s">
        <v>661</v>
      </c>
      <c r="H191" s="122">
        <v>1</v>
      </c>
      <c r="I191" s="122" t="s">
        <v>660</v>
      </c>
      <c r="J191" s="122"/>
      <c r="K191" s="108" t="str">
        <f t="shared" si="8"/>
        <v>SpellData.create(SID_ICON_OF_THE_UNGLAZED_CRESCENT,"无光的新月徽记",0,0,1,OrderId("channel"),1,ORDER_TYPE_IMMEDIATE);</v>
      </c>
      <c r="L191" s="122"/>
      <c r="M191" s="122"/>
      <c r="N191" s="122"/>
      <c r="O191" s="122"/>
      <c r="P191" s="122"/>
      <c r="Q191" s="122"/>
      <c r="R191" s="122"/>
      <c r="S191" s="122"/>
      <c r="T191" s="122"/>
      <c r="U191" s="122"/>
      <c r="V191" s="122"/>
      <c r="W191" s="122"/>
      <c r="X191" s="122"/>
    </row>
    <row r="192" spans="1:24" s="124" customFormat="1">
      <c r="A192" s="122" t="s">
        <v>830</v>
      </c>
      <c r="B192" s="122" t="s">
        <v>832</v>
      </c>
      <c r="C192" s="122" t="s">
        <v>831</v>
      </c>
      <c r="D192" s="122">
        <v>0</v>
      </c>
      <c r="E192" s="122">
        <v>0</v>
      </c>
      <c r="F192" s="122">
        <v>1</v>
      </c>
      <c r="G192" s="122" t="s">
        <v>661</v>
      </c>
      <c r="H192" s="122">
        <v>1</v>
      </c>
      <c r="I192" s="122" t="s">
        <v>660</v>
      </c>
      <c r="J192" s="122"/>
      <c r="K192" s="108" t="str">
        <f t="shared" si="8"/>
        <v>SpellData.create(SIDLIGHTSJUSTICE,"圣光的正义",0,0,1,OrderId("channel"),1,ORDER_TYPE_IMMEDIATE);</v>
      </c>
      <c r="L192" s="122"/>
      <c r="M192" s="122"/>
      <c r="N192" s="122"/>
      <c r="O192" s="122"/>
      <c r="P192" s="122"/>
      <c r="Q192" s="122"/>
      <c r="R192" s="122"/>
      <c r="S192" s="122"/>
      <c r="T192" s="122"/>
      <c r="U192" s="122"/>
      <c r="V192" s="122"/>
      <c r="W192" s="122"/>
      <c r="X192" s="122"/>
    </row>
    <row r="193" spans="1:24" s="124" customFormat="1">
      <c r="A193" s="122" t="s">
        <v>827</v>
      </c>
      <c r="B193" s="122" t="s">
        <v>829</v>
      </c>
      <c r="C193" s="122" t="s">
        <v>828</v>
      </c>
      <c r="D193" s="122">
        <v>0</v>
      </c>
      <c r="E193" s="122">
        <v>0</v>
      </c>
      <c r="F193" s="122">
        <v>1</v>
      </c>
      <c r="G193" s="122" t="s">
        <v>661</v>
      </c>
      <c r="H193" s="122">
        <v>1</v>
      </c>
      <c r="I193" s="122" t="s">
        <v>660</v>
      </c>
      <c r="J193" s="122"/>
      <c r="K193" s="108" t="str">
        <f t="shared" si="8"/>
        <v>SpellData.create(SID_MOROES_LUCKY_GEAR,"莫罗斯的幸运怀表",0,0,1,OrderId("channel"),1,ORDER_TYPE_IMMEDIATE);</v>
      </c>
      <c r="L193" s="122"/>
      <c r="M193" s="122"/>
      <c r="N193" s="122"/>
      <c r="O193" s="122"/>
      <c r="P193" s="122"/>
      <c r="Q193" s="122"/>
      <c r="R193" s="122"/>
      <c r="S193" s="122"/>
      <c r="T193" s="122"/>
      <c r="U193" s="122"/>
      <c r="V193" s="122"/>
      <c r="W193" s="122"/>
      <c r="X193" s="122"/>
    </row>
    <row r="194" spans="1:24" s="124" customFormat="1">
      <c r="A194" s="122" t="s">
        <v>824</v>
      </c>
      <c r="B194" s="122" t="s">
        <v>826</v>
      </c>
      <c r="C194" s="122" t="s">
        <v>825</v>
      </c>
      <c r="D194" s="122">
        <v>0</v>
      </c>
      <c r="E194" s="122">
        <v>0</v>
      </c>
      <c r="F194" s="122">
        <v>1</v>
      </c>
      <c r="G194" s="122" t="s">
        <v>661</v>
      </c>
      <c r="H194" s="122">
        <v>1</v>
      </c>
      <c r="I194" s="122" t="s">
        <v>660</v>
      </c>
      <c r="J194" s="122"/>
      <c r="K194" s="108" t="str">
        <f t="shared" si="8"/>
        <v>SpellData.create(SIDREFORGEDBADGEOFTENACITY,"重铸的坚韧徽章",0,0,1,OrderId("channel"),1,ORDER_TYPE_IMMEDIATE);</v>
      </c>
      <c r="L194" s="122"/>
      <c r="M194" s="122"/>
      <c r="N194" s="122"/>
      <c r="O194" s="122"/>
      <c r="P194" s="122"/>
      <c r="Q194" s="122"/>
      <c r="R194" s="122"/>
      <c r="S194" s="122"/>
      <c r="T194" s="122"/>
      <c r="U194" s="122"/>
      <c r="V194" s="122"/>
      <c r="W194" s="122"/>
      <c r="X194" s="122"/>
    </row>
    <row r="195" spans="1:24" s="124" customFormat="1">
      <c r="A195" s="122" t="s">
        <v>821</v>
      </c>
      <c r="B195" s="122" t="s">
        <v>823</v>
      </c>
      <c r="C195" s="122" t="s">
        <v>822</v>
      </c>
      <c r="D195" s="122">
        <v>0</v>
      </c>
      <c r="E195" s="122">
        <v>0</v>
      </c>
      <c r="F195" s="122">
        <v>1</v>
      </c>
      <c r="G195" s="122" t="s">
        <v>661</v>
      </c>
      <c r="H195" s="122">
        <v>1</v>
      </c>
      <c r="I195" s="122" t="s">
        <v>660</v>
      </c>
      <c r="J195" s="122"/>
      <c r="K195" s="108" t="str">
        <f t="shared" si="8"/>
        <v>SpellData.create(SID_TYRAELS_MIGHT,"正义天使之力",0,0,1,OrderId("channel"),1,ORDER_TYPE_IMMEDIATE);</v>
      </c>
      <c r="L195" s="122"/>
      <c r="M195" s="122"/>
      <c r="N195" s="122"/>
      <c r="O195" s="122"/>
      <c r="P195" s="122"/>
      <c r="Q195" s="122"/>
      <c r="R195" s="122"/>
      <c r="S195" s="122"/>
      <c r="T195" s="122"/>
      <c r="U195" s="122"/>
      <c r="V195" s="122"/>
      <c r="W195" s="122"/>
      <c r="X195" s="122"/>
    </row>
    <row r="196" spans="1:24" s="124" customFormat="1">
      <c r="A196" s="122" t="s">
        <v>818</v>
      </c>
      <c r="B196" s="122" t="s">
        <v>820</v>
      </c>
      <c r="C196" s="122" t="s">
        <v>819</v>
      </c>
      <c r="D196" s="122">
        <v>0</v>
      </c>
      <c r="E196" s="122">
        <v>0</v>
      </c>
      <c r="F196" s="122">
        <v>1</v>
      </c>
      <c r="G196" s="122" t="s">
        <v>661</v>
      </c>
      <c r="H196" s="122">
        <v>1</v>
      </c>
      <c r="I196" s="122" t="s">
        <v>660</v>
      </c>
      <c r="J196" s="122"/>
      <c r="K196" s="108" t="str">
        <f t="shared" si="8"/>
        <v>SpellData.create(SID_VOODOO_VIAL,"巫毒瓶",0,0,1,OrderId("channel"),1,ORDER_TYPE_IMMEDIATE);</v>
      </c>
      <c r="L196" s="122"/>
      <c r="M196" s="122"/>
      <c r="N196" s="122"/>
      <c r="O196" s="122"/>
      <c r="P196" s="122"/>
      <c r="Q196" s="122"/>
      <c r="R196" s="122"/>
      <c r="S196" s="122"/>
      <c r="T196" s="122"/>
      <c r="U196" s="122"/>
      <c r="V196" s="122"/>
      <c r="W196" s="122"/>
      <c r="X196" s="122"/>
    </row>
    <row r="197" spans="1:24">
      <c r="A197" s="113" t="s">
        <v>815</v>
      </c>
      <c r="B197" s="113" t="s">
        <v>817</v>
      </c>
      <c r="C197" s="113" t="s">
        <v>816</v>
      </c>
      <c r="D197" s="113">
        <v>0</v>
      </c>
      <c r="E197" s="113">
        <v>0</v>
      </c>
      <c r="F197" s="113">
        <v>1</v>
      </c>
      <c r="G197" s="113" t="s">
        <v>661</v>
      </c>
      <c r="H197" s="113">
        <v>1</v>
      </c>
      <c r="I197" s="113" t="s">
        <v>660</v>
      </c>
      <c r="J197" s="113"/>
      <c r="K197" s="108" t="str">
        <f t="shared" si="8"/>
        <v>SpellData.create(SID_ARMAGEDDON_SCROLL,"末日审判",0,0,1,OrderId("channel"),1,ORDER_TYPE_IMMEDIATE);</v>
      </c>
      <c r="L197" s="113"/>
      <c r="M197" s="113"/>
      <c r="N197" s="113"/>
      <c r="O197" s="113"/>
      <c r="P197" s="113"/>
      <c r="Q197" s="113"/>
      <c r="R197" s="113"/>
      <c r="S197" s="113"/>
      <c r="T197" s="113"/>
      <c r="U197" s="113"/>
      <c r="V197" s="113"/>
      <c r="W197" s="113"/>
      <c r="X197" s="113"/>
    </row>
    <row r="198" spans="1:24">
      <c r="A198" s="113" t="s">
        <v>812</v>
      </c>
      <c r="B198" s="113" t="s">
        <v>814</v>
      </c>
      <c r="C198" s="113" t="s">
        <v>813</v>
      </c>
      <c r="D198" s="113">
        <v>0</v>
      </c>
      <c r="E198" s="113">
        <v>0</v>
      </c>
      <c r="F198" s="113">
        <v>1</v>
      </c>
      <c r="G198" s="113" t="s">
        <v>661</v>
      </c>
      <c r="H198" s="113">
        <v>1</v>
      </c>
      <c r="I198" s="113" t="s">
        <v>660</v>
      </c>
      <c r="J198" s="113"/>
      <c r="K198" s="108" t="str">
        <f t="shared" si="8"/>
        <v>SpellData.create(SID_ARANS_COUNTER_SPELL_SCROLL,"埃兰的反制卷轴",0,0,1,OrderId("channel"),1,ORDER_TYPE_IMMEDIATE);</v>
      </c>
      <c r="L198" s="113"/>
      <c r="M198" s="113"/>
      <c r="N198" s="113"/>
      <c r="O198" s="113"/>
      <c r="P198" s="113"/>
      <c r="Q198" s="113"/>
      <c r="R198" s="113"/>
      <c r="S198" s="113"/>
      <c r="T198" s="113"/>
      <c r="U198" s="113"/>
      <c r="V198" s="113"/>
      <c r="W198" s="113"/>
      <c r="X198" s="113"/>
    </row>
    <row r="199" spans="1:24">
      <c r="A199" s="113" t="s">
        <v>809</v>
      </c>
      <c r="B199" s="113" t="s">
        <v>811</v>
      </c>
      <c r="C199" s="113" t="s">
        <v>810</v>
      </c>
      <c r="D199" s="113">
        <v>0</v>
      </c>
      <c r="E199" s="113">
        <v>0</v>
      </c>
      <c r="F199" s="113">
        <v>1</v>
      </c>
      <c r="G199" s="113" t="s">
        <v>661</v>
      </c>
      <c r="H199" s="113">
        <v>1</v>
      </c>
      <c r="I199" s="113" t="s">
        <v>660</v>
      </c>
      <c r="J199" s="113"/>
      <c r="K199" s="108" t="str">
        <f t="shared" si="8"/>
        <v>SpellData.create(SID_BANSHEE_SCROLL,"女妖之嚎卷轴",0,0,1,OrderId("channel"),1,ORDER_TYPE_IMMEDIATE);</v>
      </c>
      <c r="L199" s="113"/>
      <c r="M199" s="113"/>
      <c r="N199" s="113"/>
      <c r="O199" s="113"/>
      <c r="P199" s="113"/>
      <c r="Q199" s="113"/>
      <c r="R199" s="113"/>
      <c r="S199" s="113"/>
      <c r="T199" s="113"/>
      <c r="U199" s="113"/>
      <c r="V199" s="113"/>
      <c r="W199" s="113"/>
      <c r="X199" s="113"/>
    </row>
    <row r="200" spans="1:24">
      <c r="A200" s="113" t="s">
        <v>806</v>
      </c>
      <c r="B200" s="113" t="s">
        <v>808</v>
      </c>
      <c r="C200" s="113" t="s">
        <v>807</v>
      </c>
      <c r="D200" s="113">
        <v>0</v>
      </c>
      <c r="E200" s="113">
        <v>0</v>
      </c>
      <c r="F200" s="113">
        <v>1</v>
      </c>
      <c r="G200" s="113" t="s">
        <v>661</v>
      </c>
      <c r="H200" s="113">
        <v>1</v>
      </c>
      <c r="I200" s="113" t="s">
        <v>660</v>
      </c>
      <c r="J200" s="113"/>
      <c r="K200" s="108" t="str">
        <f t="shared" si="8"/>
        <v>SpellData.create(SID_CORRUPTION_SCROLL,"腐蚀卷轴",0,0,1,OrderId("channel"),1,ORDER_TYPE_IMMEDIATE);</v>
      </c>
      <c r="L200" s="113"/>
      <c r="M200" s="113"/>
      <c r="N200" s="113"/>
      <c r="O200" s="113"/>
      <c r="P200" s="113"/>
      <c r="Q200" s="113"/>
      <c r="R200" s="113"/>
      <c r="S200" s="113"/>
      <c r="T200" s="113"/>
      <c r="U200" s="113"/>
      <c r="V200" s="113"/>
      <c r="W200" s="113"/>
      <c r="X200" s="113"/>
    </row>
    <row r="201" spans="1:24">
      <c r="A201" s="113" t="s">
        <v>803</v>
      </c>
      <c r="B201" s="113" t="s">
        <v>805</v>
      </c>
      <c r="C201" s="113" t="s">
        <v>804</v>
      </c>
      <c r="D201" s="113">
        <v>0</v>
      </c>
      <c r="E201" s="113">
        <v>0</v>
      </c>
      <c r="F201" s="113">
        <v>1</v>
      </c>
      <c r="G201" s="113" t="s">
        <v>661</v>
      </c>
      <c r="H201" s="113">
        <v>1</v>
      </c>
      <c r="I201" s="113" t="s">
        <v>660</v>
      </c>
      <c r="J201" s="113"/>
      <c r="K201" s="108" t="str">
        <f t="shared" si="8"/>
        <v>SpellData.create(SID_DEFEND_SCROLL,"守护卷轴",0,0,1,OrderId("channel"),1,ORDER_TYPE_IMMEDIATE);</v>
      </c>
      <c r="L201" s="113"/>
      <c r="M201" s="113"/>
      <c r="N201" s="113"/>
      <c r="O201" s="113"/>
      <c r="P201" s="113"/>
      <c r="Q201" s="113"/>
      <c r="R201" s="113"/>
      <c r="S201" s="113"/>
      <c r="T201" s="113"/>
      <c r="U201" s="113"/>
      <c r="V201" s="113"/>
      <c r="W201" s="113"/>
      <c r="X201" s="113"/>
    </row>
    <row r="202" spans="1:24">
      <c r="A202" s="113" t="s">
        <v>800</v>
      </c>
      <c r="B202" s="113" t="s">
        <v>802</v>
      </c>
      <c r="C202" s="113" t="s">
        <v>801</v>
      </c>
      <c r="D202" s="113">
        <v>0</v>
      </c>
      <c r="E202" s="113">
        <v>0</v>
      </c>
      <c r="F202" s="113">
        <v>1</v>
      </c>
      <c r="G202" s="113" t="s">
        <v>661</v>
      </c>
      <c r="H202" s="113">
        <v>1</v>
      </c>
      <c r="I202" s="113" t="s">
        <v>660</v>
      </c>
      <c r="J202" s="113"/>
      <c r="K202" s="108" t="str">
        <f t="shared" si="8"/>
        <v>SpellData.create(SID_FRENZY_SCROLL,"狂热卷轴",0,0,1,OrderId("channel"),1,ORDER_TYPE_IMMEDIATE);</v>
      </c>
      <c r="L202" s="113"/>
      <c r="M202" s="113"/>
      <c r="N202" s="113"/>
      <c r="O202" s="113"/>
      <c r="P202" s="113"/>
      <c r="Q202" s="113"/>
      <c r="R202" s="113"/>
      <c r="S202" s="113"/>
      <c r="T202" s="113"/>
      <c r="U202" s="113"/>
      <c r="V202" s="113"/>
      <c r="W202" s="113"/>
      <c r="X202" s="113"/>
    </row>
    <row r="203" spans="1:24">
      <c r="A203" s="113" t="s">
        <v>797</v>
      </c>
      <c r="B203" s="113" t="s">
        <v>799</v>
      </c>
      <c r="C203" s="113" t="s">
        <v>798</v>
      </c>
      <c r="D203" s="113">
        <v>0</v>
      </c>
      <c r="E203" s="113">
        <v>0</v>
      </c>
      <c r="F203" s="113">
        <v>1</v>
      </c>
      <c r="G203" s="113" t="s">
        <v>661</v>
      </c>
      <c r="H203" s="113">
        <v>1</v>
      </c>
      <c r="I203" s="113" t="s">
        <v>660</v>
      </c>
      <c r="J203" s="113"/>
      <c r="K203" s="108" t="str">
        <f t="shared" si="8"/>
        <v>SpellData.create(SID_HEAL_SCROLL,"医疗卷轴",0,0,1,OrderId("channel"),1,ORDER_TYPE_IMMEDIATE);</v>
      </c>
      <c r="L203" s="113"/>
      <c r="M203" s="113"/>
      <c r="N203" s="113"/>
      <c r="O203" s="113"/>
      <c r="P203" s="113"/>
      <c r="Q203" s="113"/>
      <c r="R203" s="113"/>
      <c r="S203" s="113"/>
      <c r="T203" s="113"/>
      <c r="U203" s="113"/>
      <c r="V203" s="113"/>
      <c r="W203" s="113"/>
      <c r="X203" s="113"/>
    </row>
    <row r="204" spans="1:24">
      <c r="A204" s="113" t="s">
        <v>794</v>
      </c>
      <c r="B204" s="113" t="s">
        <v>796</v>
      </c>
      <c r="C204" s="113" t="s">
        <v>795</v>
      </c>
      <c r="D204" s="113">
        <v>0</v>
      </c>
      <c r="E204" s="113">
        <v>0</v>
      </c>
      <c r="F204" s="113">
        <v>1</v>
      </c>
      <c r="G204" s="113" t="s">
        <v>661</v>
      </c>
      <c r="H204" s="113">
        <v>1</v>
      </c>
      <c r="I204" s="113" t="s">
        <v>660</v>
      </c>
      <c r="J204" s="113"/>
      <c r="K204" s="108" t="str">
        <f t="shared" si="8"/>
        <v>SpellData.create(SID_MANA_SCROLL,"魔法卷轴",0,0,1,OrderId("channel"),1,ORDER_TYPE_IMMEDIATE);</v>
      </c>
      <c r="L204" s="113"/>
      <c r="M204" s="113"/>
      <c r="N204" s="113"/>
      <c r="O204" s="113"/>
      <c r="P204" s="113"/>
      <c r="Q204" s="113"/>
      <c r="R204" s="113"/>
      <c r="S204" s="113"/>
      <c r="T204" s="113"/>
      <c r="U204" s="113"/>
      <c r="V204" s="113"/>
      <c r="W204" s="113"/>
      <c r="X204" s="113"/>
    </row>
    <row r="205" spans="1:24">
      <c r="A205" s="113" t="s">
        <v>791</v>
      </c>
      <c r="B205" s="113" t="s">
        <v>793</v>
      </c>
      <c r="C205" s="113" t="s">
        <v>792</v>
      </c>
      <c r="D205" s="113">
        <v>0</v>
      </c>
      <c r="E205" s="113">
        <v>0</v>
      </c>
      <c r="F205" s="113">
        <v>1</v>
      </c>
      <c r="G205" s="113" t="s">
        <v>661</v>
      </c>
      <c r="H205" s="113">
        <v>1</v>
      </c>
      <c r="I205" s="113" t="s">
        <v>660</v>
      </c>
      <c r="J205" s="113"/>
      <c r="K205" s="108" t="str">
        <f t="shared" si="8"/>
        <v>SpellData.create(SID_MASS_DISPEL_SCROLL,"大型驱魔卷轴",0,0,1,OrderId("channel"),1,ORDER_TYPE_IMMEDIATE);</v>
      </c>
      <c r="L205" s="113"/>
      <c r="M205" s="113"/>
      <c r="N205" s="113"/>
      <c r="O205" s="113"/>
      <c r="P205" s="113"/>
      <c r="Q205" s="113"/>
      <c r="R205" s="113"/>
      <c r="S205" s="113"/>
      <c r="T205" s="113"/>
      <c r="U205" s="113"/>
      <c r="V205" s="113"/>
      <c r="W205" s="113"/>
      <c r="X205" s="113"/>
    </row>
    <row r="206" spans="1:24">
      <c r="A206" s="113" t="s">
        <v>788</v>
      </c>
      <c r="B206" s="113" t="s">
        <v>790</v>
      </c>
      <c r="C206" s="113" t="s">
        <v>789</v>
      </c>
      <c r="D206" s="113">
        <v>0</v>
      </c>
      <c r="E206" s="113">
        <v>0</v>
      </c>
      <c r="F206" s="113">
        <v>1</v>
      </c>
      <c r="G206" s="113" t="s">
        <v>661</v>
      </c>
      <c r="H206" s="113">
        <v>1</v>
      </c>
      <c r="I206" s="113" t="s">
        <v>660</v>
      </c>
      <c r="J206" s="113"/>
      <c r="K206" s="108" t="str">
        <f t="shared" si="8"/>
        <v>SpellData.create(SID_MASS_TELEPORT_SCROLL,"群体传送卷轴",0,0,1,OrderId("channel"),1,ORDER_TYPE_IMMEDIATE);</v>
      </c>
      <c r="L206" s="113"/>
      <c r="M206" s="113"/>
      <c r="N206" s="113"/>
      <c r="O206" s="113"/>
      <c r="P206" s="113"/>
      <c r="Q206" s="113"/>
      <c r="R206" s="113"/>
      <c r="S206" s="113"/>
      <c r="T206" s="113"/>
      <c r="U206" s="113"/>
      <c r="V206" s="113"/>
      <c r="W206" s="113"/>
      <c r="X206" s="113"/>
    </row>
    <row r="207" spans="1:24">
      <c r="A207" s="113" t="s">
        <v>785</v>
      </c>
      <c r="B207" s="113" t="s">
        <v>787</v>
      </c>
      <c r="C207" s="113" t="s">
        <v>786</v>
      </c>
      <c r="D207" s="113">
        <v>0</v>
      </c>
      <c r="E207" s="113">
        <v>0</v>
      </c>
      <c r="F207" s="113">
        <v>1</v>
      </c>
      <c r="G207" s="113" t="s">
        <v>661</v>
      </c>
      <c r="H207" s="113">
        <v>1</v>
      </c>
      <c r="I207" s="113" t="s">
        <v>660</v>
      </c>
      <c r="J207" s="113"/>
      <c r="K207" s="108" t="str">
        <f t="shared" si="8"/>
        <v>SpellData.create(SID_ROAR_SCROLL,"野兽卷轴",0,0,1,OrderId("channel"),1,ORDER_TYPE_IMMEDIATE);</v>
      </c>
      <c r="L207" s="113"/>
      <c r="M207" s="113"/>
      <c r="N207" s="113"/>
      <c r="O207" s="113"/>
      <c r="P207" s="113"/>
      <c r="Q207" s="113"/>
      <c r="R207" s="113"/>
      <c r="S207" s="113"/>
      <c r="T207" s="113"/>
      <c r="U207" s="113"/>
      <c r="V207" s="113"/>
      <c r="W207" s="113"/>
      <c r="X207" s="113"/>
    </row>
    <row r="208" spans="1:24">
      <c r="A208" s="113" t="s">
        <v>782</v>
      </c>
      <c r="B208" s="113" t="s">
        <v>784</v>
      </c>
      <c r="C208" s="113" t="s">
        <v>783</v>
      </c>
      <c r="D208" s="113">
        <v>0</v>
      </c>
      <c r="E208" s="113">
        <v>0</v>
      </c>
      <c r="F208" s="113">
        <v>1</v>
      </c>
      <c r="G208" s="113" t="s">
        <v>661</v>
      </c>
      <c r="H208" s="113">
        <v>1</v>
      </c>
      <c r="I208" s="113" t="s">
        <v>660</v>
      </c>
      <c r="J208" s="113"/>
      <c r="K208" s="108" t="str">
        <f t="shared" si="8"/>
        <v>SpellData.create(SID_SANCTUARY_SCROLL,"庇护所卷轴",0,0,1,OrderId("channel"),1,ORDER_TYPE_IMMEDIATE);</v>
      </c>
      <c r="L208" s="113"/>
      <c r="M208" s="113"/>
      <c r="N208" s="113"/>
      <c r="O208" s="113"/>
      <c r="P208" s="113"/>
      <c r="Q208" s="113"/>
      <c r="R208" s="113"/>
      <c r="S208" s="113"/>
      <c r="T208" s="113"/>
      <c r="U208" s="113"/>
      <c r="V208" s="113"/>
      <c r="W208" s="113"/>
      <c r="X208" s="113"/>
    </row>
    <row r="209" spans="1:24">
      <c r="A209" s="113" t="s">
        <v>779</v>
      </c>
      <c r="B209" s="113" t="s">
        <v>781</v>
      </c>
      <c r="C209" s="113" t="s">
        <v>780</v>
      </c>
      <c r="D209" s="113">
        <v>0</v>
      </c>
      <c r="E209" s="113">
        <v>0</v>
      </c>
      <c r="F209" s="113">
        <v>1</v>
      </c>
      <c r="G209" s="113" t="s">
        <v>661</v>
      </c>
      <c r="H209" s="113">
        <v>1</v>
      </c>
      <c r="I209" s="113" t="s">
        <v>660</v>
      </c>
      <c r="J209" s="113"/>
      <c r="K209" s="108" t="str">
        <f t="shared" si="8"/>
        <v>SpellData.create(SID_SLAYER_SCROLL,"杀戮卷轴",0,0,1,OrderId("channel"),1,ORDER_TYPE_IMMEDIATE);</v>
      </c>
      <c r="L209" s="113"/>
      <c r="M209" s="113"/>
      <c r="N209" s="113"/>
      <c r="O209" s="113"/>
      <c r="P209" s="113"/>
      <c r="Q209" s="113"/>
      <c r="R209" s="113"/>
      <c r="S209" s="113"/>
      <c r="T209" s="113"/>
      <c r="U209" s="113"/>
      <c r="V209" s="113"/>
      <c r="W209" s="113"/>
      <c r="X209" s="113"/>
    </row>
    <row r="210" spans="1:24">
      <c r="A210" s="113" t="s">
        <v>776</v>
      </c>
      <c r="B210" s="113" t="s">
        <v>778</v>
      </c>
      <c r="C210" s="113" t="s">
        <v>777</v>
      </c>
      <c r="D210" s="113">
        <v>0</v>
      </c>
      <c r="E210" s="113">
        <v>0</v>
      </c>
      <c r="F210" s="113">
        <v>1</v>
      </c>
      <c r="G210" s="113" t="s">
        <v>661</v>
      </c>
      <c r="H210" s="113">
        <v>1</v>
      </c>
      <c r="I210" s="113" t="s">
        <v>660</v>
      </c>
      <c r="J210" s="113"/>
      <c r="K210" s="108" t="str">
        <f t="shared" si="8"/>
        <v>SpellData.create(SID_SPEED_SCROLL,"加速卷轴",0,0,1,OrderId("channel"),1,ORDER_TYPE_IMMEDIATE);</v>
      </c>
      <c r="L210" s="113"/>
      <c r="M210" s="113"/>
      <c r="N210" s="113"/>
      <c r="O210" s="113"/>
      <c r="P210" s="113"/>
      <c r="Q210" s="113"/>
      <c r="R210" s="113"/>
      <c r="S210" s="113"/>
      <c r="T210" s="113"/>
      <c r="U210" s="113"/>
      <c r="V210" s="113"/>
      <c r="W210" s="113"/>
      <c r="X210" s="113"/>
    </row>
    <row r="211" spans="1:24">
      <c r="A211" s="113" t="s">
        <v>773</v>
      </c>
      <c r="B211" s="113" t="s">
        <v>775</v>
      </c>
      <c r="C211" s="113" t="s">
        <v>774</v>
      </c>
      <c r="D211" s="113">
        <v>0</v>
      </c>
      <c r="E211" s="113">
        <v>0</v>
      </c>
      <c r="F211" s="113">
        <v>1</v>
      </c>
      <c r="G211" s="113" t="s">
        <v>661</v>
      </c>
      <c r="H211" s="113">
        <v>1</v>
      </c>
      <c r="I211" s="113" t="s">
        <v>660</v>
      </c>
      <c r="J211" s="113"/>
      <c r="K211" s="108" t="str">
        <f t="shared" si="8"/>
        <v>SpellData.create(SID_SPELL_REFLECTION_SCROLL,"绝缘卷轴",0,0,1,OrderId("channel"),1,ORDER_TYPE_IMMEDIATE);</v>
      </c>
      <c r="L211" s="113"/>
      <c r="M211" s="113"/>
      <c r="N211" s="113"/>
      <c r="O211" s="113"/>
      <c r="P211" s="113"/>
      <c r="Q211" s="113"/>
      <c r="R211" s="113"/>
      <c r="S211" s="113"/>
      <c r="T211" s="113"/>
      <c r="U211" s="113"/>
      <c r="V211" s="113"/>
      <c r="W211" s="113"/>
      <c r="X211" s="113"/>
    </row>
    <row r="212" spans="1:24">
      <c r="A212" s="113" t="s">
        <v>770</v>
      </c>
      <c r="B212" s="113" t="s">
        <v>772</v>
      </c>
      <c r="C212" s="113" t="s">
        <v>771</v>
      </c>
      <c r="D212" s="113">
        <v>0</v>
      </c>
      <c r="E212" s="113">
        <v>0</v>
      </c>
      <c r="F212" s="113">
        <v>1</v>
      </c>
      <c r="G212" s="113" t="s">
        <v>661</v>
      </c>
      <c r="H212" s="113">
        <v>1</v>
      </c>
      <c r="I212" s="113" t="s">
        <v>660</v>
      </c>
      <c r="J212" s="113"/>
      <c r="K212" s="108" t="str">
        <f t="shared" si="8"/>
        <v>SpellData.create(SID_WEAKEN_CURSE_SCROLL,"虚弱诅咒卷轴",0,0,1,OrderId("channel"),1,ORDER_TYPE_IMMEDIATE);</v>
      </c>
      <c r="L212" s="113"/>
      <c r="M212" s="113"/>
      <c r="N212" s="113"/>
      <c r="O212" s="113"/>
      <c r="P212" s="113"/>
      <c r="Q212" s="113"/>
      <c r="R212" s="113"/>
      <c r="S212" s="113"/>
      <c r="T212" s="113"/>
      <c r="U212" s="113"/>
      <c r="V212" s="113"/>
      <c r="W212" s="113"/>
      <c r="X212" s="113"/>
    </row>
    <row r="213" spans="1:24">
      <c r="A213" s="114" t="s">
        <v>767</v>
      </c>
      <c r="B213" s="114" t="s">
        <v>769</v>
      </c>
      <c r="C213" s="114" t="s">
        <v>768</v>
      </c>
      <c r="D213" s="114">
        <v>0</v>
      </c>
      <c r="E213" s="114">
        <v>0</v>
      </c>
      <c r="F213" s="114">
        <v>1</v>
      </c>
      <c r="G213" s="114" t="s">
        <v>661</v>
      </c>
      <c r="H213" s="114">
        <v>1</v>
      </c>
      <c r="I213" s="114" t="s">
        <v>660</v>
      </c>
      <c r="J213" s="114"/>
      <c r="K213" s="108" t="str">
        <f t="shared" si="8"/>
        <v>SpellData.create(SID_LIFE_POTION,"生命药水",0,0,1,OrderId("channel"),1,ORDER_TYPE_IMMEDIATE);</v>
      </c>
      <c r="L213" s="114"/>
      <c r="M213" s="114"/>
      <c r="N213" s="114"/>
      <c r="O213" s="114"/>
      <c r="P213" s="114"/>
      <c r="Q213" s="114"/>
      <c r="R213" s="114"/>
      <c r="S213" s="114"/>
      <c r="T213" s="114"/>
      <c r="U213" s="114"/>
      <c r="V213" s="114"/>
      <c r="W213" s="114"/>
      <c r="X213" s="114"/>
    </row>
    <row r="214" spans="1:24">
      <c r="A214" s="114" t="s">
        <v>764</v>
      </c>
      <c r="B214" s="114" t="s">
        <v>766</v>
      </c>
      <c r="C214" s="114" t="s">
        <v>765</v>
      </c>
      <c r="D214" s="114">
        <v>0</v>
      </c>
      <c r="E214" s="114">
        <v>0</v>
      </c>
      <c r="F214" s="114">
        <v>1</v>
      </c>
      <c r="G214" s="114" t="s">
        <v>661</v>
      </c>
      <c r="H214" s="114">
        <v>1</v>
      </c>
      <c r="I214" s="114" t="s">
        <v>660</v>
      </c>
      <c r="J214" s="114"/>
      <c r="K214" s="108" t="str">
        <f t="shared" si="8"/>
        <v>SpellData.create(SID_MANA_POTION,"魔法药水",0,0,1,OrderId("channel"),1,ORDER_TYPE_IMMEDIATE);</v>
      </c>
      <c r="L214" s="114"/>
      <c r="M214" s="114"/>
      <c r="N214" s="114"/>
      <c r="O214" s="114"/>
      <c r="P214" s="114"/>
      <c r="Q214" s="114"/>
      <c r="R214" s="114"/>
      <c r="S214" s="114"/>
      <c r="T214" s="114"/>
      <c r="U214" s="114"/>
      <c r="V214" s="114"/>
      <c r="W214" s="114"/>
      <c r="X214" s="114"/>
    </row>
    <row r="215" spans="1:24">
      <c r="A215" s="114" t="s">
        <v>761</v>
      </c>
      <c r="B215" s="114" t="s">
        <v>763</v>
      </c>
      <c r="C215" s="114" t="s">
        <v>762</v>
      </c>
      <c r="D215" s="114">
        <v>0</v>
      </c>
      <c r="E215" s="114">
        <v>0</v>
      </c>
      <c r="F215" s="114">
        <v>1</v>
      </c>
      <c r="G215" s="114" t="s">
        <v>661</v>
      </c>
      <c r="H215" s="114">
        <v>1</v>
      </c>
      <c r="I215" s="114" t="s">
        <v>660</v>
      </c>
      <c r="J215" s="114"/>
      <c r="K215" s="108" t="str">
        <f t="shared" si="8"/>
        <v>SpellData.create(SID_LEECH_POTION,"吸血药水",0,0,1,OrderId("channel"),1,ORDER_TYPE_IMMEDIATE);</v>
      </c>
      <c r="L215" s="114"/>
      <c r="M215" s="114"/>
      <c r="N215" s="114"/>
      <c r="O215" s="114"/>
      <c r="P215" s="114"/>
      <c r="Q215" s="114"/>
      <c r="R215" s="114"/>
      <c r="S215" s="114"/>
      <c r="T215" s="114"/>
      <c r="U215" s="114"/>
      <c r="V215" s="114"/>
      <c r="W215" s="114"/>
      <c r="X215" s="114"/>
    </row>
    <row r="216" spans="1:24">
      <c r="A216" s="114" t="s">
        <v>758</v>
      </c>
      <c r="B216" s="114" t="s">
        <v>760</v>
      </c>
      <c r="C216" s="114" t="s">
        <v>759</v>
      </c>
      <c r="D216" s="114">
        <v>0</v>
      </c>
      <c r="E216" s="114">
        <v>0</v>
      </c>
      <c r="F216" s="114">
        <v>1</v>
      </c>
      <c r="G216" s="114" t="s">
        <v>661</v>
      </c>
      <c r="H216" s="114">
        <v>1</v>
      </c>
      <c r="I216" s="114" t="s">
        <v>660</v>
      </c>
      <c r="J216" s="114"/>
      <c r="K216" s="108" t="str">
        <f t="shared" ref="K216:K247" si="9">IF(C216="N/A","//",CONCATENATE("SpellData.create(",B216,",",CHAR(34),C216,CHAR(34),",",E216,",",D216,",",F216,",",G216,",",H216,",",I216,")",J216,";"))</f>
        <v>SpellData.create(SID_LIFE_REGEN_POTION,"再生药水",0,0,1,OrderId("channel"),1,ORDER_TYPE_IMMEDIATE);</v>
      </c>
      <c r="L216" s="114"/>
      <c r="M216" s="114"/>
      <c r="N216" s="114"/>
      <c r="O216" s="114"/>
      <c r="P216" s="114"/>
      <c r="Q216" s="114"/>
      <c r="R216" s="114"/>
      <c r="S216" s="114"/>
      <c r="T216" s="114"/>
      <c r="U216" s="114"/>
      <c r="V216" s="114"/>
      <c r="W216" s="114"/>
      <c r="X216" s="114"/>
    </row>
    <row r="217" spans="1:24">
      <c r="A217" s="114" t="s">
        <v>755</v>
      </c>
      <c r="B217" s="114" t="s">
        <v>757</v>
      </c>
      <c r="C217" s="114" t="s">
        <v>756</v>
      </c>
      <c r="D217" s="114">
        <v>0</v>
      </c>
      <c r="E217" s="114">
        <v>0</v>
      </c>
      <c r="F217" s="114">
        <v>1</v>
      </c>
      <c r="G217" s="114" t="s">
        <v>661</v>
      </c>
      <c r="H217" s="114">
        <v>1</v>
      </c>
      <c r="I217" s="114" t="s">
        <v>660</v>
      </c>
      <c r="J217" s="114"/>
      <c r="K217" s="108" t="str">
        <f t="shared" si="9"/>
        <v>SpellData.create(SID_MANA_REGEN_POTION,"清晰预兆药水",0,0,1,OrderId("channel"),1,ORDER_TYPE_IMMEDIATE);</v>
      </c>
      <c r="L217" s="114"/>
      <c r="M217" s="114"/>
      <c r="N217" s="114"/>
      <c r="O217" s="114"/>
      <c r="P217" s="114"/>
      <c r="Q217" s="114"/>
      <c r="R217" s="114"/>
      <c r="S217" s="114"/>
      <c r="T217" s="114"/>
      <c r="U217" s="114"/>
      <c r="V217" s="114"/>
      <c r="W217" s="114"/>
      <c r="X217" s="114"/>
    </row>
    <row r="218" spans="1:24">
      <c r="A218" s="114" t="s">
        <v>752</v>
      </c>
      <c r="B218" s="114" t="s">
        <v>754</v>
      </c>
      <c r="C218" s="114" t="s">
        <v>753</v>
      </c>
      <c r="D218" s="114">
        <v>0</v>
      </c>
      <c r="E218" s="114">
        <v>0</v>
      </c>
      <c r="F218" s="114">
        <v>1</v>
      </c>
      <c r="G218" s="114" t="s">
        <v>661</v>
      </c>
      <c r="H218" s="114">
        <v>1</v>
      </c>
      <c r="I218" s="114" t="s">
        <v>660</v>
      </c>
      <c r="J218" s="114"/>
      <c r="K218" s="108" t="str">
        <f t="shared" si="9"/>
        <v>SpellData.create(SID_MANA_SOURCE_POTION,"魔力之源",0,0,1,OrderId("channel"),1,ORDER_TYPE_IMMEDIATE);</v>
      </c>
      <c r="L218" s="114"/>
      <c r="M218" s="114"/>
      <c r="N218" s="114"/>
      <c r="O218" s="114"/>
      <c r="P218" s="114"/>
      <c r="Q218" s="114"/>
      <c r="R218" s="114"/>
      <c r="S218" s="114"/>
      <c r="T218" s="114"/>
      <c r="U218" s="114"/>
      <c r="V218" s="114"/>
      <c r="W218" s="114"/>
      <c r="X218" s="114"/>
    </row>
    <row r="219" spans="1:24">
      <c r="A219" s="114" t="s">
        <v>749</v>
      </c>
      <c r="B219" s="114" t="s">
        <v>751</v>
      </c>
      <c r="C219" s="114" t="s">
        <v>750</v>
      </c>
      <c r="D219" s="114">
        <v>0</v>
      </c>
      <c r="E219" s="114">
        <v>0</v>
      </c>
      <c r="F219" s="114">
        <v>1</v>
      </c>
      <c r="G219" s="114" t="s">
        <v>661</v>
      </c>
      <c r="H219" s="114">
        <v>1</v>
      </c>
      <c r="I219" s="114" t="s">
        <v>660</v>
      </c>
      <c r="J219" s="114"/>
      <c r="K219" s="108" t="str">
        <f t="shared" si="9"/>
        <v>SpellData.create(SID_TRANQUILITY_POTION,"宁静药水",0,0,1,OrderId("channel"),1,ORDER_TYPE_IMMEDIATE);</v>
      </c>
      <c r="L219" s="114"/>
      <c r="M219" s="114"/>
      <c r="N219" s="114"/>
      <c r="O219" s="114"/>
      <c r="P219" s="114"/>
      <c r="Q219" s="114"/>
      <c r="R219" s="114"/>
      <c r="S219" s="114"/>
      <c r="T219" s="114"/>
      <c r="U219" s="114"/>
      <c r="V219" s="114"/>
      <c r="W219" s="114"/>
      <c r="X219" s="114"/>
    </row>
    <row r="220" spans="1:24">
      <c r="A220" s="114" t="s">
        <v>746</v>
      </c>
      <c r="B220" s="114" t="s">
        <v>748</v>
      </c>
      <c r="C220" s="114" t="s">
        <v>747</v>
      </c>
      <c r="D220" s="114">
        <v>0</v>
      </c>
      <c r="E220" s="114">
        <v>0</v>
      </c>
      <c r="F220" s="114">
        <v>1</v>
      </c>
      <c r="G220" s="114" t="s">
        <v>661</v>
      </c>
      <c r="H220" s="114">
        <v>1</v>
      </c>
      <c r="I220" s="114" t="s">
        <v>660</v>
      </c>
      <c r="J220" s="114"/>
      <c r="K220" s="108" t="str">
        <f t="shared" si="9"/>
        <v>SpellData.create(SID_BIG_LIFE_POTION,"大生命药水",0,0,1,OrderId("channel"),1,ORDER_TYPE_IMMEDIATE);</v>
      </c>
      <c r="L220" s="114"/>
      <c r="M220" s="114"/>
      <c r="N220" s="114"/>
      <c r="O220" s="114"/>
      <c r="P220" s="114"/>
      <c r="Q220" s="114"/>
      <c r="R220" s="114"/>
      <c r="S220" s="114"/>
      <c r="T220" s="114"/>
      <c r="U220" s="114"/>
      <c r="V220" s="114"/>
      <c r="W220" s="114"/>
      <c r="X220" s="114"/>
    </row>
    <row r="221" spans="1:24">
      <c r="A221" s="114" t="s">
        <v>743</v>
      </c>
      <c r="B221" s="114" t="s">
        <v>745</v>
      </c>
      <c r="C221" s="114" t="s">
        <v>744</v>
      </c>
      <c r="D221" s="114">
        <v>0</v>
      </c>
      <c r="E221" s="114">
        <v>0</v>
      </c>
      <c r="F221" s="114">
        <v>1</v>
      </c>
      <c r="G221" s="114" t="s">
        <v>661</v>
      </c>
      <c r="H221" s="114">
        <v>1</v>
      </c>
      <c r="I221" s="114" t="s">
        <v>660</v>
      </c>
      <c r="J221" s="114"/>
      <c r="K221" s="108" t="str">
        <f t="shared" si="9"/>
        <v>SpellData.create(SID_ARCH_MAGE_POTION,"魔导师药水",0,0,1,OrderId("channel"),1,ORDER_TYPE_IMMEDIATE);</v>
      </c>
      <c r="L221" s="114"/>
      <c r="M221" s="114"/>
      <c r="N221" s="114"/>
      <c r="O221" s="114"/>
      <c r="P221" s="114"/>
      <c r="Q221" s="114"/>
      <c r="R221" s="114"/>
      <c r="S221" s="114"/>
      <c r="T221" s="114"/>
      <c r="U221" s="114"/>
      <c r="V221" s="114"/>
      <c r="W221" s="114"/>
      <c r="X221" s="114"/>
    </row>
    <row r="222" spans="1:24">
      <c r="A222" s="114" t="s">
        <v>740</v>
      </c>
      <c r="B222" s="114" t="s">
        <v>742</v>
      </c>
      <c r="C222" s="114" t="s">
        <v>741</v>
      </c>
      <c r="D222" s="114">
        <v>0</v>
      </c>
      <c r="E222" s="114">
        <v>0</v>
      </c>
      <c r="F222" s="114">
        <v>1</v>
      </c>
      <c r="G222" s="114" t="s">
        <v>661</v>
      </c>
      <c r="H222" s="114">
        <v>1</v>
      </c>
      <c r="I222" s="114" t="s">
        <v>660</v>
      </c>
      <c r="J222" s="114"/>
      <c r="K222" s="108" t="str">
        <f t="shared" si="9"/>
        <v>SpellData.create(SID_COMBAT_MASTER_POTION,"战斗大师药水",0,0,1,OrderId("channel"),1,ORDER_TYPE_IMMEDIATE);</v>
      </c>
      <c r="L222" s="114"/>
      <c r="M222" s="114"/>
      <c r="N222" s="114"/>
      <c r="O222" s="114"/>
      <c r="P222" s="114"/>
      <c r="Q222" s="114"/>
      <c r="R222" s="114"/>
      <c r="S222" s="114"/>
      <c r="T222" s="114"/>
      <c r="U222" s="114"/>
      <c r="V222" s="114"/>
      <c r="W222" s="114"/>
      <c r="X222" s="114"/>
    </row>
    <row r="223" spans="1:24">
      <c r="A223" s="114" t="s">
        <v>737</v>
      </c>
      <c r="B223" s="114" t="s">
        <v>739</v>
      </c>
      <c r="C223" s="114" t="s">
        <v>738</v>
      </c>
      <c r="D223" s="114">
        <v>0</v>
      </c>
      <c r="E223" s="114">
        <v>0</v>
      </c>
      <c r="F223" s="114">
        <v>1</v>
      </c>
      <c r="G223" s="114" t="s">
        <v>661</v>
      </c>
      <c r="H223" s="114">
        <v>1</v>
      </c>
      <c r="I223" s="114" t="s">
        <v>660</v>
      </c>
      <c r="J223" s="114"/>
      <c r="K223" s="108" t="str">
        <f t="shared" si="9"/>
        <v>SpellData.create(SID_EMPERORS_NEW_POTION,"皇帝的新药",0,0,1,OrderId("channel"),1,ORDER_TYPE_IMMEDIATE);</v>
      </c>
      <c r="L223" s="114"/>
      <c r="M223" s="114"/>
      <c r="N223" s="114"/>
      <c r="O223" s="114"/>
      <c r="P223" s="114"/>
      <c r="Q223" s="114"/>
      <c r="R223" s="114"/>
      <c r="S223" s="114"/>
      <c r="T223" s="114"/>
      <c r="U223" s="114"/>
      <c r="V223" s="114"/>
      <c r="W223" s="114"/>
      <c r="X223" s="114"/>
    </row>
    <row r="224" spans="1:24">
      <c r="A224" s="114" t="s">
        <v>734</v>
      </c>
      <c r="B224" s="114" t="s">
        <v>736</v>
      </c>
      <c r="C224" s="114" t="s">
        <v>735</v>
      </c>
      <c r="D224" s="114">
        <v>0</v>
      </c>
      <c r="E224" s="114">
        <v>0</v>
      </c>
      <c r="F224" s="114">
        <v>1</v>
      </c>
      <c r="G224" s="114" t="s">
        <v>661</v>
      </c>
      <c r="H224" s="114">
        <v>1</v>
      </c>
      <c r="I224" s="114" t="s">
        <v>660</v>
      </c>
      <c r="J224" s="114"/>
      <c r="K224" s="108" t="str">
        <f t="shared" si="9"/>
        <v>SpellData.create(SID_TRANSFER_POTION,"转换药水",0,0,1,OrderId("channel"),1,ORDER_TYPE_IMMEDIATE);</v>
      </c>
      <c r="L224" s="114"/>
      <c r="M224" s="114"/>
      <c r="N224" s="114"/>
      <c r="O224" s="114"/>
      <c r="P224" s="114"/>
      <c r="Q224" s="114"/>
      <c r="R224" s="114"/>
      <c r="S224" s="114"/>
      <c r="T224" s="114"/>
      <c r="U224" s="114"/>
      <c r="V224" s="114"/>
      <c r="W224" s="114"/>
      <c r="X224" s="114"/>
    </row>
    <row r="225" spans="1:24">
      <c r="A225" s="114" t="s">
        <v>731</v>
      </c>
      <c r="B225" s="114" t="s">
        <v>733</v>
      </c>
      <c r="C225" s="114" t="s">
        <v>732</v>
      </c>
      <c r="D225" s="114">
        <v>0</v>
      </c>
      <c r="E225" s="114">
        <v>0</v>
      </c>
      <c r="F225" s="114">
        <v>1</v>
      </c>
      <c r="G225" s="114" t="s">
        <v>661</v>
      </c>
      <c r="H225" s="114">
        <v>1</v>
      </c>
      <c r="I225" s="114" t="s">
        <v>660</v>
      </c>
      <c r="J225" s="114"/>
      <c r="K225" s="108" t="str">
        <f t="shared" si="9"/>
        <v>SpellData.create(SID_SHIELD_POTION,"护盾药水",0,0,1,OrderId("channel"),1,ORDER_TYPE_IMMEDIATE);</v>
      </c>
      <c r="L225" s="114"/>
      <c r="M225" s="114"/>
      <c r="N225" s="114"/>
      <c r="O225" s="114"/>
      <c r="P225" s="114"/>
      <c r="Q225" s="114"/>
      <c r="R225" s="114"/>
      <c r="S225" s="114"/>
      <c r="T225" s="114"/>
      <c r="U225" s="114"/>
      <c r="V225" s="114"/>
      <c r="W225" s="114"/>
      <c r="X225" s="114"/>
    </row>
    <row r="226" spans="1:24">
      <c r="A226" s="114" t="s">
        <v>728</v>
      </c>
      <c r="B226" s="114" t="s">
        <v>730</v>
      </c>
      <c r="C226" s="114" t="s">
        <v>729</v>
      </c>
      <c r="D226" s="114">
        <v>0</v>
      </c>
      <c r="E226" s="114">
        <v>0</v>
      </c>
      <c r="F226" s="114">
        <v>1</v>
      </c>
      <c r="G226" s="114" t="s">
        <v>661</v>
      </c>
      <c r="H226" s="114">
        <v>1</v>
      </c>
      <c r="I226" s="114" t="s">
        <v>660</v>
      </c>
      <c r="J226" s="114"/>
      <c r="K226" s="108" t="str">
        <f t="shared" si="9"/>
        <v>SpellData.create(SID_FORTRESS_POTION,"壁垒药水",0,0,1,OrderId("channel"),1,ORDER_TYPE_IMMEDIATE);</v>
      </c>
      <c r="L226" s="114"/>
      <c r="M226" s="114"/>
      <c r="N226" s="114"/>
      <c r="O226" s="114"/>
      <c r="P226" s="114"/>
      <c r="Q226" s="114"/>
      <c r="R226" s="114"/>
      <c r="S226" s="114"/>
      <c r="T226" s="114"/>
      <c r="U226" s="114"/>
      <c r="V226" s="114"/>
      <c r="W226" s="114"/>
      <c r="X226" s="114"/>
    </row>
    <row r="227" spans="1:24">
      <c r="A227" s="114" t="s">
        <v>725</v>
      </c>
      <c r="B227" s="114" t="s">
        <v>727</v>
      </c>
      <c r="C227" s="114" t="s">
        <v>726</v>
      </c>
      <c r="D227" s="114">
        <v>0</v>
      </c>
      <c r="E227" s="114">
        <v>0</v>
      </c>
      <c r="F227" s="114">
        <v>1</v>
      </c>
      <c r="G227" s="114" t="s">
        <v>661</v>
      </c>
      <c r="H227" s="114">
        <v>1</v>
      </c>
      <c r="I227" s="114" t="s">
        <v>660</v>
      </c>
      <c r="J227" s="114"/>
      <c r="K227" s="108" t="str">
        <f t="shared" si="9"/>
        <v>SpellData.create(SID_DODGE_POTION,"闪避药水",0,0,1,OrderId("channel"),1,ORDER_TYPE_IMMEDIATE);</v>
      </c>
      <c r="L227" s="114"/>
      <c r="M227" s="114"/>
      <c r="N227" s="114"/>
      <c r="O227" s="114"/>
      <c r="P227" s="114"/>
      <c r="Q227" s="114"/>
      <c r="R227" s="114"/>
      <c r="S227" s="114"/>
      <c r="T227" s="114"/>
      <c r="U227" s="114"/>
      <c r="V227" s="114"/>
      <c r="W227" s="114"/>
      <c r="X227" s="114"/>
    </row>
    <row r="228" spans="1:24">
      <c r="A228" s="114" t="s">
        <v>722</v>
      </c>
      <c r="B228" s="114" t="s">
        <v>724</v>
      </c>
      <c r="C228" s="114" t="s">
        <v>723</v>
      </c>
      <c r="D228" s="114">
        <v>0</v>
      </c>
      <c r="E228" s="114">
        <v>0</v>
      </c>
      <c r="F228" s="114">
        <v>1</v>
      </c>
      <c r="G228" s="114" t="s">
        <v>661</v>
      </c>
      <c r="H228" s="114">
        <v>1</v>
      </c>
      <c r="I228" s="114" t="s">
        <v>660</v>
      </c>
      <c r="J228" s="114"/>
      <c r="K228" s="108" t="str">
        <f t="shared" si="9"/>
        <v>SpellData.create(SID_SMALL_INVUL_POTION,"小无敌药水",0,0,1,OrderId("channel"),1,ORDER_TYPE_IMMEDIATE);</v>
      </c>
      <c r="L228" s="114"/>
      <c r="M228" s="114"/>
      <c r="N228" s="114"/>
      <c r="O228" s="114"/>
      <c r="P228" s="114"/>
      <c r="Q228" s="114"/>
      <c r="R228" s="114"/>
      <c r="S228" s="114"/>
      <c r="T228" s="114"/>
      <c r="U228" s="114"/>
      <c r="V228" s="114"/>
      <c r="W228" s="114"/>
      <c r="X228" s="114"/>
    </row>
    <row r="229" spans="1:24">
      <c r="A229" s="114" t="s">
        <v>719</v>
      </c>
      <c r="B229" s="114" t="s">
        <v>721</v>
      </c>
      <c r="C229" s="114" t="s">
        <v>720</v>
      </c>
      <c r="D229" s="114">
        <v>0</v>
      </c>
      <c r="E229" s="114">
        <v>0</v>
      </c>
      <c r="F229" s="114">
        <v>1</v>
      </c>
      <c r="G229" s="114" t="s">
        <v>661</v>
      </c>
      <c r="H229" s="114">
        <v>1</v>
      </c>
      <c r="I229" s="114" t="s">
        <v>660</v>
      </c>
      <c r="J229" s="114"/>
      <c r="K229" s="108" t="str">
        <f t="shared" si="9"/>
        <v>SpellData.create(SID_INVUL_POTION,"无敌药水",0,0,1,OrderId("channel"),1,ORDER_TYPE_IMMEDIATE);</v>
      </c>
      <c r="L229" s="114"/>
      <c r="M229" s="114"/>
      <c r="N229" s="114"/>
      <c r="O229" s="114"/>
      <c r="P229" s="114"/>
      <c r="Q229" s="114"/>
      <c r="R229" s="114"/>
      <c r="S229" s="114"/>
      <c r="T229" s="114"/>
      <c r="U229" s="114"/>
      <c r="V229" s="114"/>
      <c r="W229" s="114"/>
      <c r="X229" s="114"/>
    </row>
    <row r="230" spans="1:24">
      <c r="A230" s="114" t="s">
        <v>716</v>
      </c>
      <c r="B230" s="114" t="s">
        <v>718</v>
      </c>
      <c r="C230" s="114" t="s">
        <v>717</v>
      </c>
      <c r="D230" s="114">
        <v>0</v>
      </c>
      <c r="E230" s="114">
        <v>0</v>
      </c>
      <c r="F230" s="114">
        <v>1</v>
      </c>
      <c r="G230" s="114" t="s">
        <v>661</v>
      </c>
      <c r="H230" s="114">
        <v>1</v>
      </c>
      <c r="I230" s="114" t="s">
        <v>660</v>
      </c>
      <c r="J230" s="114"/>
      <c r="K230" s="108" t="str">
        <f t="shared" si="9"/>
        <v>SpellData.create(SID_STONE_SKIN_POTION,"石皮药水",0,0,1,OrderId("channel"),1,ORDER_TYPE_IMMEDIATE);</v>
      </c>
      <c r="L230" s="114"/>
      <c r="M230" s="114"/>
      <c r="N230" s="114"/>
      <c r="O230" s="114"/>
      <c r="P230" s="114"/>
      <c r="Q230" s="114"/>
      <c r="R230" s="114"/>
      <c r="S230" s="114"/>
      <c r="T230" s="114"/>
      <c r="U230" s="114"/>
      <c r="V230" s="114"/>
      <c r="W230" s="114"/>
      <c r="X230" s="114"/>
    </row>
    <row r="231" spans="1:24">
      <c r="A231" s="114" t="s">
        <v>713</v>
      </c>
      <c r="B231" s="114" t="s">
        <v>715</v>
      </c>
      <c r="C231" s="114" t="s">
        <v>714</v>
      </c>
      <c r="D231" s="114">
        <v>0</v>
      </c>
      <c r="E231" s="114">
        <v>0</v>
      </c>
      <c r="F231" s="114">
        <v>1</v>
      </c>
      <c r="G231" s="114" t="s">
        <v>661</v>
      </c>
      <c r="H231" s="114">
        <v>1</v>
      </c>
      <c r="I231" s="114" t="s">
        <v>660</v>
      </c>
      <c r="J231" s="114"/>
      <c r="K231" s="108" t="str">
        <f t="shared" si="9"/>
        <v>SpellData.create(SID_SPELL_POWER_POTION,"法能药水",0,0,1,OrderId("channel"),1,ORDER_TYPE_IMMEDIATE);</v>
      </c>
      <c r="L231" s="114"/>
      <c r="M231" s="114"/>
      <c r="N231" s="114"/>
      <c r="O231" s="114"/>
      <c r="P231" s="114"/>
      <c r="Q231" s="114"/>
      <c r="R231" s="114"/>
      <c r="S231" s="114"/>
      <c r="T231" s="114"/>
      <c r="U231" s="114"/>
      <c r="V231" s="114"/>
      <c r="W231" s="114"/>
      <c r="X231" s="114"/>
    </row>
    <row r="232" spans="1:24">
      <c r="A232" s="114" t="s">
        <v>710</v>
      </c>
      <c r="B232" s="114" t="s">
        <v>712</v>
      </c>
      <c r="C232" s="114" t="s">
        <v>711</v>
      </c>
      <c r="D232" s="114">
        <v>0</v>
      </c>
      <c r="E232" s="114">
        <v>0</v>
      </c>
      <c r="F232" s="114">
        <v>1</v>
      </c>
      <c r="G232" s="114" t="s">
        <v>661</v>
      </c>
      <c r="H232" s="114">
        <v>1</v>
      </c>
      <c r="I232" s="114" t="s">
        <v>660</v>
      </c>
      <c r="J232" s="114"/>
      <c r="K232" s="108" t="str">
        <f t="shared" si="9"/>
        <v>SpellData.create(SID_SPELL_MASTER_POTION,"法术掌控药水",0,0,1,OrderId("channel"),1,ORDER_TYPE_IMMEDIATE);</v>
      </c>
      <c r="L232" s="114"/>
      <c r="M232" s="114"/>
      <c r="N232" s="114"/>
      <c r="O232" s="114"/>
      <c r="P232" s="114"/>
      <c r="Q232" s="114"/>
      <c r="R232" s="114"/>
      <c r="S232" s="114"/>
      <c r="T232" s="114"/>
      <c r="U232" s="114"/>
      <c r="V232" s="114"/>
      <c r="W232" s="114"/>
      <c r="X232" s="114"/>
    </row>
    <row r="233" spans="1:24">
      <c r="A233" s="114" t="s">
        <v>707</v>
      </c>
      <c r="B233" s="114" t="s">
        <v>709</v>
      </c>
      <c r="C233" s="114" t="s">
        <v>708</v>
      </c>
      <c r="D233" s="114">
        <v>0</v>
      </c>
      <c r="E233" s="114">
        <v>0</v>
      </c>
      <c r="F233" s="114">
        <v>1</v>
      </c>
      <c r="G233" s="114" t="s">
        <v>661</v>
      </c>
      <c r="H233" s="114">
        <v>1</v>
      </c>
      <c r="I233" s="114" t="s">
        <v>660</v>
      </c>
      <c r="J233" s="114"/>
      <c r="K233" s="108" t="str">
        <f t="shared" si="9"/>
        <v>SpellData.create(SID_ARCANE_POTION,"秘法药剂",0,0,1,OrderId("channel"),1,ORDER_TYPE_IMMEDIATE);</v>
      </c>
      <c r="L233" s="114"/>
      <c r="M233" s="114"/>
      <c r="N233" s="114"/>
      <c r="O233" s="114"/>
      <c r="P233" s="114"/>
      <c r="Q233" s="114"/>
      <c r="R233" s="114"/>
      <c r="S233" s="114"/>
      <c r="T233" s="114"/>
      <c r="U233" s="114"/>
      <c r="V233" s="114"/>
      <c r="W233" s="114"/>
      <c r="X233" s="114"/>
    </row>
    <row r="234" spans="1:24">
      <c r="A234" s="114" t="s">
        <v>704</v>
      </c>
      <c r="B234" s="114" t="s">
        <v>706</v>
      </c>
      <c r="C234" s="114" t="s">
        <v>705</v>
      </c>
      <c r="D234" s="114">
        <v>0</v>
      </c>
      <c r="E234" s="114">
        <v>0</v>
      </c>
      <c r="F234" s="114">
        <v>1</v>
      </c>
      <c r="G234" s="114" t="s">
        <v>661</v>
      </c>
      <c r="H234" s="114">
        <v>1</v>
      </c>
      <c r="I234" s="114" t="s">
        <v>660</v>
      </c>
      <c r="J234" s="114"/>
      <c r="K234" s="108" t="str">
        <f t="shared" si="9"/>
        <v>SpellData.create(SID_ANGRY_CAST_POTION,"愤怒施法药水",0,0,1,OrderId("channel"),1,ORDER_TYPE_IMMEDIATE);</v>
      </c>
      <c r="L234" s="114"/>
      <c r="M234" s="114"/>
      <c r="N234" s="114"/>
      <c r="O234" s="114"/>
      <c r="P234" s="114"/>
      <c r="Q234" s="114"/>
      <c r="R234" s="114"/>
      <c r="S234" s="114"/>
      <c r="T234" s="114"/>
      <c r="U234" s="114"/>
      <c r="V234" s="114"/>
      <c r="W234" s="114"/>
      <c r="X234" s="114"/>
    </row>
    <row r="235" spans="1:24">
      <c r="A235" s="114" t="s">
        <v>701</v>
      </c>
      <c r="B235" s="114" t="s">
        <v>703</v>
      </c>
      <c r="C235" s="114" t="s">
        <v>702</v>
      </c>
      <c r="D235" s="114">
        <v>0</v>
      </c>
      <c r="E235" s="114">
        <v>0</v>
      </c>
      <c r="F235" s="114">
        <v>1</v>
      </c>
      <c r="G235" s="114" t="s">
        <v>661</v>
      </c>
      <c r="H235" s="114">
        <v>1</v>
      </c>
      <c r="I235" s="114" t="s">
        <v>660</v>
      </c>
      <c r="J235" s="114"/>
      <c r="K235" s="108" t="str">
        <f t="shared" si="9"/>
        <v>SpellData.create(SID_SPELL_PIERCE_POTION,"法术穿透药水",0,0,1,OrderId("channel"),1,ORDER_TYPE_IMMEDIATE);</v>
      </c>
      <c r="L235" s="114"/>
      <c r="M235" s="114"/>
      <c r="N235" s="114"/>
      <c r="O235" s="114"/>
      <c r="P235" s="114"/>
      <c r="Q235" s="114"/>
      <c r="R235" s="114"/>
      <c r="S235" s="114"/>
      <c r="T235" s="114"/>
      <c r="U235" s="114"/>
      <c r="V235" s="114"/>
      <c r="W235" s="114"/>
      <c r="X235" s="114"/>
    </row>
    <row r="236" spans="1:24">
      <c r="A236" s="114" t="s">
        <v>698</v>
      </c>
      <c r="B236" s="114" t="s">
        <v>700</v>
      </c>
      <c r="C236" s="114" t="s">
        <v>699</v>
      </c>
      <c r="D236" s="114">
        <v>0</v>
      </c>
      <c r="E236" s="114">
        <v>0</v>
      </c>
      <c r="F236" s="114">
        <v>1</v>
      </c>
      <c r="G236" s="114" t="s">
        <v>661</v>
      </c>
      <c r="H236" s="114">
        <v>1</v>
      </c>
      <c r="I236" s="114" t="s">
        <v>660</v>
      </c>
      <c r="J236" s="114"/>
      <c r="K236" s="108" t="str">
        <f t="shared" si="9"/>
        <v>SpellData.create(SID_UNSTABLE_POTION,"不稳定的药水",0,0,1,OrderId("channel"),1,ORDER_TYPE_IMMEDIATE);</v>
      </c>
      <c r="L236" s="114"/>
      <c r="M236" s="114"/>
      <c r="N236" s="114"/>
      <c r="O236" s="114"/>
      <c r="P236" s="114"/>
      <c r="Q236" s="114"/>
      <c r="R236" s="114"/>
      <c r="S236" s="114"/>
      <c r="T236" s="114"/>
      <c r="U236" s="114"/>
      <c r="V236" s="114"/>
      <c r="W236" s="114"/>
      <c r="X236" s="114"/>
    </row>
    <row r="237" spans="1:24">
      <c r="A237" s="114" t="s">
        <v>695</v>
      </c>
      <c r="B237" s="114" t="s">
        <v>697</v>
      </c>
      <c r="C237" s="114" t="s">
        <v>696</v>
      </c>
      <c r="D237" s="114">
        <v>0</v>
      </c>
      <c r="E237" s="114">
        <v>0</v>
      </c>
      <c r="F237" s="114">
        <v>1</v>
      </c>
      <c r="G237" s="114" t="s">
        <v>661</v>
      </c>
      <c r="H237" s="114">
        <v>1</v>
      </c>
      <c r="I237" s="114" t="s">
        <v>660</v>
      </c>
      <c r="J237" s="114"/>
      <c r="K237" s="108" t="str">
        <f t="shared" si="9"/>
        <v>SpellData.create(SID_AGILITY_POTION,"敏捷药水",0,0,1,OrderId("channel"),1,ORDER_TYPE_IMMEDIATE);</v>
      </c>
      <c r="L237" s="114"/>
      <c r="M237" s="114"/>
      <c r="N237" s="114"/>
      <c r="O237" s="114"/>
      <c r="P237" s="114"/>
      <c r="Q237" s="114"/>
      <c r="R237" s="114"/>
      <c r="S237" s="114"/>
      <c r="T237" s="114"/>
      <c r="U237" s="114"/>
      <c r="V237" s="114"/>
      <c r="W237" s="114"/>
      <c r="X237" s="114"/>
    </row>
    <row r="238" spans="1:24">
      <c r="A238" s="114" t="s">
        <v>692</v>
      </c>
      <c r="B238" s="114" t="s">
        <v>694</v>
      </c>
      <c r="C238" s="114" t="s">
        <v>693</v>
      </c>
      <c r="D238" s="114">
        <v>0</v>
      </c>
      <c r="E238" s="114">
        <v>0</v>
      </c>
      <c r="F238" s="114">
        <v>1</v>
      </c>
      <c r="G238" s="114" t="s">
        <v>661</v>
      </c>
      <c r="H238" s="114">
        <v>1</v>
      </c>
      <c r="I238" s="114" t="s">
        <v>660</v>
      </c>
      <c r="J238" s="114"/>
      <c r="K238" s="108" t="str">
        <f t="shared" si="9"/>
        <v>SpellData.create(SID_ACUTE_POTION,"敏锐药水",0,0,1,OrderId("channel"),1,ORDER_TYPE_IMMEDIATE);</v>
      </c>
      <c r="L238" s="114"/>
      <c r="M238" s="114"/>
      <c r="N238" s="114"/>
      <c r="O238" s="114"/>
      <c r="P238" s="114"/>
      <c r="Q238" s="114"/>
      <c r="R238" s="114"/>
      <c r="S238" s="114"/>
      <c r="T238" s="114"/>
      <c r="U238" s="114"/>
      <c r="V238" s="114"/>
      <c r="W238" s="114"/>
      <c r="X238" s="114"/>
    </row>
    <row r="239" spans="1:24">
      <c r="A239" s="114" t="s">
        <v>689</v>
      </c>
      <c r="B239" s="114" t="s">
        <v>691</v>
      </c>
      <c r="C239" s="114" t="s">
        <v>690</v>
      </c>
      <c r="D239" s="114">
        <v>0</v>
      </c>
      <c r="E239" s="114">
        <v>0</v>
      </c>
      <c r="F239" s="114">
        <v>1</v>
      </c>
      <c r="G239" s="114" t="s">
        <v>661</v>
      </c>
      <c r="H239" s="114">
        <v>1</v>
      </c>
      <c r="I239" s="114" t="s">
        <v>660</v>
      </c>
      <c r="J239" s="114"/>
      <c r="K239" s="108" t="str">
        <f t="shared" si="9"/>
        <v>SpellData.create(SID_DEXTERITY_POTION,"迅捷药水",0,0,1,OrderId("channel"),1,ORDER_TYPE_IMMEDIATE);</v>
      </c>
      <c r="L239" s="114"/>
      <c r="M239" s="114"/>
      <c r="N239" s="114"/>
      <c r="O239" s="114"/>
      <c r="P239" s="114"/>
      <c r="Q239" s="114"/>
      <c r="R239" s="114"/>
      <c r="S239" s="114"/>
      <c r="T239" s="114"/>
      <c r="U239" s="114"/>
      <c r="V239" s="114"/>
      <c r="W239" s="114"/>
      <c r="X239" s="114"/>
    </row>
    <row r="240" spans="1:24">
      <c r="A240" s="113" t="s">
        <v>686</v>
      </c>
      <c r="B240" s="113" t="s">
        <v>688</v>
      </c>
      <c r="C240" s="113" t="s">
        <v>687</v>
      </c>
      <c r="D240" s="113">
        <v>0</v>
      </c>
      <c r="E240" s="113">
        <v>0</v>
      </c>
      <c r="F240" s="113">
        <v>1</v>
      </c>
      <c r="G240" s="113" t="s">
        <v>661</v>
      </c>
      <c r="H240" s="113">
        <v>1</v>
      </c>
      <c r="I240" s="113" t="s">
        <v>660</v>
      </c>
      <c r="J240" s="113"/>
      <c r="K240" s="108" t="str">
        <f t="shared" si="9"/>
        <v>SpellData.create(SID_CHARM_OF_SIMPLE_HEAL,"简易治疗符咒",0,0,1,OrderId("channel"),1,ORDER_TYPE_IMMEDIATE);</v>
      </c>
      <c r="L240" s="113"/>
      <c r="M240" s="113"/>
      <c r="N240" s="113"/>
      <c r="O240" s="113"/>
      <c r="P240" s="113"/>
      <c r="Q240" s="113"/>
      <c r="R240" s="113"/>
      <c r="S240" s="113"/>
      <c r="T240" s="113"/>
      <c r="U240" s="113"/>
      <c r="V240" s="113"/>
      <c r="W240" s="113"/>
      <c r="X240" s="113"/>
    </row>
    <row r="241" spans="1:24">
      <c r="A241" s="113" t="s">
        <v>683</v>
      </c>
      <c r="B241" s="113" t="s">
        <v>685</v>
      </c>
      <c r="C241" s="113" t="s">
        <v>684</v>
      </c>
      <c r="D241" s="113">
        <v>0</v>
      </c>
      <c r="E241" s="113">
        <v>0</v>
      </c>
      <c r="F241" s="113">
        <v>1</v>
      </c>
      <c r="G241" s="113" t="s">
        <v>661</v>
      </c>
      <c r="H241" s="113">
        <v>1</v>
      </c>
      <c r="I241" s="113" t="s">
        <v>660</v>
      </c>
      <c r="J241" s="113"/>
      <c r="K241" s="108" t="str">
        <f t="shared" si="9"/>
        <v>SpellData.create(SID_CHARM_OF_DISPEL,"驱散术符咒",0,0,1,OrderId("channel"),1,ORDER_TYPE_IMMEDIATE);</v>
      </c>
      <c r="L241" s="113"/>
      <c r="M241" s="113"/>
      <c r="N241" s="113"/>
      <c r="O241" s="113"/>
      <c r="P241" s="113"/>
      <c r="Q241" s="113"/>
      <c r="R241" s="113"/>
      <c r="S241" s="113"/>
      <c r="T241" s="113"/>
      <c r="U241" s="113"/>
      <c r="V241" s="113"/>
      <c r="W241" s="113"/>
      <c r="X241" s="113"/>
    </row>
    <row r="242" spans="1:24">
      <c r="A242" s="113" t="s">
        <v>680</v>
      </c>
      <c r="B242" s="113" t="s">
        <v>682</v>
      </c>
      <c r="C242" s="113" t="s">
        <v>681</v>
      </c>
      <c r="D242" s="113">
        <v>0</v>
      </c>
      <c r="E242" s="113">
        <v>0</v>
      </c>
      <c r="F242" s="113">
        <v>1</v>
      </c>
      <c r="G242" s="113" t="s">
        <v>661</v>
      </c>
      <c r="H242" s="113">
        <v>1</v>
      </c>
      <c r="I242" s="113" t="s">
        <v>660</v>
      </c>
      <c r="J242" s="113"/>
      <c r="K242" s="108" t="str">
        <f t="shared" si="9"/>
        <v>SpellData.create(SID_CHARM_OF_HEALING_WARD,"治疗结界符咒",0,0,1,OrderId("channel"),1,ORDER_TYPE_IMMEDIATE);</v>
      </c>
      <c r="L242" s="113"/>
      <c r="M242" s="113"/>
      <c r="N242" s="113"/>
      <c r="O242" s="113"/>
      <c r="P242" s="113"/>
      <c r="Q242" s="113"/>
      <c r="R242" s="113"/>
      <c r="S242" s="113"/>
      <c r="T242" s="113"/>
      <c r="U242" s="113"/>
      <c r="V242" s="113"/>
      <c r="W242" s="113"/>
      <c r="X242" s="113"/>
    </row>
    <row r="243" spans="1:24">
      <c r="A243" s="113" t="s">
        <v>677</v>
      </c>
      <c r="B243" s="113" t="s">
        <v>679</v>
      </c>
      <c r="C243" s="113" t="s">
        <v>678</v>
      </c>
      <c r="D243" s="113">
        <v>0</v>
      </c>
      <c r="E243" s="113">
        <v>0</v>
      </c>
      <c r="F243" s="113">
        <v>1</v>
      </c>
      <c r="G243" s="113" t="s">
        <v>661</v>
      </c>
      <c r="H243" s="113">
        <v>1</v>
      </c>
      <c r="I243" s="113" t="s">
        <v>660</v>
      </c>
      <c r="J243" s="113"/>
      <c r="K243" s="108" t="str">
        <f t="shared" si="9"/>
        <v>SpellData.create(SID_CHARM_OF_INNER_FIRE,"心灵之火符咒",0,0,1,OrderId("channel"),1,ORDER_TYPE_IMMEDIATE);</v>
      </c>
      <c r="L243" s="113"/>
      <c r="M243" s="113"/>
      <c r="N243" s="113"/>
      <c r="O243" s="113"/>
      <c r="P243" s="113"/>
      <c r="Q243" s="113"/>
      <c r="R243" s="113"/>
      <c r="S243" s="113"/>
      <c r="T243" s="113"/>
      <c r="U243" s="113"/>
      <c r="V243" s="113"/>
      <c r="W243" s="113"/>
      <c r="X243" s="113"/>
    </row>
    <row r="244" spans="1:24">
      <c r="A244" s="113" t="s">
        <v>674</v>
      </c>
      <c r="B244" s="113" t="s">
        <v>676</v>
      </c>
      <c r="C244" s="113" t="s">
        <v>675</v>
      </c>
      <c r="D244" s="113">
        <v>0</v>
      </c>
      <c r="E244" s="113">
        <v>0</v>
      </c>
      <c r="F244" s="113">
        <v>1</v>
      </c>
      <c r="G244" s="113" t="s">
        <v>661</v>
      </c>
      <c r="H244" s="113">
        <v>1</v>
      </c>
      <c r="I244" s="113" t="s">
        <v>660</v>
      </c>
      <c r="J244" s="113"/>
      <c r="K244" s="108" t="str">
        <f t="shared" si="9"/>
        <v>SpellData.create(SID_CHARM_OF_CHAIN_LIGHTNING,"闪电链符咒",0,0,1,OrderId("channel"),1,ORDER_TYPE_IMMEDIATE);</v>
      </c>
      <c r="L244" s="113"/>
      <c r="M244" s="113"/>
      <c r="N244" s="113"/>
      <c r="O244" s="113"/>
      <c r="P244" s="113"/>
      <c r="Q244" s="113"/>
      <c r="R244" s="113"/>
      <c r="S244" s="113"/>
      <c r="T244" s="113"/>
      <c r="U244" s="113"/>
      <c r="V244" s="113"/>
      <c r="W244" s="113"/>
      <c r="X244" s="113"/>
    </row>
    <row r="245" spans="1:24">
      <c r="A245" s="113" t="s">
        <v>671</v>
      </c>
      <c r="B245" s="113" t="s">
        <v>673</v>
      </c>
      <c r="C245" s="113" t="s">
        <v>672</v>
      </c>
      <c r="D245" s="113">
        <v>0</v>
      </c>
      <c r="E245" s="113">
        <v>0</v>
      </c>
      <c r="F245" s="113">
        <v>1</v>
      </c>
      <c r="G245" s="113" t="s">
        <v>661</v>
      </c>
      <c r="H245" s="113">
        <v>1</v>
      </c>
      <c r="I245" s="113" t="s">
        <v>660</v>
      </c>
      <c r="J245" s="113"/>
      <c r="K245" s="108" t="str">
        <f t="shared" si="9"/>
        <v>SpellData.create(SID_CHARM_OF_DEATH_FINGER,"死亡之指符咒",0,0,1,OrderId("channel"),1,ORDER_TYPE_IMMEDIATE);</v>
      </c>
      <c r="L245" s="113"/>
      <c r="M245" s="113"/>
      <c r="N245" s="113"/>
      <c r="O245" s="113"/>
      <c r="P245" s="113"/>
      <c r="Q245" s="113"/>
      <c r="R245" s="113"/>
      <c r="S245" s="113"/>
      <c r="T245" s="113"/>
      <c r="U245" s="113"/>
      <c r="V245" s="113"/>
      <c r="W245" s="113"/>
      <c r="X245" s="113"/>
    </row>
    <row r="246" spans="1:24">
      <c r="A246" s="113" t="s">
        <v>668</v>
      </c>
      <c r="B246" s="113" t="s">
        <v>670</v>
      </c>
      <c r="C246" s="113" t="s">
        <v>669</v>
      </c>
      <c r="D246" s="113">
        <v>0</v>
      </c>
      <c r="E246" s="113">
        <v>0</v>
      </c>
      <c r="F246" s="113">
        <v>1</v>
      </c>
      <c r="G246" s="113" t="s">
        <v>661</v>
      </c>
      <c r="H246" s="113">
        <v>1</v>
      </c>
      <c r="I246" s="113" t="s">
        <v>660</v>
      </c>
      <c r="J246" s="113"/>
      <c r="K246" s="108" t="str">
        <f t="shared" si="9"/>
        <v>SpellData.create(SID_CHARM_OF_SIPHON_LIFE,"生命虹吸符咒",0,0,1,OrderId("channel"),1,ORDER_TYPE_IMMEDIATE);</v>
      </c>
      <c r="L246" s="113"/>
      <c r="M246" s="113"/>
      <c r="N246" s="113"/>
      <c r="O246" s="113"/>
      <c r="P246" s="113"/>
      <c r="Q246" s="113"/>
      <c r="R246" s="113"/>
      <c r="S246" s="113"/>
      <c r="T246" s="113"/>
      <c r="U246" s="113"/>
      <c r="V246" s="113"/>
      <c r="W246" s="113"/>
      <c r="X246" s="113"/>
    </row>
    <row r="247" spans="1:24">
      <c r="A247" s="113" t="s">
        <v>665</v>
      </c>
      <c r="B247" s="113" t="s">
        <v>667</v>
      </c>
      <c r="C247" s="113" t="s">
        <v>666</v>
      </c>
      <c r="D247" s="113">
        <v>0</v>
      </c>
      <c r="E247" s="113">
        <v>0</v>
      </c>
      <c r="F247" s="113">
        <v>1</v>
      </c>
      <c r="G247" s="113" t="s">
        <v>661</v>
      </c>
      <c r="H247" s="113">
        <v>1</v>
      </c>
      <c r="I247" s="113" t="s">
        <v>660</v>
      </c>
      <c r="J247" s="113"/>
      <c r="K247" s="108" t="str">
        <f t="shared" si="9"/>
        <v>SpellData.create(SID_DEMONIC_RUNE,"恶魔符文",0,0,1,OrderId("channel"),1,ORDER_TYPE_IMMEDIATE);</v>
      </c>
      <c r="L247" s="113"/>
      <c r="M247" s="113"/>
      <c r="N247" s="113"/>
      <c r="O247" s="113"/>
      <c r="P247" s="113"/>
      <c r="Q247" s="113"/>
      <c r="R247" s="113"/>
      <c r="S247" s="113"/>
      <c r="T247" s="113"/>
      <c r="U247" s="113"/>
      <c r="V247" s="113"/>
      <c r="W247" s="113"/>
      <c r="X247" s="113"/>
    </row>
    <row r="248" spans="1:24">
      <c r="A248" s="113" t="s">
        <v>662</v>
      </c>
      <c r="B248" s="113" t="s">
        <v>664</v>
      </c>
      <c r="C248" s="113" t="s">
        <v>663</v>
      </c>
      <c r="D248" s="113">
        <v>0</v>
      </c>
      <c r="E248" s="113">
        <v>0</v>
      </c>
      <c r="F248" s="113">
        <v>1</v>
      </c>
      <c r="G248" s="113" t="s">
        <v>661</v>
      </c>
      <c r="H248" s="113">
        <v>1</v>
      </c>
      <c r="I248" s="113" t="s">
        <v>660</v>
      </c>
      <c r="J248" s="113"/>
      <c r="K248" s="108" t="str">
        <f t="shared" ref="K248" si="10">IF(C248="N/A","//",CONCATENATE("SpellData.create(",B248,",",CHAR(34),C248,CHAR(34),",",E248,",",D248,",",F248,",",G248,",",H248,",",I248,")",J248,";"))</f>
        <v>SpellData.create(SID_STRANGE_WAND,"奇异的魔杖",0,0,1,OrderId("channel"),1,ORDER_TYPE_IMMEDIATE);</v>
      </c>
      <c r="L248" s="113"/>
      <c r="M248" s="113"/>
      <c r="N248" s="113"/>
      <c r="O248" s="113"/>
      <c r="P248" s="113"/>
      <c r="Q248" s="113"/>
      <c r="R248" s="113"/>
      <c r="S248" s="113"/>
      <c r="T248" s="113"/>
      <c r="U248" s="113"/>
      <c r="V248" s="113"/>
      <c r="W248" s="113"/>
      <c r="X248" s="113"/>
    </row>
    <row r="249" spans="1:24">
      <c r="K249" s="108"/>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sheetData>
  <phoneticPr fontId="9" type="noConversion"/>
  <conditionalFormatting sqref="B184: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3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4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4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4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4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4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4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4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4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4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4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45" t="s">
        <v>63</v>
      </c>
      <c r="B1" s="144"/>
      <c r="C1" s="144"/>
      <c r="D1" s="144"/>
      <c r="E1" s="144"/>
      <c r="F1" s="144"/>
      <c r="G1" s="144"/>
      <c r="H1" s="144"/>
      <c r="I1" s="144"/>
      <c r="J1" s="144"/>
      <c r="K1" s="16"/>
      <c r="L1" s="16"/>
    </row>
    <row r="2" spans="1:12">
      <c r="A2" s="145" t="s">
        <v>64</v>
      </c>
      <c r="B2" s="144"/>
      <c r="C2" s="144"/>
      <c r="D2" s="144"/>
      <c r="E2" s="144"/>
      <c r="F2" s="144"/>
      <c r="G2" s="144"/>
      <c r="H2" s="144"/>
      <c r="I2" s="144"/>
      <c r="J2" s="14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43" t="s">
        <v>273</v>
      </c>
      <c r="B5" s="15">
        <v>1</v>
      </c>
      <c r="C5" s="17" t="s">
        <v>365</v>
      </c>
      <c r="D5" s="17" t="s">
        <v>367</v>
      </c>
      <c r="E5" s="17" t="s">
        <v>368</v>
      </c>
      <c r="F5" s="17" t="s">
        <v>370</v>
      </c>
      <c r="G5" s="17"/>
      <c r="H5" s="17"/>
      <c r="I5" s="146" t="s">
        <v>371</v>
      </c>
      <c r="J5" s="148"/>
      <c r="K5" s="20"/>
      <c r="L5" s="17"/>
    </row>
    <row r="6" spans="1:12">
      <c r="A6" s="144"/>
      <c r="B6" s="15">
        <v>2</v>
      </c>
      <c r="C6" s="17" t="s">
        <v>409</v>
      </c>
      <c r="D6" s="17" t="s">
        <v>367</v>
      </c>
      <c r="E6" s="17" t="s">
        <v>368</v>
      </c>
      <c r="F6" s="17" t="s">
        <v>370</v>
      </c>
      <c r="G6" s="17" t="s">
        <v>410</v>
      </c>
      <c r="H6" s="17"/>
      <c r="I6" s="147"/>
      <c r="J6" s="147"/>
      <c r="K6" s="20"/>
      <c r="L6" s="17"/>
    </row>
    <row r="7" spans="1:12">
      <c r="A7" s="144"/>
      <c r="B7" s="15">
        <v>3</v>
      </c>
      <c r="C7" s="17" t="s">
        <v>414</v>
      </c>
      <c r="D7" s="17" t="s">
        <v>415</v>
      </c>
      <c r="E7" s="17" t="s">
        <v>367</v>
      </c>
      <c r="F7" s="17" t="s">
        <v>417</v>
      </c>
      <c r="G7" s="17"/>
      <c r="H7" s="17"/>
      <c r="I7" s="147"/>
      <c r="J7" s="147"/>
      <c r="K7" s="20"/>
      <c r="L7" s="17"/>
    </row>
    <row r="8" spans="1:12">
      <c r="A8" s="144"/>
      <c r="B8" s="15">
        <v>4</v>
      </c>
      <c r="C8" s="17" t="s">
        <v>422</v>
      </c>
      <c r="D8" s="17" t="s">
        <v>424</v>
      </c>
      <c r="E8" s="17" t="s">
        <v>368</v>
      </c>
      <c r="F8" s="17" t="s">
        <v>367</v>
      </c>
      <c r="G8" s="17" t="s">
        <v>410</v>
      </c>
      <c r="H8" s="17" t="s">
        <v>425</v>
      </c>
      <c r="I8" s="147"/>
      <c r="J8" s="147"/>
      <c r="K8" s="20"/>
      <c r="L8" s="17"/>
    </row>
    <row r="9" spans="1:12">
      <c r="A9" s="144"/>
      <c r="B9" s="15">
        <v>5</v>
      </c>
      <c r="C9" s="17" t="s">
        <v>427</v>
      </c>
      <c r="D9" s="17" t="s">
        <v>425</v>
      </c>
      <c r="E9" s="17" t="s">
        <v>424</v>
      </c>
      <c r="F9" s="17"/>
      <c r="G9" s="17"/>
      <c r="H9" s="17"/>
      <c r="I9" s="147"/>
      <c r="J9" s="147"/>
      <c r="K9" s="20"/>
      <c r="L9" s="17"/>
    </row>
    <row r="10" spans="1:12">
      <c r="A10" s="144"/>
      <c r="B10" s="15">
        <v>6</v>
      </c>
      <c r="C10" s="17" t="s">
        <v>431</v>
      </c>
      <c r="D10" s="17" t="s">
        <v>432</v>
      </c>
      <c r="E10" s="17" t="s">
        <v>433</v>
      </c>
      <c r="F10" s="17"/>
      <c r="G10" s="17"/>
      <c r="H10" s="17"/>
      <c r="I10" s="147"/>
      <c r="J10" s="147"/>
      <c r="K10" s="20"/>
      <c r="L10" s="17"/>
    </row>
    <row r="11" spans="1:12">
      <c r="A11" s="143" t="s">
        <v>442</v>
      </c>
      <c r="B11" s="15"/>
      <c r="C11" s="17" t="s">
        <v>365</v>
      </c>
      <c r="D11" s="17" t="s">
        <v>447</v>
      </c>
      <c r="E11" s="17" t="s">
        <v>449</v>
      </c>
      <c r="F11" s="17" t="s">
        <v>451</v>
      </c>
      <c r="G11" s="17"/>
      <c r="H11" s="17"/>
      <c r="I11" s="18"/>
      <c r="J11" s="19"/>
      <c r="K11" s="20"/>
      <c r="L11" s="17"/>
    </row>
    <row r="12" spans="1:12">
      <c r="A12" s="144"/>
      <c r="B12" s="15"/>
      <c r="C12" s="17" t="s">
        <v>409</v>
      </c>
      <c r="D12" s="17" t="s">
        <v>447</v>
      </c>
      <c r="E12" s="17" t="s">
        <v>449</v>
      </c>
      <c r="F12" s="17" t="s">
        <v>458</v>
      </c>
      <c r="G12" s="17"/>
      <c r="H12" s="17"/>
      <c r="I12" s="18"/>
      <c r="J12" s="19"/>
      <c r="K12" s="20"/>
      <c r="L12" s="17"/>
    </row>
    <row r="13" spans="1:12">
      <c r="A13" s="144"/>
      <c r="B13" s="15"/>
      <c r="C13" s="17" t="s">
        <v>414</v>
      </c>
      <c r="D13" s="17" t="s">
        <v>463</v>
      </c>
      <c r="E13" s="17" t="s">
        <v>465</v>
      </c>
      <c r="F13" s="17"/>
      <c r="G13" s="17"/>
      <c r="H13" s="17"/>
      <c r="I13" s="18"/>
      <c r="J13" s="19"/>
      <c r="K13" s="20"/>
      <c r="L13" s="17"/>
    </row>
    <row r="14" spans="1:12">
      <c r="A14" s="144"/>
      <c r="B14" s="15"/>
      <c r="C14" s="17" t="s">
        <v>422</v>
      </c>
      <c r="D14" s="17" t="s">
        <v>463</v>
      </c>
      <c r="E14" s="17" t="s">
        <v>472</v>
      </c>
      <c r="F14" s="17" t="s">
        <v>473</v>
      </c>
      <c r="G14" s="17" t="s">
        <v>475</v>
      </c>
      <c r="H14" s="17" t="s">
        <v>476</v>
      </c>
      <c r="I14" s="18"/>
      <c r="J14" s="19"/>
      <c r="K14" s="20"/>
      <c r="L14" s="17"/>
    </row>
    <row r="15" spans="1:12">
      <c r="A15" s="144"/>
      <c r="B15" s="15"/>
      <c r="C15" s="17" t="s">
        <v>427</v>
      </c>
      <c r="D15" s="17" t="s">
        <v>476</v>
      </c>
      <c r="E15" s="17" t="s">
        <v>463</v>
      </c>
      <c r="F15" s="17"/>
      <c r="G15" s="17"/>
      <c r="H15" s="17"/>
      <c r="I15" s="18"/>
      <c r="J15" s="19"/>
      <c r="K15" s="20"/>
      <c r="L15" s="17"/>
    </row>
    <row r="16" spans="1:12">
      <c r="A16" s="144"/>
      <c r="B16" s="15"/>
      <c r="C16" s="17" t="s">
        <v>431</v>
      </c>
      <c r="D16" s="17" t="s">
        <v>480</v>
      </c>
      <c r="E16" s="17"/>
      <c r="F16" s="17"/>
      <c r="G16" s="17"/>
      <c r="H16" s="17"/>
      <c r="I16" s="18"/>
      <c r="J16" s="19"/>
      <c r="K16" s="20"/>
      <c r="L16" s="17"/>
    </row>
    <row r="17" spans="1:12">
      <c r="A17" s="143" t="s">
        <v>481</v>
      </c>
      <c r="B17" s="15"/>
      <c r="C17" s="17" t="s">
        <v>484</v>
      </c>
      <c r="D17" s="17" t="s">
        <v>485</v>
      </c>
      <c r="E17" s="17" t="s">
        <v>486</v>
      </c>
      <c r="F17" s="17"/>
      <c r="G17" s="17"/>
      <c r="H17" s="17"/>
      <c r="I17" s="18"/>
      <c r="J17" s="19"/>
      <c r="K17" s="20"/>
      <c r="L17" s="17"/>
    </row>
    <row r="18" spans="1:12">
      <c r="A18" s="144"/>
      <c r="B18" s="15"/>
      <c r="C18" s="17" t="s">
        <v>489</v>
      </c>
      <c r="D18" s="17" t="s">
        <v>103</v>
      </c>
      <c r="E18" s="17" t="s">
        <v>485</v>
      </c>
      <c r="F18" s="17" t="s">
        <v>424</v>
      </c>
      <c r="G18" s="17" t="s">
        <v>486</v>
      </c>
      <c r="H18" s="17"/>
      <c r="I18" s="18"/>
      <c r="J18" s="19"/>
      <c r="K18" s="20"/>
      <c r="L18" s="17"/>
    </row>
    <row r="19" spans="1:12">
      <c r="A19" s="144"/>
      <c r="B19" s="15"/>
      <c r="C19" s="17" t="s">
        <v>493</v>
      </c>
      <c r="D19" s="17" t="s">
        <v>495</v>
      </c>
      <c r="E19" s="17" t="s">
        <v>485</v>
      </c>
      <c r="F19" s="17" t="s">
        <v>424</v>
      </c>
      <c r="G19" s="17" t="s">
        <v>103</v>
      </c>
      <c r="H19" s="17" t="s">
        <v>485</v>
      </c>
      <c r="I19" s="18"/>
      <c r="J19" s="19"/>
      <c r="K19" s="20"/>
      <c r="L19" s="17"/>
    </row>
    <row r="20" spans="1:12">
      <c r="A20" s="144"/>
      <c r="B20" s="15"/>
      <c r="C20" s="21" t="s">
        <v>498</v>
      </c>
      <c r="D20" s="17" t="s">
        <v>495</v>
      </c>
      <c r="E20" s="17" t="s">
        <v>485</v>
      </c>
      <c r="F20" s="17" t="s">
        <v>424</v>
      </c>
      <c r="G20" s="17" t="s">
        <v>103</v>
      </c>
      <c r="H20" s="17" t="s">
        <v>485</v>
      </c>
      <c r="I20" s="18"/>
      <c r="J20" s="19"/>
      <c r="K20" s="20"/>
      <c r="L20" s="17"/>
    </row>
    <row r="21" spans="1:12">
      <c r="A21" s="143" t="s">
        <v>508</v>
      </c>
      <c r="B21" s="15"/>
      <c r="C21" s="17" t="s">
        <v>484</v>
      </c>
      <c r="D21" s="17" t="s">
        <v>509</v>
      </c>
      <c r="E21" s="17" t="s">
        <v>510</v>
      </c>
      <c r="F21" s="17" t="s">
        <v>48</v>
      </c>
      <c r="G21" s="17"/>
      <c r="H21" s="17"/>
      <c r="I21" s="18"/>
      <c r="J21" s="19"/>
      <c r="K21" s="20"/>
      <c r="L21" s="17"/>
    </row>
    <row r="22" spans="1:12">
      <c r="A22" s="144"/>
      <c r="B22" s="15"/>
      <c r="C22" s="21" t="s">
        <v>511</v>
      </c>
      <c r="D22" s="17" t="s">
        <v>512</v>
      </c>
      <c r="E22" s="17" t="s">
        <v>513</v>
      </c>
      <c r="F22" s="17" t="s">
        <v>514</v>
      </c>
      <c r="G22" s="17"/>
      <c r="H22" s="17"/>
      <c r="I22" s="18"/>
      <c r="J22" s="19"/>
      <c r="K22" s="20"/>
      <c r="L22" s="17"/>
    </row>
    <row r="23" spans="1:12">
      <c r="A23" s="144"/>
      <c r="B23" s="15"/>
      <c r="C23" s="17" t="s">
        <v>493</v>
      </c>
      <c r="D23" s="17" t="s">
        <v>515</v>
      </c>
      <c r="E23" s="17" t="s">
        <v>516</v>
      </c>
      <c r="F23" s="17" t="s">
        <v>517</v>
      </c>
      <c r="G23" s="17"/>
      <c r="H23" s="17"/>
      <c r="I23" s="18"/>
      <c r="J23" s="19"/>
      <c r="K23" s="20"/>
      <c r="L23" s="17"/>
    </row>
    <row r="24" spans="1:12">
      <c r="A24" s="14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2017-08-02T03:44:13Z</dcterms:modified>
</cp:coreProperties>
</file>