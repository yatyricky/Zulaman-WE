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D:\Game\Warcraft III\Maps\Zulaman-WE\dev\"/>
    </mc:Choice>
  </mc:AlternateContent>
  <bookViews>
    <workbookView xWindow="0" yWindow="0" windowWidth="28800" windowHeight="12420"/>
  </bookViews>
  <sheets>
    <sheet name="玩家技能" sheetId="1" r:id="rId1"/>
    <sheet name="BOSS技能" sheetId="2" r:id="rId2"/>
    <sheet name="小怪技能" sheetId="3" r:id="rId3"/>
    <sheet name="职业汇总" sheetId="4" r:id="rId4"/>
    <sheet name="升级加点" sheetId="5" r:id="rId5"/>
    <sheet name="场景模拟" sheetId="6" r:id="rId6"/>
    <sheet name="技能优先级" sheetId="7" r:id="rId7"/>
    <sheet name="预更新说明" sheetId="9" state="hidden" r:id="rId8"/>
  </sheets>
  <functionGroups builtInGroupCount="18"/>
  <calcPr calcId="152511"/>
</workbook>
</file>

<file path=xl/calcChain.xml><?xml version="1.0" encoding="utf-8"?>
<calcChain xmlns="http://schemas.openxmlformats.org/spreadsheetml/2006/main">
  <c r="A13" i="7" l="1"/>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Q6" i="1"/>
  <c r="Q8" i="1"/>
  <c r="Q7" i="1"/>
  <c r="Q2" i="1"/>
  <c r="K97" i="5"/>
  <c r="J96" i="5"/>
  <c r="I95" i="5"/>
  <c r="L94" i="5"/>
  <c r="H94" i="5"/>
  <c r="K93" i="5"/>
  <c r="L88" i="5"/>
  <c r="H88" i="5"/>
  <c r="K87" i="5"/>
  <c r="J86" i="5"/>
  <c r="I85" i="5"/>
  <c r="L84" i="5"/>
  <c r="H84" i="5"/>
  <c r="I79" i="5"/>
  <c r="L78" i="5"/>
  <c r="H78" i="5"/>
  <c r="K77" i="5"/>
  <c r="J76" i="5"/>
  <c r="I75" i="5"/>
  <c r="J70" i="5"/>
  <c r="J97" i="5"/>
  <c r="I96" i="5"/>
  <c r="L95" i="5"/>
  <c r="H95" i="5"/>
  <c r="K94" i="5"/>
  <c r="J93" i="5"/>
  <c r="K88" i="5"/>
  <c r="J87" i="5"/>
  <c r="I86" i="5"/>
  <c r="L85" i="5"/>
  <c r="H85" i="5"/>
  <c r="K84" i="5"/>
  <c r="L79" i="5"/>
  <c r="H79" i="5"/>
  <c r="K78" i="5"/>
  <c r="J77" i="5"/>
  <c r="I76" i="5"/>
  <c r="L75" i="5"/>
  <c r="H75" i="5"/>
  <c r="I70" i="5"/>
  <c r="L69" i="5"/>
  <c r="I97" i="5"/>
  <c r="L96" i="5"/>
  <c r="H96" i="5"/>
  <c r="K95" i="5"/>
  <c r="J94" i="5"/>
  <c r="I93" i="5"/>
  <c r="J88" i="5"/>
  <c r="I87" i="5"/>
  <c r="L86" i="5"/>
  <c r="H86" i="5"/>
  <c r="K85" i="5"/>
  <c r="J84" i="5"/>
  <c r="K79" i="5"/>
  <c r="J78" i="5"/>
  <c r="I77" i="5"/>
  <c r="L76" i="5"/>
  <c r="H76" i="5"/>
  <c r="K75" i="5"/>
  <c r="L70" i="5"/>
  <c r="H70" i="5"/>
  <c r="K69" i="5"/>
  <c r="J95" i="5"/>
  <c r="I94" i="5"/>
  <c r="H93" i="5"/>
  <c r="J85" i="5"/>
  <c r="I84" i="5"/>
  <c r="L77" i="5"/>
  <c r="K76" i="5"/>
  <c r="K70" i="5"/>
  <c r="I69" i="5"/>
  <c r="L68" i="5"/>
  <c r="H68" i="5"/>
  <c r="K67" i="5"/>
  <c r="J66" i="5"/>
  <c r="K61" i="5"/>
  <c r="J60" i="5"/>
  <c r="I59" i="5"/>
  <c r="L58" i="5"/>
  <c r="H58" i="5"/>
  <c r="K57" i="5"/>
  <c r="L52" i="5"/>
  <c r="H52" i="5"/>
  <c r="K51" i="5"/>
  <c r="J50" i="5"/>
  <c r="I49" i="5"/>
  <c r="L48" i="5"/>
  <c r="H48" i="5"/>
  <c r="I43" i="5"/>
  <c r="L42" i="5"/>
  <c r="H42" i="5"/>
  <c r="K41" i="5"/>
  <c r="J40" i="5"/>
  <c r="I39" i="5"/>
  <c r="J34" i="5"/>
  <c r="I33" i="5"/>
  <c r="L32" i="5"/>
  <c r="H32" i="5"/>
  <c r="K31" i="5"/>
  <c r="J30" i="5"/>
  <c r="K25" i="5"/>
  <c r="J24" i="5"/>
  <c r="I23" i="5"/>
  <c r="L22" i="5"/>
  <c r="H22" i="5"/>
  <c r="K21" i="5"/>
  <c r="L16" i="5"/>
  <c r="H16" i="5"/>
  <c r="K15" i="5"/>
  <c r="J14" i="5"/>
  <c r="I13" i="5"/>
  <c r="L12" i="5"/>
  <c r="H12" i="5"/>
  <c r="I7" i="5"/>
  <c r="L6" i="5"/>
  <c r="H6" i="5"/>
  <c r="K5" i="5"/>
  <c r="J4" i="5"/>
  <c r="I3" i="5"/>
  <c r="L67" i="5"/>
  <c r="J59" i="5"/>
  <c r="I58" i="5"/>
  <c r="H57" i="5"/>
  <c r="L51" i="5"/>
  <c r="I42" i="5"/>
  <c r="H41" i="5"/>
  <c r="L31" i="5"/>
  <c r="K30" i="5"/>
  <c r="H25" i="5"/>
  <c r="K24" i="5"/>
  <c r="H21" i="5"/>
  <c r="H15" i="5"/>
  <c r="K4" i="5"/>
  <c r="J3" i="5"/>
  <c r="L97" i="5"/>
  <c r="K96" i="5"/>
  <c r="L87" i="5"/>
  <c r="K86" i="5"/>
  <c r="J79" i="5"/>
  <c r="I78" i="5"/>
  <c r="H77" i="5"/>
  <c r="H69" i="5"/>
  <c r="K68" i="5"/>
  <c r="J67" i="5"/>
  <c r="I66" i="5"/>
  <c r="J61" i="5"/>
  <c r="I60" i="5"/>
  <c r="L59" i="5"/>
  <c r="H59" i="5"/>
  <c r="K58" i="5"/>
  <c r="J57" i="5"/>
  <c r="K52" i="5"/>
  <c r="J51" i="5"/>
  <c r="I50" i="5"/>
  <c r="L49" i="5"/>
  <c r="H49" i="5"/>
  <c r="K48" i="5"/>
  <c r="L43" i="5"/>
  <c r="H43" i="5"/>
  <c r="K42" i="5"/>
  <c r="J41" i="5"/>
  <c r="I40" i="5"/>
  <c r="L39" i="5"/>
  <c r="H39" i="5"/>
  <c r="I34" i="5"/>
  <c r="L33" i="5"/>
  <c r="H33" i="5"/>
  <c r="K32" i="5"/>
  <c r="J31" i="5"/>
  <c r="I30" i="5"/>
  <c r="J25" i="5"/>
  <c r="I24" i="5"/>
  <c r="L23" i="5"/>
  <c r="H23" i="5"/>
  <c r="K22" i="5"/>
  <c r="J21" i="5"/>
  <c r="K16" i="5"/>
  <c r="J15" i="5"/>
  <c r="I14" i="5"/>
  <c r="L13" i="5"/>
  <c r="H13" i="5"/>
  <c r="K12" i="5"/>
  <c r="L7" i="5"/>
  <c r="H7" i="5"/>
  <c r="K6" i="5"/>
  <c r="J5" i="5"/>
  <c r="I4" i="5"/>
  <c r="L3" i="5"/>
  <c r="H3" i="5"/>
  <c r="J75" i="5"/>
  <c r="I68" i="5"/>
  <c r="K66" i="5"/>
  <c r="L61" i="5"/>
  <c r="H61" i="5"/>
  <c r="L57" i="5"/>
  <c r="I52" i="5"/>
  <c r="H51" i="5"/>
  <c r="K50" i="5"/>
  <c r="I48" i="5"/>
  <c r="J43" i="5"/>
  <c r="L41" i="5"/>
  <c r="K40" i="5"/>
  <c r="J39" i="5"/>
  <c r="H31" i="5"/>
  <c r="L15" i="5"/>
  <c r="I6" i="5"/>
  <c r="H97" i="5"/>
  <c r="I88" i="5"/>
  <c r="H87" i="5"/>
  <c r="J68" i="5"/>
  <c r="I67" i="5"/>
  <c r="L66" i="5"/>
  <c r="H66" i="5"/>
  <c r="I61" i="5"/>
  <c r="L60" i="5"/>
  <c r="H60" i="5"/>
  <c r="K59" i="5"/>
  <c r="J58" i="5"/>
  <c r="I57" i="5"/>
  <c r="J52" i="5"/>
  <c r="I51" i="5"/>
  <c r="L50" i="5"/>
  <c r="H50" i="5"/>
  <c r="K49" i="5"/>
  <c r="J48" i="5"/>
  <c r="K43" i="5"/>
  <c r="J42" i="5"/>
  <c r="I41" i="5"/>
  <c r="L40" i="5"/>
  <c r="H40" i="5"/>
  <c r="K39" i="5"/>
  <c r="L34" i="5"/>
  <c r="H34" i="5"/>
  <c r="K33" i="5"/>
  <c r="J32" i="5"/>
  <c r="I31" i="5"/>
  <c r="L30" i="5"/>
  <c r="H30" i="5"/>
  <c r="I25" i="5"/>
  <c r="L24" i="5"/>
  <c r="H24" i="5"/>
  <c r="K23" i="5"/>
  <c r="J22" i="5"/>
  <c r="I21" i="5"/>
  <c r="J16" i="5"/>
  <c r="I15" i="5"/>
  <c r="L14" i="5"/>
  <c r="H14" i="5"/>
  <c r="K13" i="5"/>
  <c r="J12" i="5"/>
  <c r="K7" i="5"/>
  <c r="J6" i="5"/>
  <c r="I5" i="5"/>
  <c r="L4" i="5"/>
  <c r="H4" i="5"/>
  <c r="K3" i="5"/>
  <c r="L93" i="5"/>
  <c r="J69" i="5"/>
  <c r="H67" i="5"/>
  <c r="K60" i="5"/>
  <c r="J49" i="5"/>
  <c r="K34" i="5"/>
  <c r="J33" i="5"/>
  <c r="I32" i="5"/>
  <c r="L25" i="5"/>
  <c r="J23" i="5"/>
  <c r="I22" i="5"/>
  <c r="L21" i="5"/>
  <c r="I16" i="5"/>
  <c r="K14" i="5"/>
  <c r="J13" i="5"/>
  <c r="I12" i="5"/>
  <c r="J7" i="5"/>
  <c r="L5" i="5"/>
  <c r="H5" i="5"/>
  <c r="N5" i="5" l="1"/>
  <c r="R5" i="5"/>
  <c r="P7" i="5"/>
  <c r="O12" i="5"/>
  <c r="P13" i="5"/>
  <c r="Q14" i="5"/>
  <c r="O16" i="5"/>
  <c r="R21" i="5"/>
  <c r="O22" i="5"/>
  <c r="P23" i="5"/>
  <c r="R25" i="5"/>
  <c r="O32" i="5"/>
  <c r="P33" i="5"/>
  <c r="Q34" i="5"/>
  <c r="P49" i="5"/>
  <c r="Q60" i="5"/>
  <c r="N67" i="5"/>
  <c r="P69" i="5"/>
  <c r="R93" i="5"/>
  <c r="Q3" i="5"/>
  <c r="N4" i="5"/>
  <c r="R4" i="5"/>
  <c r="O5" i="5"/>
  <c r="P6" i="5"/>
  <c r="Q7" i="5"/>
  <c r="P12" i="5"/>
  <c r="Q13" i="5"/>
  <c r="N14" i="5"/>
  <c r="R14" i="5"/>
  <c r="O15" i="5"/>
  <c r="P16" i="5"/>
  <c r="O21" i="5"/>
  <c r="P22" i="5"/>
  <c r="Q23" i="5"/>
  <c r="N24" i="5"/>
  <c r="R24" i="5"/>
  <c r="O25" i="5"/>
  <c r="N30" i="5"/>
  <c r="R30" i="5"/>
  <c r="O31" i="5"/>
  <c r="P32" i="5"/>
  <c r="Q33" i="5"/>
  <c r="N34" i="5"/>
  <c r="R34" i="5"/>
  <c r="Q39" i="5"/>
  <c r="N40" i="5"/>
  <c r="R40" i="5"/>
  <c r="O41" i="5"/>
  <c r="P42" i="5"/>
  <c r="Q43" i="5"/>
  <c r="P48" i="5"/>
  <c r="Q49" i="5"/>
  <c r="N50" i="5"/>
  <c r="R50" i="5"/>
  <c r="O51" i="5"/>
  <c r="P52" i="5"/>
  <c r="O57" i="5"/>
  <c r="P58" i="5"/>
  <c r="Q59" i="5"/>
  <c r="N60" i="5"/>
  <c r="R60" i="5"/>
  <c r="O61" i="5"/>
  <c r="N66" i="5"/>
  <c r="R66" i="5"/>
  <c r="O67" i="5"/>
  <c r="P68" i="5"/>
  <c r="N87" i="5"/>
  <c r="O88" i="5"/>
  <c r="N97" i="5"/>
  <c r="O6" i="5"/>
  <c r="R15" i="5"/>
  <c r="N31" i="5"/>
  <c r="P39" i="5"/>
  <c r="Q40" i="5"/>
  <c r="R41" i="5"/>
  <c r="P43" i="5"/>
  <c r="O48" i="5"/>
  <c r="Q50" i="5"/>
  <c r="N51" i="5"/>
  <c r="O52" i="5"/>
  <c r="R57" i="5"/>
  <c r="N61" i="5"/>
  <c r="R61" i="5"/>
  <c r="Q66" i="5"/>
  <c r="O68" i="5"/>
  <c r="P75" i="5"/>
  <c r="N3" i="5"/>
  <c r="R3" i="5"/>
  <c r="O4" i="5"/>
  <c r="P5" i="5"/>
  <c r="Q6" i="5"/>
  <c r="N7" i="5"/>
  <c r="R7" i="5"/>
  <c r="Q12" i="5"/>
  <c r="N13" i="5"/>
  <c r="R13" i="5"/>
  <c r="O14" i="5"/>
  <c r="P15" i="5"/>
  <c r="Q16" i="5"/>
  <c r="P21" i="5"/>
  <c r="Q22" i="5"/>
  <c r="N23" i="5"/>
  <c r="R23" i="5"/>
  <c r="O24" i="5"/>
  <c r="P25" i="5"/>
  <c r="O30" i="5"/>
  <c r="P31" i="5"/>
  <c r="Q32" i="5"/>
  <c r="N33" i="5"/>
  <c r="R33" i="5"/>
  <c r="O34" i="5"/>
  <c r="N39" i="5"/>
  <c r="R39" i="5"/>
  <c r="O40" i="5"/>
  <c r="P41" i="5"/>
  <c r="Q42" i="5"/>
  <c r="N43" i="5"/>
  <c r="R43" i="5"/>
  <c r="Q48" i="5"/>
  <c r="N49" i="5"/>
  <c r="R49" i="5"/>
  <c r="O50" i="5"/>
  <c r="P51" i="5"/>
  <c r="Q52" i="5"/>
  <c r="P57" i="5"/>
  <c r="Q58" i="5"/>
  <c r="N59" i="5"/>
  <c r="R59" i="5"/>
  <c r="O60" i="5"/>
  <c r="P61" i="5"/>
  <c r="O66" i="5"/>
  <c r="P67" i="5"/>
  <c r="Q68" i="5"/>
  <c r="N69" i="5"/>
  <c r="N77" i="5"/>
  <c r="O78" i="5"/>
  <c r="P79" i="5"/>
  <c r="Q86" i="5"/>
  <c r="R87" i="5"/>
  <c r="Q96" i="5"/>
  <c r="R97" i="5"/>
  <c r="P3" i="5"/>
  <c r="Q4" i="5"/>
  <c r="N15" i="5"/>
  <c r="N21" i="5"/>
  <c r="Q24" i="5"/>
  <c r="N25" i="5"/>
  <c r="Q30" i="5"/>
  <c r="R31" i="5"/>
  <c r="N41" i="5"/>
  <c r="O42" i="5"/>
  <c r="R51" i="5"/>
  <c r="N57" i="5"/>
  <c r="O58" i="5"/>
  <c r="P59" i="5"/>
  <c r="R67" i="5"/>
  <c r="O3" i="5"/>
  <c r="P4" i="5"/>
  <c r="Q5" i="5"/>
  <c r="N6" i="5"/>
  <c r="R6" i="5"/>
  <c r="O7" i="5"/>
  <c r="N12" i="5"/>
  <c r="R12" i="5"/>
  <c r="O13" i="5"/>
  <c r="P14" i="5"/>
  <c r="Q15" i="5"/>
  <c r="N16" i="5"/>
  <c r="R16" i="5"/>
  <c r="Q21" i="5"/>
  <c r="N22" i="5"/>
  <c r="R22" i="5"/>
  <c r="O23" i="5"/>
  <c r="P24" i="5"/>
  <c r="Q25" i="5"/>
  <c r="P30" i="5"/>
  <c r="Q31" i="5"/>
  <c r="N32" i="5"/>
  <c r="R32" i="5"/>
  <c r="O33" i="5"/>
  <c r="P34" i="5"/>
  <c r="O39" i="5"/>
  <c r="P40" i="5"/>
  <c r="Q41" i="5"/>
  <c r="N42" i="5"/>
  <c r="R42" i="5"/>
  <c r="O43" i="5"/>
  <c r="N48" i="5"/>
  <c r="R48" i="5"/>
  <c r="O49" i="5"/>
  <c r="P50" i="5"/>
  <c r="Q51" i="5"/>
  <c r="N52" i="5"/>
  <c r="R52" i="5"/>
  <c r="Q57" i="5"/>
  <c r="N58" i="5"/>
  <c r="R58" i="5"/>
  <c r="O59" i="5"/>
  <c r="P60" i="5"/>
  <c r="Q61" i="5"/>
  <c r="P66" i="5"/>
  <c r="Q67" i="5"/>
  <c r="N68" i="5"/>
  <c r="R68" i="5"/>
  <c r="O69" i="5"/>
  <c r="Q70" i="5"/>
  <c r="Q76" i="5"/>
  <c r="R77" i="5"/>
  <c r="O84" i="5"/>
  <c r="P85" i="5"/>
  <c r="N93" i="5"/>
  <c r="O94" i="5"/>
  <c r="P95" i="5"/>
  <c r="Q69" i="5"/>
  <c r="N70" i="5"/>
  <c r="R70" i="5"/>
  <c r="Q75" i="5"/>
  <c r="N76" i="5"/>
  <c r="R76" i="5"/>
  <c r="O77" i="5"/>
  <c r="P78" i="5"/>
  <c r="Q79" i="5"/>
  <c r="P84" i="5"/>
  <c r="Q85" i="5"/>
  <c r="N86" i="5"/>
  <c r="R86" i="5"/>
  <c r="O87" i="5"/>
  <c r="P88" i="5"/>
  <c r="O93" i="5"/>
  <c r="P94" i="5"/>
  <c r="Q95" i="5"/>
  <c r="N96" i="5"/>
  <c r="R96" i="5"/>
  <c r="O97" i="5"/>
  <c r="R69" i="5"/>
  <c r="O70" i="5"/>
  <c r="N75" i="5"/>
  <c r="R75" i="5"/>
  <c r="O76" i="5"/>
  <c r="P77" i="5"/>
  <c r="Q78" i="5"/>
  <c r="N79" i="5"/>
  <c r="R79" i="5"/>
  <c r="Q84" i="5"/>
  <c r="N85" i="5"/>
  <c r="R85" i="5"/>
  <c r="O86" i="5"/>
  <c r="P87" i="5"/>
  <c r="Q88" i="5"/>
  <c r="P93" i="5"/>
  <c r="Q94" i="5"/>
  <c r="N95" i="5"/>
  <c r="R95" i="5"/>
  <c r="O96" i="5"/>
  <c r="P97" i="5"/>
  <c r="P70" i="5"/>
  <c r="O75" i="5"/>
  <c r="P76" i="5"/>
  <c r="Q77" i="5"/>
  <c r="N78" i="5"/>
  <c r="R78" i="5"/>
  <c r="O79" i="5"/>
  <c r="N84" i="5"/>
  <c r="R84" i="5"/>
  <c r="O85" i="5"/>
  <c r="P86" i="5"/>
  <c r="Q87" i="5"/>
  <c r="N88" i="5"/>
  <c r="R88" i="5"/>
  <c r="Q93" i="5"/>
  <c r="N94" i="5"/>
  <c r="R94" i="5"/>
  <c r="O95" i="5"/>
  <c r="P96" i="5"/>
  <c r="Q97" i="5"/>
</calcChain>
</file>

<file path=xl/comments1.xml><?xml version="1.0" encoding="utf-8"?>
<comments xmlns="http://schemas.openxmlformats.org/spreadsheetml/2006/main">
  <authors>
    <author/>
  </authors>
  <commentList>
    <comment ref="C8" authorId="0" shapeId="0">
      <text>
        <r>
          <rPr>
            <sz val="10"/>
            <color rgb="FF000000"/>
            <rFont val="Arial"/>
          </rPr>
          <t>fiosracht:
待定</t>
        </r>
      </text>
    </comment>
  </commentList>
</comments>
</file>

<file path=xl/sharedStrings.xml><?xml version="1.0" encoding="utf-8"?>
<sst xmlns="http://schemas.openxmlformats.org/spreadsheetml/2006/main" count="1171" uniqueCount="997">
  <si>
    <t>职业名</t>
  </si>
  <si>
    <t>技能名</t>
  </si>
  <si>
    <t>技能说明</t>
  </si>
  <si>
    <t>等级1</t>
  </si>
  <si>
    <t>耗</t>
  </si>
  <si>
    <t>施</t>
  </si>
  <si>
    <t>CD</t>
  </si>
  <si>
    <t>持</t>
  </si>
  <si>
    <t>等级2</t>
  </si>
  <si>
    <t>等级3</t>
  </si>
  <si>
    <t>快捷键，命令ID</t>
  </si>
  <si>
    <t>急速影响跳数</t>
  </si>
  <si>
    <t>可反射</t>
  </si>
  <si>
    <t>血精灵防御者</t>
  </si>
  <si>
    <t>盾牌格档</t>
  </si>
  <si>
    <t>提升招架几率45%，提升招架免伤100%。</t>
  </si>
  <si>
    <t>提升招架几率60%，提升招架免伤150%。</t>
  </si>
  <si>
    <t>提升招架几率75%，提升招架免伤200%。</t>
  </si>
  <si>
    <t>名字</t>
  </si>
  <si>
    <t>区域</t>
  </si>
  <si>
    <t>阶段</t>
  </si>
  <si>
    <t>技能</t>
  </si>
  <si>
    <t>Ability</t>
  </si>
  <si>
    <t>距</t>
  </si>
  <si>
    <t>描述</t>
  </si>
  <si>
    <t>大修补匠
Arch Tinker
45000HP</t>
  </si>
  <si>
    <t>阳炎风暴</t>
  </si>
  <si>
    <t>激活阳炎之力灼伤附近的所有敌军单位，并且在接下来的8秒内每秒对附近的敌人造成伤害。这个技能会造成大量仇恨。</t>
  </si>
  <si>
    <t>造成50点法术伤害。</t>
  </si>
  <si>
    <t>造成100点法术伤害。</t>
  </si>
  <si>
    <t>造成150点法术伤害。</t>
  </si>
  <si>
    <t>Power</t>
  </si>
  <si>
    <t>秘法震击</t>
  </si>
  <si>
    <t>冲击目标，造成一次法术伤害，并且使目标的命中几率降低。受秘法震击影响的敌人对你造成的任何伤害都会为你恢复伤害量3%的法力值，如果你处于格挡状态，从伤害中恢复6%的法力值。</t>
  </si>
  <si>
    <t>造成40点伤害，并且使目标的命中几率降低4%。</t>
  </si>
  <si>
    <t>造成80点伤害，并且使目标的命中几率降低8%。</t>
  </si>
  <si>
    <t>造成120点伤害，并且使目标的命中几率降低12%。</t>
  </si>
  <si>
    <t>纷争</t>
  </si>
  <si>
    <t>使一个弱小的敌人陷入混乱，立即强迫其攻击你，大幅度削弱目标的攻击强度，但是会略微提高目标的攻击速度。</t>
  </si>
  <si>
    <t>削弱50%攻击强度</t>
  </si>
  <si>
    <t>削弱60%攻击强度</t>
  </si>
  <si>
    <t>削弱70%攻击强度</t>
  </si>
  <si>
    <t>辛多雷之盾</t>
  </si>
  <si>
    <t>使血精灵防御者受到的所有伤害降低。</t>
  </si>
  <si>
    <t>伤害降低35%。</t>
  </si>
  <si>
    <t>伤害降低50%。</t>
  </si>
  <si>
    <t>伤害降低65%。</t>
  </si>
  <si>
    <t>NULL</t>
  </si>
  <si>
    <t>利爪德鲁依</t>
  </si>
  <si>
    <t>割伤</t>
  </si>
  <si>
    <t>撕裂目标，造成一定的伤害并且每2秒造成持续的物理伤害。该技能伤害会造成大量仇恨。</t>
  </si>
  <si>
    <t>造成100直接伤害，50持续伤害。</t>
  </si>
  <si>
    <t>造成200直接伤害，100持续伤害。</t>
  </si>
  <si>
    <t>造成300直接伤害，150持续伤害。</t>
  </si>
  <si>
    <t>野蛮咆哮</t>
  </si>
  <si>
    <t>发出挑衅的咆哮，使附近敌人的攻击强度降低并震裂他们的伤口，同时会恢复25%的法力值。被割伤影响的目标受到割伤的伤害提高并且立即受到一次割伤的流血伤害，每个受割伤影响的目标还会为你恢复额外的1%法力值。</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</si>
  <si>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</si>
  <si>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</si>
  <si>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</si>
  <si>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</si>
  <si>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</si>
  <si>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最多治疗3%的最大生命值再加上60点生命值。</t>
  </si>
  <si>
    <t>最多治疗6%的最大生命值再加上120点生命值。</t>
  </si>
  <si>
    <t>最多治疗9%的最大生命值再加上240点生命值。</t>
  </si>
  <si>
    <t>自然反射</t>
  </si>
  <si>
    <t>被动地使利爪德鲁依可以在躲闪敌人的攻击之后自动消耗最多10%的法力值来治疗自己，开启之后将不再需要任何法力值来治疗并且提升一定的躲闪几率。</t>
  </si>
  <si>
    <t>最多治疗2%的最大生命值，使用提升12%的躲闪。</t>
  </si>
  <si>
    <t>最多治疗4%的最大生命值，使用提升18%的躲闪。</t>
  </si>
  <si>
    <t>定位</t>
  </si>
  <si>
    <t>最多治疗6%的最大生命值，使用提升24%的躲闪。</t>
  </si>
  <si>
    <t>生存本能</t>
  </si>
  <si>
    <t>立即恢复大量的生命值和生命值上限，并且受到的所有伤害降低。</t>
  </si>
  <si>
    <t>立即恢复30%的生命值和生命值上限，并且受到的所有伤害降低5%。</t>
  </si>
  <si>
    <t>立即恢复40%的生命值和生命值上限，并且受到的所有伤害降低20%。</t>
  </si>
  <si>
    <t>立即恢复50%的生命值和生命值上限，并且受到的所有伤害降低35%。</t>
  </si>
  <si>
    <t>职业</t>
  </si>
  <si>
    <t>特色</t>
  </si>
  <si>
    <t>技能1</t>
  </si>
  <si>
    <t>技能2</t>
  </si>
  <si>
    <t>技能3</t>
  </si>
  <si>
    <t>技能4</t>
  </si>
  <si>
    <t>技能5</t>
  </si>
  <si>
    <t>特殊技能</t>
  </si>
  <si>
    <t>丛林守护者</t>
  </si>
  <si>
    <t>生命绽放</t>
  </si>
  <si>
    <t>治疗目标，每秒为其恢复生命值，当该效果以任何方式从目标身上移除的时候，会对目标进行一次强力的直接治疗。</t>
  </si>
  <si>
    <t>持续治疗35，直接治疗100。</t>
  </si>
  <si>
    <t>持续治疗70，直接治疗200。</t>
  </si>
  <si>
    <t>持续治疗105，直接治疗300。</t>
  </si>
  <si>
    <t>回春术</t>
  </si>
  <si>
    <t>使目标友军受到持续性的治疗，每3秒对其造成一定的治疗，对受伤更严重的目标将会有最多50%额外的极效治疗几率。同时为目标附加丛林的守护效果，使其躲闪几率提升7%，持续12秒。</t>
  </si>
  <si>
    <t>造成80点治疗，对生命值剩余20%的目标提供最大额外的极效治疗几率。</t>
  </si>
  <si>
    <t>造成140点治疗，对生命值剩余40%的目标提供最大额外的极效治疗几率。</t>
  </si>
  <si>
    <t>造成200点治疗，对生命值剩余60%的目标提供最大额外的极效治疗几率。并且被动地使回生命绽放的最终治疗的极效治疗的几率提升50%。</t>
  </si>
  <si>
    <t>愈合</t>
  </si>
  <si>
    <t>咏唱一段较复杂的咒语对一个目标友军进行强力的治疗，并且在接下来的很长一段时间内对其进行缓慢的治疗，每5秒治疗一次。如果目标的生命值少于35%，那么愈合将变为瞬发，这个效果每一段时间只能出现一次。</t>
  </si>
  <si>
    <t>直接治疗200点，持续治疗100点。35秒一次瞬发。</t>
  </si>
  <si>
    <t>直接治疗350点，持续治疗200点。25秒出现一次瞬发。并且被动地使生命绽放的持续时间延长3秒。</t>
  </si>
  <si>
    <t>直接治疗500点，持续治疗300点。15秒出现一次瞬发。使回春术的持续时间延长6秒</t>
  </si>
  <si>
    <t>迅捷治愈</t>
  </si>
  <si>
    <t>立即吞噬目标身上的一个愈合或者回春术效果，对其造成被吞噬的持续治疗总和的治疗效果。会优先选择愈合。</t>
  </si>
  <si>
    <t>吞噬一个愈合或者回春术效果。</t>
  </si>
  <si>
    <t>吞噬一个愈合或者回春术效果。并且提升目标的物理免伤5%，持续10秒。</t>
  </si>
  <si>
    <t>不会吞噬愈合或者回春术效果，仍然造成治疗。并且提升目标的物理免伤10%，持续10秒。</t>
  </si>
  <si>
    <t>宁静</t>
  </si>
  <si>
    <t>召唤一大片能量之雨，迅速地治愈附近的所有友军。同时，能为受到宁静效果影响的友军恢复总共30%的法力值。由宁静产生的治疗效果不会造成任何威胁值。</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</si>
  <si>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</si>
  <si>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</si>
  <si>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</si>
  <si>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</si>
  <si>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</si>
  <si>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</si>
  <si>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</si>
  <si>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</si>
  <si>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</si>
  <si>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</si>
  <si>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</si>
  <si>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坐等玩家开战</t>
  </si>
  <si>
    <t>距离概念:WOW-1y=WAR3-20y;例如治疗法术40*20=800;屏幕从左到右1800,从上到下1200</t>
  </si>
  <si>
    <t>静电之握</t>
  </si>
  <si>
    <t>grip of static electricity</t>
  </si>
  <si>
    <t>map</t>
  </si>
  <si>
    <t>1，1200y外随机目标</t>
  </si>
  <si>
    <t>DD=Distance/2</t>
  </si>
  <si>
    <t>1秒内将目标拉到身边，然后造成法术伤害。</t>
  </si>
  <si>
    <t>HEALINGWAVE</t>
  </si>
  <si>
    <t>脉冲爆弹</t>
  </si>
  <si>
    <t>pulse bomb</t>
  </si>
  <si>
    <t>10,随机目标</t>
  </si>
  <si>
    <t>200AOE持续8秒</t>
  </si>
  <si>
    <t>对除了自己以外的友军造成200/s伤害，自身100/s</t>
  </si>
  <si>
    <t>CHARM</t>
  </si>
  <si>
    <t>激光射线</t>
  </si>
  <si>
    <t>laser beam</t>
  </si>
  <si>
    <t>200AOE,持续10秒</t>
  </si>
  <si>
    <t>对目标点开始发射激光，3秒内强化完毕，强化以后开始追踪目标并在地上留下火焰，造成200/s的法术伤害。</t>
  </si>
  <si>
    <t>HEAL</t>
  </si>
  <si>
    <t>2,40%hp</t>
  </si>
  <si>
    <t>坦克形态</t>
  </si>
  <si>
    <t>tank form</t>
  </si>
  <si>
    <t>一次性</t>
  </si>
  <si>
    <t>变成一辆无敌的坦克,3个闪电球护盾</t>
  </si>
  <si>
    <t>闪电护盾</t>
  </si>
  <si>
    <t>lightning shield</t>
  </si>
  <si>
    <t>召唤3个闪电球保护自己，只要有1个存在，无敌</t>
  </si>
  <si>
    <t>LIGHTNINGSHIELD</t>
  </si>
  <si>
    <t>口袋工厂</t>
  </si>
  <si>
    <t>事件</t>
  </si>
  <si>
    <t>pocket factory</t>
  </si>
  <si>
    <t>评估(Soma)</t>
  </si>
  <si>
    <t>范</t>
  </si>
  <si>
    <t>冷</t>
  </si>
  <si>
    <t>效</t>
  </si>
  <si>
    <t>Done</t>
  </si>
  <si>
    <t>AI Done</t>
  </si>
  <si>
    <t>闪耀之光</t>
  </si>
  <si>
    <t>使用一道圣光立即对目标造成一定的治疗效果，闪耀之光有较高的几率造成极效治疗，并且在造成极效治疗之后，你的下一次圣光术将变为瞬发且不消耗法力值。</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</si>
  <si>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</si>
  <si>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</si>
  <si>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</si>
  <si>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</si>
  <si>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</si>
  <si>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</si>
  <si>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</si>
  <si>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</si>
  <si>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</si>
  <si>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</si>
  <si>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</si>
  <si>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</si>
  <si>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</si>
  <si>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</si>
  <si>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</si>
  <si>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</si>
  <si>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激活以后，使你的下一个治疗法术一定造成极效治疗。</t>
  </si>
  <si>
    <t>激活以后，下一个法术一定极效治疗。</t>
  </si>
  <si>
    <t>娜迦女妖</t>
  </si>
  <si>
    <t>Naga Siren</t>
  </si>
  <si>
    <t>降低仇恨35%</t>
  </si>
  <si>
    <t>被动降低闪耀之光CD和圣光术施法时间</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</si>
  <si>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</si>
  <si>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</si>
  <si>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</si>
  <si>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</si>
  <si>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</si>
  <si>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</si>
  <si>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</si>
  <si>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</si>
  <si>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</si>
  <si>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</si>
  <si>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对一个友军目标施放医疗术的效果，使其每3秒受到一次治疗，并且使目标受到的治疗效果提升。</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</si>
  <si>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</si>
  <si>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</si>
  <si>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</si>
  <si>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</si>
  <si>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</si>
  <si>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</si>
  <si>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</si>
  <si>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</si>
  <si>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</si>
  <si>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</si>
  <si>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</si>
  <si>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</si>
  <si>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</si>
  <si>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</si>
  <si>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</si>
  <si>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附着一道纯净能量于一个友军目标，如果目标受到伤害，该目标会获得受伤X%的治疗，同时这道能量会转移到最近的一个友军身上，转移Y次。</t>
  </si>
  <si>
    <t>X=50，Y=3</t>
  </si>
  <si>
    <t>X=100，Y=4</t>
  </si>
  <si>
    <t>X=150，Y=5。如果目标生命值少于50%，则愈合祷言不会离开该目标。</t>
  </si>
  <si>
    <t>召唤人工地精</t>
  </si>
  <si>
    <t>人工地精自爆200AOE300法伤,死一个工厂削弱一层护盾,护盾消失后昏迷20秒,然后重新上盾</t>
  </si>
  <si>
    <t>SUMMONFACTORY</t>
  </si>
  <si>
    <t>驱魔</t>
  </si>
  <si>
    <t>3.5分钟</t>
  </si>
  <si>
    <t>火箭群</t>
  </si>
  <si>
    <t>进攻驱散，防守驱散</t>
  </si>
  <si>
    <t>cluster rockets</t>
  </si>
  <si>
    <t>全团造成1000法伤</t>
  </si>
  <si>
    <t>灭团技</t>
  </si>
  <si>
    <t>CLUSTERROCKETS</t>
  </si>
  <si>
    <t>娜迦女巫 NagaSeaWitch
95000HP
30000MP</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</si>
  <si>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</si>
  <si>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</si>
  <si>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</si>
  <si>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</si>
  <si>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</si>
  <si>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</si>
  <si>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</si>
  <si>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</si>
  <si>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</si>
  <si>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</si>
  <si>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</si>
  <si>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</si>
  <si>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</si>
  <si>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</si>
  <si>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</si>
  <si>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有一定几率造成2连击。</t>
  </si>
  <si>
    <t>有一定几率造成3连击。</t>
  </si>
  <si>
    <t>THUNDERBOLT</t>
  </si>
  <si>
    <t>专注</t>
  </si>
  <si>
    <t>使自身和食尸鬼仆从的下一次攻击将导致目标昏迷1秒。命中目标以后破甲X</t>
  </si>
  <si>
    <t>X=2</t>
  </si>
  <si>
    <t>x=3</t>
  </si>
  <si>
    <t>x=4</t>
  </si>
  <si>
    <t>THUNDERCLAP</t>
  </si>
  <si>
    <t>冰冻陷阱</t>
  </si>
  <si>
    <t>在指定点召唤一个冰冻陷阱，一段时间后将会生效，冻结100码范围内最近的一个敌方目标5秒。冰块碎裂以后，冰霜将覆盖附近的地面，在5秒内降低处于冰霜地面上的敌军移动速度。</t>
  </si>
  <si>
    <t>AOE范围内有疾病存在</t>
  </si>
  <si>
    <t>$%#^$#@#</t>
  </si>
  <si>
    <t>传染</t>
  </si>
  <si>
    <t>憎恶/女妖</t>
  </si>
  <si>
    <t>X=10，Y=2</t>
  </si>
  <si>
    <t>X=20，Y=6</t>
  </si>
  <si>
    <t>死亡契约</t>
  </si>
  <si>
    <t>X=50%</t>
  </si>
  <si>
    <t>STOMP</t>
  </si>
  <si>
    <t>食尸鬼仆从</t>
  </si>
  <si>
    <t>召唤一个食尸鬼仆从</t>
  </si>
  <si>
    <t>叉状闪电</t>
  </si>
  <si>
    <t>Forked Lightning</t>
  </si>
  <si>
    <t>VOODOO</t>
  </si>
  <si>
    <t>7,随机目标</t>
  </si>
  <si>
    <t>造成300法术伤害</t>
  </si>
  <si>
    <t>一道闪电指向目标，再分出闪电指向其附近的所有友军，造成伤害，并且使其受到叉状闪电的伤害提升，持续7秒。</t>
  </si>
  <si>
    <t>F.HEAL</t>
  </si>
  <si>
    <t>强风</t>
  </si>
  <si>
    <t>Strong Breeze</t>
  </si>
  <si>
    <t>造成33%物理伤害</t>
  </si>
  <si>
    <t>吹起一个敌人，造成33%生命值的掉落伤害。</t>
  </si>
  <si>
    <t>T.IMPALE</t>
  </si>
  <si>
    <t>生命偷取</t>
  </si>
  <si>
    <t>召唤飞蛇</t>
  </si>
  <si>
    <t>Summon Serpents</t>
  </si>
  <si>
    <t>召唤2个飞蛇进入战场</t>
  </si>
  <si>
    <t>R.INNERFIRE</t>
  </si>
  <si>
    <t>雷电风暴</t>
  </si>
  <si>
    <t>Thunder Storm</t>
  </si>
  <si>
    <t>10,引导</t>
  </si>
  <si>
    <t>全场</t>
  </si>
  <si>
    <t>每70秒,随机目标</t>
  </si>
  <si>
    <t>造成100x1.5^N伤害</t>
  </si>
  <si>
    <t>对300码开外的敌人造成指数增长的伤害</t>
  </si>
  <si>
    <t>D.INVISIBILITY</t>
  </si>
  <si>
    <t>2(20%HP)</t>
  </si>
  <si>
    <t>激怒</t>
  </si>
  <si>
    <t>Frenzy</t>
  </si>
  <si>
    <t>攻击速度提升50%,伤害提升30%</t>
  </si>
  <si>
    <t>Y.CHANNEL</t>
  </si>
  <si>
    <t>3(5分钟)</t>
  </si>
  <si>
    <t>狂暴</t>
  </si>
  <si>
    <t>Rage</t>
  </si>
  <si>
    <t>攻击速度提升150%,伤害提升500%.</t>
  </si>
  <si>
    <t>B.CHARM</t>
  </si>
  <si>
    <t>潮汐男爵
Tide Baron
70000HP
0MP</t>
  </si>
  <si>
    <t>按自身生命百分比吸血</t>
  </si>
  <si>
    <t>娜迦皇家卫兵形态楼下招怪,玩家上台以后开始与上面的水元素合体,合体成功自动开战</t>
  </si>
  <si>
    <t>邪能灌注</t>
  </si>
  <si>
    <t>自动攻击</t>
  </si>
  <si>
    <t>剑圣</t>
  </si>
  <si>
    <t>1,海元素形态</t>
  </si>
  <si>
    <t>盐碱之水</t>
  </si>
  <si>
    <t>Alkaline Waters</t>
  </si>
  <si>
    <t>5,第一仇恨</t>
  </si>
  <si>
    <t>造成400法术伤害</t>
  </si>
  <si>
    <t>娜迦建筑死亡特效/斯拉达R特效,目标受到的流血伤害增幅100%,AOE 200</t>
  </si>
  <si>
    <t>潮汐</t>
  </si>
  <si>
    <t>Tide</t>
  </si>
  <si>
    <t>12,随机目标方向</t>
  </si>
  <si>
    <t>造成200法术伤害</t>
  </si>
  <si>
    <t>变体精灵W</t>
  </si>
  <si>
    <t>2.娜迦皇家卫兵形态</t>
  </si>
  <si>
    <t>撕裂</t>
  </si>
  <si>
    <t>Tear up</t>
  </si>
  <si>
    <t>12,第一仇恨</t>
  </si>
  <si>
    <t>200物理伤害/2S</t>
  </si>
  <si>
    <t>DOT,持续12秒</t>
  </si>
  <si>
    <t>刺裂</t>
  </si>
  <si>
    <t>Lancinate</t>
  </si>
  <si>
    <t>15,第一仇恨</t>
  </si>
  <si>
    <t>500物理伤害,250/S</t>
  </si>
  <si>
    <t>DOT,持续5秒</t>
  </si>
  <si>
    <t>刺耳咆哮</t>
  </si>
  <si>
    <t>英勇打击</t>
  </si>
  <si>
    <t>Raspy Roar</t>
  </si>
  <si>
    <t>0,全场</t>
  </si>
  <si>
    <t>激活英勇打击以后，每次攻击将消耗一定的法力值并提升攻击力，同时提高剑圣的攻击速度。</t>
  </si>
  <si>
    <t>提升50点攻击力，增加10%的攻击速度。</t>
  </si>
  <si>
    <t>沉默,持续3秒</t>
  </si>
  <si>
    <t>提升60点攻击力，增加13%的攻击速度。</t>
  </si>
  <si>
    <t>提升70点攻击力，增加16%的攻击速度。
同时，被动地提高剑圣10%的暴击几率。</t>
  </si>
  <si>
    <t>术士
Warlock
80000HP
30000MP</t>
  </si>
  <si>
    <t>火焰喷射</t>
  </si>
  <si>
    <t>flaming throw</t>
  </si>
  <si>
    <t>随机单位方向</t>
  </si>
  <si>
    <t>直线伤害300</t>
  </si>
  <si>
    <t>火焰炸弹</t>
  </si>
  <si>
    <t>fire bomb</t>
  </si>
  <si>
    <t>压制</t>
  </si>
  <si>
    <t>在地上随机召唤炸弹</t>
  </si>
  <si>
    <t>3秒后爆炸</t>
  </si>
  <si>
    <t>X=10</t>
  </si>
  <si>
    <t>召唤炎魔</t>
  </si>
  <si>
    <t>X=15</t>
  </si>
  <si>
    <t>致死打击</t>
  </si>
  <si>
    <t>对目标造成一次强力的攻击，造成致命的伤害，并且使目标受到的治疗效果降低50%，同时可以刷新目标身上的撕裂效果。</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</si>
  <si>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</si>
  <si>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</si>
  <si>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</si>
  <si>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</si>
  <si>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</si>
  <si>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</si>
  <si>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</si>
  <si>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</si>
  <si>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</si>
  <si>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</si>
  <si>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每秒从1个符文中召唤</t>
  </si>
  <si>
    <t>改动内容</t>
  </si>
  <si>
    <t>递增数量的炎魔,总共25个符文</t>
  </si>
  <si>
    <t>是否改动(Soma)</t>
  </si>
  <si>
    <t>是否改动(Nef)</t>
  </si>
  <si>
    <t>35%HP</t>
  </si>
  <si>
    <t>Frenzy Warlock</t>
  </si>
  <si>
    <t>攻击速度提高50%,着火,一次性召唤所有符文</t>
  </si>
  <si>
    <t>5分钟</t>
  </si>
  <si>
    <t>深渊执政官
Abyss Archon
450,000 HP</t>
  </si>
  <si>
    <t>寒冰箭</t>
  </si>
  <si>
    <t>DD X，减移动速度，读条</t>
  </si>
  <si>
    <t>X=250</t>
  </si>
  <si>
    <t>stay stationary</t>
  </si>
  <si>
    <t>X=450。提升所有寒冷法术的伤害10%。</t>
  </si>
  <si>
    <t>impale</t>
  </si>
  <si>
    <t>暴风雪</t>
  </si>
  <si>
    <t>召唤一阵暴风雪，攻击目标250区域内的敌人。DD X/S</t>
  </si>
  <si>
    <t>impale and stun target, dealing 300 physical damage per second. a spike is summoned at target's location. the spike has 3000 HP. the damage and stun effect will last until the spike is dead.</t>
  </si>
  <si>
    <t>X=150</t>
  </si>
  <si>
    <t>IMPALE</t>
  </si>
  <si>
    <t>2, 80% HP</t>
  </si>
  <si>
    <t>扩大暴风雪的范围350。X=200</t>
  </si>
  <si>
    <t>summon poisonous spider</t>
  </si>
  <si>
    <t>扩大暴风雪的范围450。无需引导，但是会有冷却时间。X=250</t>
  </si>
  <si>
    <t>200 magic damage /2s, lasts for 30 seconds</t>
  </si>
  <si>
    <t>poisonous spiders have little hp and deal minor damages. on death, they leave a large area of poisonous cloud.</t>
  </si>
  <si>
    <t>SLOW</t>
  </si>
  <si>
    <t>冰冻新星</t>
  </si>
  <si>
    <t>life siphon</t>
  </si>
  <si>
    <t>使附近的敌人无法行动，并造成少量伤害DD Y。受冰冻新星影响的目标会受到额外的法术伤害X%。</t>
  </si>
  <si>
    <t>X=3，Y=50</t>
  </si>
  <si>
    <t>channel 5 s</t>
  </si>
  <si>
    <t>Soma</t>
  </si>
  <si>
    <t>X=6，Y=75</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</si>
  <si>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</si>
  <si>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</si>
  <si>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</si>
  <si>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X=9，Y=100</t>
  </si>
  <si>
    <t>SLEEP</t>
  </si>
  <si>
    <t>3, 50% HP</t>
  </si>
  <si>
    <t>2.考虑是否取消施法条(施法由施法动作来展现,对于boss不同的施法动作代表不同的法术)</t>
  </si>
  <si>
    <t>summon abomination</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</si>
  <si>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</si>
  <si>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</si>
  <si>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</si>
  <si>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</si>
  <si>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</si>
  <si>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</si>
  <si>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</si>
  <si>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</si>
  <si>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</si>
  <si>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</si>
  <si>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</si>
  <si>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</si>
  <si>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</si>
  <si>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</si>
  <si>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</si>
  <si>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</si>
  <si>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</si>
  <si>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</si>
  <si>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</si>
  <si>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恶魔守卫
The Felguards</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</si>
  <si>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</si>
  <si>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</si>
  <si>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</si>
  <si>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</si>
  <si>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</si>
  <si>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</si>
  <si>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</si>
  <si>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</si>
  <si>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</si>
  <si>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</si>
  <si>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</si>
  <si>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</si>
  <si>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</si>
  <si>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</si>
  <si>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</si>
  <si>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</si>
  <si>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</si>
  <si>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</si>
  <si>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</si>
  <si>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</si>
  <si>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</si>
  <si>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</si>
  <si>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闪电箭</t>
  </si>
  <si>
    <t>Lightning Bolt</t>
  </si>
  <si>
    <t>造成320伤害</t>
  </si>
  <si>
    <t>heal</t>
  </si>
  <si>
    <t>冰霜冲击</t>
  </si>
  <si>
    <t>Frost Shock</t>
  </si>
  <si>
    <t>M-</t>
  </si>
  <si>
    <t>造成200伤害,减攻击速度20%,移动速度30%,持续5秒</t>
  </si>
  <si>
    <t>freezingbreath</t>
  </si>
  <si>
    <t>娜迦潮汐祭司</t>
  </si>
  <si>
    <t>Naga Tide Priest</t>
  </si>
  <si>
    <t>治疗链</t>
  </si>
  <si>
    <t>Chain Healing</t>
  </si>
  <si>
    <t>治疗一个目标1000生命值, 每个目标递增50%, 最多3个目标.</t>
  </si>
  <si>
    <t>healingwave</t>
  </si>
  <si>
    <t>治疗守卫</t>
  </si>
  <si>
    <t>Healing Ward</t>
  </si>
  <si>
    <t>制造一个100生命值的守卫，每秒治疗附近友军5%生命值。</t>
  </si>
  <si>
    <t>healingward</t>
  </si>
  <si>
    <t>防护守卫</t>
  </si>
  <si>
    <t>Protection Ward</t>
  </si>
  <si>
    <t>P+</t>
  </si>
  <si>
    <t>制造一个100生命值的守卫，使附近所有友军受到的伤害降低95%。</t>
  </si>
  <si>
    <t>evileye</t>
  </si>
  <si>
    <t>娜迦侍从</t>
  </si>
  <si>
    <t>Naga Myrmidon</t>
  </si>
  <si>
    <t>狂乱</t>
  </si>
  <si>
    <t>Naga Frenzy</t>
  </si>
  <si>
    <t>M+</t>
  </si>
  <si>
    <t>提升100%攻击速度。（在目标受到压碎护甲效果影响后开启。）</t>
  </si>
  <si>
    <t>unholyfrenzy</t>
  </si>
  <si>
    <t>压碎护甲</t>
  </si>
  <si>
    <t>Armor Crushing</t>
  </si>
  <si>
    <t>P-</t>
  </si>
  <si>
    <t>降低目标100点物理免伤。</t>
  </si>
  <si>
    <t>sleep</t>
  </si>
  <si>
    <t>elite</t>
  </si>
  <si>
    <t>娜迦皇家卫兵</t>
  </si>
  <si>
    <t>Naga Royal Guard</t>
  </si>
  <si>
    <t>雷霆一击</t>
  </si>
  <si>
    <t>Thunder Clap</t>
  </si>
  <si>
    <t xml:space="preserve">400码AOE400伤害，如果目标被狂怒咆哮，附加法术DOT，100/s。 </t>
  </si>
  <si>
    <t>thunderclap</t>
  </si>
  <si>
    <t>狂怒咆哮</t>
  </si>
  <si>
    <t>Rage Roar</t>
  </si>
  <si>
    <t>400Y AOE敌军受到50%额外伤害。</t>
  </si>
  <si>
    <t>slow</t>
  </si>
  <si>
    <t>海蜥</t>
  </si>
  <si>
    <t>Sea Lizard</t>
  </si>
  <si>
    <t>毒刺（P）</t>
  </si>
  <si>
    <t>Sting</t>
  </si>
  <si>
    <t>攻击使敌人受到50/2s的法术伤害。</t>
  </si>
  <si>
    <t>Agyv</t>
  </si>
  <si>
    <t>creeps</t>
  </si>
  <si>
    <t>鱼人奴隶</t>
  </si>
  <si>
    <t>Murloc Slave</t>
  </si>
  <si>
    <t>飞蛇</t>
  </si>
  <si>
    <t>Wind Serpent</t>
  </si>
  <si>
    <t>充能之息</t>
  </si>
  <si>
    <t>Charged Breath</t>
  </si>
  <si>
    <t>AOE法力值的伤害(MAXMP = 750)</t>
  </si>
  <si>
    <t>法力汲取</t>
  </si>
  <si>
    <t>Mana Leech</t>
  </si>
  <si>
    <t>抽取目标25%的法力值，总是会选择范围内可汲取法力值最多的目标。</t>
  </si>
  <si>
    <t>邪兽人步兵</t>
  </si>
  <si>
    <t>Fel Grunt</t>
  </si>
  <si>
    <t>邪恶狂热</t>
  </si>
  <si>
    <t>SIDLIFEBLOOM</t>
  </si>
  <si>
    <t>Unholy Frenzy</t>
  </si>
  <si>
    <t>SIDREJUVENATION</t>
  </si>
  <si>
    <t>SIDREGROWTH</t>
  </si>
  <si>
    <t>SIDSWIFTMEND</t>
  </si>
  <si>
    <t>SIDTRANQUILITY</t>
  </si>
  <si>
    <t>攻击速度提升100%。</t>
  </si>
  <si>
    <t>邪兽人狼骑兵</t>
  </si>
  <si>
    <t>Fel Rider</t>
  </si>
  <si>
    <t>混乱跳跃</t>
  </si>
  <si>
    <t>Chaos Leap</t>
  </si>
  <si>
    <t>向目标跳跃，落下时造成200AOE物理伤害。并使目标造成的仇恨值提高300%。</t>
  </si>
  <si>
    <t>邪兽人战争使者</t>
  </si>
  <si>
    <t>Fel War Bringer</t>
  </si>
  <si>
    <t>War Stomp</t>
  </si>
  <si>
    <t>deals 300 physical damage to all player units within range. stun 2 seconds.</t>
  </si>
  <si>
    <t>Battle Command</t>
  </si>
  <si>
    <t>target ally deals 100% more damage</t>
  </si>
  <si>
    <t>恶魔巫师</t>
  </si>
  <si>
    <t>Demonic Witch</t>
  </si>
  <si>
    <t>炽热疾速</t>
  </si>
  <si>
    <t>Blazing Haste</t>
  </si>
  <si>
    <t>提升75%法术急速. 持续20秒.</t>
  </si>
  <si>
    <t>连珠火球</t>
  </si>
  <si>
    <t>Fireball</t>
  </si>
  <si>
    <t>AOE火球. 600伤害.</t>
  </si>
  <si>
    <t>烈焰震击</t>
  </si>
  <si>
    <t>Flame Shock</t>
  </si>
  <si>
    <t>deals 400 magical damage to target, then deals 400 magical damage to target every 2 seconds.</t>
  </si>
  <si>
    <t>虚空行者</t>
  </si>
  <si>
    <t>Void Walker</t>
  </si>
  <si>
    <t>虚空之箭</t>
  </si>
  <si>
    <t>Nether Bolt</t>
  </si>
  <si>
    <t>牺牲自身20%的生命值, 对生命值最高的目标造成1000法术伤害.</t>
  </si>
  <si>
    <t>暗影转换</t>
  </si>
  <si>
    <t>Shadow Shift</t>
  </si>
  <si>
    <t>对目标造成其生命上限20%的伤害, 并以5倍的效果治疗自己.</t>
  </si>
  <si>
    <t>地狱犬</t>
  </si>
  <si>
    <t>Fel Hound</t>
  </si>
  <si>
    <t>法力燃烧</t>
  </si>
  <si>
    <t>Mana Burn</t>
  </si>
  <si>
    <t>燃烧目标20%的法力值，并造成等量伤害。</t>
  </si>
  <si>
    <t>痛苦之女</t>
  </si>
  <si>
    <t>Maid of Agony</t>
  </si>
  <si>
    <t>暗影之刺</t>
  </si>
  <si>
    <t>Shadow Spike</t>
  </si>
  <si>
    <t>deals 400 magical damage to target. then deals 200 + x magical damage to target where x equals to target HP lost times 0.33</t>
  </si>
  <si>
    <t>暗影旋风</t>
  </si>
  <si>
    <t>Mark of Agony</t>
  </si>
  <si>
    <t>target takes same amount of damage maid of agony takes</t>
  </si>
  <si>
    <t>虚空幽龙</t>
  </si>
  <si>
    <t>Nether Drake</t>
  </si>
  <si>
    <t>相位变换</t>
  </si>
  <si>
    <t>Phase Shift</t>
  </si>
  <si>
    <t>X秒永久隐形</t>
  </si>
  <si>
    <t>虚空爆裂</t>
  </si>
  <si>
    <t>Nether Implosion</t>
  </si>
  <si>
    <t>将所有敌人拉至身边, 然后开始施放魔爆术, 造成1500伤害.</t>
  </si>
  <si>
    <t>虚空吐息</t>
  </si>
  <si>
    <t>Nether Breath</t>
  </si>
  <si>
    <t>正面锥形AOE, 并且使受影响的目标受到的法伤增幅.</t>
  </si>
  <si>
    <t>虚空幽龙幼崽</t>
  </si>
  <si>
    <t>Nether Hatchling</t>
  </si>
  <si>
    <t>迟缓</t>
  </si>
  <si>
    <t>Nether Slow</t>
  </si>
  <si>
    <t>降低目标75%移动速度.</t>
  </si>
  <si>
    <t>丛林巨熊怪</t>
  </si>
  <si>
    <t>Forest Troll</t>
  </si>
  <si>
    <t>重拳</t>
  </si>
  <si>
    <t>Crushing Blow</t>
  </si>
  <si>
    <t>立即对目标造成600物理伤害。</t>
  </si>
  <si>
    <t>震地</t>
  </si>
  <si>
    <t>Forest Stomp</t>
  </si>
  <si>
    <t>击飞附近所有敌人，造成300点物理伤害，并降低他们的移动速度75%。</t>
  </si>
  <si>
    <t>SIDFLASHLIGHT</t>
  </si>
  <si>
    <t>SIDHOLYLIGHT</t>
  </si>
  <si>
    <t>SIDHOLYSHOCK</t>
  </si>
  <si>
    <t>SIDDIVINEFAVOR</t>
  </si>
  <si>
    <t>SIDBEACONOFLIGHT</t>
  </si>
  <si>
    <t>格挡，反伤，AOE</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</si>
  <si>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</si>
  <si>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</si>
  <si>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</si>
  <si>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</si>
  <si>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</si>
  <si>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</si>
  <si>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</si>
  <si>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</si>
  <si>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</si>
  <si>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</si>
  <si>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</si>
  <si>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</si>
  <si>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</si>
  <si>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</si>
  <si>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</si>
  <si>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</si>
  <si>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</si>
  <si>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</si>
  <si>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</si>
  <si>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</si>
  <si>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</si>
  <si>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</si>
  <si>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</si>
  <si>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</si>
  <si>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</si>
  <si>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冲击目标，造成伤害，并且打断施法。</t>
  </si>
  <si>
    <t>提升伤害。</t>
  </si>
  <si>
    <t>提升伤害</t>
  </si>
  <si>
    <t>驱散敌方目标身上的一个有益法术或者友军目标身上的一个有害法术。
同时降低/提升目标的攻击速度15%。</t>
  </si>
  <si>
    <t>降低/提升攻击速度的效果每25秒只能出现一次。</t>
  </si>
  <si>
    <t>降低/提升攻击速度的效果每20秒只能出现一次。</t>
  </si>
  <si>
    <t>降低/提升攻击速度的效果每15秒只能出现一次。</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</si>
  <si>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</si>
  <si>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</si>
  <si>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</si>
  <si>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</si>
  <si>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</si>
  <si>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</si>
  <si>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激发自然之力，使地缚者造成的所有伤害提升30%。物理免伤+75%，普通攻击转化为法术攻击。攻击速度显著提升。</t>
  </si>
  <si>
    <t>提升持续时间。</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</si>
  <si>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</si>
  <si>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</si>
  <si>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</si>
  <si>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</si>
  <si>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</si>
  <si>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</si>
  <si>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frenzy</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</si>
  <si>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</si>
  <si>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</si>
  <si>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</si>
  <si>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</si>
  <si>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</si>
  <si>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</si>
  <si>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</si>
  <si>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</si>
  <si>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妖术领主
Hex Lord
50000HP
50000MP</t>
  </si>
  <si>
    <t>灵魂之箭</t>
  </si>
  <si>
    <t>spirit bolt</t>
  </si>
  <si>
    <t>40.全场AOE</t>
  </si>
  <si>
    <t>30点法伤,0.5秒一跳</t>
  </si>
  <si>
    <t>发射出一枝通灵塔箭矢到每个玩家</t>
  </si>
  <si>
    <t>灵魂收割</t>
  </si>
  <si>
    <t>spirit harvest</t>
  </si>
  <si>
    <t>灵魂虹吸</t>
  </si>
  <si>
    <t>spirit absorb</t>
  </si>
  <si>
    <t>灵魂之箭之后</t>
  </si>
  <si>
    <t>不停地有通灵塔箭矢从玩家飞到BOSS</t>
  </si>
  <si>
    <t>sunfire storm hex</t>
  </si>
  <si>
    <t>600内随机目标点</t>
  </si>
  <si>
    <t>300伤害/S,150 AOE</t>
  </si>
  <si>
    <t>见血精灵防御者阳炎风暴,持续8秒</t>
  </si>
  <si>
    <t>shield of sindorei hex</t>
  </si>
  <si>
    <t>免伤100%,持续7秒</t>
  </si>
  <si>
    <t>可驱散</t>
  </si>
  <si>
    <t>利爪德鲁伊</t>
  </si>
  <si>
    <t>savage roar hex</t>
  </si>
  <si>
    <t>Lasts for 6s</t>
  </si>
  <si>
    <t>降低附近所有目标50%的攻击强度和法术强度</t>
  </si>
  <si>
    <t>natural reflex hex</t>
  </si>
  <si>
    <t>3个小怪，1个大怪</t>
  </si>
  <si>
    <t>持续6秒</t>
  </si>
  <si>
    <t>躲闪提高100%，每次躲闪恢复10%的HP</t>
  </si>
  <si>
    <t>准备圣佑术</t>
  </si>
  <si>
    <t>tranquility hex</t>
  </si>
  <si>
    <t>治疗10K,2K/2S</t>
  </si>
  <si>
    <t>持续10秒,打断驱散偷取</t>
  </si>
  <si>
    <t>life bloom hex</t>
  </si>
  <si>
    <t>1K/S,2K/final</t>
  </si>
  <si>
    <t>持续9秒,驱散偷取</t>
  </si>
  <si>
    <t>ADD</t>
  </si>
  <si>
    <t>嘲讽1个</t>
  </si>
  <si>
    <t>holy bolt hex</t>
  </si>
  <si>
    <t>震击另外个</t>
  </si>
  <si>
    <t>治疗15K</t>
  </si>
  <si>
    <t>holy shock hex</t>
  </si>
  <si>
    <t>400伤害</t>
  </si>
  <si>
    <t>14/12/2013</t>
  </si>
  <si>
    <t>重要</t>
  </si>
  <si>
    <t>heal hex</t>
  </si>
  <si>
    <t>单BOSS</t>
  </si>
  <si>
    <t>读条法术急速公式待修改，100%急速的时候提升100%DPS而不是∞</t>
  </si>
  <si>
    <t>震击</t>
  </si>
  <si>
    <t>2K/2S,持续8秒</t>
  </si>
  <si>
    <t>驱散偷取</t>
  </si>
  <si>
    <t>嘲讽</t>
  </si>
  <si>
    <t>shield hex</t>
  </si>
  <si>
    <t>吸收2K伤害</t>
  </si>
  <si>
    <t>OT</t>
  </si>
  <si>
    <t>mortal strike hex</t>
  </si>
  <si>
    <t>300+AP</t>
  </si>
  <si>
    <t>受到治疗效果降低50%,持续4秒</t>
  </si>
  <si>
    <t>overpower hex</t>
  </si>
  <si>
    <t>生命垂危</t>
  </si>
  <si>
    <t>圣佑术</t>
  </si>
  <si>
    <t>700伤害</t>
  </si>
  <si>
    <t>秘法震击使目标MISS</t>
  </si>
  <si>
    <t>SIDHEAL</t>
  </si>
  <si>
    <t>SIDPRAYEROFHEALING</t>
  </si>
  <si>
    <t>SIDSHIELD</t>
  </si>
  <si>
    <t>dark arrow hex</t>
  </si>
  <si>
    <t>4,随即目标</t>
  </si>
  <si>
    <t>200伤害</t>
  </si>
  <si>
    <t>潮汐指环：治疗也能回蓝</t>
  </si>
  <si>
    <t>SIDPRAYEROFMENDING</t>
  </si>
  <si>
    <t>freezing trap hex</t>
  </si>
  <si>
    <t>各种棒子的位置。。。</t>
  </si>
  <si>
    <t>熊德</t>
  </si>
  <si>
    <t>SIDDISPEL</t>
  </si>
  <si>
    <t>T脚下</t>
  </si>
  <si>
    <t>2秒延迟,昏迷5秒</t>
  </si>
  <si>
    <t>地缚者还原为400y攻击者</t>
  </si>
  <si>
    <t>frost bolt hex</t>
  </si>
  <si>
    <t>风暴打击-1.5秒施法时间</t>
  </si>
  <si>
    <t>4,随机目标</t>
  </si>
  <si>
    <t>400伤害,</t>
  </si>
  <si>
    <t>商店指示单位,打断反射</t>
  </si>
  <si>
    <t>狂犬病1个</t>
  </si>
  <si>
    <t>附魔图腾-指定点插</t>
  </si>
  <si>
    <t>轮流裂伤</t>
  </si>
  <si>
    <t>poly morph</t>
  </si>
  <si>
    <t>挑战/啃食</t>
  </si>
  <si>
    <t>熊的仇恨不够</t>
  </si>
  <si>
    <t>10,非第一仇恨随机</t>
  </si>
  <si>
    <t>变羊</t>
  </si>
  <si>
    <t>持续10秒,驱散偷取</t>
  </si>
  <si>
    <t>数据</t>
  </si>
  <si>
    <t>2.5秒使用100%的法术强度</t>
  </si>
  <si>
    <t>闪电图腾</t>
  </si>
  <si>
    <t>lightning totem hex</t>
  </si>
  <si>
    <t>职业说明增加难度提示：新手，熟练，专家</t>
  </si>
  <si>
    <t>200范围随机点</t>
  </si>
  <si>
    <t>50伤害/0.5S,800随机目标,500HP</t>
  </si>
  <si>
    <t>啃食/挑战</t>
  </si>
  <si>
    <t>盗贼技能消耗百分比</t>
  </si>
  <si>
    <t>充能</t>
  </si>
  <si>
    <t>charge hex</t>
  </si>
  <si>
    <t>剔骨增加DOT效果，受IAS影响</t>
  </si>
  <si>
    <t>自身</t>
  </si>
  <si>
    <t>造成的伤害提高50%,持续5秒</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</si>
  <si>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</si>
  <si>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</si>
  <si>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</si>
  <si>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</si>
  <si>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</si>
  <si>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</si>
  <si>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</si>
  <si>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</si>
  <si>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</si>
  <si>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</si>
  <si>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</si>
  <si>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</si>
  <si>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</si>
  <si>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持续4秒,无溅射</t>
  </si>
  <si>
    <t>挑战</t>
  </si>
  <si>
    <t>异教徒</t>
  </si>
  <si>
    <t>暗言字:痛</t>
  </si>
  <si>
    <t>pain hex</t>
  </si>
  <si>
    <t>200伤害/2S</t>
  </si>
  <si>
    <t>受到法伤增幅30%,驱散偷取</t>
  </si>
  <si>
    <t>暗言字:惧</t>
  </si>
  <si>
    <t>terror hex</t>
  </si>
  <si>
    <t>啃食/自然反射</t>
  </si>
  <si>
    <t>全体昏迷3秒</t>
  </si>
  <si>
    <t>奶骑</t>
  </si>
  <si>
    <t>God of Death</t>
  </si>
  <si>
    <t>邪恶攻击</t>
  </si>
  <si>
    <t>一次邪恶的攻击，消耗最多40%的法力值对目标敌人造成150%的基础伤害再附加一定的额外伤害，获得一个连击点。同时在10秒内恢复所有法力值。如果消耗的法力值没有超过30%，则不会产生任何效果。</t>
  </si>
  <si>
    <t>附加100点额外伤害。</t>
  </si>
  <si>
    <t>常规</t>
  </si>
  <si>
    <t>小圣光</t>
  </si>
  <si>
    <t>大圣光</t>
  </si>
  <si>
    <t>附加200点额外伤害。</t>
  </si>
  <si>
    <t>附加300点额外伤害。</t>
  </si>
  <si>
    <t>T垂危</t>
  </si>
  <si>
    <t>annihilation</t>
  </si>
  <si>
    <t>剔骨</t>
  </si>
  <si>
    <t>when mana is 100, kill all players</t>
  </si>
  <si>
    <t>消耗连击点，造成巨大伤害且流血。并降低潜行的冷却时间1秒/点。</t>
  </si>
  <si>
    <t>全团掉血</t>
  </si>
  <si>
    <t>mind blast</t>
  </si>
  <si>
    <t>道标</t>
  </si>
  <si>
    <t>剔骨附加流血效果。</t>
  </si>
  <si>
    <t>降低剔骨和邪恶攻击的法力值消耗。</t>
  </si>
  <si>
    <t>launch a bolt and slowly move to target location, blast all players nearby dealing 1200 magical damage, restore 1 mana for each player unit in area</t>
  </si>
  <si>
    <t>突袭</t>
  </si>
  <si>
    <t>全团垂危[劣势]</t>
  </si>
  <si>
    <t>打断施法。消耗连击点，昏迷目标。破甲。</t>
  </si>
  <si>
    <t>summon unholy tentacles</t>
  </si>
  <si>
    <t>提升昏迷，破甲的持续时间。</t>
  </si>
  <si>
    <t>unholy tentacles shoot players randomly</t>
  </si>
  <si>
    <t>皮糙肉厚,躲闪,回血</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</si>
  <si>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</si>
  <si>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</si>
  <si>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</si>
  <si>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</si>
  <si>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</si>
  <si>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</si>
  <si>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</si>
  <si>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</si>
  <si>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</si>
  <si>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</si>
  <si>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</si>
  <si>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</si>
  <si>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</si>
  <si>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</si>
  <si>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</si>
  <si>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</si>
  <si>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</si>
  <si>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</si>
  <si>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</si>
  <si>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</si>
  <si>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</si>
  <si>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</si>
  <si>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</si>
  <si>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</si>
  <si>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</si>
  <si>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</si>
  <si>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</si>
  <si>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</si>
  <si>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</si>
  <si>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</si>
  <si>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</si>
  <si>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</si>
  <si>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</si>
  <si>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</si>
  <si>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</si>
  <si>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</si>
  <si>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</si>
  <si>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</si>
  <si>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</si>
  <si>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</si>
  <si>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</si>
  <si>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</si>
  <si>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</si>
  <si>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</si>
  <si>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</si>
  <si>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</si>
  <si>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</si>
  <si>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</si>
  <si>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</si>
  <si>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</si>
  <si>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</si>
  <si>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</si>
  <si>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</si>
  <si>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</si>
  <si>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</si>
  <si>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</si>
  <si>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</si>
  <si>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</si>
  <si>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</si>
  <si>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</si>
  <si>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</si>
  <si>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</si>
  <si>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</si>
  <si>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</si>
  <si>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</si>
  <si>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</si>
  <si>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</si>
  <si>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</si>
  <si>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</si>
  <si>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</si>
  <si>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</si>
  <si>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</si>
  <si>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</si>
  <si>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</si>
  <si>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</si>
  <si>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</si>
  <si>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</si>
  <si>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</si>
  <si>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</si>
  <si>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</si>
  <si>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</si>
  <si>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</si>
  <si>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</si>
  <si>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</si>
  <si>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</si>
  <si>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</si>
  <si>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</si>
  <si>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</si>
  <si>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</si>
  <si>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</si>
  <si>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</si>
  <si>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</si>
  <si>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</si>
  <si>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</si>
  <si>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</si>
  <si>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</si>
  <si>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</si>
  <si>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</si>
  <si>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</si>
  <si>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</si>
  <si>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</si>
  <si>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</si>
  <si>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</si>
  <si>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</si>
  <si>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Research Uber Tip</t>
  </si>
  <si>
    <t>Cast</t>
  </si>
  <si>
    <t>Channel</t>
  </si>
  <si>
    <t>Range</t>
  </si>
  <si>
    <t>AOE</t>
  </si>
  <si>
    <t>Cost</t>
  </si>
  <si>
    <t>Duration</t>
  </si>
  <si>
    <t>自身急速15%，3秒</t>
  </si>
  <si>
    <t>自身急速30%，3秒</t>
  </si>
  <si>
    <t>激活憎恶之力以后提升自身的攻击力X和食尸鬼仆从的攻击速度50%，但是会持续消耗法力值3/S。
激活女妖之力以后，自身法力值恢复速度加快Y/S。</t>
  </si>
  <si>
    <t>X=15，Y=4
在激活女妖之力的同时，每次攻击附加诅咒效果，使敌人的攻击有10%几率落空。</t>
  </si>
  <si>
    <t>IMMOLATION，UNIMMOLATION</t>
  </si>
  <si>
    <t>牺牲掉食尸鬼仆从，吸取其X的当前生命值到自身</t>
  </si>
  <si>
    <t>X=100%，降低召唤的CD</t>
  </si>
  <si>
    <t>X=150%，进一步降低召唤的CD</t>
  </si>
  <si>
    <t>死后主人IAS，+AP，回蓝增加</t>
  </si>
  <si>
    <t>I，immolation，unimmolation</t>
  </si>
  <si>
    <t>减移动速度45%，持续7秒</t>
  </si>
  <si>
    <t>E，whirlwind</t>
  </si>
  <si>
    <t>V，windwalk</t>
  </si>
  <si>
    <t>X=20，Y=3</t>
  </si>
  <si>
    <t>V，FROSTNOVA</t>
  </si>
  <si>
    <t>X=，Y=3，Z=5%</t>
  </si>
  <si>
    <t>X=，Y=2，Z=9%</t>
  </si>
  <si>
    <t>X=100，Y=50%</t>
  </si>
  <si>
    <t>X=100，Y=75%</t>
  </si>
  <si>
    <t>X=100，Y=100%</t>
  </si>
  <si>
    <t>X=95，为友军恢复，10%</t>
  </si>
  <si>
    <t>X=115，为友军恢复，12%</t>
  </si>
  <si>
    <t>X=800，Y=250</t>
  </si>
  <si>
    <t>X=800，Y=400</t>
  </si>
  <si>
    <t>X=800，Y=550</t>
  </si>
  <si>
    <t>W。DEFEND</t>
  </si>
  <si>
    <t>E。FLAMESTRIKE</t>
  </si>
  <si>
    <t>R，MAGICLEASH; R。FROSTARMOR[ON，OFF]</t>
  </si>
  <si>
    <t>D。WHIRLWIND</t>
  </si>
  <si>
    <t>F。DIVINESHIELD</t>
  </si>
  <si>
    <t>W。COLDARROWSTARG</t>
  </si>
  <si>
    <t>E。PURGE</t>
  </si>
  <si>
    <t>R。DEATHCOIL</t>
  </si>
  <si>
    <t>D。DISPEL</t>
  </si>
  <si>
    <t>F。CRIPPLE</t>
  </si>
  <si>
    <t>B。CRIPPLE</t>
  </si>
  <si>
    <t>E。REJUVENATION</t>
  </si>
  <si>
    <t>R。HEALINGWAVE</t>
  </si>
  <si>
    <t>W。REPLENISHLIFE</t>
  </si>
  <si>
    <t>F。INNERFIRE</t>
  </si>
  <si>
    <t>C。RESURRECTION</t>
  </si>
  <si>
    <t>D。MASSTELEPORT</t>
  </si>
  <si>
    <t>R。SUMMONPHOENIX</t>
  </si>
  <si>
    <t>E。HEAL</t>
  </si>
  <si>
    <t>R。SLOW</t>
  </si>
  <si>
    <t>进攻驱散，防守驱散。</t>
  </si>
  <si>
    <t>0。9秒生效延迟，降低40%移动速度。</t>
  </si>
  <si>
    <t>0。6秒生效延迟，降低55%移动速度。</t>
  </si>
  <si>
    <t>0。3秒生效延迟，降低70%移动速度。</t>
  </si>
  <si>
    <t>切换玩家命令，还是自动动作。</t>
  </si>
  <si>
    <t>DOT AP/2/2。5s，撕裂的暴击会导致下次普通攻击一定暴击。撕裂的每次伤害可以让剑圣使用压制。</t>
  </si>
  <si>
    <t>减移动速度45%，持续7秒。</t>
  </si>
  <si>
    <t>压制DD AP*1。5，回蓝 X</t>
  </si>
  <si>
    <t>X=20，撕裂百分之百触发。</t>
  </si>
  <si>
    <t>R。DRUKENHAZE</t>
  </si>
  <si>
    <t>当普通攻击，英勇打击，或者致死打击暴击之后，会增加勇气点数和Y点法力值。上限17，斩杀会消耗所有的勇气点数对目标致命一击，每点造成X伤害</t>
  </si>
  <si>
    <t>X=25，Y=4，战斗中每4秒获得1点。</t>
  </si>
  <si>
    <t>X=30，Y=5，战斗中每4秒获得1点。连续暴击翻倍增加，</t>
  </si>
  <si>
    <t>X=350。提升所有寒冷法术的伤害5%。</t>
  </si>
  <si>
    <t>F。HEAL</t>
  </si>
  <si>
    <t>B。BLIZZARD</t>
  </si>
  <si>
    <t>T。CHANNEL</t>
  </si>
  <si>
    <t>D。METAMORPHSIS</t>
  </si>
  <si>
    <t>X=，Y=2。5，Z=7%</t>
  </si>
  <si>
    <t>W。SLOW</t>
  </si>
  <si>
    <t>造成X伤害，伤害量治疗自身Y%。</t>
  </si>
  <si>
    <t>E。DISPEL</t>
  </si>
  <si>
    <t>引导施法，造成伤害X/S并转化为自身法力值。减速。</t>
  </si>
  <si>
    <t>D。INNERFIRE</t>
  </si>
  <si>
    <t>使附近X-Y范围内的敌军因恐惧而昏迷1-4秒。</t>
  </si>
  <si>
    <t>T。UNHOLYFRENZY</t>
  </si>
  <si>
    <t>标记一个目标，使你的不死生物仆从对其造成的伤害提高。并且在绞杀的持续时间之内，冰霜疫病的伤害会致其昏迷0。3秒。</t>
  </si>
  <si>
    <t>使用防御姿态，提升招架几率，并且反射下一次指向你的法术。
在成功地招架攻击以后，会反弹招架攻击吸收的伤害并且造成大量仇恨。</t>
  </si>
  <si>
    <t>T。HOLYBOLT，CURSE[ON/OFF]</t>
  </si>
  <si>
    <t>X。FROSTARMOR/ON/OFF，SPIRITWOLF，STOMP，SLOW，CHANNEL，VOODOO，MASSTELEPORT</t>
  </si>
  <si>
    <t>E。EARTHQUAKE，FROSTARMOR[ON/OFF]</t>
  </si>
  <si>
    <t>HEALINGWARD，CHANNEL，CHEMICALRAGE，CHAINLIGHTNING</t>
  </si>
  <si>
    <t>条目</t>
  </si>
  <si>
    <t>学习说明</t>
  </si>
  <si>
    <t>学习1</t>
  </si>
  <si>
    <t>学习2</t>
  </si>
  <si>
    <t>学习3</t>
  </si>
  <si>
    <t>显示1</t>
  </si>
  <si>
    <t>显示2</t>
  </si>
  <si>
    <t>显示3</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</si>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</sst>
</file>

<file path=xl/styles.xml><?xml version="1.0" encoding="utf-8"?>
<styleSheet xmlns="http://schemas.openxmlformats.org/spreadsheetml/2006/main" xmlns:mc="http://schemas.openxmlformats.org/markup-compatibility/2006" xmlns:x14ac="http://schemas.microsoft.com/office/spreadsheetml/2009/9/ac" mc:Ignorable="x14ac">
  <fonts count="18" x14ac:knownFonts="1">
    <font>
      <sz val="10"/>
      <color rgb="FF000000"/>
      <name val="Arial"/>
    </font>
    <font>
      <sz val="11"/>
      <color rgb="FF000000"/>
      <name val="Verdana"/>
    </font>
    <font>
      <sz val="11"/>
      <color rgb="FFFF0000"/>
      <name val="Verdana"/>
    </font>
    <font>
      <sz val="11"/>
      <color rgb="FF006100"/>
      <name val="Calibri"/>
      <family val="2"/>
      <scheme val="minor"/>
    </font>
    <font>
      <sz val="10"/>
      <color rgb="FF000000"/>
      <name val="微软雅黑"/>
      <family val="2"/>
      <charset val="134"/>
    </font>
    <font>
      <sz val="10"/>
      <color rgb="FF00FFFF"/>
      <name val="微软雅黑"/>
      <family val="2"/>
      <charset val="134"/>
    </font>
    <font>
      <sz val="10"/>
      <name val="微软雅黑"/>
      <family val="2"/>
      <charset val="134"/>
    </font>
    <font>
      <sz val="10"/>
      <color rgb="FFFF9900"/>
      <name val="微软雅黑"/>
      <family val="2"/>
      <charset val="134"/>
    </font>
    <font>
      <sz val="10"/>
      <color rgb="FF00FF00"/>
      <name val="微软雅黑"/>
      <family val="2"/>
      <charset val="134"/>
    </font>
    <font>
      <sz val="10"/>
      <color rgb="FFFFFF00"/>
      <name val="微软雅黑"/>
      <family val="2"/>
      <charset val="134"/>
    </font>
    <font>
      <sz val="10"/>
      <color rgb="FFFFFFFF"/>
      <name val="微软雅黑"/>
      <family val="2"/>
      <charset val="134"/>
    </font>
    <font>
      <sz val="10"/>
      <color rgb="FFFF00FF"/>
      <name val="微软雅黑"/>
      <family val="2"/>
      <charset val="134"/>
    </font>
    <font>
      <sz val="10"/>
      <color rgb="FF980000"/>
      <name val="微软雅黑"/>
      <family val="2"/>
      <charset val="134"/>
    </font>
    <font>
      <sz val="10"/>
      <color rgb="FF4A86E8"/>
      <name val="微软雅黑"/>
      <family val="2"/>
      <charset val="134"/>
    </font>
    <font>
      <sz val="10"/>
      <color rgb="FF0000FF"/>
      <name val="微软雅黑"/>
      <family val="2"/>
      <charset val="134"/>
    </font>
    <font>
      <sz val="10"/>
      <color rgb="FF9900FF"/>
      <name val="微软雅黑"/>
      <family val="2"/>
      <charset val="134"/>
    </font>
    <font>
      <sz val="10"/>
      <color rgb="FFFF0000"/>
      <name val="微软雅黑"/>
      <family val="2"/>
      <charset val="134"/>
    </font>
    <font>
      <b/>
      <sz val="10"/>
      <color rgb="FF000000"/>
      <name val="微软雅黑"/>
      <family val="2"/>
      <charset val="134"/>
    </font>
  </fonts>
  <fills count="33">
    <fill>
      <patternFill patternType="none"/>
    </fill>
    <fill>
      <patternFill patternType="gray125"/>
    </fill>
    <fill>
      <patternFill patternType="solid">
        <fgColor rgb="FF000000"/>
        <bgColor rgb="FF000000"/>
      </patternFill>
    </fill>
    <fill>
      <patternFill patternType="solid">
        <fgColor rgb="FF93C47D"/>
        <bgColor rgb="FF93C47D"/>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00FFFF"/>
        <bgColor rgb="FF00FFFF"/>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999999"/>
        <bgColor rgb="FF999999"/>
      </patternFill>
    </fill>
    <fill>
      <patternFill patternType="solid">
        <fgColor rgb="FF9900FF"/>
        <bgColor rgb="FF9900FF"/>
      </patternFill>
    </fill>
    <fill>
      <patternFill patternType="solid">
        <fgColor rgb="FFFF9900"/>
        <bgColor rgb="FFFF9900"/>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2"/>
        <bgColor rgb="FF93C47D"/>
      </patternFill>
    </fill>
    <fill>
      <patternFill patternType="solid">
        <fgColor theme="2"/>
        <bgColor rgb="FFFFFFFF"/>
      </patternFill>
    </fill>
    <fill>
      <patternFill patternType="solid">
        <fgColor theme="2"/>
        <bgColor rgb="FFD9EAD3"/>
      </patternFill>
    </fill>
    <fill>
      <patternFill patternType="solid">
        <fgColor theme="2"/>
        <bgColor rgb="FF0B5394"/>
      </patternFill>
    </fill>
  </fills>
  <borders count="1">
    <border>
      <left/>
      <right/>
      <top/>
      <bottom/>
      <diagonal/>
    </border>
  </borders>
  <cellStyleXfs count="2">
    <xf numFmtId="0" fontId="0" fillId="0" borderId="0"/>
    <xf numFmtId="0" fontId="3" fillId="27" borderId="0" applyNumberFormat="0" applyBorder="0" applyAlignment="0" applyProtection="0"/>
  </cellStyleXfs>
  <cellXfs count="110">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7" borderId="0" xfId="0" applyFont="1" applyFill="1" applyBorder="1" applyAlignment="1">
      <alignment horizontal="left"/>
    </xf>
    <xf numFmtId="0" fontId="0" fillId="7"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5" borderId="0" xfId="0" applyFont="1" applyFill="1" applyBorder="1" applyAlignment="1">
      <alignment vertical="center" wrapText="1"/>
    </xf>
    <xf numFmtId="0" fontId="1" fillId="16" borderId="0" xfId="0" applyFont="1" applyFill="1" applyBorder="1" applyAlignment="1">
      <alignment vertical="center" wrapText="1"/>
    </xf>
    <xf numFmtId="0" fontId="1" fillId="5" borderId="0" xfId="0" applyFont="1" applyFill="1" applyBorder="1" applyAlignment="1">
      <alignment vertical="center" wrapText="1"/>
    </xf>
    <xf numFmtId="0" fontId="2" fillId="0" borderId="0" xfId="0" applyFont="1" applyAlignment="1">
      <alignment vertical="center" wrapText="1"/>
    </xf>
    <xf numFmtId="0" fontId="1" fillId="22" borderId="0" xfId="0" applyFont="1" applyFill="1" applyBorder="1" applyAlignment="1">
      <alignment vertical="center" wrapText="1"/>
    </xf>
    <xf numFmtId="0" fontId="4" fillId="0" borderId="0" xfId="0" applyFont="1" applyAlignment="1">
      <alignment horizontal="center" vertical="center" wrapText="1"/>
    </xf>
    <xf numFmtId="0" fontId="4" fillId="0" borderId="0" xfId="0" applyFont="1" applyAlignment="1">
      <alignment vertical="center" wrapText="1"/>
    </xf>
    <xf numFmtId="0" fontId="4" fillId="0" borderId="0" xfId="0" applyFont="1" applyAlignment="1">
      <alignment wrapText="1"/>
    </xf>
    <xf numFmtId="0" fontId="5" fillId="2" borderId="0" xfId="0" applyFont="1" applyFill="1" applyBorder="1" applyAlignment="1">
      <alignment horizontal="center" vertical="center" wrapText="1"/>
    </xf>
    <xf numFmtId="0" fontId="4" fillId="3" borderId="0" xfId="0" applyFont="1" applyFill="1" applyBorder="1" applyAlignment="1">
      <alignment vertical="center" wrapText="1"/>
    </xf>
    <xf numFmtId="0" fontId="6" fillId="0" borderId="0" xfId="0" applyFont="1" applyBorder="1" applyAlignment="1">
      <alignment wrapText="1"/>
    </xf>
    <xf numFmtId="0" fontId="4" fillId="5" borderId="0" xfId="0" applyFont="1" applyFill="1" applyBorder="1" applyAlignment="1">
      <alignment horizontal="center" vertical="center" wrapText="1"/>
    </xf>
    <xf numFmtId="0" fontId="4" fillId="5" borderId="0" xfId="0" applyFont="1" applyFill="1" applyBorder="1" applyAlignment="1">
      <alignment wrapText="1"/>
    </xf>
    <xf numFmtId="0" fontId="7" fillId="6" borderId="0" xfId="0" applyFont="1" applyFill="1" applyAlignment="1">
      <alignment horizontal="center" vertical="center" wrapText="1"/>
    </xf>
    <xf numFmtId="0" fontId="4" fillId="0" borderId="0" xfId="0" applyFont="1" applyAlignment="1">
      <alignment wrapText="1"/>
    </xf>
    <xf numFmtId="0" fontId="4" fillId="4" borderId="0" xfId="0" applyFont="1" applyFill="1" applyBorder="1" applyAlignment="1">
      <alignment vertical="center" wrapText="1"/>
    </xf>
    <xf numFmtId="0" fontId="8" fillId="2" borderId="0" xfId="0" applyFont="1" applyFill="1" applyBorder="1" applyAlignment="1">
      <alignment horizontal="center" vertical="center" wrapText="1"/>
    </xf>
    <xf numFmtId="0" fontId="9" fillId="6" borderId="0" xfId="0" applyFont="1" applyFill="1" applyAlignment="1">
      <alignment horizontal="center" vertical="center" wrapText="1"/>
    </xf>
    <xf numFmtId="0" fontId="10" fillId="2" borderId="0" xfId="0" applyFont="1" applyFill="1" applyBorder="1" applyAlignment="1">
      <alignment horizontal="center" vertical="center" wrapText="1"/>
    </xf>
    <xf numFmtId="0" fontId="11" fillId="6" borderId="0" xfId="0" applyFont="1" applyFill="1" applyBorder="1" applyAlignment="1">
      <alignment horizontal="center" vertical="center" wrapText="1"/>
    </xf>
    <xf numFmtId="0" fontId="4" fillId="6" borderId="0" xfId="0" applyFont="1" applyFill="1" applyBorder="1" applyAlignment="1">
      <alignment horizontal="center" vertical="center" wrapText="1"/>
    </xf>
    <xf numFmtId="0" fontId="4" fillId="13" borderId="0" xfId="0" applyFont="1" applyFill="1" applyBorder="1" applyAlignment="1">
      <alignment vertical="center" wrapText="1"/>
    </xf>
    <xf numFmtId="0" fontId="12" fillId="2" borderId="0" xfId="0" applyFont="1" applyFill="1" applyBorder="1" applyAlignment="1">
      <alignment horizontal="center" vertical="center" wrapText="1"/>
    </xf>
    <xf numFmtId="0" fontId="13" fillId="6" borderId="0" xfId="0" applyFont="1" applyFill="1" applyAlignment="1">
      <alignment horizontal="center" vertical="center" wrapText="1"/>
    </xf>
    <xf numFmtId="0" fontId="14" fillId="2" borderId="0" xfId="0" applyFont="1" applyFill="1" applyBorder="1" applyAlignment="1">
      <alignment horizontal="center" vertical="center" wrapText="1"/>
    </xf>
    <xf numFmtId="0" fontId="15" fillId="6" borderId="0" xfId="0" applyFont="1" applyFill="1" applyAlignment="1">
      <alignment horizontal="center" vertical="center" wrapText="1"/>
    </xf>
    <xf numFmtId="0" fontId="16" fillId="2" borderId="0" xfId="0" applyFont="1" applyFill="1" applyBorder="1" applyAlignment="1">
      <alignment horizontal="center" vertical="center" wrapText="1"/>
    </xf>
    <xf numFmtId="0" fontId="10" fillId="25" borderId="0" xfId="0" applyFont="1" applyFill="1" applyBorder="1" applyAlignment="1">
      <alignment horizontal="center" vertical="center" wrapText="1"/>
    </xf>
    <xf numFmtId="0" fontId="10" fillId="25" borderId="0" xfId="0" applyFont="1" applyFill="1" applyBorder="1" applyAlignment="1">
      <alignment vertical="center" wrapText="1"/>
    </xf>
    <xf numFmtId="0" fontId="10" fillId="5" borderId="0" xfId="0" applyFont="1" applyFill="1" applyBorder="1" applyAlignment="1">
      <alignment horizontal="center" vertical="center" wrapText="1"/>
    </xf>
    <xf numFmtId="0" fontId="10" fillId="4" borderId="0" xfId="0" applyFont="1" applyFill="1" applyBorder="1" applyAlignment="1">
      <alignment horizontal="center" vertical="center" wrapText="1"/>
    </xf>
    <xf numFmtId="0" fontId="4" fillId="0" borderId="0" xfId="0" applyFont="1" applyAlignment="1">
      <alignment horizontal="left" vertical="center" wrapText="1"/>
    </xf>
    <xf numFmtId="0" fontId="4" fillId="0" borderId="0" xfId="0" applyFont="1" applyAlignment="1">
      <alignment horizontal="left" vertical="center" wrapText="1"/>
    </xf>
    <xf numFmtId="0" fontId="4" fillId="8" borderId="0" xfId="0" applyFont="1" applyFill="1" applyBorder="1" applyAlignment="1">
      <alignment horizontal="left" vertical="center" wrapText="1"/>
    </xf>
    <xf numFmtId="0" fontId="6" fillId="0" borderId="0" xfId="0" applyFont="1" applyAlignment="1">
      <alignment wrapText="1"/>
    </xf>
    <xf numFmtId="0" fontId="4" fillId="0" borderId="0" xfId="0" applyFont="1" applyAlignment="1">
      <alignment horizontal="left" wrapText="1"/>
    </xf>
    <xf numFmtId="0" fontId="4" fillId="9" borderId="0" xfId="0" applyFont="1" applyFill="1" applyBorder="1" applyAlignment="1">
      <alignment horizontal="left" vertical="center" wrapText="1"/>
    </xf>
    <xf numFmtId="0" fontId="4" fillId="8" borderId="0" xfId="0" applyFont="1" applyFill="1" applyBorder="1" applyAlignment="1">
      <alignment horizontal="left" vertical="center" wrapText="1"/>
    </xf>
    <xf numFmtId="0" fontId="4" fillId="14" borderId="0" xfId="0" applyFont="1" applyFill="1" applyBorder="1" applyAlignment="1">
      <alignment horizontal="left" vertical="center" wrapText="1"/>
    </xf>
    <xf numFmtId="0" fontId="4" fillId="8" borderId="0" xfId="0" applyFont="1" applyFill="1" applyAlignment="1">
      <alignment horizontal="left" vertical="center" wrapText="1"/>
    </xf>
    <xf numFmtId="0" fontId="4" fillId="13" borderId="0" xfId="0" applyFont="1" applyFill="1" applyAlignment="1">
      <alignment horizontal="left" vertical="center" wrapText="1"/>
    </xf>
    <xf numFmtId="0" fontId="4" fillId="26" borderId="0" xfId="0" applyFont="1" applyFill="1" applyAlignment="1">
      <alignment horizontal="left" vertical="center" wrapText="1"/>
    </xf>
    <xf numFmtId="0" fontId="6" fillId="26" borderId="0" xfId="0" applyFont="1" applyFill="1" applyAlignment="1">
      <alignment wrapText="1"/>
    </xf>
    <xf numFmtId="0" fontId="4" fillId="11" borderId="0" xfId="0" applyFont="1" applyFill="1" applyAlignment="1">
      <alignment horizontal="left" vertical="center" wrapText="1"/>
    </xf>
    <xf numFmtId="0" fontId="4" fillId="0" borderId="0" xfId="0" applyFont="1" applyAlignment="1">
      <alignment horizontal="left" vertical="center"/>
    </xf>
    <xf numFmtId="0" fontId="4" fillId="4" borderId="0" xfId="0" applyFont="1" applyFill="1" applyBorder="1" applyAlignment="1">
      <alignment wrapText="1"/>
    </xf>
    <xf numFmtId="0" fontId="4" fillId="4" borderId="0" xfId="0" applyFont="1" applyFill="1" applyBorder="1" applyAlignment="1">
      <alignment horizontal="center" vertical="center" wrapText="1"/>
    </xf>
    <xf numFmtId="0" fontId="4" fillId="4" borderId="0" xfId="0" applyFont="1" applyFill="1" applyBorder="1" applyAlignment="1">
      <alignment horizontal="center" wrapText="1"/>
    </xf>
    <xf numFmtId="0" fontId="4" fillId="10" borderId="0" xfId="0" applyFont="1" applyFill="1" applyBorder="1" applyAlignment="1">
      <alignment wrapText="1"/>
    </xf>
    <xf numFmtId="0" fontId="4" fillId="4" borderId="0" xfId="0" applyFont="1" applyFill="1" applyBorder="1" applyAlignment="1">
      <alignment horizontal="left" vertical="center" wrapText="1"/>
    </xf>
    <xf numFmtId="0" fontId="4" fillId="5" borderId="0" xfId="0" applyFont="1" applyFill="1" applyBorder="1" applyAlignment="1">
      <alignment horizontal="left" vertical="center" wrapText="1"/>
    </xf>
    <xf numFmtId="0" fontId="4" fillId="17" borderId="0" xfId="0" applyFont="1" applyFill="1" applyBorder="1" applyAlignment="1">
      <alignment horizontal="left" vertical="center" wrapText="1"/>
    </xf>
    <xf numFmtId="0" fontId="4" fillId="17" borderId="0" xfId="0" applyFont="1" applyFill="1" applyBorder="1" applyAlignment="1">
      <alignment horizontal="center" vertical="center" wrapText="1"/>
    </xf>
    <xf numFmtId="0" fontId="4" fillId="18" borderId="0" xfId="0" applyFont="1" applyFill="1" applyBorder="1" applyAlignment="1">
      <alignment horizontal="left" vertical="center" wrapText="1"/>
    </xf>
    <xf numFmtId="0" fontId="4" fillId="18" borderId="0" xfId="0" applyFont="1" applyFill="1" applyBorder="1" applyAlignment="1">
      <alignment horizontal="center" vertical="center" wrapText="1"/>
    </xf>
    <xf numFmtId="0" fontId="4" fillId="18" borderId="0" xfId="0" applyFont="1" applyFill="1" applyAlignment="1">
      <alignment horizontal="left" vertical="center" wrapText="1"/>
    </xf>
    <xf numFmtId="0" fontId="4" fillId="19" borderId="0" xfId="0" applyFont="1" applyFill="1" applyBorder="1" applyAlignment="1">
      <alignment wrapText="1"/>
    </xf>
    <xf numFmtId="0" fontId="4" fillId="17" borderId="0" xfId="0" applyFont="1" applyFill="1" applyBorder="1" applyAlignment="1">
      <alignment wrapText="1"/>
    </xf>
    <xf numFmtId="0" fontId="4" fillId="17" borderId="0" xfId="0" applyFont="1" applyFill="1" applyBorder="1" applyAlignment="1">
      <alignment horizontal="center" wrapText="1"/>
    </xf>
    <xf numFmtId="0" fontId="4" fillId="17" borderId="0" xfId="0" applyFont="1" applyFill="1" applyAlignment="1">
      <alignment horizontal="left" vertical="center" wrapText="1"/>
    </xf>
    <xf numFmtId="0" fontId="4" fillId="20" borderId="0" xfId="0" applyFont="1" applyFill="1" applyBorder="1" applyAlignment="1">
      <alignment wrapText="1"/>
    </xf>
    <xf numFmtId="0" fontId="4" fillId="0" borderId="0" xfId="0" applyFont="1"/>
    <xf numFmtId="0" fontId="4" fillId="21" borderId="0" xfId="0" applyFont="1" applyFill="1" applyBorder="1" applyAlignment="1">
      <alignment horizontal="center" vertical="center"/>
    </xf>
    <xf numFmtId="0" fontId="4" fillId="21" borderId="0" xfId="0" applyFont="1" applyFill="1" applyBorder="1"/>
    <xf numFmtId="0" fontId="4" fillId="24" borderId="0" xfId="0" applyFont="1" applyFill="1" applyBorder="1" applyAlignment="1">
      <alignment horizontal="center" vertical="center"/>
    </xf>
    <xf numFmtId="0" fontId="4" fillId="24" borderId="0" xfId="0" applyFont="1" applyFill="1" applyBorder="1"/>
    <xf numFmtId="0" fontId="4" fillId="15" borderId="0" xfId="0" applyFont="1" applyFill="1" applyBorder="1" applyAlignment="1">
      <alignment horizontal="center" vertical="center"/>
    </xf>
    <xf numFmtId="0" fontId="4" fillId="15" borderId="0" xfId="0" applyFont="1" applyFill="1" applyBorder="1"/>
    <xf numFmtId="0" fontId="17" fillId="0" borderId="0" xfId="0" applyFont="1"/>
    <xf numFmtId="0" fontId="4" fillId="0" borderId="0" xfId="0" applyFont="1" applyAlignment="1">
      <alignment vertical="center"/>
    </xf>
    <xf numFmtId="0" fontId="4" fillId="11" borderId="0" xfId="0" applyFont="1" applyFill="1" applyBorder="1" applyAlignment="1">
      <alignment vertical="center" wrapText="1"/>
    </xf>
    <xf numFmtId="0" fontId="4" fillId="12" borderId="0" xfId="0" applyFont="1" applyFill="1" applyBorder="1" applyAlignment="1">
      <alignment vertical="center"/>
    </xf>
    <xf numFmtId="0" fontId="4" fillId="14" borderId="0" xfId="0" applyFont="1" applyFill="1" applyBorder="1" applyAlignment="1">
      <alignment vertical="center"/>
    </xf>
    <xf numFmtId="0" fontId="4" fillId="0" borderId="0" xfId="0" applyFont="1" applyAlignment="1">
      <alignment vertical="center"/>
    </xf>
    <xf numFmtId="0" fontId="4" fillId="11" borderId="0" xfId="0" applyFont="1" applyFill="1" applyBorder="1" applyAlignment="1">
      <alignment vertical="center" wrapText="1"/>
    </xf>
    <xf numFmtId="0" fontId="4" fillId="12" borderId="0" xfId="0" applyFont="1" applyFill="1" applyBorder="1" applyAlignment="1">
      <alignment vertical="center"/>
    </xf>
    <xf numFmtId="0" fontId="4" fillId="23" borderId="0" xfId="0" applyFont="1" applyFill="1" applyBorder="1" applyAlignment="1">
      <alignment vertical="center"/>
    </xf>
    <xf numFmtId="0" fontId="4" fillId="28" borderId="0" xfId="0" applyFont="1" applyFill="1" applyAlignment="1">
      <alignment vertical="center" wrapText="1"/>
    </xf>
    <xf numFmtId="0" fontId="17" fillId="0" borderId="0" xfId="0" applyFont="1" applyAlignment="1">
      <alignment wrapText="1"/>
    </xf>
    <xf numFmtId="0" fontId="17" fillId="0" borderId="0" xfId="0" applyFont="1" applyAlignment="1">
      <alignment horizontal="center" vertical="center" wrapText="1"/>
    </xf>
    <xf numFmtId="0" fontId="17" fillId="0" borderId="0" xfId="0" applyFont="1" applyAlignment="1">
      <alignment vertical="center" wrapText="1"/>
    </xf>
    <xf numFmtId="0" fontId="4" fillId="29" borderId="0" xfId="0" applyFont="1" applyFill="1" applyBorder="1" applyAlignment="1">
      <alignment vertical="center" wrapText="1"/>
    </xf>
    <xf numFmtId="0" fontId="4" fillId="30" borderId="0" xfId="0" applyFont="1" applyFill="1" applyBorder="1" applyAlignment="1">
      <alignment vertical="center" wrapText="1"/>
    </xf>
    <xf numFmtId="0" fontId="4" fillId="31" borderId="0" xfId="0" applyFont="1" applyFill="1" applyBorder="1" applyAlignment="1">
      <alignment vertical="center" wrapText="1"/>
    </xf>
    <xf numFmtId="0" fontId="10" fillId="32" borderId="0" xfId="0" applyFont="1" applyFill="1" applyBorder="1" applyAlignment="1">
      <alignment vertical="center" wrapText="1"/>
    </xf>
    <xf numFmtId="0" fontId="4" fillId="28" borderId="0" xfId="0" applyFont="1" applyFill="1" applyAlignment="1">
      <alignment wrapText="1"/>
    </xf>
    <xf numFmtId="0" fontId="17" fillId="0" borderId="0" xfId="0" applyFont="1" applyFill="1" applyAlignment="1">
      <alignment wrapText="1"/>
    </xf>
    <xf numFmtId="0" fontId="17" fillId="0" borderId="0" xfId="0" applyFont="1" applyFill="1" applyAlignment="1">
      <alignment vertical="center" wrapText="1"/>
    </xf>
    <xf numFmtId="0" fontId="4" fillId="0" borderId="0" xfId="0" applyFont="1" applyFill="1" applyBorder="1" applyAlignment="1">
      <alignment vertical="center" wrapText="1"/>
    </xf>
    <xf numFmtId="0" fontId="4" fillId="0" borderId="0" xfId="0" applyFont="1" applyFill="1" applyAlignment="1">
      <alignment vertical="center" wrapText="1"/>
    </xf>
    <xf numFmtId="0" fontId="10" fillId="0" borderId="0" xfId="0" applyFont="1" applyFill="1" applyBorder="1" applyAlignment="1">
      <alignment vertical="center" wrapText="1"/>
    </xf>
    <xf numFmtId="0" fontId="4" fillId="0" borderId="0" xfId="0" applyFont="1" applyFill="1" applyAlignment="1">
      <alignment wrapText="1"/>
    </xf>
    <xf numFmtId="0" fontId="17" fillId="0" borderId="0" xfId="0" applyFont="1" applyAlignment="1">
      <alignment horizontal="center" wrapText="1"/>
    </xf>
    <xf numFmtId="0" fontId="17" fillId="28" borderId="0" xfId="0" applyFont="1" applyFill="1" applyAlignment="1">
      <alignment horizontal="center" wrapText="1"/>
    </xf>
    <xf numFmtId="0" fontId="3" fillId="27" borderId="0" xfId="1" applyBorder="1" applyAlignment="1">
      <alignment horizontal="center" vertical="center" wrapText="1"/>
    </xf>
    <xf numFmtId="0" fontId="17" fillId="0" borderId="0" xfId="0" applyFont="1" applyAlignment="1">
      <alignment horizontal="left" vertical="center" wrapText="1"/>
    </xf>
    <xf numFmtId="0" fontId="4" fillId="3" borderId="0" xfId="0" applyFont="1" applyFill="1" applyBorder="1" applyAlignment="1">
      <alignment horizontal="left" vertical="center" wrapText="1"/>
    </xf>
    <xf numFmtId="0" fontId="4" fillId="13" borderId="0" xfId="0" applyFont="1" applyFill="1" applyBorder="1" applyAlignment="1">
      <alignment horizontal="left" vertical="center" wrapText="1"/>
    </xf>
    <xf numFmtId="0" fontId="10" fillId="25" borderId="0" xfId="0" applyFont="1" applyFill="1" applyBorder="1" applyAlignment="1">
      <alignment horizontal="left" vertical="center" wrapText="1"/>
    </xf>
    <xf numFmtId="0" fontId="4" fillId="3" borderId="0" xfId="0" applyFont="1" applyFill="1" applyBorder="1" applyAlignment="1">
      <alignment horizontal="left" vertical="center" wrapText="1"/>
    </xf>
    <xf numFmtId="0" fontId="4" fillId="0" borderId="0" xfId="0" applyFont="1" applyFill="1" applyBorder="1" applyAlignment="1">
      <alignment wrapText="1"/>
    </xf>
  </cellXfs>
  <cellStyles count="2">
    <cellStyle name="好" xfId="1" builtinId="26"/>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U81"/>
  <sheetViews>
    <sheetView tabSelected="1" workbookViewId="0">
      <pane ySplit="1" topLeftCell="A2" activePane="bottomLeft" state="frozen"/>
      <selection pane="bottomLeft" activeCell="F10" sqref="F10"/>
    </sheetView>
  </sheetViews>
  <sheetFormatPr defaultColWidth="17.28515625" defaultRowHeight="16.5" x14ac:dyDescent="0.35"/>
  <cols>
    <col min="1" max="1" width="8.42578125" style="16" bestFit="1" customWidth="1"/>
    <col min="2" max="2" width="10.28515625" style="100" bestFit="1" customWidth="1"/>
    <col min="3" max="3" width="10.7109375" style="44" customWidth="1"/>
    <col min="4" max="4" width="11.5703125" style="44" customWidth="1"/>
    <col min="5" max="6" width="65.7109375" style="16" customWidth="1"/>
    <col min="7" max="7" width="5" style="94" bestFit="1" customWidth="1"/>
    <col min="8" max="8" width="8.5703125" style="16" bestFit="1" customWidth="1"/>
    <col min="9" max="9" width="7" style="94" bestFit="1" customWidth="1"/>
    <col min="10" max="10" width="5" style="16" bestFit="1" customWidth="1"/>
    <col min="11" max="11" width="5.140625" style="94" bestFit="1" customWidth="1"/>
    <col min="12" max="12" width="9.28515625" style="16" bestFit="1" customWidth="1"/>
    <col min="13" max="13" width="3.7109375" style="94" bestFit="1" customWidth="1"/>
    <col min="14" max="14" width="15.85546875" style="16" customWidth="1"/>
    <col min="15" max="15" width="14" style="16" customWidth="1"/>
    <col min="16" max="16" width="9.140625" style="16" customWidth="1"/>
    <col min="17" max="18" width="75.7109375" style="100" customWidth="1"/>
    <col min="19" max="21" width="20.7109375" style="16" customWidth="1"/>
    <col min="22" max="16384" width="17.28515625" style="16"/>
  </cols>
  <sheetData>
    <row r="1" spans="1:21" s="87" customFormat="1" x14ac:dyDescent="0.35">
      <c r="A1" s="88" t="s">
        <v>0</v>
      </c>
      <c r="B1" s="96" t="s">
        <v>1</v>
      </c>
      <c r="C1" s="104" t="s">
        <v>115</v>
      </c>
      <c r="D1" s="104" t="s">
        <v>986</v>
      </c>
      <c r="E1" s="89" t="s">
        <v>2</v>
      </c>
      <c r="F1" s="89" t="s">
        <v>902</v>
      </c>
      <c r="G1" s="102" t="s">
        <v>903</v>
      </c>
      <c r="H1" s="101" t="s">
        <v>904</v>
      </c>
      <c r="I1" s="102" t="s">
        <v>905</v>
      </c>
      <c r="J1" s="101" t="s">
        <v>906</v>
      </c>
      <c r="K1" s="102" t="s">
        <v>907</v>
      </c>
      <c r="L1" s="101" t="s">
        <v>908</v>
      </c>
      <c r="M1" s="102" t="s">
        <v>6</v>
      </c>
      <c r="N1" s="89" t="s">
        <v>10</v>
      </c>
      <c r="O1" s="88" t="s">
        <v>11</v>
      </c>
      <c r="P1" s="87" t="s">
        <v>12</v>
      </c>
      <c r="Q1" s="95"/>
      <c r="R1" s="95"/>
      <c r="S1" s="89" t="s">
        <v>3</v>
      </c>
      <c r="T1" s="89" t="s">
        <v>8</v>
      </c>
      <c r="U1" s="89" t="s">
        <v>9</v>
      </c>
    </row>
    <row r="2" spans="1:21" ht="33" x14ac:dyDescent="0.35">
      <c r="A2" s="17" t="s">
        <v>13</v>
      </c>
      <c r="B2" s="103" t="s">
        <v>14</v>
      </c>
      <c r="C2" s="108" t="s">
        <v>897</v>
      </c>
      <c r="D2" s="105" t="s">
        <v>987</v>
      </c>
      <c r="E2" s="18" t="s">
        <v>981</v>
      </c>
      <c r="F2" s="18"/>
      <c r="G2" s="90"/>
      <c r="H2" s="18"/>
      <c r="I2" s="90"/>
      <c r="J2" s="18"/>
      <c r="K2" s="90"/>
      <c r="L2" s="18"/>
      <c r="M2" s="90"/>
      <c r="N2" s="18" t="s">
        <v>934</v>
      </c>
      <c r="O2" s="14"/>
      <c r="Q2" s="100" t="str">
        <f>researchUberTipCN(E2:E5,G3:M5)</f>
        <v>caonima</v>
      </c>
      <c r="S2" s="18"/>
      <c r="T2" s="18"/>
      <c r="U2" s="18"/>
    </row>
    <row r="3" spans="1:21" x14ac:dyDescent="0.35">
      <c r="A3" s="17"/>
      <c r="B3" s="103"/>
      <c r="C3" s="108"/>
      <c r="D3" s="105" t="s">
        <v>988</v>
      </c>
      <c r="E3" s="18" t="s">
        <v>15</v>
      </c>
      <c r="F3" s="18"/>
      <c r="G3" s="90"/>
      <c r="H3" s="18"/>
      <c r="I3" s="90"/>
      <c r="J3" s="18"/>
      <c r="K3" s="90">
        <v>30</v>
      </c>
      <c r="L3" s="18">
        <v>5</v>
      </c>
      <c r="M3" s="90">
        <v>7</v>
      </c>
      <c r="N3" s="18"/>
      <c r="O3" s="14"/>
      <c r="S3" s="18"/>
      <c r="T3" s="18"/>
      <c r="U3" s="18"/>
    </row>
    <row r="4" spans="1:21" x14ac:dyDescent="0.35">
      <c r="A4" s="17"/>
      <c r="B4" s="103"/>
      <c r="C4" s="108"/>
      <c r="D4" s="105" t="s">
        <v>989</v>
      </c>
      <c r="E4" s="18" t="s">
        <v>16</v>
      </c>
      <c r="F4" s="18"/>
      <c r="G4" s="90"/>
      <c r="H4" s="18"/>
      <c r="I4" s="90"/>
      <c r="J4" s="18"/>
      <c r="K4" s="90">
        <v>30</v>
      </c>
      <c r="L4" s="18">
        <v>5</v>
      </c>
      <c r="M4" s="90">
        <v>7</v>
      </c>
      <c r="N4" s="18"/>
      <c r="O4" s="14"/>
      <c r="S4" s="18"/>
      <c r="T4" s="18"/>
      <c r="U4" s="18"/>
    </row>
    <row r="5" spans="1:21" x14ac:dyDescent="0.35">
      <c r="A5" s="17"/>
      <c r="B5" s="103"/>
      <c r="C5" s="108"/>
      <c r="D5" s="105" t="s">
        <v>990</v>
      </c>
      <c r="E5" s="18" t="s">
        <v>17</v>
      </c>
      <c r="F5" s="18"/>
      <c r="G5" s="90"/>
      <c r="H5" s="18"/>
      <c r="I5" s="90"/>
      <c r="J5" s="18"/>
      <c r="K5" s="90">
        <v>30</v>
      </c>
      <c r="L5" s="18">
        <v>5</v>
      </c>
      <c r="M5" s="90">
        <v>7</v>
      </c>
      <c r="N5" s="18"/>
      <c r="O5" s="14"/>
      <c r="S5" s="18"/>
      <c r="T5" s="18"/>
      <c r="U5" s="18"/>
    </row>
    <row r="6" spans="1:21" ht="49.5" x14ac:dyDescent="0.35">
      <c r="A6" s="17"/>
      <c r="B6" s="103"/>
      <c r="C6" s="108"/>
      <c r="D6" s="105" t="s">
        <v>991</v>
      </c>
      <c r="E6" s="18" t="s">
        <v>994</v>
      </c>
      <c r="F6" s="18"/>
      <c r="G6" s="90"/>
      <c r="H6" s="18"/>
      <c r="I6" s="90"/>
      <c r="J6" s="18"/>
      <c r="K6" s="90"/>
      <c r="L6" s="18"/>
      <c r="M6" s="90"/>
      <c r="N6" s="18"/>
      <c r="O6" s="14"/>
      <c r="Q6" s="100" t="str">
        <f>uberTipCN(E6,G3:M3)</f>
        <v>使用防御姿态，提升招架几率45%和招架免伤100%，并且反射下一次指向你的法术。|n在成功地招架攻击以后，会反弹招架攻击吸收的伤害并且造成大量仇恨。</v>
      </c>
      <c r="S6" s="18"/>
      <c r="T6" s="18"/>
      <c r="U6" s="18"/>
    </row>
    <row r="7" spans="1:21" ht="49.5" x14ac:dyDescent="0.35">
      <c r="A7" s="17"/>
      <c r="B7" s="103"/>
      <c r="C7" s="108"/>
      <c r="D7" s="105" t="s">
        <v>992</v>
      </c>
      <c r="E7" s="18" t="s">
        <v>995</v>
      </c>
      <c r="F7" s="18"/>
      <c r="G7" s="90"/>
      <c r="H7" s="18"/>
      <c r="I7" s="90"/>
      <c r="J7" s="18"/>
      <c r="K7" s="90"/>
      <c r="L7" s="18"/>
      <c r="M7" s="90"/>
      <c r="N7" s="18"/>
      <c r="O7" s="14"/>
      <c r="Q7" s="100" t="str">
        <f>uberTipCN(E7,G4:M4)</f>
        <v>使用防御姿态，提升招架几率60%和招架免伤150%，并且反射下一次指向你的法术。|n在成功地招架攻击以后，会反弹招架攻击吸收的伤害并且造成大量仇恨。</v>
      </c>
      <c r="S7" s="18"/>
      <c r="T7" s="18"/>
      <c r="U7" s="18"/>
    </row>
    <row r="8" spans="1:21" ht="49.5" x14ac:dyDescent="0.35">
      <c r="A8" s="17"/>
      <c r="B8" s="103"/>
      <c r="C8" s="108"/>
      <c r="D8" s="105" t="s">
        <v>993</v>
      </c>
      <c r="E8" s="18" t="s">
        <v>996</v>
      </c>
      <c r="F8" s="18"/>
      <c r="G8" s="90"/>
      <c r="H8" s="18"/>
      <c r="I8" s="90"/>
      <c r="J8" s="18"/>
      <c r="K8" s="90"/>
      <c r="L8" s="18"/>
      <c r="M8" s="90"/>
      <c r="N8" s="18"/>
      <c r="O8" s="14"/>
      <c r="Q8" s="100" t="str">
        <f>uberTipCN(E8,G5:M5)</f>
        <v>使用防御姿态，提升招架几率75%和招架免伤200%，并且反射下一次指向你的法术。|n在成功地招架攻击以后，会反弹招架攻击吸收的伤害并且造成大量仇恨。</v>
      </c>
      <c r="S8" s="18"/>
      <c r="T8" s="18"/>
      <c r="U8" s="18"/>
    </row>
    <row r="9" spans="1:21" ht="33" x14ac:dyDescent="0.35">
      <c r="A9" s="19"/>
      <c r="B9" s="97" t="s">
        <v>26</v>
      </c>
      <c r="C9" s="105" t="s">
        <v>898</v>
      </c>
      <c r="D9" s="105"/>
      <c r="E9" s="18" t="s">
        <v>27</v>
      </c>
      <c r="F9" s="18"/>
      <c r="G9" s="90"/>
      <c r="H9" s="18"/>
      <c r="I9" s="90"/>
      <c r="J9" s="18"/>
      <c r="K9" s="90"/>
      <c r="L9" s="18"/>
      <c r="M9" s="90"/>
      <c r="N9" s="18" t="s">
        <v>935</v>
      </c>
      <c r="O9" s="20"/>
      <c r="S9" s="18" t="s">
        <v>28</v>
      </c>
      <c r="T9" s="18" t="s">
        <v>29</v>
      </c>
      <c r="U9" s="18" t="s">
        <v>30</v>
      </c>
    </row>
    <row r="10" spans="1:21" ht="66" x14ac:dyDescent="0.35">
      <c r="A10" s="19"/>
      <c r="B10" s="97" t="s">
        <v>32</v>
      </c>
      <c r="C10" s="105" t="s">
        <v>899</v>
      </c>
      <c r="D10" s="105"/>
      <c r="E10" s="18" t="s">
        <v>33</v>
      </c>
      <c r="F10" s="18"/>
      <c r="G10" s="90"/>
      <c r="H10" s="18"/>
      <c r="I10" s="90"/>
      <c r="J10" s="18"/>
      <c r="K10" s="90"/>
      <c r="L10" s="18"/>
      <c r="M10" s="90"/>
      <c r="N10" s="18" t="s">
        <v>936</v>
      </c>
      <c r="O10" s="14"/>
      <c r="P10" s="21"/>
      <c r="Q10" s="109"/>
      <c r="R10" s="109"/>
      <c r="S10" s="18" t="s">
        <v>34</v>
      </c>
      <c r="T10" s="18" t="s">
        <v>35</v>
      </c>
      <c r="U10" s="18" t="s">
        <v>36</v>
      </c>
    </row>
    <row r="11" spans="1:21" ht="33" x14ac:dyDescent="0.35">
      <c r="A11" s="19"/>
      <c r="B11" s="97" t="s">
        <v>37</v>
      </c>
      <c r="C11" s="105" t="s">
        <v>900</v>
      </c>
      <c r="D11" s="105"/>
      <c r="E11" s="18" t="s">
        <v>38</v>
      </c>
      <c r="F11" s="18"/>
      <c r="G11" s="90"/>
      <c r="H11" s="18"/>
      <c r="I11" s="90"/>
      <c r="J11" s="18"/>
      <c r="K11" s="90"/>
      <c r="L11" s="18"/>
      <c r="M11" s="90"/>
      <c r="N11" s="18" t="s">
        <v>937</v>
      </c>
      <c r="O11" s="14"/>
      <c r="S11" s="18" t="s">
        <v>39</v>
      </c>
      <c r="T11" s="18" t="s">
        <v>40</v>
      </c>
      <c r="U11" s="18" t="s">
        <v>41</v>
      </c>
    </row>
    <row r="12" spans="1:21" ht="33" x14ac:dyDescent="0.35">
      <c r="A12" s="19"/>
      <c r="B12" s="97" t="s">
        <v>42</v>
      </c>
      <c r="C12" s="105" t="s">
        <v>901</v>
      </c>
      <c r="D12" s="105"/>
      <c r="E12" s="18" t="s">
        <v>43</v>
      </c>
      <c r="F12" s="18"/>
      <c r="G12" s="90"/>
      <c r="H12" s="18"/>
      <c r="I12" s="90"/>
      <c r="J12" s="18"/>
      <c r="K12" s="90"/>
      <c r="L12" s="18"/>
      <c r="M12" s="90"/>
      <c r="N12" s="18" t="s">
        <v>938</v>
      </c>
      <c r="O12" s="14"/>
      <c r="S12" s="18" t="s">
        <v>44</v>
      </c>
      <c r="T12" s="18" t="s">
        <v>45</v>
      </c>
      <c r="U12" s="18" t="s">
        <v>46</v>
      </c>
    </row>
    <row r="13" spans="1:21" x14ac:dyDescent="0.35">
      <c r="A13" s="19"/>
      <c r="B13" s="97" t="s">
        <v>47</v>
      </c>
      <c r="C13" s="105"/>
      <c r="D13" s="105"/>
      <c r="E13" s="18"/>
      <c r="F13" s="18"/>
      <c r="G13" s="90"/>
      <c r="H13" s="18"/>
      <c r="I13" s="90"/>
      <c r="J13" s="18"/>
      <c r="K13" s="90"/>
      <c r="L13" s="18"/>
      <c r="M13" s="90"/>
      <c r="N13" s="18"/>
      <c r="O13" s="14"/>
      <c r="S13" s="18"/>
      <c r="T13" s="18"/>
      <c r="U13" s="18"/>
    </row>
    <row r="14" spans="1:21" ht="33" x14ac:dyDescent="0.35">
      <c r="A14" s="22" t="s">
        <v>48</v>
      </c>
      <c r="B14" s="98" t="s">
        <v>49</v>
      </c>
      <c r="C14" s="40"/>
      <c r="D14" s="40"/>
      <c r="E14" s="15" t="s">
        <v>50</v>
      </c>
      <c r="F14" s="15"/>
      <c r="G14" s="86"/>
      <c r="H14" s="15"/>
      <c r="I14" s="86"/>
      <c r="J14" s="15"/>
      <c r="K14" s="86"/>
      <c r="L14" s="15"/>
      <c r="M14" s="86"/>
      <c r="N14" s="15" t="s">
        <v>939</v>
      </c>
      <c r="O14" s="14"/>
      <c r="S14" s="15" t="s">
        <v>51</v>
      </c>
      <c r="T14" s="15" t="s">
        <v>52</v>
      </c>
      <c r="U14" s="15" t="s">
        <v>53</v>
      </c>
    </row>
    <row r="15" spans="1:21" ht="49.5" x14ac:dyDescent="0.35">
      <c r="A15" s="23"/>
      <c r="B15" s="98" t="s">
        <v>54</v>
      </c>
      <c r="C15" s="40"/>
      <c r="D15" s="40"/>
      <c r="E15" s="15" t="s">
        <v>55</v>
      </c>
      <c r="F15" s="15"/>
      <c r="G15" s="86"/>
      <c r="H15" s="15"/>
      <c r="I15" s="86"/>
      <c r="J15" s="15"/>
      <c r="K15" s="86"/>
      <c r="L15" s="15"/>
      <c r="M15" s="86"/>
      <c r="N15" s="15" t="s">
        <v>940</v>
      </c>
      <c r="O15" s="14"/>
      <c r="S15" s="15" t="s">
        <v>56</v>
      </c>
      <c r="T15" s="15" t="s">
        <v>57</v>
      </c>
      <c r="U15" s="15" t="s">
        <v>58</v>
      </c>
    </row>
    <row r="16" spans="1:21" ht="49.5" x14ac:dyDescent="0.35">
      <c r="A16" s="23"/>
      <c r="B16" s="98" t="s">
        <v>59</v>
      </c>
      <c r="C16" s="40"/>
      <c r="D16" s="40"/>
      <c r="E16" s="15" t="s">
        <v>60</v>
      </c>
      <c r="F16" s="15"/>
      <c r="G16" s="86"/>
      <c r="H16" s="15"/>
      <c r="I16" s="86"/>
      <c r="J16" s="15"/>
      <c r="K16" s="86"/>
      <c r="L16" s="15"/>
      <c r="M16" s="86"/>
      <c r="N16" s="15" t="s">
        <v>941</v>
      </c>
      <c r="O16" s="14"/>
      <c r="S16" s="15" t="s">
        <v>61</v>
      </c>
      <c r="T16" s="15" t="s">
        <v>62</v>
      </c>
      <c r="U16" s="15" t="s">
        <v>63</v>
      </c>
    </row>
    <row r="17" spans="1:21" ht="49.5" x14ac:dyDescent="0.35">
      <c r="A17" s="23"/>
      <c r="B17" s="98" t="s">
        <v>64</v>
      </c>
      <c r="C17" s="40"/>
      <c r="D17" s="40"/>
      <c r="E17" s="15" t="s">
        <v>65</v>
      </c>
      <c r="F17" s="15"/>
      <c r="G17" s="86"/>
      <c r="H17" s="15"/>
      <c r="I17" s="86"/>
      <c r="J17" s="15"/>
      <c r="K17" s="86"/>
      <c r="L17" s="15"/>
      <c r="M17" s="86"/>
      <c r="N17" s="15" t="s">
        <v>942</v>
      </c>
      <c r="O17" s="14"/>
      <c r="S17" s="15" t="s">
        <v>66</v>
      </c>
      <c r="T17" s="15" t="s">
        <v>67</v>
      </c>
      <c r="U17" s="15" t="s">
        <v>69</v>
      </c>
    </row>
    <row r="18" spans="1:21" ht="66" x14ac:dyDescent="0.35">
      <c r="A18" s="23"/>
      <c r="B18" s="98" t="s">
        <v>70</v>
      </c>
      <c r="C18" s="40"/>
      <c r="D18" s="40"/>
      <c r="E18" s="15" t="s">
        <v>71</v>
      </c>
      <c r="F18" s="15"/>
      <c r="G18" s="86"/>
      <c r="H18" s="15"/>
      <c r="I18" s="86"/>
      <c r="J18" s="15"/>
      <c r="K18" s="86"/>
      <c r="L18" s="15"/>
      <c r="M18" s="86"/>
      <c r="N18" s="15" t="s">
        <v>943</v>
      </c>
      <c r="O18" s="14"/>
      <c r="S18" s="15" t="s">
        <v>72</v>
      </c>
      <c r="T18" s="15" t="s">
        <v>73</v>
      </c>
      <c r="U18" s="15" t="s">
        <v>74</v>
      </c>
    </row>
    <row r="19" spans="1:21" x14ac:dyDescent="0.35">
      <c r="A19" s="23"/>
      <c r="B19" s="97" t="s">
        <v>47</v>
      </c>
      <c r="C19" s="58"/>
      <c r="D19" s="58"/>
      <c r="E19" s="24"/>
      <c r="F19" s="24"/>
      <c r="G19" s="91"/>
      <c r="H19" s="24"/>
      <c r="I19" s="91"/>
      <c r="J19" s="24"/>
      <c r="K19" s="91"/>
      <c r="L19" s="24"/>
      <c r="M19" s="91"/>
      <c r="N19" s="24"/>
      <c r="O19" s="14"/>
      <c r="S19" s="24"/>
      <c r="T19" s="24"/>
      <c r="U19" s="24"/>
    </row>
    <row r="20" spans="1:21" ht="33" x14ac:dyDescent="0.35">
      <c r="A20" s="25" t="s">
        <v>83</v>
      </c>
      <c r="B20" s="97" t="s">
        <v>84</v>
      </c>
      <c r="C20" s="105"/>
      <c r="D20" s="105"/>
      <c r="E20" s="18" t="s">
        <v>85</v>
      </c>
      <c r="F20" s="18"/>
      <c r="G20" s="90"/>
      <c r="H20" s="18"/>
      <c r="I20" s="90"/>
      <c r="J20" s="18"/>
      <c r="K20" s="90"/>
      <c r="L20" s="18"/>
      <c r="M20" s="90"/>
      <c r="N20" s="18" t="s">
        <v>944</v>
      </c>
      <c r="O20" s="20"/>
      <c r="S20" s="18" t="s">
        <v>86</v>
      </c>
      <c r="T20" s="18" t="s">
        <v>87</v>
      </c>
      <c r="U20" s="18" t="s">
        <v>88</v>
      </c>
    </row>
    <row r="21" spans="1:21" ht="115.5" x14ac:dyDescent="0.35">
      <c r="A21" s="19"/>
      <c r="B21" s="97" t="s">
        <v>89</v>
      </c>
      <c r="C21" s="105"/>
      <c r="D21" s="105"/>
      <c r="E21" s="18" t="s">
        <v>90</v>
      </c>
      <c r="F21" s="18"/>
      <c r="G21" s="90"/>
      <c r="H21" s="18"/>
      <c r="I21" s="90"/>
      <c r="J21" s="18"/>
      <c r="K21" s="90"/>
      <c r="L21" s="18"/>
      <c r="M21" s="90"/>
      <c r="N21" s="18" t="s">
        <v>945</v>
      </c>
      <c r="O21" s="20"/>
      <c r="S21" s="18" t="s">
        <v>91</v>
      </c>
      <c r="T21" s="18" t="s">
        <v>92</v>
      </c>
      <c r="U21" s="18" t="s">
        <v>93</v>
      </c>
    </row>
    <row r="22" spans="1:21" ht="82.5" x14ac:dyDescent="0.35">
      <c r="A22" s="19"/>
      <c r="B22" s="97" t="s">
        <v>94</v>
      </c>
      <c r="C22" s="105"/>
      <c r="D22" s="105"/>
      <c r="E22" s="18" t="s">
        <v>95</v>
      </c>
      <c r="F22" s="18"/>
      <c r="G22" s="90"/>
      <c r="H22" s="18"/>
      <c r="I22" s="90"/>
      <c r="J22" s="18"/>
      <c r="K22" s="90"/>
      <c r="L22" s="18"/>
      <c r="M22" s="90"/>
      <c r="N22" s="18" t="s">
        <v>946</v>
      </c>
      <c r="O22" s="20"/>
      <c r="S22" s="18" t="s">
        <v>96</v>
      </c>
      <c r="T22" s="18" t="s">
        <v>97</v>
      </c>
      <c r="U22" s="18" t="s">
        <v>98</v>
      </c>
    </row>
    <row r="23" spans="1:21" ht="66" x14ac:dyDescent="0.35">
      <c r="A23" s="19"/>
      <c r="B23" s="97" t="s">
        <v>99</v>
      </c>
      <c r="C23" s="105"/>
      <c r="D23" s="105"/>
      <c r="E23" s="18" t="s">
        <v>100</v>
      </c>
      <c r="F23" s="18"/>
      <c r="G23" s="90"/>
      <c r="H23" s="18"/>
      <c r="I23" s="90"/>
      <c r="J23" s="18"/>
      <c r="K23" s="90"/>
      <c r="L23" s="18"/>
      <c r="M23" s="90"/>
      <c r="N23" s="18" t="s">
        <v>947</v>
      </c>
      <c r="O23" s="14"/>
      <c r="S23" s="18" t="s">
        <v>101</v>
      </c>
      <c r="T23" s="18" t="s">
        <v>102</v>
      </c>
      <c r="U23" s="18" t="s">
        <v>103</v>
      </c>
    </row>
    <row r="24" spans="1:21" ht="49.5" x14ac:dyDescent="0.35">
      <c r="A24" s="19"/>
      <c r="B24" s="97" t="s">
        <v>104</v>
      </c>
      <c r="C24" s="105"/>
      <c r="D24" s="105"/>
      <c r="E24" s="18" t="s">
        <v>105</v>
      </c>
      <c r="F24" s="18"/>
      <c r="G24" s="90"/>
      <c r="H24" s="18"/>
      <c r="I24" s="90"/>
      <c r="J24" s="18"/>
      <c r="K24" s="90"/>
      <c r="L24" s="18"/>
      <c r="M24" s="90"/>
      <c r="N24" s="18"/>
      <c r="O24" s="20"/>
      <c r="S24" s="18" t="s">
        <v>106</v>
      </c>
      <c r="T24" s="18" t="s">
        <v>107</v>
      </c>
      <c r="U24" s="18" t="s">
        <v>109</v>
      </c>
    </row>
    <row r="25" spans="1:21" x14ac:dyDescent="0.35">
      <c r="A25" s="19"/>
      <c r="B25" s="97" t="s">
        <v>47</v>
      </c>
      <c r="C25" s="105"/>
      <c r="D25" s="105"/>
      <c r="E25" s="18"/>
      <c r="F25" s="18"/>
      <c r="G25" s="90"/>
      <c r="H25" s="18"/>
      <c r="I25" s="90"/>
      <c r="J25" s="18"/>
      <c r="K25" s="90"/>
      <c r="L25" s="18"/>
      <c r="M25" s="90"/>
      <c r="N25" s="18"/>
      <c r="O25" s="14"/>
      <c r="S25" s="18"/>
      <c r="T25" s="18"/>
      <c r="U25" s="18"/>
    </row>
    <row r="26" spans="1:21" ht="49.5" x14ac:dyDescent="0.35">
      <c r="A26" s="26" t="s">
        <v>114</v>
      </c>
      <c r="B26" s="98" t="s">
        <v>155</v>
      </c>
      <c r="C26" s="40"/>
      <c r="D26" s="40"/>
      <c r="E26" s="15" t="s">
        <v>156</v>
      </c>
      <c r="F26" s="15"/>
      <c r="G26" s="86"/>
      <c r="H26" s="15"/>
      <c r="I26" s="86"/>
      <c r="J26" s="15"/>
      <c r="K26" s="86"/>
      <c r="L26" s="15"/>
      <c r="M26" s="86"/>
      <c r="N26" s="15" t="s">
        <v>948</v>
      </c>
      <c r="O26" s="14"/>
      <c r="S26" s="15" t="s">
        <v>157</v>
      </c>
      <c r="T26" s="15" t="s">
        <v>158</v>
      </c>
      <c r="U26" s="15" t="s">
        <v>161</v>
      </c>
    </row>
    <row r="27" spans="1:21" ht="132" x14ac:dyDescent="0.35">
      <c r="A27" s="23"/>
      <c r="B27" s="98" t="s">
        <v>162</v>
      </c>
      <c r="C27" s="40"/>
      <c r="D27" s="40"/>
      <c r="E27" s="15" t="s">
        <v>163</v>
      </c>
      <c r="F27" s="15"/>
      <c r="G27" s="86"/>
      <c r="H27" s="15"/>
      <c r="I27" s="86"/>
      <c r="J27" s="15"/>
      <c r="K27" s="86"/>
      <c r="L27" s="15"/>
      <c r="M27" s="86"/>
      <c r="N27" s="15" t="s">
        <v>982</v>
      </c>
      <c r="O27" s="14"/>
      <c r="S27" s="15" t="s">
        <v>164</v>
      </c>
      <c r="T27" s="15" t="s">
        <v>165</v>
      </c>
      <c r="U27" s="15" t="s">
        <v>166</v>
      </c>
    </row>
    <row r="28" spans="1:21" ht="115.5" x14ac:dyDescent="0.35">
      <c r="A28" s="23"/>
      <c r="B28" s="98" t="s">
        <v>167</v>
      </c>
      <c r="C28" s="40"/>
      <c r="D28" s="40"/>
      <c r="E28" s="15" t="s">
        <v>168</v>
      </c>
      <c r="F28" s="15"/>
      <c r="G28" s="86"/>
      <c r="H28" s="15"/>
      <c r="I28" s="86"/>
      <c r="J28" s="15"/>
      <c r="K28" s="86"/>
      <c r="L28" s="15"/>
      <c r="M28" s="86"/>
      <c r="N28" s="15" t="s">
        <v>949</v>
      </c>
      <c r="O28" s="14"/>
      <c r="S28" s="15" t="s">
        <v>169</v>
      </c>
      <c r="T28" s="15" t="s">
        <v>170</v>
      </c>
      <c r="U28" s="15" t="s">
        <v>171</v>
      </c>
    </row>
    <row r="29" spans="1:21" ht="33" x14ac:dyDescent="0.35">
      <c r="A29" s="23"/>
      <c r="B29" s="98" t="s">
        <v>172</v>
      </c>
      <c r="C29" s="40"/>
      <c r="D29" s="40"/>
      <c r="E29" s="15" t="s">
        <v>173</v>
      </c>
      <c r="F29" s="15"/>
      <c r="G29" s="86"/>
      <c r="H29" s="15"/>
      <c r="I29" s="86"/>
      <c r="J29" s="15"/>
      <c r="K29" s="86"/>
      <c r="L29" s="15"/>
      <c r="M29" s="86"/>
      <c r="N29" s="15" t="s">
        <v>950</v>
      </c>
      <c r="O29" s="14"/>
      <c r="S29" s="15" t="s">
        <v>174</v>
      </c>
      <c r="T29" s="15" t="s">
        <v>177</v>
      </c>
      <c r="U29" s="15" t="s">
        <v>178</v>
      </c>
    </row>
    <row r="30" spans="1:21" ht="49.5" x14ac:dyDescent="0.35">
      <c r="A30" s="23"/>
      <c r="B30" s="98" t="s">
        <v>179</v>
      </c>
      <c r="C30" s="40"/>
      <c r="D30" s="40"/>
      <c r="E30" s="15" t="s">
        <v>180</v>
      </c>
      <c r="F30" s="15"/>
      <c r="G30" s="86"/>
      <c r="H30" s="15"/>
      <c r="I30" s="86"/>
      <c r="J30" s="15"/>
      <c r="K30" s="86"/>
      <c r="L30" s="15"/>
      <c r="M30" s="86"/>
      <c r="N30" s="15" t="s">
        <v>951</v>
      </c>
      <c r="O30" s="14"/>
      <c r="S30" s="15" t="s">
        <v>181</v>
      </c>
      <c r="T30" s="15" t="s">
        <v>182</v>
      </c>
      <c r="U30" s="15" t="s">
        <v>183</v>
      </c>
    </row>
    <row r="31" spans="1:21" x14ac:dyDescent="0.35">
      <c r="A31" s="23"/>
      <c r="B31" s="98" t="s">
        <v>47</v>
      </c>
      <c r="C31" s="40"/>
      <c r="D31" s="40"/>
      <c r="E31" s="15"/>
      <c r="F31" s="15"/>
      <c r="G31" s="86"/>
      <c r="H31" s="15"/>
      <c r="I31" s="86"/>
      <c r="J31" s="15"/>
      <c r="K31" s="86"/>
      <c r="L31" s="15"/>
      <c r="M31" s="86"/>
      <c r="N31" s="15" t="s">
        <v>185</v>
      </c>
      <c r="O31" s="14"/>
      <c r="S31" s="15"/>
      <c r="T31" s="15"/>
      <c r="U31" s="15"/>
    </row>
    <row r="32" spans="1:21" ht="49.5" x14ac:dyDescent="0.35">
      <c r="A32" s="27" t="s">
        <v>186</v>
      </c>
      <c r="B32" s="97" t="s">
        <v>188</v>
      </c>
      <c r="C32" s="105"/>
      <c r="D32" s="105"/>
      <c r="E32" s="18" t="s">
        <v>189</v>
      </c>
      <c r="F32" s="18"/>
      <c r="G32" s="90"/>
      <c r="H32" s="18"/>
      <c r="I32" s="90"/>
      <c r="J32" s="18"/>
      <c r="K32" s="90"/>
      <c r="L32" s="18"/>
      <c r="M32" s="90"/>
      <c r="N32" s="18" t="s">
        <v>952</v>
      </c>
      <c r="O32" s="20"/>
      <c r="S32" s="18" t="s">
        <v>190</v>
      </c>
      <c r="T32" s="18" t="s">
        <v>191</v>
      </c>
      <c r="U32" s="18" t="s">
        <v>192</v>
      </c>
    </row>
    <row r="33" spans="1:21" ht="49.5" x14ac:dyDescent="0.35">
      <c r="A33" s="19"/>
      <c r="B33" s="97" t="s">
        <v>193</v>
      </c>
      <c r="C33" s="105"/>
      <c r="D33" s="105"/>
      <c r="E33" s="18" t="s">
        <v>194</v>
      </c>
      <c r="F33" s="18"/>
      <c r="G33" s="90"/>
      <c r="H33" s="18"/>
      <c r="I33" s="90"/>
      <c r="J33" s="18"/>
      <c r="K33" s="90"/>
      <c r="L33" s="18"/>
      <c r="M33" s="90"/>
      <c r="N33" s="18" t="s">
        <v>198</v>
      </c>
      <c r="O33" s="14"/>
      <c r="S33" s="18" t="s">
        <v>195</v>
      </c>
      <c r="T33" s="18" t="s">
        <v>196</v>
      </c>
      <c r="U33" s="18" t="s">
        <v>197</v>
      </c>
    </row>
    <row r="34" spans="1:21" ht="82.5" x14ac:dyDescent="0.35">
      <c r="A34" s="19"/>
      <c r="B34" s="97" t="s">
        <v>199</v>
      </c>
      <c r="C34" s="105"/>
      <c r="D34" s="105"/>
      <c r="E34" s="18" t="s">
        <v>200</v>
      </c>
      <c r="F34" s="18"/>
      <c r="G34" s="90"/>
      <c r="H34" s="18"/>
      <c r="I34" s="90"/>
      <c r="J34" s="18"/>
      <c r="K34" s="90"/>
      <c r="L34" s="18"/>
      <c r="M34" s="90"/>
      <c r="N34" s="18" t="s">
        <v>934</v>
      </c>
      <c r="O34" s="14"/>
      <c r="S34" s="18" t="s">
        <v>201</v>
      </c>
      <c r="T34" s="18" t="s">
        <v>202</v>
      </c>
      <c r="U34" s="18" t="s">
        <v>203</v>
      </c>
    </row>
    <row r="35" spans="1:21" ht="66" x14ac:dyDescent="0.35">
      <c r="A35" s="19"/>
      <c r="B35" s="97" t="s">
        <v>204</v>
      </c>
      <c r="C35" s="105"/>
      <c r="D35" s="105"/>
      <c r="E35" s="18" t="s">
        <v>205</v>
      </c>
      <c r="F35" s="18"/>
      <c r="G35" s="90"/>
      <c r="H35" s="18"/>
      <c r="I35" s="90"/>
      <c r="J35" s="18"/>
      <c r="K35" s="90"/>
      <c r="L35" s="18"/>
      <c r="M35" s="90"/>
      <c r="N35" s="18" t="s">
        <v>953</v>
      </c>
      <c r="O35" s="14"/>
      <c r="S35" s="18" t="s">
        <v>206</v>
      </c>
      <c r="T35" s="18" t="s">
        <v>207</v>
      </c>
      <c r="U35" s="18" t="s">
        <v>208</v>
      </c>
    </row>
    <row r="36" spans="1:21" x14ac:dyDescent="0.35">
      <c r="A36" s="19"/>
      <c r="B36" s="97" t="s">
        <v>212</v>
      </c>
      <c r="C36" s="105"/>
      <c r="D36" s="105"/>
      <c r="E36" s="18" t="s">
        <v>954</v>
      </c>
      <c r="F36" s="18"/>
      <c r="G36" s="90"/>
      <c r="H36" s="18"/>
      <c r="I36" s="90"/>
      <c r="J36" s="18"/>
      <c r="K36" s="90"/>
      <c r="L36" s="18"/>
      <c r="M36" s="90"/>
      <c r="N36" s="18" t="s">
        <v>942</v>
      </c>
      <c r="O36" s="14"/>
      <c r="S36" s="18" t="s">
        <v>215</v>
      </c>
      <c r="T36" s="18" t="s">
        <v>909</v>
      </c>
      <c r="U36" s="18" t="s">
        <v>910</v>
      </c>
    </row>
    <row r="37" spans="1:21" x14ac:dyDescent="0.35">
      <c r="A37" s="19"/>
      <c r="B37" s="97" t="s">
        <v>47</v>
      </c>
      <c r="C37" s="105"/>
      <c r="D37" s="105"/>
      <c r="E37" s="18"/>
      <c r="F37" s="18"/>
      <c r="G37" s="90"/>
      <c r="H37" s="18"/>
      <c r="I37" s="90"/>
      <c r="J37" s="18"/>
      <c r="K37" s="90"/>
      <c r="L37" s="18"/>
      <c r="M37" s="90"/>
      <c r="N37" s="18"/>
      <c r="O37" s="14"/>
      <c r="S37" s="18"/>
      <c r="T37" s="18"/>
      <c r="U37" s="18"/>
    </row>
    <row r="38" spans="1:21" ht="33" x14ac:dyDescent="0.35">
      <c r="A38" s="28" t="s">
        <v>221</v>
      </c>
      <c r="B38" s="97" t="s">
        <v>234</v>
      </c>
      <c r="C38" s="58"/>
      <c r="D38" s="58"/>
      <c r="E38" s="24" t="s">
        <v>235</v>
      </c>
      <c r="F38" s="24"/>
      <c r="G38" s="91"/>
      <c r="H38" s="24"/>
      <c r="I38" s="91"/>
      <c r="J38" s="24"/>
      <c r="K38" s="91"/>
      <c r="L38" s="24"/>
      <c r="M38" s="91"/>
      <c r="N38" s="24" t="s">
        <v>238</v>
      </c>
      <c r="O38" s="14"/>
      <c r="S38" s="24"/>
      <c r="T38" s="24" t="s">
        <v>236</v>
      </c>
      <c r="U38" s="24" t="s">
        <v>237</v>
      </c>
    </row>
    <row r="39" spans="1:21" x14ac:dyDescent="0.35">
      <c r="A39" s="19"/>
      <c r="B39" s="97" t="s">
        <v>239</v>
      </c>
      <c r="C39" s="58"/>
      <c r="D39" s="58"/>
      <c r="E39" s="24" t="s">
        <v>240</v>
      </c>
      <c r="F39" s="24"/>
      <c r="G39" s="91"/>
      <c r="H39" s="24"/>
      <c r="I39" s="91"/>
      <c r="J39" s="24"/>
      <c r="K39" s="91"/>
      <c r="L39" s="24"/>
      <c r="M39" s="91"/>
      <c r="N39" s="24" t="s">
        <v>244</v>
      </c>
      <c r="O39" s="14"/>
      <c r="S39" s="24" t="s">
        <v>241</v>
      </c>
      <c r="T39" s="24" t="s">
        <v>242</v>
      </c>
      <c r="U39" s="24" t="s">
        <v>243</v>
      </c>
    </row>
    <row r="40" spans="1:21" ht="49.5" x14ac:dyDescent="0.35">
      <c r="A40" s="19"/>
      <c r="B40" s="97" t="s">
        <v>245</v>
      </c>
      <c r="C40" s="58"/>
      <c r="D40" s="58"/>
      <c r="E40" s="24" t="s">
        <v>246</v>
      </c>
      <c r="F40" s="24"/>
      <c r="G40" s="91"/>
      <c r="H40" s="24"/>
      <c r="I40" s="91"/>
      <c r="J40" s="24"/>
      <c r="K40" s="91"/>
      <c r="L40" s="24"/>
      <c r="M40" s="91"/>
      <c r="N40" s="24" t="s">
        <v>198</v>
      </c>
      <c r="O40" s="14"/>
      <c r="S40" s="24" t="s">
        <v>955</v>
      </c>
      <c r="T40" s="24" t="s">
        <v>956</v>
      </c>
      <c r="U40" s="24" t="s">
        <v>957</v>
      </c>
    </row>
    <row r="41" spans="1:21" ht="82.5" x14ac:dyDescent="0.35">
      <c r="A41" s="19"/>
      <c r="B41" s="97" t="s">
        <v>250</v>
      </c>
      <c r="C41" s="58"/>
      <c r="D41" s="58"/>
      <c r="E41" s="24" t="s">
        <v>911</v>
      </c>
      <c r="F41" s="24"/>
      <c r="G41" s="91"/>
      <c r="H41" s="24"/>
      <c r="I41" s="91"/>
      <c r="J41" s="24"/>
      <c r="K41" s="91"/>
      <c r="L41" s="24"/>
      <c r="M41" s="91"/>
      <c r="N41" s="24" t="s">
        <v>913</v>
      </c>
      <c r="O41" s="14"/>
      <c r="S41" s="24" t="s">
        <v>251</v>
      </c>
      <c r="T41" s="24" t="s">
        <v>912</v>
      </c>
      <c r="U41" s="24" t="s">
        <v>252</v>
      </c>
    </row>
    <row r="42" spans="1:21" ht="33" x14ac:dyDescent="0.35">
      <c r="A42" s="19"/>
      <c r="B42" s="97" t="s">
        <v>253</v>
      </c>
      <c r="C42" s="58"/>
      <c r="D42" s="58"/>
      <c r="E42" s="24" t="s">
        <v>914</v>
      </c>
      <c r="F42" s="24"/>
      <c r="G42" s="91"/>
      <c r="H42" s="24"/>
      <c r="I42" s="91"/>
      <c r="J42" s="24"/>
      <c r="K42" s="91"/>
      <c r="L42" s="24"/>
      <c r="M42" s="91"/>
      <c r="N42" s="24" t="s">
        <v>255</v>
      </c>
      <c r="O42" s="14"/>
      <c r="S42" s="24" t="s">
        <v>254</v>
      </c>
      <c r="T42" s="24" t="s">
        <v>915</v>
      </c>
      <c r="U42" s="24" t="s">
        <v>916</v>
      </c>
    </row>
    <row r="43" spans="1:21" x14ac:dyDescent="0.35">
      <c r="A43" s="19"/>
      <c r="B43" s="97" t="s">
        <v>256</v>
      </c>
      <c r="C43" s="58"/>
      <c r="D43" s="58"/>
      <c r="E43" s="24" t="s">
        <v>257</v>
      </c>
      <c r="F43" s="24"/>
      <c r="G43" s="91"/>
      <c r="H43" s="24"/>
      <c r="I43" s="91"/>
      <c r="J43" s="24"/>
      <c r="K43" s="91"/>
      <c r="L43" s="24"/>
      <c r="M43" s="91"/>
      <c r="N43" s="24" t="s">
        <v>260</v>
      </c>
      <c r="O43" s="14"/>
      <c r="S43" s="24"/>
      <c r="T43" s="24"/>
      <c r="U43" s="24"/>
    </row>
    <row r="44" spans="1:21" x14ac:dyDescent="0.35">
      <c r="A44" s="29"/>
      <c r="B44" s="97" t="s">
        <v>270</v>
      </c>
      <c r="C44" s="106"/>
      <c r="D44" s="106"/>
      <c r="E44" s="30" t="s">
        <v>294</v>
      </c>
      <c r="F44" s="30"/>
      <c r="G44" s="92"/>
      <c r="H44" s="30"/>
      <c r="I44" s="92"/>
      <c r="J44" s="30"/>
      <c r="K44" s="92"/>
      <c r="L44" s="30"/>
      <c r="M44" s="92"/>
      <c r="N44" s="30"/>
      <c r="O44" s="14"/>
      <c r="S44" s="30"/>
      <c r="T44" s="30"/>
      <c r="U44" s="30"/>
    </row>
    <row r="45" spans="1:21" x14ac:dyDescent="0.35">
      <c r="A45" s="29"/>
      <c r="B45" s="97" t="s">
        <v>296</v>
      </c>
      <c r="C45" s="106"/>
      <c r="D45" s="106"/>
      <c r="E45" s="30" t="s">
        <v>917</v>
      </c>
      <c r="F45" s="30"/>
      <c r="G45" s="92"/>
      <c r="H45" s="30"/>
      <c r="I45" s="92"/>
      <c r="J45" s="30"/>
      <c r="K45" s="92"/>
      <c r="L45" s="30"/>
      <c r="M45" s="92"/>
      <c r="N45" s="30"/>
      <c r="O45" s="14"/>
      <c r="S45" s="30"/>
      <c r="T45" s="30"/>
      <c r="U45" s="30"/>
    </row>
    <row r="46" spans="1:21" x14ac:dyDescent="0.35">
      <c r="A46" s="29"/>
      <c r="B46" s="97" t="s">
        <v>297</v>
      </c>
      <c r="C46" s="106"/>
      <c r="D46" s="106"/>
      <c r="E46" s="30" t="s">
        <v>958</v>
      </c>
      <c r="F46" s="30"/>
      <c r="G46" s="92"/>
      <c r="H46" s="30"/>
      <c r="I46" s="92"/>
      <c r="J46" s="30"/>
      <c r="K46" s="92"/>
      <c r="L46" s="30"/>
      <c r="M46" s="92"/>
      <c r="N46" s="30"/>
      <c r="O46" s="14"/>
      <c r="S46" s="30"/>
      <c r="T46" s="30"/>
      <c r="U46" s="30"/>
    </row>
    <row r="47" spans="1:21" ht="66" x14ac:dyDescent="0.35">
      <c r="A47" s="31" t="s">
        <v>298</v>
      </c>
      <c r="B47" s="97" t="s">
        <v>322</v>
      </c>
      <c r="C47" s="105"/>
      <c r="D47" s="105"/>
      <c r="E47" s="18" t="s">
        <v>325</v>
      </c>
      <c r="F47" s="18"/>
      <c r="G47" s="90"/>
      <c r="H47" s="18"/>
      <c r="I47" s="90"/>
      <c r="J47" s="18"/>
      <c r="K47" s="90"/>
      <c r="L47" s="18"/>
      <c r="M47" s="90"/>
      <c r="N47" s="18" t="s">
        <v>918</v>
      </c>
      <c r="O47" s="14"/>
      <c r="S47" s="18" t="s">
        <v>326</v>
      </c>
      <c r="T47" s="18" t="s">
        <v>328</v>
      </c>
      <c r="U47" s="18" t="s">
        <v>329</v>
      </c>
    </row>
    <row r="48" spans="1:21" ht="49.5" x14ac:dyDescent="0.35">
      <c r="A48" s="19"/>
      <c r="B48" s="97" t="s">
        <v>311</v>
      </c>
      <c r="C48" s="105"/>
      <c r="D48" s="105"/>
      <c r="E48" s="18" t="s">
        <v>959</v>
      </c>
      <c r="F48" s="18"/>
      <c r="G48" s="90"/>
      <c r="H48" s="18"/>
      <c r="I48" s="90"/>
      <c r="J48" s="18"/>
      <c r="K48" s="90"/>
      <c r="L48" s="18"/>
      <c r="M48" s="90"/>
      <c r="N48" s="18" t="s">
        <v>920</v>
      </c>
      <c r="O48" s="20"/>
      <c r="S48" s="18"/>
      <c r="T48" s="18" t="s">
        <v>919</v>
      </c>
      <c r="U48" s="18" t="s">
        <v>960</v>
      </c>
    </row>
    <row r="49" spans="1:21" ht="33" x14ac:dyDescent="0.35">
      <c r="A49" s="19"/>
      <c r="B49" s="97" t="s">
        <v>337</v>
      </c>
      <c r="C49" s="105"/>
      <c r="D49" s="105"/>
      <c r="E49" s="18" t="s">
        <v>961</v>
      </c>
      <c r="F49" s="18"/>
      <c r="G49" s="90"/>
      <c r="H49" s="18"/>
      <c r="I49" s="90"/>
      <c r="J49" s="18"/>
      <c r="K49" s="90"/>
      <c r="L49" s="18"/>
      <c r="M49" s="90"/>
      <c r="N49" s="18" t="s">
        <v>921</v>
      </c>
      <c r="O49" s="14"/>
      <c r="S49" s="18" t="s">
        <v>340</v>
      </c>
      <c r="T49" s="18" t="s">
        <v>342</v>
      </c>
      <c r="U49" s="18" t="s">
        <v>962</v>
      </c>
    </row>
    <row r="50" spans="1:21" ht="99" x14ac:dyDescent="0.35">
      <c r="A50" s="19"/>
      <c r="B50" s="97" t="s">
        <v>343</v>
      </c>
      <c r="C50" s="105"/>
      <c r="D50" s="105"/>
      <c r="E50" s="18" t="s">
        <v>344</v>
      </c>
      <c r="F50" s="18"/>
      <c r="G50" s="90"/>
      <c r="H50" s="18"/>
      <c r="I50" s="90"/>
      <c r="J50" s="18"/>
      <c r="K50" s="90"/>
      <c r="L50" s="18"/>
      <c r="M50" s="90"/>
      <c r="N50" s="18" t="s">
        <v>963</v>
      </c>
      <c r="O50" s="14"/>
      <c r="S50" s="18" t="s">
        <v>345</v>
      </c>
      <c r="T50" s="18" t="s">
        <v>346</v>
      </c>
      <c r="U50" s="18" t="s">
        <v>347</v>
      </c>
    </row>
    <row r="51" spans="1:21" ht="115.5" x14ac:dyDescent="0.35">
      <c r="A51" s="19"/>
      <c r="B51" s="97" t="s">
        <v>348</v>
      </c>
      <c r="C51" s="105"/>
      <c r="D51" s="105"/>
      <c r="E51" s="18" t="s">
        <v>964</v>
      </c>
      <c r="F51" s="18"/>
      <c r="G51" s="90"/>
      <c r="H51" s="18"/>
      <c r="I51" s="90"/>
      <c r="J51" s="18"/>
      <c r="K51" s="90"/>
      <c r="L51" s="18"/>
      <c r="M51" s="90"/>
      <c r="N51" s="18" t="s">
        <v>983</v>
      </c>
      <c r="O51" s="14"/>
      <c r="S51" s="18" t="s">
        <v>922</v>
      </c>
      <c r="T51" s="18" t="s">
        <v>965</v>
      </c>
      <c r="U51" s="18" t="s">
        <v>966</v>
      </c>
    </row>
    <row r="52" spans="1:21" x14ac:dyDescent="0.35">
      <c r="A52" s="19"/>
      <c r="B52" s="97" t="s">
        <v>47</v>
      </c>
      <c r="C52" s="105"/>
      <c r="D52" s="105"/>
      <c r="E52" s="18"/>
      <c r="F52" s="18"/>
      <c r="G52" s="90"/>
      <c r="H52" s="18"/>
      <c r="I52" s="90"/>
      <c r="J52" s="18"/>
      <c r="K52" s="90"/>
      <c r="L52" s="18"/>
      <c r="M52" s="90"/>
      <c r="N52" s="18"/>
      <c r="O52" s="14"/>
      <c r="S52" s="18"/>
      <c r="T52" s="18"/>
      <c r="U52" s="18"/>
    </row>
    <row r="53" spans="1:21" ht="33" x14ac:dyDescent="0.35">
      <c r="A53" s="32" t="s">
        <v>350</v>
      </c>
      <c r="B53" s="98" t="s">
        <v>365</v>
      </c>
      <c r="C53" s="40"/>
      <c r="D53" s="40"/>
      <c r="E53" s="15" t="s">
        <v>366</v>
      </c>
      <c r="F53" s="15"/>
      <c r="G53" s="86"/>
      <c r="H53" s="15"/>
      <c r="I53" s="86"/>
      <c r="J53" s="15"/>
      <c r="K53" s="86"/>
      <c r="L53" s="15"/>
      <c r="M53" s="86"/>
      <c r="N53" s="15" t="s">
        <v>968</v>
      </c>
      <c r="O53" s="14"/>
      <c r="S53" s="15" t="s">
        <v>367</v>
      </c>
      <c r="T53" s="15" t="s">
        <v>967</v>
      </c>
      <c r="U53" s="15" t="s">
        <v>369</v>
      </c>
    </row>
    <row r="54" spans="1:21" ht="49.5" x14ac:dyDescent="0.35">
      <c r="A54" s="23"/>
      <c r="B54" s="98" t="s">
        <v>371</v>
      </c>
      <c r="C54" s="40"/>
      <c r="D54" s="40"/>
      <c r="E54" s="15" t="s">
        <v>372</v>
      </c>
      <c r="F54" s="15"/>
      <c r="G54" s="86"/>
      <c r="H54" s="15"/>
      <c r="I54" s="86"/>
      <c r="J54" s="15"/>
      <c r="K54" s="86"/>
      <c r="L54" s="15"/>
      <c r="M54" s="86"/>
      <c r="N54" s="15" t="s">
        <v>969</v>
      </c>
      <c r="O54" s="20"/>
      <c r="S54" s="15" t="s">
        <v>374</v>
      </c>
      <c r="T54" s="15" t="s">
        <v>377</v>
      </c>
      <c r="U54" s="15" t="s">
        <v>379</v>
      </c>
    </row>
    <row r="55" spans="1:21" ht="33" x14ac:dyDescent="0.35">
      <c r="A55" s="23"/>
      <c r="B55" s="98" t="s">
        <v>383</v>
      </c>
      <c r="C55" s="40"/>
      <c r="D55" s="40"/>
      <c r="E55" s="15" t="s">
        <v>385</v>
      </c>
      <c r="F55" s="15"/>
      <c r="G55" s="86"/>
      <c r="H55" s="15"/>
      <c r="I55" s="86"/>
      <c r="J55" s="15"/>
      <c r="K55" s="86"/>
      <c r="L55" s="15"/>
      <c r="M55" s="86"/>
      <c r="N55" s="15" t="s">
        <v>923</v>
      </c>
      <c r="O55" s="14"/>
      <c r="S55" s="15" t="s">
        <v>386</v>
      </c>
      <c r="T55" s="15" t="s">
        <v>389</v>
      </c>
      <c r="U55" s="15" t="s">
        <v>393</v>
      </c>
    </row>
    <row r="56" spans="1:21" ht="49.5" x14ac:dyDescent="0.35">
      <c r="A56" s="23"/>
      <c r="B56" s="98" t="s">
        <v>399</v>
      </c>
      <c r="C56" s="40"/>
      <c r="D56" s="40"/>
      <c r="E56" s="15" t="s">
        <v>400</v>
      </c>
      <c r="F56" s="15"/>
      <c r="G56" s="86"/>
      <c r="H56" s="15"/>
      <c r="I56" s="86"/>
      <c r="J56" s="15"/>
      <c r="K56" s="86"/>
      <c r="L56" s="15"/>
      <c r="M56" s="86"/>
      <c r="N56" s="15" t="s">
        <v>409</v>
      </c>
      <c r="O56" s="14"/>
      <c r="S56" s="15" t="s">
        <v>401</v>
      </c>
      <c r="T56" s="15" t="s">
        <v>404</v>
      </c>
      <c r="U56" s="15" t="s">
        <v>408</v>
      </c>
    </row>
    <row r="57" spans="1:21" ht="49.5" x14ac:dyDescent="0.35">
      <c r="A57" s="23"/>
      <c r="B57" s="98" t="s">
        <v>413</v>
      </c>
      <c r="C57" s="40"/>
      <c r="D57" s="40"/>
      <c r="E57" s="15" t="s">
        <v>416</v>
      </c>
      <c r="F57" s="15"/>
      <c r="G57" s="86"/>
      <c r="H57" s="15"/>
      <c r="I57" s="86"/>
      <c r="J57" s="15"/>
      <c r="K57" s="86"/>
      <c r="L57" s="15"/>
      <c r="M57" s="86"/>
      <c r="N57" s="15" t="s">
        <v>422</v>
      </c>
      <c r="O57" s="14"/>
      <c r="S57" s="15" t="s">
        <v>418</v>
      </c>
      <c r="T57" s="15" t="s">
        <v>419</v>
      </c>
      <c r="U57" s="15" t="s">
        <v>421</v>
      </c>
    </row>
    <row r="58" spans="1:21" x14ac:dyDescent="0.35">
      <c r="A58" s="23"/>
      <c r="B58" s="98" t="s">
        <v>423</v>
      </c>
      <c r="C58" s="40"/>
      <c r="D58" s="40"/>
      <c r="E58" s="15" t="s">
        <v>424</v>
      </c>
      <c r="F58" s="15"/>
      <c r="G58" s="86"/>
      <c r="H58" s="15"/>
      <c r="I58" s="86"/>
      <c r="J58" s="15"/>
      <c r="K58" s="86"/>
      <c r="L58" s="15"/>
      <c r="M58" s="86"/>
      <c r="N58" s="15" t="s">
        <v>970</v>
      </c>
      <c r="O58" s="14"/>
      <c r="S58" s="15"/>
      <c r="T58" s="15"/>
      <c r="U58" s="15"/>
    </row>
    <row r="59" spans="1:21" ht="49.5" x14ac:dyDescent="0.35">
      <c r="A59" s="33" t="s">
        <v>425</v>
      </c>
      <c r="B59" s="97" t="s">
        <v>606</v>
      </c>
      <c r="C59" s="105"/>
      <c r="D59" s="105"/>
      <c r="E59" s="18" t="s">
        <v>607</v>
      </c>
      <c r="F59" s="18"/>
      <c r="G59" s="90"/>
      <c r="H59" s="18"/>
      <c r="I59" s="90"/>
      <c r="J59" s="18"/>
      <c r="K59" s="90"/>
      <c r="L59" s="18"/>
      <c r="M59" s="90"/>
      <c r="N59" s="18" t="s">
        <v>611</v>
      </c>
      <c r="O59" s="14"/>
      <c r="S59" s="18" t="s">
        <v>608</v>
      </c>
      <c r="T59" s="18" t="s">
        <v>609</v>
      </c>
      <c r="U59" s="18" t="s">
        <v>610</v>
      </c>
    </row>
    <row r="60" spans="1:21" ht="49.5" x14ac:dyDescent="0.35">
      <c r="A60" s="19"/>
      <c r="B60" s="97" t="s">
        <v>230</v>
      </c>
      <c r="C60" s="105"/>
      <c r="D60" s="105"/>
      <c r="E60" s="18" t="s">
        <v>612</v>
      </c>
      <c r="F60" s="18"/>
      <c r="G60" s="90"/>
      <c r="H60" s="18"/>
      <c r="I60" s="90"/>
      <c r="J60" s="18"/>
      <c r="K60" s="90"/>
      <c r="L60" s="18"/>
      <c r="M60" s="90"/>
      <c r="N60" s="18" t="s">
        <v>984</v>
      </c>
      <c r="O60" s="14"/>
      <c r="S60" s="18"/>
      <c r="T60" s="18" t="s">
        <v>613</v>
      </c>
      <c r="U60" s="18" t="s">
        <v>614</v>
      </c>
    </row>
    <row r="61" spans="1:21" ht="49.5" x14ac:dyDescent="0.35">
      <c r="A61" s="19"/>
      <c r="B61" s="97" t="s">
        <v>231</v>
      </c>
      <c r="C61" s="105"/>
      <c r="D61" s="105"/>
      <c r="E61" s="18" t="s">
        <v>615</v>
      </c>
      <c r="F61" s="18"/>
      <c r="G61" s="90"/>
      <c r="H61" s="18"/>
      <c r="I61" s="90"/>
      <c r="J61" s="18"/>
      <c r="K61" s="90"/>
      <c r="L61" s="18"/>
      <c r="M61" s="90"/>
      <c r="N61" s="18" t="s">
        <v>619</v>
      </c>
      <c r="O61" s="14"/>
      <c r="S61" s="18" t="s">
        <v>616</v>
      </c>
      <c r="T61" s="18" t="s">
        <v>617</v>
      </c>
      <c r="U61" s="18" t="s">
        <v>618</v>
      </c>
    </row>
    <row r="62" spans="1:21" ht="148.5" x14ac:dyDescent="0.35">
      <c r="A62" s="19"/>
      <c r="B62" s="97" t="s">
        <v>620</v>
      </c>
      <c r="C62" s="105"/>
      <c r="D62" s="105"/>
      <c r="E62" s="18" t="s">
        <v>621</v>
      </c>
      <c r="F62" s="18"/>
      <c r="G62" s="90"/>
      <c r="H62" s="18"/>
      <c r="I62" s="90"/>
      <c r="J62" s="18"/>
      <c r="K62" s="90"/>
      <c r="L62" s="18"/>
      <c r="M62" s="90"/>
      <c r="N62" s="18" t="s">
        <v>985</v>
      </c>
      <c r="O62" s="14"/>
      <c r="S62" s="18" t="s">
        <v>622</v>
      </c>
      <c r="T62" s="18" t="s">
        <v>623</v>
      </c>
      <c r="U62" s="18" t="s">
        <v>624</v>
      </c>
    </row>
    <row r="63" spans="1:21" ht="33" x14ac:dyDescent="0.35">
      <c r="A63" s="19"/>
      <c r="B63" s="97" t="s">
        <v>232</v>
      </c>
      <c r="C63" s="105"/>
      <c r="D63" s="105"/>
      <c r="E63" s="18" t="s">
        <v>625</v>
      </c>
      <c r="F63" s="18"/>
      <c r="G63" s="90"/>
      <c r="H63" s="18"/>
      <c r="I63" s="90"/>
      <c r="J63" s="18"/>
      <c r="K63" s="90"/>
      <c r="L63" s="18"/>
      <c r="M63" s="90"/>
      <c r="N63" s="18" t="s">
        <v>971</v>
      </c>
      <c r="O63" s="14"/>
      <c r="S63" s="18"/>
      <c r="T63" s="18" t="s">
        <v>626</v>
      </c>
      <c r="U63" s="18" t="s">
        <v>626</v>
      </c>
    </row>
    <row r="64" spans="1:21" x14ac:dyDescent="0.35">
      <c r="A64" s="19"/>
      <c r="B64" s="97" t="s">
        <v>47</v>
      </c>
      <c r="C64" s="105"/>
      <c r="D64" s="105"/>
      <c r="E64" s="18"/>
      <c r="F64" s="18"/>
      <c r="G64" s="90"/>
      <c r="H64" s="18"/>
      <c r="I64" s="90"/>
      <c r="J64" s="18"/>
      <c r="K64" s="90"/>
      <c r="L64" s="18"/>
      <c r="M64" s="90"/>
      <c r="N64" s="18"/>
      <c r="O64" s="14"/>
      <c r="S64" s="18"/>
      <c r="T64" s="18"/>
      <c r="U64" s="18"/>
    </row>
    <row r="65" spans="1:21" ht="49.5" x14ac:dyDescent="0.35">
      <c r="A65" s="34" t="s">
        <v>627</v>
      </c>
      <c r="B65" s="98" t="s">
        <v>772</v>
      </c>
      <c r="C65" s="40"/>
      <c r="D65" s="40"/>
      <c r="E65" s="15" t="s">
        <v>773</v>
      </c>
      <c r="F65" s="15"/>
      <c r="G65" s="86"/>
      <c r="H65" s="15"/>
      <c r="I65" s="86"/>
      <c r="J65" s="15"/>
      <c r="K65" s="86"/>
      <c r="L65" s="15"/>
      <c r="M65" s="86"/>
      <c r="N65" s="15" t="s">
        <v>382</v>
      </c>
      <c r="O65" s="14"/>
      <c r="S65" s="15" t="s">
        <v>774</v>
      </c>
      <c r="T65" s="15" t="s">
        <v>778</v>
      </c>
      <c r="U65" s="15" t="s">
        <v>779</v>
      </c>
    </row>
    <row r="66" spans="1:21" ht="33" x14ac:dyDescent="0.35">
      <c r="A66" s="23"/>
      <c r="B66" s="98" t="s">
        <v>782</v>
      </c>
      <c r="C66" s="40"/>
      <c r="D66" s="40"/>
      <c r="E66" s="15" t="s">
        <v>784</v>
      </c>
      <c r="F66" s="15"/>
      <c r="G66" s="86"/>
      <c r="H66" s="15"/>
      <c r="I66" s="86"/>
      <c r="J66" s="15"/>
      <c r="K66" s="86"/>
      <c r="L66" s="15"/>
      <c r="M66" s="86"/>
      <c r="N66" s="15"/>
      <c r="O66" s="14"/>
      <c r="S66" s="15"/>
      <c r="T66" s="15" t="s">
        <v>788</v>
      </c>
      <c r="U66" s="15" t="s">
        <v>789</v>
      </c>
    </row>
    <row r="67" spans="1:21" ht="33" x14ac:dyDescent="0.35">
      <c r="A67" s="23"/>
      <c r="B67" s="98" t="s">
        <v>791</v>
      </c>
      <c r="C67" s="40"/>
      <c r="D67" s="40"/>
      <c r="E67" s="15" t="s">
        <v>793</v>
      </c>
      <c r="F67" s="15"/>
      <c r="G67" s="86"/>
      <c r="H67" s="15"/>
      <c r="I67" s="86"/>
      <c r="J67" s="15"/>
      <c r="K67" s="86"/>
      <c r="L67" s="15"/>
      <c r="M67" s="86"/>
      <c r="N67" s="15"/>
      <c r="O67" s="14"/>
      <c r="S67" s="15"/>
      <c r="T67" s="15" t="s">
        <v>795</v>
      </c>
      <c r="U67" s="15" t="s">
        <v>795</v>
      </c>
    </row>
    <row r="68" spans="1:21" ht="33" x14ac:dyDescent="0.35">
      <c r="A68" s="23"/>
      <c r="B68" s="98" t="s">
        <v>753</v>
      </c>
      <c r="C68" s="40"/>
      <c r="D68" s="40"/>
      <c r="E68" s="15" t="s">
        <v>799</v>
      </c>
      <c r="F68" s="15"/>
      <c r="G68" s="86"/>
      <c r="H68" s="15"/>
      <c r="I68" s="86"/>
      <c r="J68" s="15"/>
      <c r="K68" s="86"/>
      <c r="L68" s="15"/>
      <c r="M68" s="86"/>
      <c r="N68" s="15"/>
      <c r="O68" s="14"/>
      <c r="S68" s="15"/>
      <c r="T68" s="15" t="s">
        <v>800</v>
      </c>
      <c r="U68" s="15" t="s">
        <v>800</v>
      </c>
    </row>
    <row r="69" spans="1:21" ht="49.5" x14ac:dyDescent="0.35">
      <c r="A69" s="23"/>
      <c r="B69" s="98" t="s">
        <v>749</v>
      </c>
      <c r="C69" s="40"/>
      <c r="D69" s="40"/>
      <c r="E69" s="15" t="s">
        <v>802</v>
      </c>
      <c r="F69" s="15"/>
      <c r="G69" s="86"/>
      <c r="H69" s="15"/>
      <c r="I69" s="86"/>
      <c r="J69" s="15"/>
      <c r="K69" s="86"/>
      <c r="L69" s="15"/>
      <c r="M69" s="86"/>
      <c r="N69" s="15"/>
      <c r="O69" s="14"/>
      <c r="S69" s="15"/>
      <c r="T69" s="15" t="s">
        <v>803</v>
      </c>
      <c r="U69" s="15" t="s">
        <v>803</v>
      </c>
    </row>
    <row r="70" spans="1:21" x14ac:dyDescent="0.35">
      <c r="A70" s="23"/>
      <c r="B70" s="98" t="s">
        <v>47</v>
      </c>
      <c r="C70" s="40"/>
      <c r="D70" s="40"/>
      <c r="E70" s="15"/>
      <c r="F70" s="15"/>
      <c r="G70" s="86"/>
      <c r="H70" s="15"/>
      <c r="I70" s="86"/>
      <c r="J70" s="15"/>
      <c r="K70" s="86"/>
      <c r="L70" s="15"/>
      <c r="M70" s="86"/>
      <c r="N70" s="15"/>
      <c r="O70" s="14"/>
      <c r="S70" s="15"/>
      <c r="T70" s="15"/>
      <c r="U70" s="15"/>
    </row>
    <row r="71" spans="1:21" x14ac:dyDescent="0.35">
      <c r="A71" s="35" t="s">
        <v>761</v>
      </c>
      <c r="B71" s="97" t="s">
        <v>815</v>
      </c>
      <c r="C71" s="105"/>
      <c r="D71" s="105"/>
      <c r="E71" s="18" t="s">
        <v>816</v>
      </c>
      <c r="F71" s="18"/>
      <c r="G71" s="90"/>
      <c r="H71" s="18"/>
      <c r="I71" s="90"/>
      <c r="J71" s="18"/>
      <c r="K71" s="90"/>
      <c r="L71" s="18"/>
      <c r="M71" s="90"/>
      <c r="N71" s="18" t="s">
        <v>973</v>
      </c>
      <c r="O71" s="20"/>
      <c r="S71" s="18" t="s">
        <v>924</v>
      </c>
      <c r="T71" s="18" t="s">
        <v>972</v>
      </c>
      <c r="U71" s="18" t="s">
        <v>925</v>
      </c>
    </row>
    <row r="72" spans="1:21" x14ac:dyDescent="0.35">
      <c r="A72" s="19"/>
      <c r="B72" s="97" t="s">
        <v>820</v>
      </c>
      <c r="C72" s="105"/>
      <c r="D72" s="105"/>
      <c r="E72" s="18" t="s">
        <v>974</v>
      </c>
      <c r="F72" s="18"/>
      <c r="G72" s="90"/>
      <c r="H72" s="18"/>
      <c r="I72" s="90"/>
      <c r="J72" s="18"/>
      <c r="K72" s="90"/>
      <c r="L72" s="18"/>
      <c r="M72" s="90"/>
      <c r="N72" s="18" t="s">
        <v>975</v>
      </c>
      <c r="O72" s="14"/>
      <c r="S72" s="18" t="s">
        <v>926</v>
      </c>
      <c r="T72" s="18" t="s">
        <v>927</v>
      </c>
      <c r="U72" s="18" t="s">
        <v>928</v>
      </c>
    </row>
    <row r="73" spans="1:21" ht="33" x14ac:dyDescent="0.35">
      <c r="A73" s="19"/>
      <c r="B73" s="97" t="s">
        <v>821</v>
      </c>
      <c r="C73" s="105"/>
      <c r="D73" s="105"/>
      <c r="E73" s="18" t="s">
        <v>976</v>
      </c>
      <c r="F73" s="18"/>
      <c r="G73" s="90"/>
      <c r="H73" s="18"/>
      <c r="I73" s="90"/>
      <c r="J73" s="18"/>
      <c r="K73" s="90"/>
      <c r="L73" s="18"/>
      <c r="M73" s="90"/>
      <c r="N73" s="18" t="s">
        <v>968</v>
      </c>
      <c r="O73" s="20"/>
      <c r="S73" s="18" t="s">
        <v>822</v>
      </c>
      <c r="T73" s="18" t="s">
        <v>929</v>
      </c>
      <c r="U73" s="18" t="s">
        <v>930</v>
      </c>
    </row>
    <row r="74" spans="1:21" x14ac:dyDescent="0.35">
      <c r="A74" s="19"/>
      <c r="B74" s="97" t="s">
        <v>823</v>
      </c>
      <c r="C74" s="105"/>
      <c r="D74" s="105"/>
      <c r="E74" s="18" t="s">
        <v>824</v>
      </c>
      <c r="F74" s="18"/>
      <c r="G74" s="90"/>
      <c r="H74" s="18"/>
      <c r="I74" s="90"/>
      <c r="J74" s="18"/>
      <c r="K74" s="90"/>
      <c r="L74" s="18"/>
      <c r="M74" s="90"/>
      <c r="N74" s="18" t="s">
        <v>977</v>
      </c>
      <c r="O74" s="14"/>
      <c r="S74" s="18" t="s">
        <v>825</v>
      </c>
      <c r="T74" s="18" t="s">
        <v>826</v>
      </c>
      <c r="U74" s="18" t="s">
        <v>827</v>
      </c>
    </row>
    <row r="75" spans="1:21" ht="33" x14ac:dyDescent="0.35">
      <c r="A75" s="19"/>
      <c r="B75" s="97" t="s">
        <v>828</v>
      </c>
      <c r="C75" s="105"/>
      <c r="D75" s="105"/>
      <c r="E75" s="18" t="s">
        <v>978</v>
      </c>
      <c r="F75" s="18"/>
      <c r="G75" s="90"/>
      <c r="H75" s="18"/>
      <c r="I75" s="90"/>
      <c r="J75" s="18"/>
      <c r="K75" s="90"/>
      <c r="L75" s="18"/>
      <c r="M75" s="90"/>
      <c r="N75" s="18" t="s">
        <v>979</v>
      </c>
      <c r="O75" s="14"/>
      <c r="S75" s="18" t="s">
        <v>931</v>
      </c>
      <c r="T75" s="18" t="s">
        <v>932</v>
      </c>
      <c r="U75" s="18" t="s">
        <v>933</v>
      </c>
    </row>
    <row r="76" spans="1:21" x14ac:dyDescent="0.35">
      <c r="A76" s="19"/>
      <c r="B76" s="97" t="s">
        <v>47</v>
      </c>
      <c r="C76" s="105"/>
      <c r="D76" s="105"/>
      <c r="E76" s="18"/>
      <c r="F76" s="18"/>
      <c r="G76" s="90"/>
      <c r="H76" s="18"/>
      <c r="I76" s="90"/>
      <c r="J76" s="18"/>
      <c r="K76" s="90"/>
      <c r="L76" s="18"/>
      <c r="M76" s="90"/>
      <c r="N76" s="18"/>
      <c r="O76" s="14"/>
      <c r="S76" s="18"/>
      <c r="T76" s="18"/>
      <c r="U76" s="18"/>
    </row>
    <row r="77" spans="1:21" ht="33" x14ac:dyDescent="0.35">
      <c r="A77" s="36" t="s">
        <v>829</v>
      </c>
      <c r="B77" s="99" t="s">
        <v>831</v>
      </c>
      <c r="C77" s="107"/>
      <c r="D77" s="107"/>
      <c r="E77" s="37" t="s">
        <v>832</v>
      </c>
      <c r="F77" s="37"/>
      <c r="G77" s="93"/>
      <c r="H77" s="37"/>
      <c r="I77" s="93"/>
      <c r="J77" s="37"/>
      <c r="K77" s="93"/>
      <c r="L77" s="37"/>
      <c r="M77" s="93"/>
      <c r="N77" s="37"/>
      <c r="O77" s="38"/>
      <c r="S77" s="37"/>
      <c r="T77" s="37"/>
      <c r="U77" s="37"/>
    </row>
    <row r="78" spans="1:21" ht="33" x14ac:dyDescent="0.35">
      <c r="A78" s="19"/>
      <c r="B78" s="99" t="s">
        <v>839</v>
      </c>
      <c r="C78" s="107"/>
      <c r="D78" s="107"/>
      <c r="E78" s="37" t="s">
        <v>840</v>
      </c>
      <c r="F78" s="37"/>
      <c r="G78" s="93"/>
      <c r="H78" s="37"/>
      <c r="I78" s="93"/>
      <c r="J78" s="37"/>
      <c r="K78" s="93"/>
      <c r="L78" s="37"/>
      <c r="M78" s="93"/>
      <c r="N78" s="37"/>
      <c r="O78" s="39"/>
      <c r="S78" s="37"/>
      <c r="T78" s="37"/>
      <c r="U78" s="37"/>
    </row>
    <row r="79" spans="1:21" ht="33" x14ac:dyDescent="0.35">
      <c r="A79" s="19"/>
      <c r="B79" s="99" t="s">
        <v>249</v>
      </c>
      <c r="C79" s="107"/>
      <c r="D79" s="107"/>
      <c r="E79" s="37" t="s">
        <v>841</v>
      </c>
      <c r="F79" s="37"/>
      <c r="G79" s="93"/>
      <c r="H79" s="37"/>
      <c r="I79" s="93"/>
      <c r="J79" s="37"/>
      <c r="K79" s="93"/>
      <c r="L79" s="37"/>
      <c r="M79" s="93"/>
      <c r="N79" s="37"/>
      <c r="O79" s="39"/>
      <c r="S79" s="37"/>
      <c r="T79" s="37"/>
      <c r="U79" s="37"/>
    </row>
    <row r="80" spans="1:21" ht="33" x14ac:dyDescent="0.35">
      <c r="A80" s="19"/>
      <c r="B80" s="99" t="s">
        <v>842</v>
      </c>
      <c r="C80" s="107"/>
      <c r="D80" s="107"/>
      <c r="E80" s="37" t="s">
        <v>980</v>
      </c>
      <c r="F80" s="37"/>
      <c r="G80" s="93"/>
      <c r="H80" s="37"/>
      <c r="I80" s="93"/>
      <c r="J80" s="37"/>
      <c r="K80" s="93"/>
      <c r="L80" s="37"/>
      <c r="M80" s="93"/>
      <c r="N80" s="37"/>
      <c r="O80" s="39"/>
      <c r="S80" s="37"/>
      <c r="T80" s="37"/>
      <c r="U80" s="37"/>
    </row>
    <row r="81" spans="1:21" ht="33" x14ac:dyDescent="0.35">
      <c r="A81" s="19"/>
      <c r="B81" s="99" t="s">
        <v>843</v>
      </c>
      <c r="C81" s="107"/>
      <c r="D81" s="107"/>
      <c r="E81" s="37" t="s">
        <v>844</v>
      </c>
      <c r="F81" s="37"/>
      <c r="G81" s="93"/>
      <c r="H81" s="37"/>
      <c r="I81" s="93"/>
      <c r="J81" s="37"/>
      <c r="K81" s="93"/>
      <c r="L81" s="37"/>
      <c r="M81" s="93"/>
      <c r="N81" s="37"/>
      <c r="O81" s="39"/>
      <c r="S81" s="37"/>
      <c r="T81" s="37"/>
      <c r="U81" s="37"/>
    </row>
  </sheetData>
  <mergeCells count="14">
    <mergeCell ref="A2:A13"/>
    <mergeCell ref="B2:B8"/>
    <mergeCell ref="C2:C8"/>
    <mergeCell ref="A59:A64"/>
    <mergeCell ref="A65:A70"/>
    <mergeCell ref="A71:A76"/>
    <mergeCell ref="A77:A81"/>
    <mergeCell ref="A14:A19"/>
    <mergeCell ref="A26:A31"/>
    <mergeCell ref="A20:A25"/>
    <mergeCell ref="A38:A43"/>
    <mergeCell ref="A32:A37"/>
    <mergeCell ref="A53:A58"/>
    <mergeCell ref="A47:A52"/>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85"/>
  <sheetViews>
    <sheetView workbookViewId="0">
      <pane ySplit="1" topLeftCell="A2" activePane="bottomLeft" state="frozen"/>
      <selection pane="bottomLeft" activeCell="F8" sqref="F8"/>
    </sheetView>
  </sheetViews>
  <sheetFormatPr defaultColWidth="17.28515625" defaultRowHeight="16.5" x14ac:dyDescent="0.35"/>
  <cols>
    <col min="1" max="3" width="17.140625" style="16" customWidth="1"/>
    <col min="4" max="4" width="19.7109375" style="16" customWidth="1"/>
    <col min="5" max="7" width="17.140625" style="16" customWidth="1"/>
    <col min="8" max="8" width="22.85546875" style="16" customWidth="1"/>
    <col min="9" max="9" width="50.42578125" style="16" customWidth="1"/>
    <col min="10" max="10" width="20.5703125" style="16" customWidth="1"/>
    <col min="11" max="16384" width="17.28515625" style="16"/>
  </cols>
  <sheetData>
    <row r="1" spans="1:10" x14ac:dyDescent="0.35">
      <c r="A1" s="40" t="s">
        <v>18</v>
      </c>
      <c r="B1" s="40" t="s">
        <v>20</v>
      </c>
      <c r="C1" s="40" t="s">
        <v>21</v>
      </c>
      <c r="D1" s="40" t="s">
        <v>22</v>
      </c>
      <c r="E1" s="40" t="s">
        <v>5</v>
      </c>
      <c r="F1" s="40" t="s">
        <v>23</v>
      </c>
      <c r="G1" s="40" t="s">
        <v>6</v>
      </c>
      <c r="H1" s="40"/>
      <c r="I1" s="40" t="s">
        <v>24</v>
      </c>
      <c r="J1" s="40"/>
    </row>
    <row r="2" spans="1:10" x14ac:dyDescent="0.35">
      <c r="A2" s="41" t="s">
        <v>25</v>
      </c>
      <c r="B2" s="42">
        <v>0</v>
      </c>
      <c r="C2" s="42" t="s">
        <v>117</v>
      </c>
      <c r="D2" s="42"/>
      <c r="E2" s="42"/>
      <c r="F2" s="42"/>
      <c r="G2" s="42"/>
      <c r="H2" s="42"/>
      <c r="I2" s="42"/>
      <c r="J2" s="40"/>
    </row>
    <row r="3" spans="1:10" ht="33" x14ac:dyDescent="0.35">
      <c r="A3" s="23"/>
      <c r="B3" s="43"/>
      <c r="C3" s="16" t="s">
        <v>119</v>
      </c>
      <c r="D3" s="16" t="s">
        <v>120</v>
      </c>
      <c r="E3" s="44">
        <v>0</v>
      </c>
      <c r="F3" s="40" t="s">
        <v>121</v>
      </c>
      <c r="G3" s="40" t="s">
        <v>122</v>
      </c>
      <c r="H3" s="40" t="s">
        <v>123</v>
      </c>
      <c r="I3" s="40" t="s">
        <v>124</v>
      </c>
      <c r="J3" s="40" t="s">
        <v>125</v>
      </c>
    </row>
    <row r="4" spans="1:10" x14ac:dyDescent="0.35">
      <c r="A4" s="23"/>
      <c r="B4" s="40">
        <v>1</v>
      </c>
      <c r="C4" s="40" t="s">
        <v>126</v>
      </c>
      <c r="D4" s="40" t="s">
        <v>127</v>
      </c>
      <c r="E4" s="40">
        <v>0</v>
      </c>
      <c r="F4" s="40">
        <v>1200</v>
      </c>
      <c r="G4" s="40" t="s">
        <v>128</v>
      </c>
      <c r="H4" s="40" t="s">
        <v>129</v>
      </c>
      <c r="I4" s="40" t="s">
        <v>130</v>
      </c>
      <c r="J4" s="40" t="s">
        <v>131</v>
      </c>
    </row>
    <row r="5" spans="1:10" ht="33" x14ac:dyDescent="0.35">
      <c r="A5" s="23"/>
      <c r="B5" s="40"/>
      <c r="C5" s="40" t="s">
        <v>132</v>
      </c>
      <c r="D5" s="40" t="s">
        <v>133</v>
      </c>
      <c r="E5" s="40">
        <v>10</v>
      </c>
      <c r="F5" s="40">
        <v>900</v>
      </c>
      <c r="G5" s="40" t="s">
        <v>128</v>
      </c>
      <c r="H5" s="40" t="s">
        <v>134</v>
      </c>
      <c r="I5" s="40" t="s">
        <v>135</v>
      </c>
      <c r="J5" s="40" t="s">
        <v>136</v>
      </c>
    </row>
    <row r="6" spans="1:10" x14ac:dyDescent="0.35">
      <c r="A6" s="23"/>
      <c r="B6" s="40" t="s">
        <v>137</v>
      </c>
      <c r="C6" s="40" t="s">
        <v>138</v>
      </c>
      <c r="D6" s="40" t="s">
        <v>139</v>
      </c>
      <c r="E6" s="40">
        <v>0</v>
      </c>
      <c r="F6" s="40">
        <v>0</v>
      </c>
      <c r="G6" s="40" t="s">
        <v>140</v>
      </c>
      <c r="H6" s="40"/>
      <c r="I6" s="40" t="s">
        <v>141</v>
      </c>
      <c r="J6" s="40"/>
    </row>
    <row r="7" spans="1:10" x14ac:dyDescent="0.35">
      <c r="A7" s="23"/>
      <c r="B7" s="40"/>
      <c r="C7" s="40" t="s">
        <v>142</v>
      </c>
      <c r="D7" s="40" t="s">
        <v>143</v>
      </c>
      <c r="E7" s="40"/>
      <c r="F7" s="40"/>
      <c r="G7" s="40">
        <v>1</v>
      </c>
      <c r="H7" s="40"/>
      <c r="I7" s="40" t="s">
        <v>144</v>
      </c>
      <c r="J7" s="40" t="s">
        <v>145</v>
      </c>
    </row>
    <row r="8" spans="1:10" ht="33" x14ac:dyDescent="0.35">
      <c r="A8" s="23"/>
      <c r="B8" s="40"/>
      <c r="C8" s="45" t="s">
        <v>146</v>
      </c>
      <c r="D8" s="45" t="s">
        <v>148</v>
      </c>
      <c r="E8" s="45">
        <v>0</v>
      </c>
      <c r="F8" s="45">
        <v>900</v>
      </c>
      <c r="G8" s="45">
        <v>20</v>
      </c>
      <c r="H8" s="45" t="s">
        <v>209</v>
      </c>
      <c r="I8" s="45" t="s">
        <v>210</v>
      </c>
      <c r="J8" s="40" t="s">
        <v>211</v>
      </c>
    </row>
    <row r="9" spans="1:10" x14ac:dyDescent="0.35">
      <c r="A9" s="23"/>
      <c r="B9" s="40" t="s">
        <v>213</v>
      </c>
      <c r="C9" s="40" t="s">
        <v>214</v>
      </c>
      <c r="D9" s="40" t="s">
        <v>216</v>
      </c>
      <c r="E9" s="40">
        <v>1</v>
      </c>
      <c r="F9" s="40" t="s">
        <v>121</v>
      </c>
      <c r="G9" s="40">
        <v>0</v>
      </c>
      <c r="H9" s="40" t="s">
        <v>217</v>
      </c>
      <c r="I9" s="40" t="s">
        <v>218</v>
      </c>
      <c r="J9" s="40" t="s">
        <v>219</v>
      </c>
    </row>
    <row r="10" spans="1:10" x14ac:dyDescent="0.35">
      <c r="A10" s="41" t="s">
        <v>220</v>
      </c>
      <c r="B10" s="42">
        <v>0</v>
      </c>
      <c r="C10" s="46" t="s">
        <v>117</v>
      </c>
      <c r="D10" s="19"/>
      <c r="E10" s="19"/>
      <c r="F10" s="19"/>
      <c r="G10" s="19"/>
      <c r="H10" s="19"/>
      <c r="I10" s="19"/>
      <c r="J10" s="40"/>
    </row>
    <row r="11" spans="1:10" ht="33" x14ac:dyDescent="0.35">
      <c r="A11" s="23"/>
      <c r="B11" s="41">
        <v>1</v>
      </c>
      <c r="C11" s="40" t="s">
        <v>258</v>
      </c>
      <c r="D11" s="40" t="s">
        <v>259</v>
      </c>
      <c r="E11" s="40">
        <v>0</v>
      </c>
      <c r="F11" s="40">
        <v>900</v>
      </c>
      <c r="G11" s="40" t="s">
        <v>261</v>
      </c>
      <c r="H11" s="40" t="s">
        <v>262</v>
      </c>
      <c r="I11" s="40" t="s">
        <v>263</v>
      </c>
      <c r="J11" s="40" t="s">
        <v>264</v>
      </c>
    </row>
    <row r="12" spans="1:10" x14ac:dyDescent="0.35">
      <c r="A12" s="23"/>
      <c r="B12" s="23"/>
      <c r="C12" s="40" t="s">
        <v>265</v>
      </c>
      <c r="D12" s="40" t="s">
        <v>266</v>
      </c>
      <c r="E12" s="40">
        <v>0</v>
      </c>
      <c r="F12" s="40">
        <v>900</v>
      </c>
      <c r="G12" s="40" t="s">
        <v>128</v>
      </c>
      <c r="H12" s="40" t="s">
        <v>267</v>
      </c>
      <c r="I12" s="40" t="s">
        <v>268</v>
      </c>
      <c r="J12" s="40" t="s">
        <v>269</v>
      </c>
    </row>
    <row r="13" spans="1:10" x14ac:dyDescent="0.35">
      <c r="A13" s="23"/>
      <c r="B13" s="23"/>
      <c r="C13" s="45" t="s">
        <v>271</v>
      </c>
      <c r="D13" s="45" t="s">
        <v>272</v>
      </c>
      <c r="E13" s="45">
        <v>0</v>
      </c>
      <c r="F13" s="45">
        <v>0</v>
      </c>
      <c r="G13" s="45">
        <v>20</v>
      </c>
      <c r="H13" s="45"/>
      <c r="I13" s="45" t="s">
        <v>273</v>
      </c>
      <c r="J13" s="40" t="s">
        <v>274</v>
      </c>
    </row>
    <row r="14" spans="1:10" x14ac:dyDescent="0.35">
      <c r="A14" s="23"/>
      <c r="B14" s="23"/>
      <c r="C14" s="40" t="s">
        <v>275</v>
      </c>
      <c r="D14" s="40" t="s">
        <v>276</v>
      </c>
      <c r="E14" s="40" t="s">
        <v>277</v>
      </c>
      <c r="F14" s="40" t="s">
        <v>278</v>
      </c>
      <c r="G14" s="40" t="s">
        <v>279</v>
      </c>
      <c r="H14" s="40" t="s">
        <v>280</v>
      </c>
      <c r="I14" s="40" t="s">
        <v>281</v>
      </c>
      <c r="J14" s="40" t="s">
        <v>282</v>
      </c>
    </row>
    <row r="15" spans="1:10" x14ac:dyDescent="0.35">
      <c r="A15" s="23"/>
      <c r="B15" s="40" t="s">
        <v>283</v>
      </c>
      <c r="C15" s="40" t="s">
        <v>284</v>
      </c>
      <c r="D15" s="40" t="s">
        <v>285</v>
      </c>
      <c r="E15" s="40">
        <v>0</v>
      </c>
      <c r="F15" s="40">
        <v>0</v>
      </c>
      <c r="G15" s="40" t="s">
        <v>140</v>
      </c>
      <c r="H15" s="40"/>
      <c r="I15" s="40" t="s">
        <v>286</v>
      </c>
      <c r="J15" s="40" t="s">
        <v>287</v>
      </c>
    </row>
    <row r="16" spans="1:10" x14ac:dyDescent="0.35">
      <c r="A16" s="23"/>
      <c r="B16" s="40" t="s">
        <v>288</v>
      </c>
      <c r="C16" s="40" t="s">
        <v>289</v>
      </c>
      <c r="D16" s="40" t="s">
        <v>290</v>
      </c>
      <c r="E16" s="40">
        <v>0</v>
      </c>
      <c r="F16" s="40">
        <v>0</v>
      </c>
      <c r="G16" s="40" t="s">
        <v>140</v>
      </c>
      <c r="H16" s="40"/>
      <c r="I16" s="40" t="s">
        <v>291</v>
      </c>
      <c r="J16" s="40" t="s">
        <v>292</v>
      </c>
    </row>
    <row r="17" spans="1:10" x14ac:dyDescent="0.35">
      <c r="A17" s="41" t="s">
        <v>293</v>
      </c>
      <c r="B17" s="42">
        <v>0</v>
      </c>
      <c r="C17" s="46" t="s">
        <v>295</v>
      </c>
      <c r="D17" s="19"/>
      <c r="E17" s="19"/>
      <c r="F17" s="19"/>
      <c r="G17" s="19"/>
      <c r="H17" s="19"/>
      <c r="I17" s="19"/>
      <c r="J17" s="40"/>
    </row>
    <row r="18" spans="1:10" ht="33" x14ac:dyDescent="0.35">
      <c r="A18" s="23"/>
      <c r="B18" s="41" t="s">
        <v>299</v>
      </c>
      <c r="C18" s="40" t="s">
        <v>300</v>
      </c>
      <c r="D18" s="40" t="s">
        <v>301</v>
      </c>
      <c r="E18" s="40">
        <v>3</v>
      </c>
      <c r="F18" s="40">
        <v>450</v>
      </c>
      <c r="G18" s="40" t="s">
        <v>302</v>
      </c>
      <c r="H18" s="40" t="s">
        <v>303</v>
      </c>
      <c r="I18" s="40" t="s">
        <v>304</v>
      </c>
      <c r="J18" s="40"/>
    </row>
    <row r="19" spans="1:10" x14ac:dyDescent="0.35">
      <c r="A19" s="23"/>
      <c r="B19" s="23"/>
      <c r="C19" s="40" t="s">
        <v>305</v>
      </c>
      <c r="D19" s="40" t="s">
        <v>306</v>
      </c>
      <c r="E19" s="40">
        <v>0</v>
      </c>
      <c r="F19" s="40">
        <v>900</v>
      </c>
      <c r="G19" s="40" t="s">
        <v>307</v>
      </c>
      <c r="H19" s="40" t="s">
        <v>308</v>
      </c>
      <c r="I19" s="40" t="s">
        <v>309</v>
      </c>
      <c r="J19" s="40"/>
    </row>
    <row r="20" spans="1:10" x14ac:dyDescent="0.35">
      <c r="A20" s="23"/>
      <c r="B20" s="41" t="s">
        <v>310</v>
      </c>
      <c r="C20" s="40" t="s">
        <v>311</v>
      </c>
      <c r="D20" s="40" t="s">
        <v>312</v>
      </c>
      <c r="E20" s="40">
        <v>0</v>
      </c>
      <c r="F20" s="40">
        <v>100</v>
      </c>
      <c r="G20" s="40" t="s">
        <v>313</v>
      </c>
      <c r="H20" s="40" t="s">
        <v>314</v>
      </c>
      <c r="I20" s="40" t="s">
        <v>315</v>
      </c>
      <c r="J20" s="40"/>
    </row>
    <row r="21" spans="1:10" x14ac:dyDescent="0.35">
      <c r="A21" s="23"/>
      <c r="B21" s="23"/>
      <c r="C21" s="40" t="s">
        <v>316</v>
      </c>
      <c r="D21" s="40" t="s">
        <v>317</v>
      </c>
      <c r="E21" s="40">
        <v>0</v>
      </c>
      <c r="F21" s="40">
        <v>0</v>
      </c>
      <c r="G21" s="40" t="s">
        <v>318</v>
      </c>
      <c r="H21" s="40" t="s">
        <v>319</v>
      </c>
      <c r="I21" s="40" t="s">
        <v>320</v>
      </c>
      <c r="J21" s="40"/>
    </row>
    <row r="22" spans="1:10" x14ac:dyDescent="0.35">
      <c r="A22" s="23"/>
      <c r="B22" s="23"/>
      <c r="C22" s="40" t="s">
        <v>321</v>
      </c>
      <c r="D22" s="40" t="s">
        <v>323</v>
      </c>
      <c r="E22" s="40">
        <v>0</v>
      </c>
      <c r="F22" s="40" t="s">
        <v>324</v>
      </c>
      <c r="G22" s="40">
        <v>25</v>
      </c>
      <c r="H22" s="40"/>
      <c r="I22" s="40" t="s">
        <v>327</v>
      </c>
      <c r="J22" s="40"/>
    </row>
    <row r="23" spans="1:10" x14ac:dyDescent="0.35">
      <c r="A23" s="23"/>
      <c r="B23" s="40" t="s">
        <v>288</v>
      </c>
      <c r="C23" s="40" t="s">
        <v>289</v>
      </c>
      <c r="D23" s="40" t="s">
        <v>290</v>
      </c>
      <c r="E23" s="40">
        <v>0</v>
      </c>
      <c r="F23" s="40">
        <v>0</v>
      </c>
      <c r="G23" s="40" t="s">
        <v>140</v>
      </c>
      <c r="H23" s="40"/>
      <c r="I23" s="40" t="s">
        <v>291</v>
      </c>
      <c r="J23" s="40"/>
    </row>
    <row r="24" spans="1:10" x14ac:dyDescent="0.35">
      <c r="A24" s="41" t="s">
        <v>330</v>
      </c>
      <c r="B24" s="42">
        <v>0</v>
      </c>
      <c r="C24" s="42" t="s">
        <v>117</v>
      </c>
      <c r="D24" s="42"/>
      <c r="E24" s="42"/>
      <c r="F24" s="42"/>
      <c r="G24" s="42"/>
      <c r="H24" s="42"/>
      <c r="I24" s="42"/>
      <c r="J24" s="40"/>
    </row>
    <row r="25" spans="1:10" x14ac:dyDescent="0.35">
      <c r="A25" s="23"/>
      <c r="B25" s="40">
        <v>1</v>
      </c>
      <c r="C25" s="40" t="s">
        <v>331</v>
      </c>
      <c r="D25" s="40" t="s">
        <v>332</v>
      </c>
      <c r="E25" s="40"/>
      <c r="F25" s="40" t="s">
        <v>333</v>
      </c>
      <c r="G25" s="40">
        <v>20</v>
      </c>
      <c r="H25" s="40" t="s">
        <v>334</v>
      </c>
      <c r="I25" s="40"/>
      <c r="J25" s="40"/>
    </row>
    <row r="26" spans="1:10" x14ac:dyDescent="0.35">
      <c r="A26" s="23"/>
      <c r="B26" s="40"/>
      <c r="C26" s="40" t="s">
        <v>335</v>
      </c>
      <c r="D26" s="40" t="s">
        <v>336</v>
      </c>
      <c r="E26" s="40">
        <v>10</v>
      </c>
      <c r="F26" s="40"/>
      <c r="G26" s="40">
        <v>40</v>
      </c>
      <c r="H26" s="40" t="s">
        <v>338</v>
      </c>
      <c r="I26" s="40" t="s">
        <v>339</v>
      </c>
      <c r="J26" s="40"/>
    </row>
    <row r="27" spans="1:10" x14ac:dyDescent="0.35">
      <c r="A27" s="23"/>
      <c r="B27" s="40"/>
      <c r="C27" s="47" t="s">
        <v>341</v>
      </c>
      <c r="D27" s="47" t="s">
        <v>349</v>
      </c>
      <c r="E27" s="47">
        <v>10</v>
      </c>
      <c r="F27" s="47"/>
      <c r="G27" s="47">
        <v>30</v>
      </c>
      <c r="H27" s="47" t="s">
        <v>355</v>
      </c>
      <c r="I27" s="47" t="s">
        <v>357</v>
      </c>
      <c r="J27" s="40"/>
    </row>
    <row r="28" spans="1:10" x14ac:dyDescent="0.35">
      <c r="A28" s="23"/>
      <c r="B28" s="40" t="s">
        <v>360</v>
      </c>
      <c r="C28" s="40" t="s">
        <v>284</v>
      </c>
      <c r="D28" s="40" t="s">
        <v>361</v>
      </c>
      <c r="E28" s="40"/>
      <c r="F28" s="40"/>
      <c r="G28" s="40" t="s">
        <v>140</v>
      </c>
      <c r="H28" s="40"/>
      <c r="I28" s="40" t="s">
        <v>362</v>
      </c>
      <c r="J28" s="40"/>
    </row>
    <row r="29" spans="1:10" x14ac:dyDescent="0.35">
      <c r="A29" s="23"/>
      <c r="B29" s="40" t="s">
        <v>363</v>
      </c>
      <c r="C29" s="40" t="s">
        <v>289</v>
      </c>
      <c r="D29" s="40" t="s">
        <v>290</v>
      </c>
      <c r="E29" s="40"/>
      <c r="F29" s="40"/>
      <c r="G29" s="40" t="s">
        <v>140</v>
      </c>
      <c r="H29" s="40"/>
      <c r="I29" s="40" t="s">
        <v>291</v>
      </c>
      <c r="J29" s="40"/>
    </row>
    <row r="30" spans="1:10" x14ac:dyDescent="0.35">
      <c r="A30" s="41" t="s">
        <v>364</v>
      </c>
      <c r="B30" s="42">
        <v>0</v>
      </c>
      <c r="C30" s="42" t="s">
        <v>368</v>
      </c>
      <c r="D30" s="42"/>
      <c r="E30" s="42"/>
      <c r="F30" s="42"/>
      <c r="G30" s="42"/>
      <c r="H30" s="42"/>
      <c r="I30" s="42"/>
      <c r="J30" s="40"/>
    </row>
    <row r="31" spans="1:10" ht="66" x14ac:dyDescent="0.35">
      <c r="A31" s="23"/>
      <c r="B31" s="40">
        <v>1</v>
      </c>
      <c r="C31" s="40"/>
      <c r="D31" s="40" t="s">
        <v>370</v>
      </c>
      <c r="E31" s="40">
        <v>0</v>
      </c>
      <c r="F31" s="40">
        <v>9999</v>
      </c>
      <c r="G31" s="40">
        <v>15</v>
      </c>
      <c r="H31" s="40"/>
      <c r="I31" s="40" t="s">
        <v>373</v>
      </c>
      <c r="J31" s="40" t="s">
        <v>375</v>
      </c>
    </row>
    <row r="32" spans="1:10" ht="49.5" x14ac:dyDescent="0.35">
      <c r="A32" s="23"/>
      <c r="B32" s="40" t="s">
        <v>376</v>
      </c>
      <c r="C32" s="40"/>
      <c r="D32" s="40" t="s">
        <v>378</v>
      </c>
      <c r="E32" s="40"/>
      <c r="F32" s="40">
        <v>9999</v>
      </c>
      <c r="G32" s="40">
        <v>25</v>
      </c>
      <c r="H32" s="40" t="s">
        <v>380</v>
      </c>
      <c r="I32" s="40" t="s">
        <v>381</v>
      </c>
      <c r="J32" s="40" t="s">
        <v>382</v>
      </c>
    </row>
    <row r="33" spans="1:10" ht="99" x14ac:dyDescent="0.35">
      <c r="A33" s="23"/>
      <c r="B33" s="40"/>
      <c r="C33" s="40"/>
      <c r="D33" s="40" t="s">
        <v>384</v>
      </c>
      <c r="E33" s="40">
        <v>5</v>
      </c>
      <c r="F33" s="40">
        <v>9999</v>
      </c>
      <c r="G33" s="40">
        <v>25</v>
      </c>
      <c r="H33" s="40" t="s">
        <v>387</v>
      </c>
      <c r="I33" s="40" t="s">
        <v>391</v>
      </c>
      <c r="J33" s="40" t="s">
        <v>394</v>
      </c>
    </row>
    <row r="34" spans="1:10" ht="49.5" x14ac:dyDescent="0.35">
      <c r="A34" s="23"/>
      <c r="B34" s="40" t="s">
        <v>395</v>
      </c>
      <c r="C34" s="40"/>
      <c r="D34" s="40" t="s">
        <v>397</v>
      </c>
      <c r="E34" s="40"/>
      <c r="F34" s="40">
        <v>9999</v>
      </c>
      <c r="G34" s="40">
        <v>15</v>
      </c>
      <c r="H34" s="40"/>
      <c r="I34" s="40" t="s">
        <v>402</v>
      </c>
      <c r="J34" s="40" t="s">
        <v>131</v>
      </c>
    </row>
    <row r="35" spans="1:10" ht="33" x14ac:dyDescent="0.35">
      <c r="A35" s="23"/>
      <c r="B35" s="40" t="s">
        <v>405</v>
      </c>
      <c r="C35" s="40"/>
      <c r="D35" s="40" t="s">
        <v>406</v>
      </c>
      <c r="E35" s="40">
        <v>0</v>
      </c>
      <c r="F35" s="40">
        <v>0</v>
      </c>
      <c r="G35" s="40">
        <v>15</v>
      </c>
      <c r="H35" s="40"/>
      <c r="I35" s="40" t="s">
        <v>411</v>
      </c>
      <c r="J35" s="40" t="s">
        <v>414</v>
      </c>
    </row>
    <row r="36" spans="1:10" x14ac:dyDescent="0.35">
      <c r="A36" s="41" t="s">
        <v>417</v>
      </c>
      <c r="B36" s="48">
        <v>0</v>
      </c>
      <c r="C36" s="48" t="s">
        <v>368</v>
      </c>
      <c r="D36" s="48"/>
      <c r="E36" s="48"/>
      <c r="F36" s="48"/>
      <c r="G36" s="48"/>
      <c r="H36" s="48"/>
      <c r="I36" s="48"/>
      <c r="J36" s="40"/>
    </row>
    <row r="37" spans="1:10" ht="82.5" x14ac:dyDescent="0.35">
      <c r="A37" s="23"/>
      <c r="B37" s="40" t="s">
        <v>628</v>
      </c>
      <c r="C37" s="40"/>
      <c r="D37" s="40" t="s">
        <v>629</v>
      </c>
      <c r="E37" s="40"/>
      <c r="F37" s="40"/>
      <c r="G37" s="40">
        <v>20</v>
      </c>
      <c r="H37" s="40"/>
      <c r="I37" s="40" t="s">
        <v>630</v>
      </c>
      <c r="J37" s="40"/>
    </row>
    <row r="38" spans="1:10" ht="33" x14ac:dyDescent="0.35">
      <c r="A38" s="23"/>
      <c r="B38" s="40"/>
      <c r="C38" s="40"/>
      <c r="D38" s="40" t="s">
        <v>631</v>
      </c>
      <c r="E38" s="40"/>
      <c r="F38" s="40"/>
      <c r="G38" s="40">
        <v>12</v>
      </c>
      <c r="H38" s="40"/>
      <c r="I38" s="40" t="s">
        <v>632</v>
      </c>
      <c r="J38" s="40"/>
    </row>
    <row r="39" spans="1:10" ht="33" x14ac:dyDescent="0.35">
      <c r="A39" s="23"/>
      <c r="B39" s="40"/>
      <c r="C39" s="40"/>
      <c r="D39" s="40" t="s">
        <v>633</v>
      </c>
      <c r="E39" s="40"/>
      <c r="F39" s="40"/>
      <c r="G39" s="40">
        <v>15</v>
      </c>
      <c r="H39" s="40"/>
      <c r="I39" s="40" t="s">
        <v>634</v>
      </c>
      <c r="J39" s="40"/>
    </row>
    <row r="40" spans="1:10" ht="49.5" x14ac:dyDescent="0.35">
      <c r="A40" s="23"/>
      <c r="B40" s="40" t="s">
        <v>635</v>
      </c>
      <c r="C40" s="40"/>
      <c r="D40" s="40" t="s">
        <v>636</v>
      </c>
      <c r="E40" s="40">
        <v>4</v>
      </c>
      <c r="F40" s="40"/>
      <c r="G40" s="40">
        <v>15</v>
      </c>
      <c r="H40" s="40"/>
      <c r="I40" s="40" t="s">
        <v>637</v>
      </c>
      <c r="J40" s="40"/>
    </row>
    <row r="41" spans="1:10" x14ac:dyDescent="0.35">
      <c r="A41" s="23"/>
      <c r="B41" s="40"/>
      <c r="C41" s="40"/>
      <c r="D41" s="40" t="s">
        <v>638</v>
      </c>
      <c r="E41" s="40">
        <v>0</v>
      </c>
      <c r="F41" s="40"/>
      <c r="G41" s="40">
        <v>10</v>
      </c>
      <c r="H41" s="40"/>
      <c r="I41" s="40" t="s">
        <v>639</v>
      </c>
      <c r="J41" s="40"/>
    </row>
    <row r="42" spans="1:10" ht="49.5" x14ac:dyDescent="0.35">
      <c r="A42" s="23"/>
      <c r="B42" s="40" t="s">
        <v>640</v>
      </c>
      <c r="C42" s="40"/>
      <c r="D42" s="40"/>
      <c r="E42" s="40"/>
      <c r="F42" s="40"/>
      <c r="G42" s="40"/>
      <c r="H42" s="40"/>
      <c r="I42" s="40" t="s">
        <v>641</v>
      </c>
      <c r="J42" s="40"/>
    </row>
    <row r="43" spans="1:10" x14ac:dyDescent="0.35">
      <c r="A43" s="41" t="s">
        <v>642</v>
      </c>
      <c r="B43" s="42">
        <v>0</v>
      </c>
      <c r="C43" s="42" t="s">
        <v>117</v>
      </c>
      <c r="D43" s="42"/>
      <c r="E43" s="42"/>
      <c r="F43" s="42"/>
      <c r="G43" s="42"/>
      <c r="H43" s="42"/>
      <c r="I43" s="42"/>
      <c r="J43" s="40"/>
    </row>
    <row r="44" spans="1:10" x14ac:dyDescent="0.35">
      <c r="A44" s="23"/>
      <c r="B44" s="40">
        <v>1</v>
      </c>
      <c r="C44" s="40" t="s">
        <v>643</v>
      </c>
      <c r="D44" s="40" t="s">
        <v>644</v>
      </c>
      <c r="E44" s="40">
        <v>10</v>
      </c>
      <c r="F44" s="40"/>
      <c r="G44" s="40" t="s">
        <v>645</v>
      </c>
      <c r="H44" s="40" t="s">
        <v>646</v>
      </c>
      <c r="I44" s="40" t="s">
        <v>647</v>
      </c>
      <c r="J44" s="40"/>
    </row>
    <row r="45" spans="1:10" x14ac:dyDescent="0.35">
      <c r="A45" s="23"/>
      <c r="B45" s="40"/>
      <c r="C45" s="40" t="s">
        <v>648</v>
      </c>
      <c r="D45" s="40" t="s">
        <v>649</v>
      </c>
      <c r="E45" s="40"/>
      <c r="F45" s="40"/>
      <c r="G45" s="40"/>
      <c r="H45" s="40"/>
      <c r="I45" s="40"/>
      <c r="J45" s="40"/>
    </row>
    <row r="46" spans="1:10" x14ac:dyDescent="0.35">
      <c r="A46" s="23"/>
      <c r="B46" s="40"/>
      <c r="C46" s="40" t="s">
        <v>650</v>
      </c>
      <c r="D46" s="40" t="s">
        <v>651</v>
      </c>
      <c r="E46" s="40">
        <v>0</v>
      </c>
      <c r="F46" s="40"/>
      <c r="G46" s="40" t="s">
        <v>652</v>
      </c>
      <c r="H46" s="40"/>
      <c r="I46" s="40" t="s">
        <v>653</v>
      </c>
      <c r="J46" s="40"/>
    </row>
    <row r="47" spans="1:10" x14ac:dyDescent="0.35">
      <c r="A47" s="23"/>
      <c r="B47" s="40" t="s">
        <v>13</v>
      </c>
      <c r="C47" s="40" t="s">
        <v>26</v>
      </c>
      <c r="D47" s="40" t="s">
        <v>654</v>
      </c>
      <c r="E47" s="40"/>
      <c r="F47" s="40" t="s">
        <v>655</v>
      </c>
      <c r="G47" s="40">
        <v>10</v>
      </c>
      <c r="H47" s="40" t="s">
        <v>656</v>
      </c>
      <c r="I47" s="40" t="s">
        <v>657</v>
      </c>
      <c r="J47" s="40"/>
    </row>
    <row r="48" spans="1:10" ht="33" x14ac:dyDescent="0.35">
      <c r="A48" s="23"/>
      <c r="B48" s="40"/>
      <c r="C48" s="40" t="s">
        <v>42</v>
      </c>
      <c r="D48" s="40" t="s">
        <v>658</v>
      </c>
      <c r="E48" s="40"/>
      <c r="F48" s="40"/>
      <c r="G48" s="40">
        <v>10</v>
      </c>
      <c r="H48" s="40" t="s">
        <v>659</v>
      </c>
      <c r="I48" s="40" t="s">
        <v>660</v>
      </c>
      <c r="J48" s="40"/>
    </row>
    <row r="49" spans="1:10" x14ac:dyDescent="0.35">
      <c r="A49" s="23"/>
      <c r="B49" s="40" t="s">
        <v>661</v>
      </c>
      <c r="C49" s="40" t="s">
        <v>54</v>
      </c>
      <c r="D49" s="40" t="s">
        <v>662</v>
      </c>
      <c r="E49" s="40"/>
      <c r="F49" s="40"/>
      <c r="G49" s="40">
        <v>10</v>
      </c>
      <c r="H49" s="40" t="s">
        <v>663</v>
      </c>
      <c r="I49" s="40" t="s">
        <v>664</v>
      </c>
      <c r="J49" s="40"/>
    </row>
    <row r="50" spans="1:10" x14ac:dyDescent="0.35">
      <c r="A50" s="23"/>
      <c r="B50" s="40"/>
      <c r="C50" s="40" t="s">
        <v>64</v>
      </c>
      <c r="D50" s="40" t="s">
        <v>665</v>
      </c>
      <c r="E50" s="40">
        <v>3</v>
      </c>
      <c r="F50" s="40"/>
      <c r="G50" s="40">
        <v>12</v>
      </c>
      <c r="H50" s="40" t="s">
        <v>667</v>
      </c>
      <c r="I50" s="40" t="s">
        <v>668</v>
      </c>
      <c r="J50" s="40"/>
    </row>
    <row r="51" spans="1:10" x14ac:dyDescent="0.35">
      <c r="A51" s="23"/>
      <c r="B51" s="40" t="s">
        <v>83</v>
      </c>
      <c r="C51" s="40" t="s">
        <v>104</v>
      </c>
      <c r="D51" s="40" t="s">
        <v>670</v>
      </c>
      <c r="E51" s="40">
        <v>4</v>
      </c>
      <c r="F51" s="40"/>
      <c r="G51" s="40">
        <v>10</v>
      </c>
      <c r="H51" s="40" t="s">
        <v>671</v>
      </c>
      <c r="I51" s="40" t="s">
        <v>672</v>
      </c>
      <c r="J51" s="40"/>
    </row>
    <row r="52" spans="1:10" x14ac:dyDescent="0.35">
      <c r="A52" s="23"/>
      <c r="B52" s="40"/>
      <c r="C52" s="40" t="s">
        <v>84</v>
      </c>
      <c r="D52" s="40" t="s">
        <v>673</v>
      </c>
      <c r="E52" s="40"/>
      <c r="F52" s="40"/>
      <c r="G52" s="40">
        <v>10</v>
      </c>
      <c r="H52" s="40" t="s">
        <v>674</v>
      </c>
      <c r="I52" s="40" t="s">
        <v>675</v>
      </c>
      <c r="J52" s="40"/>
    </row>
    <row r="53" spans="1:10" x14ac:dyDescent="0.35">
      <c r="A53" s="23"/>
      <c r="B53" s="40" t="s">
        <v>114</v>
      </c>
      <c r="C53" s="40" t="s">
        <v>162</v>
      </c>
      <c r="D53" s="40" t="s">
        <v>678</v>
      </c>
      <c r="E53" s="40">
        <v>4</v>
      </c>
      <c r="F53" s="40"/>
      <c r="G53" s="40">
        <v>10</v>
      </c>
      <c r="H53" s="40" t="s">
        <v>680</v>
      </c>
      <c r="I53" s="40"/>
      <c r="J53" s="40"/>
    </row>
    <row r="54" spans="1:10" x14ac:dyDescent="0.35">
      <c r="A54" s="23"/>
      <c r="B54" s="40"/>
      <c r="C54" s="40" t="s">
        <v>167</v>
      </c>
      <c r="D54" s="40" t="s">
        <v>681</v>
      </c>
      <c r="E54" s="40"/>
      <c r="F54" s="40">
        <v>600</v>
      </c>
      <c r="G54" s="40" t="s">
        <v>128</v>
      </c>
      <c r="H54" s="40" t="s">
        <v>682</v>
      </c>
      <c r="I54" s="40"/>
      <c r="J54" s="40"/>
    </row>
    <row r="55" spans="1:10" x14ac:dyDescent="0.35">
      <c r="A55" s="23"/>
      <c r="B55" s="40" t="s">
        <v>186</v>
      </c>
      <c r="C55" s="40" t="s">
        <v>188</v>
      </c>
      <c r="D55" s="40" t="s">
        <v>685</v>
      </c>
      <c r="E55" s="40"/>
      <c r="F55" s="40"/>
      <c r="G55" s="40">
        <v>10</v>
      </c>
      <c r="H55" s="40" t="s">
        <v>689</v>
      </c>
      <c r="I55" s="40" t="s">
        <v>690</v>
      </c>
      <c r="J55" s="40"/>
    </row>
    <row r="56" spans="1:10" x14ac:dyDescent="0.35">
      <c r="A56" s="23"/>
      <c r="B56" s="40"/>
      <c r="C56" s="40" t="s">
        <v>199</v>
      </c>
      <c r="D56" s="40" t="s">
        <v>692</v>
      </c>
      <c r="E56" s="40"/>
      <c r="F56" s="40"/>
      <c r="G56" s="40">
        <v>10</v>
      </c>
      <c r="H56" s="40" t="s">
        <v>693</v>
      </c>
      <c r="I56" s="40" t="s">
        <v>690</v>
      </c>
      <c r="J56" s="40"/>
    </row>
    <row r="57" spans="1:10" x14ac:dyDescent="0.35">
      <c r="A57" s="23"/>
      <c r="B57" s="40" t="s">
        <v>298</v>
      </c>
      <c r="C57" s="40" t="s">
        <v>343</v>
      </c>
      <c r="D57" s="40" t="s">
        <v>695</v>
      </c>
      <c r="E57" s="40"/>
      <c r="F57" s="40"/>
      <c r="G57" s="40">
        <v>5</v>
      </c>
      <c r="H57" s="40" t="s">
        <v>696</v>
      </c>
      <c r="I57" s="40" t="s">
        <v>697</v>
      </c>
      <c r="J57" s="40"/>
    </row>
    <row r="58" spans="1:10" x14ac:dyDescent="0.35">
      <c r="A58" s="23"/>
      <c r="B58" s="40"/>
      <c r="C58" s="40" t="s">
        <v>337</v>
      </c>
      <c r="D58" s="40" t="s">
        <v>698</v>
      </c>
      <c r="E58" s="40"/>
      <c r="F58" s="40"/>
      <c r="G58" s="40"/>
      <c r="H58" s="40" t="s">
        <v>701</v>
      </c>
      <c r="I58" s="40"/>
      <c r="J58" s="40"/>
    </row>
    <row r="59" spans="1:10" x14ac:dyDescent="0.35">
      <c r="A59" s="23"/>
      <c r="B59" s="40" t="s">
        <v>221</v>
      </c>
      <c r="C59" s="40" t="s">
        <v>234</v>
      </c>
      <c r="D59" s="40" t="s">
        <v>706</v>
      </c>
      <c r="E59" s="40"/>
      <c r="F59" s="40"/>
      <c r="G59" s="40" t="s">
        <v>707</v>
      </c>
      <c r="H59" s="40" t="s">
        <v>708</v>
      </c>
      <c r="I59" s="40"/>
      <c r="J59" s="40"/>
    </row>
    <row r="60" spans="1:10" x14ac:dyDescent="0.35">
      <c r="A60" s="23"/>
      <c r="B60" s="40"/>
      <c r="C60" s="40" t="s">
        <v>245</v>
      </c>
      <c r="D60" s="40" t="s">
        <v>711</v>
      </c>
      <c r="E60" s="40"/>
      <c r="F60" s="40"/>
      <c r="G60" s="40">
        <v>10</v>
      </c>
      <c r="H60" s="40" t="s">
        <v>715</v>
      </c>
      <c r="I60" s="40" t="s">
        <v>716</v>
      </c>
      <c r="J60" s="40"/>
    </row>
    <row r="61" spans="1:10" x14ac:dyDescent="0.35">
      <c r="A61" s="23"/>
      <c r="B61" s="40" t="s">
        <v>350</v>
      </c>
      <c r="C61" s="40" t="s">
        <v>365</v>
      </c>
      <c r="D61" s="40" t="s">
        <v>718</v>
      </c>
      <c r="E61" s="40">
        <v>2</v>
      </c>
      <c r="F61" s="40">
        <v>600</v>
      </c>
      <c r="G61" s="40" t="s">
        <v>720</v>
      </c>
      <c r="H61" s="40" t="s">
        <v>721</v>
      </c>
      <c r="I61" s="40" t="s">
        <v>722</v>
      </c>
      <c r="J61" s="40"/>
    </row>
    <row r="62" spans="1:10" x14ac:dyDescent="0.35">
      <c r="A62" s="23"/>
      <c r="B62" s="40"/>
      <c r="C62" s="40" t="s">
        <v>399</v>
      </c>
      <c r="D62" s="40" t="s">
        <v>726</v>
      </c>
      <c r="E62" s="40"/>
      <c r="F62" s="40">
        <v>600</v>
      </c>
      <c r="G62" s="40" t="s">
        <v>729</v>
      </c>
      <c r="H62" s="40" t="s">
        <v>730</v>
      </c>
      <c r="I62" s="40" t="s">
        <v>731</v>
      </c>
      <c r="J62" s="40"/>
    </row>
    <row r="63" spans="1:10" x14ac:dyDescent="0.35">
      <c r="A63" s="23"/>
      <c r="B63" s="40" t="s">
        <v>425</v>
      </c>
      <c r="C63" s="40" t="s">
        <v>734</v>
      </c>
      <c r="D63" s="40" t="s">
        <v>735</v>
      </c>
      <c r="E63" s="40"/>
      <c r="F63" s="40"/>
      <c r="G63" s="40">
        <v>10</v>
      </c>
      <c r="H63" s="40" t="s">
        <v>737</v>
      </c>
      <c r="I63" s="40" t="s">
        <v>738</v>
      </c>
      <c r="J63" s="40"/>
    </row>
    <row r="64" spans="1:10" x14ac:dyDescent="0.35">
      <c r="A64" s="23"/>
      <c r="B64" s="40"/>
      <c r="C64" s="40" t="s">
        <v>741</v>
      </c>
      <c r="D64" s="40" t="s">
        <v>742</v>
      </c>
      <c r="E64" s="40"/>
      <c r="F64" s="40"/>
      <c r="G64" s="40">
        <v>15</v>
      </c>
      <c r="H64" s="40" t="s">
        <v>744</v>
      </c>
      <c r="I64" s="40" t="s">
        <v>745</v>
      </c>
      <c r="J64" s="40"/>
    </row>
    <row r="65" spans="1:10" x14ac:dyDescent="0.35">
      <c r="A65" s="23"/>
      <c r="B65" s="40" t="s">
        <v>627</v>
      </c>
      <c r="C65" s="40" t="s">
        <v>749</v>
      </c>
      <c r="D65" s="40" t="s">
        <v>751</v>
      </c>
      <c r="E65" s="40"/>
      <c r="F65" s="40"/>
      <c r="G65" s="40"/>
      <c r="H65" s="40"/>
      <c r="I65" s="40"/>
      <c r="J65" s="40"/>
    </row>
    <row r="66" spans="1:10" x14ac:dyDescent="0.35">
      <c r="A66" s="23"/>
      <c r="B66" s="40"/>
      <c r="C66" s="40" t="s">
        <v>753</v>
      </c>
      <c r="D66" s="40" t="s">
        <v>754</v>
      </c>
      <c r="E66" s="40"/>
      <c r="F66" s="40"/>
      <c r="G66" s="40">
        <v>10</v>
      </c>
      <c r="H66" s="40" t="s">
        <v>757</v>
      </c>
      <c r="I66" s="40" t="s">
        <v>759</v>
      </c>
      <c r="J66" s="40"/>
    </row>
    <row r="67" spans="1:10" x14ac:dyDescent="0.35">
      <c r="A67" s="23"/>
      <c r="B67" s="40" t="s">
        <v>761</v>
      </c>
      <c r="C67" s="40" t="s">
        <v>762</v>
      </c>
      <c r="D67" s="40" t="s">
        <v>763</v>
      </c>
      <c r="E67" s="40"/>
      <c r="F67" s="40"/>
      <c r="G67" s="40">
        <v>10</v>
      </c>
      <c r="H67" s="40" t="s">
        <v>764</v>
      </c>
      <c r="I67" s="40" t="s">
        <v>765</v>
      </c>
      <c r="J67" s="40"/>
    </row>
    <row r="68" spans="1:10" x14ac:dyDescent="0.35">
      <c r="A68" s="23"/>
      <c r="B68" s="40"/>
      <c r="C68" s="40" t="s">
        <v>766</v>
      </c>
      <c r="D68" s="40" t="s">
        <v>767</v>
      </c>
      <c r="E68" s="40"/>
      <c r="F68" s="40"/>
      <c r="G68" s="40"/>
      <c r="H68" s="40"/>
      <c r="I68" s="40" t="s">
        <v>769</v>
      </c>
      <c r="J68" s="40"/>
    </row>
    <row r="69" spans="1:10" x14ac:dyDescent="0.35">
      <c r="A69" s="41" t="s">
        <v>771</v>
      </c>
      <c r="B69" s="48">
        <v>0</v>
      </c>
      <c r="C69" s="48" t="s">
        <v>368</v>
      </c>
      <c r="D69" s="48"/>
      <c r="E69" s="48"/>
      <c r="F69" s="48"/>
      <c r="G69" s="48"/>
      <c r="H69" s="48"/>
      <c r="I69" s="48"/>
      <c r="J69" s="40"/>
    </row>
    <row r="70" spans="1:10" x14ac:dyDescent="0.35">
      <c r="A70" s="23"/>
      <c r="B70" s="40">
        <v>1</v>
      </c>
      <c r="C70" s="40"/>
      <c r="D70" s="40" t="s">
        <v>781</v>
      </c>
      <c r="E70" s="40"/>
      <c r="F70" s="40"/>
      <c r="G70" s="40"/>
      <c r="H70" s="40"/>
      <c r="I70" s="40" t="s">
        <v>783</v>
      </c>
      <c r="J70" s="40"/>
    </row>
    <row r="71" spans="1:10" ht="49.5" x14ac:dyDescent="0.35">
      <c r="A71" s="23"/>
      <c r="B71" s="40"/>
      <c r="C71" s="40"/>
      <c r="D71" s="40" t="s">
        <v>786</v>
      </c>
      <c r="E71" s="40"/>
      <c r="F71" s="40"/>
      <c r="G71" s="40"/>
      <c r="H71" s="40"/>
      <c r="I71" s="40" t="s">
        <v>790</v>
      </c>
      <c r="J71" s="40"/>
    </row>
    <row r="72" spans="1:10" ht="33" x14ac:dyDescent="0.35">
      <c r="A72" s="23"/>
      <c r="B72" s="40"/>
      <c r="C72" s="40"/>
      <c r="D72" s="40" t="s">
        <v>794</v>
      </c>
      <c r="E72" s="40"/>
      <c r="F72" s="40"/>
      <c r="G72" s="40"/>
      <c r="H72" s="40"/>
      <c r="I72" s="40" t="s">
        <v>796</v>
      </c>
      <c r="J72" s="40"/>
    </row>
    <row r="73" spans="1:10" ht="132" x14ac:dyDescent="0.35">
      <c r="A73" s="23"/>
      <c r="B73" s="40"/>
      <c r="C73" s="40"/>
      <c r="D73" s="40" t="s">
        <v>798</v>
      </c>
      <c r="E73" s="40"/>
      <c r="F73" s="40"/>
      <c r="G73" s="40"/>
      <c r="H73" s="40"/>
      <c r="I73" s="40" t="s">
        <v>801</v>
      </c>
      <c r="J73" s="40"/>
    </row>
    <row r="74" spans="1:10" ht="33" x14ac:dyDescent="0.35">
      <c r="A74" s="23"/>
      <c r="B74" s="49">
        <v>2</v>
      </c>
      <c r="C74" s="49"/>
      <c r="D74" s="49" t="s">
        <v>846</v>
      </c>
      <c r="E74" s="49"/>
      <c r="F74" s="49"/>
      <c r="G74" s="49"/>
      <c r="H74" s="49"/>
      <c r="I74" s="49" t="s">
        <v>847</v>
      </c>
      <c r="J74" s="40"/>
    </row>
    <row r="75" spans="1:10" ht="49.5" x14ac:dyDescent="0.35">
      <c r="A75" s="23"/>
      <c r="B75" s="49"/>
      <c r="C75" s="49"/>
      <c r="D75" s="49" t="s">
        <v>848</v>
      </c>
      <c r="E75" s="49"/>
      <c r="F75" s="49"/>
      <c r="G75" s="49"/>
      <c r="H75" s="49"/>
      <c r="I75" s="49" t="s">
        <v>849</v>
      </c>
      <c r="J75" s="40"/>
    </row>
    <row r="76" spans="1:10" ht="33" x14ac:dyDescent="0.35">
      <c r="A76" s="23"/>
      <c r="B76" s="50">
        <v>2</v>
      </c>
      <c r="C76" s="50"/>
      <c r="D76" s="50" t="s">
        <v>851</v>
      </c>
      <c r="E76" s="50"/>
      <c r="F76" s="50"/>
      <c r="G76" s="50">
        <v>10</v>
      </c>
      <c r="H76" s="50"/>
      <c r="I76" s="50" t="s">
        <v>852</v>
      </c>
      <c r="J76" s="40"/>
    </row>
    <row r="77" spans="1:10" ht="33" x14ac:dyDescent="0.35">
      <c r="A77" s="23"/>
      <c r="B77" s="51"/>
      <c r="C77" s="51"/>
      <c r="D77" s="51" t="s">
        <v>853</v>
      </c>
      <c r="E77" s="51"/>
      <c r="F77" s="51"/>
      <c r="G77" s="51"/>
      <c r="H77" s="51"/>
      <c r="I77" s="51" t="s">
        <v>855</v>
      </c>
      <c r="J77" s="40"/>
    </row>
    <row r="78" spans="1:10" ht="33" x14ac:dyDescent="0.35">
      <c r="A78" s="23"/>
      <c r="B78" s="52">
        <v>2</v>
      </c>
      <c r="C78" s="52"/>
      <c r="D78" s="52" t="s">
        <v>856</v>
      </c>
      <c r="E78" s="52"/>
      <c r="F78" s="52"/>
      <c r="G78" s="52"/>
      <c r="H78" s="52"/>
      <c r="I78" s="52" t="s">
        <v>857</v>
      </c>
      <c r="J78" s="40"/>
    </row>
    <row r="79" spans="1:10" x14ac:dyDescent="0.35">
      <c r="A79" s="23"/>
      <c r="B79" s="52"/>
      <c r="C79" s="52"/>
      <c r="D79" s="52" t="s">
        <v>858</v>
      </c>
      <c r="E79" s="52"/>
      <c r="F79" s="52"/>
      <c r="G79" s="52"/>
      <c r="H79" s="52"/>
      <c r="I79" s="52" t="s">
        <v>859</v>
      </c>
      <c r="J79" s="40"/>
    </row>
    <row r="80" spans="1:10" ht="49.5" x14ac:dyDescent="0.35">
      <c r="A80" s="23"/>
      <c r="B80" s="40" t="s">
        <v>860</v>
      </c>
      <c r="C80" s="40"/>
      <c r="D80" s="40" t="s">
        <v>861</v>
      </c>
      <c r="E80" s="40"/>
      <c r="F80" s="40"/>
      <c r="G80" s="40">
        <v>15</v>
      </c>
      <c r="H80" s="40"/>
      <c r="I80" s="40" t="s">
        <v>862</v>
      </c>
      <c r="J80" s="40"/>
    </row>
    <row r="81" spans="1:10" ht="33" x14ac:dyDescent="0.35">
      <c r="A81" s="23"/>
      <c r="D81" s="43" t="s">
        <v>863</v>
      </c>
      <c r="I81" s="43" t="s">
        <v>864</v>
      </c>
      <c r="J81" s="40"/>
    </row>
    <row r="82" spans="1:10" x14ac:dyDescent="0.35">
      <c r="A82" s="40"/>
      <c r="B82" s="40"/>
      <c r="C82" s="40"/>
      <c r="D82" s="40"/>
      <c r="E82" s="40"/>
      <c r="F82" s="40"/>
      <c r="G82" s="40"/>
      <c r="H82" s="40"/>
      <c r="I82" s="40"/>
      <c r="J82" s="40"/>
    </row>
    <row r="83" spans="1:10" x14ac:dyDescent="0.35">
      <c r="A83" s="40"/>
      <c r="B83" s="40"/>
      <c r="C83" s="40"/>
      <c r="D83" s="40"/>
      <c r="E83" s="40"/>
      <c r="F83" s="40"/>
      <c r="G83" s="40"/>
      <c r="H83" s="40"/>
      <c r="I83" s="40"/>
      <c r="J83" s="40"/>
    </row>
    <row r="84" spans="1:10" x14ac:dyDescent="0.35">
      <c r="A84" s="40"/>
      <c r="B84" s="40"/>
      <c r="C84" s="40"/>
      <c r="D84" s="40"/>
      <c r="E84" s="40"/>
      <c r="F84" s="40"/>
      <c r="G84" s="40"/>
      <c r="H84" s="40"/>
      <c r="I84" s="40"/>
      <c r="J84" s="40"/>
    </row>
    <row r="85" spans="1:10" x14ac:dyDescent="0.35">
      <c r="A85" s="40"/>
      <c r="B85" s="40"/>
      <c r="C85" s="40"/>
      <c r="D85" s="40"/>
      <c r="E85" s="40"/>
      <c r="F85" s="40"/>
      <c r="G85" s="40"/>
      <c r="H85" s="40"/>
      <c r="I85" s="40"/>
      <c r="J85" s="40"/>
    </row>
  </sheetData>
  <mergeCells count="13">
    <mergeCell ref="A43:A68"/>
    <mergeCell ref="A69:A81"/>
    <mergeCell ref="A2:A9"/>
    <mergeCell ref="B20:B22"/>
    <mergeCell ref="A17:A23"/>
    <mergeCell ref="A24:A29"/>
    <mergeCell ref="A30:A35"/>
    <mergeCell ref="A36:A42"/>
    <mergeCell ref="A10:A16"/>
    <mergeCell ref="C10:I10"/>
    <mergeCell ref="C17:I17"/>
    <mergeCell ref="B11:B14"/>
    <mergeCell ref="B18:B19"/>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P39"/>
  <sheetViews>
    <sheetView workbookViewId="0">
      <pane ySplit="1" topLeftCell="A2" activePane="bottomLeft" state="frozen"/>
      <selection pane="bottomLeft" activeCell="F22" sqref="F22"/>
    </sheetView>
  </sheetViews>
  <sheetFormatPr defaultColWidth="17.28515625" defaultRowHeight="16.5" x14ac:dyDescent="0.35"/>
  <cols>
    <col min="1" max="1" width="4.7109375" style="16" customWidth="1"/>
    <col min="2" max="2" width="6.5703125" style="16" customWidth="1"/>
    <col min="3" max="3" width="16.140625" style="16" customWidth="1"/>
    <col min="4" max="4" width="19.7109375" style="16" customWidth="1"/>
    <col min="5" max="5" width="9.7109375" style="16" customWidth="1"/>
    <col min="6" max="6" width="18.42578125" style="16" customWidth="1"/>
    <col min="7" max="7" width="2.85546875" style="16" customWidth="1"/>
    <col min="8" max="9" width="4.42578125" style="16" bestFit="1" customWidth="1"/>
    <col min="10" max="10" width="4" style="16" customWidth="1"/>
    <col min="11" max="11" width="3.28515625" style="16" bestFit="1" customWidth="1"/>
    <col min="12" max="12" width="3" style="16" customWidth="1"/>
    <col min="13" max="13" width="3.7109375" style="16" customWidth="1"/>
    <col min="14" max="14" width="81.140625" style="16" customWidth="1"/>
    <col min="15" max="15" width="15.5703125" style="16" customWidth="1"/>
    <col min="16" max="16" width="8.140625" style="16" bestFit="1" customWidth="1"/>
    <col min="17" max="16384" width="17.28515625" style="16"/>
  </cols>
  <sheetData>
    <row r="1" spans="1:16" x14ac:dyDescent="0.35">
      <c r="A1" s="54" t="s">
        <v>19</v>
      </c>
      <c r="B1" s="54" t="s">
        <v>31</v>
      </c>
      <c r="C1" s="54" t="s">
        <v>18</v>
      </c>
      <c r="D1" s="54" t="s">
        <v>115</v>
      </c>
      <c r="E1" s="54" t="s">
        <v>21</v>
      </c>
      <c r="F1" s="54" t="s">
        <v>22</v>
      </c>
      <c r="G1" s="55" t="s">
        <v>5</v>
      </c>
      <c r="H1" s="55" t="s">
        <v>23</v>
      </c>
      <c r="I1" s="55" t="s">
        <v>150</v>
      </c>
      <c r="J1" s="55" t="s">
        <v>4</v>
      </c>
      <c r="K1" s="56" t="s">
        <v>7</v>
      </c>
      <c r="L1" s="56" t="s">
        <v>151</v>
      </c>
      <c r="M1" s="56" t="s">
        <v>152</v>
      </c>
      <c r="N1" s="54"/>
      <c r="O1" s="40" t="s">
        <v>153</v>
      </c>
      <c r="P1" s="40" t="s">
        <v>154</v>
      </c>
    </row>
    <row r="2" spans="1:16" x14ac:dyDescent="0.35">
      <c r="A2" s="57"/>
      <c r="B2" s="58"/>
      <c r="C2" s="58" t="s">
        <v>175</v>
      </c>
      <c r="D2" s="58" t="s">
        <v>176</v>
      </c>
      <c r="E2" s="58" t="s">
        <v>440</v>
      </c>
      <c r="F2" s="58" t="s">
        <v>441</v>
      </c>
      <c r="G2" s="55">
        <v>3</v>
      </c>
      <c r="H2" s="55">
        <v>600</v>
      </c>
      <c r="I2" s="55"/>
      <c r="J2" s="55"/>
      <c r="K2" s="55"/>
      <c r="L2" s="55">
        <v>2</v>
      </c>
      <c r="M2" s="55"/>
      <c r="N2" s="58" t="s">
        <v>442</v>
      </c>
      <c r="O2" s="59" t="s">
        <v>443</v>
      </c>
      <c r="P2" s="59"/>
    </row>
    <row r="3" spans="1:16" x14ac:dyDescent="0.35">
      <c r="A3" s="57"/>
      <c r="B3" s="58"/>
      <c r="C3" s="58"/>
      <c r="D3" s="58"/>
      <c r="E3" s="58" t="s">
        <v>444</v>
      </c>
      <c r="F3" s="58" t="s">
        <v>445</v>
      </c>
      <c r="G3" s="55">
        <v>0</v>
      </c>
      <c r="H3" s="55">
        <v>600</v>
      </c>
      <c r="I3" s="55"/>
      <c r="J3" s="55"/>
      <c r="K3" s="55">
        <v>5</v>
      </c>
      <c r="L3" s="55">
        <v>8</v>
      </c>
      <c r="M3" s="55" t="s">
        <v>446</v>
      </c>
      <c r="N3" s="58" t="s">
        <v>447</v>
      </c>
      <c r="O3" s="59" t="s">
        <v>448</v>
      </c>
      <c r="P3" s="59"/>
    </row>
    <row r="4" spans="1:16" x14ac:dyDescent="0.35">
      <c r="A4" s="57"/>
      <c r="B4" s="60"/>
      <c r="C4" s="60" t="s">
        <v>449</v>
      </c>
      <c r="D4" s="60" t="s">
        <v>450</v>
      </c>
      <c r="E4" s="60" t="s">
        <v>451</v>
      </c>
      <c r="F4" s="60" t="s">
        <v>452</v>
      </c>
      <c r="G4" s="61">
        <v>3</v>
      </c>
      <c r="H4" s="61">
        <v>800</v>
      </c>
      <c r="I4" s="61"/>
      <c r="J4" s="61"/>
      <c r="K4" s="61"/>
      <c r="L4" s="61">
        <v>5</v>
      </c>
      <c r="M4" s="61"/>
      <c r="N4" s="60" t="s">
        <v>453</v>
      </c>
      <c r="O4" s="59" t="s">
        <v>454</v>
      </c>
      <c r="P4" s="59"/>
    </row>
    <row r="5" spans="1:16" x14ac:dyDescent="0.35">
      <c r="A5" s="57"/>
      <c r="B5" s="60"/>
      <c r="C5" s="60"/>
      <c r="D5" s="60"/>
      <c r="E5" s="60" t="s">
        <v>455</v>
      </c>
      <c r="F5" s="60" t="s">
        <v>456</v>
      </c>
      <c r="G5" s="61"/>
      <c r="H5" s="61"/>
      <c r="I5" s="61"/>
      <c r="J5" s="61"/>
      <c r="K5" s="61">
        <v>20</v>
      </c>
      <c r="L5" s="61">
        <v>6</v>
      </c>
      <c r="M5" s="61"/>
      <c r="N5" s="60" t="s">
        <v>457</v>
      </c>
      <c r="O5" s="59" t="s">
        <v>458</v>
      </c>
      <c r="P5" s="59"/>
    </row>
    <row r="6" spans="1:16" x14ac:dyDescent="0.35">
      <c r="A6" s="57"/>
      <c r="B6" s="60"/>
      <c r="C6" s="60"/>
      <c r="D6" s="60"/>
      <c r="E6" s="60" t="s">
        <v>459</v>
      </c>
      <c r="F6" s="60" t="s">
        <v>460</v>
      </c>
      <c r="G6" s="61"/>
      <c r="H6" s="61"/>
      <c r="I6" s="61"/>
      <c r="J6" s="61"/>
      <c r="K6" s="61">
        <v>30</v>
      </c>
      <c r="L6" s="61">
        <v>10</v>
      </c>
      <c r="M6" s="61" t="s">
        <v>461</v>
      </c>
      <c r="N6" s="60" t="s">
        <v>462</v>
      </c>
      <c r="O6" s="59" t="s">
        <v>463</v>
      </c>
      <c r="P6" s="59"/>
    </row>
    <row r="7" spans="1:16" ht="33" x14ac:dyDescent="0.35">
      <c r="A7" s="57"/>
      <c r="B7" s="58"/>
      <c r="C7" s="58" t="s">
        <v>464</v>
      </c>
      <c r="D7" s="58" t="s">
        <v>465</v>
      </c>
      <c r="E7" s="58" t="s">
        <v>466</v>
      </c>
      <c r="F7" s="58" t="s">
        <v>467</v>
      </c>
      <c r="G7" s="55"/>
      <c r="H7" s="55"/>
      <c r="I7" s="55"/>
      <c r="J7" s="55"/>
      <c r="K7" s="55">
        <v>10</v>
      </c>
      <c r="L7" s="55">
        <v>1</v>
      </c>
      <c r="M7" s="55" t="s">
        <v>468</v>
      </c>
      <c r="N7" s="58" t="s">
        <v>469</v>
      </c>
      <c r="O7" s="59" t="s">
        <v>470</v>
      </c>
      <c r="P7" s="59"/>
    </row>
    <row r="8" spans="1:16" x14ac:dyDescent="0.35">
      <c r="A8" s="57"/>
      <c r="B8" s="58"/>
      <c r="C8" s="58"/>
      <c r="D8" s="58"/>
      <c r="E8" s="58" t="s">
        <v>471</v>
      </c>
      <c r="F8" s="58" t="s">
        <v>472</v>
      </c>
      <c r="G8" s="55"/>
      <c r="H8" s="55">
        <v>200</v>
      </c>
      <c r="I8" s="55"/>
      <c r="J8" s="55"/>
      <c r="K8" s="55">
        <v>7</v>
      </c>
      <c r="L8" s="55">
        <v>15</v>
      </c>
      <c r="M8" s="55" t="s">
        <v>473</v>
      </c>
      <c r="N8" s="58" t="s">
        <v>474</v>
      </c>
      <c r="O8" s="59" t="s">
        <v>475</v>
      </c>
      <c r="P8" s="59"/>
    </row>
    <row r="9" spans="1:16" x14ac:dyDescent="0.35">
      <c r="A9" s="57"/>
      <c r="B9" s="60" t="s">
        <v>476</v>
      </c>
      <c r="C9" s="60" t="s">
        <v>477</v>
      </c>
      <c r="D9" s="60" t="s">
        <v>478</v>
      </c>
      <c r="E9" s="60" t="s">
        <v>479</v>
      </c>
      <c r="F9" s="60" t="s">
        <v>480</v>
      </c>
      <c r="G9" s="61"/>
      <c r="H9" s="61"/>
      <c r="I9" s="61"/>
      <c r="J9" s="61"/>
      <c r="K9" s="61">
        <v>6</v>
      </c>
      <c r="L9" s="61">
        <v>12</v>
      </c>
      <c r="M9" s="61" t="s">
        <v>446</v>
      </c>
      <c r="N9" s="60" t="s">
        <v>481</v>
      </c>
      <c r="O9" s="59" t="s">
        <v>482</v>
      </c>
      <c r="P9" s="59"/>
    </row>
    <row r="10" spans="1:16" x14ac:dyDescent="0.35">
      <c r="A10" s="57"/>
      <c r="B10" s="60"/>
      <c r="C10" s="60"/>
      <c r="D10" s="60"/>
      <c r="E10" s="60" t="s">
        <v>483</v>
      </c>
      <c r="F10" s="60" t="s">
        <v>484</v>
      </c>
      <c r="G10" s="61"/>
      <c r="H10" s="61"/>
      <c r="I10" s="61"/>
      <c r="J10" s="61"/>
      <c r="K10" s="61">
        <v>10</v>
      </c>
      <c r="L10" s="61">
        <v>20</v>
      </c>
      <c r="M10" s="61" t="s">
        <v>473</v>
      </c>
      <c r="N10" s="60" t="s">
        <v>485</v>
      </c>
      <c r="O10" s="59" t="s">
        <v>486</v>
      </c>
      <c r="P10" s="59"/>
    </row>
    <row r="11" spans="1:16" x14ac:dyDescent="0.35">
      <c r="A11" s="57"/>
      <c r="B11" s="58"/>
      <c r="C11" s="58" t="s">
        <v>487</v>
      </c>
      <c r="D11" s="58" t="s">
        <v>488</v>
      </c>
      <c r="E11" s="58" t="s">
        <v>489</v>
      </c>
      <c r="F11" s="58" t="s">
        <v>490</v>
      </c>
      <c r="G11" s="55"/>
      <c r="H11" s="55"/>
      <c r="I11" s="55"/>
      <c r="J11" s="55"/>
      <c r="K11" s="55">
        <v>16</v>
      </c>
      <c r="L11" s="55"/>
      <c r="M11" s="55" t="s">
        <v>473</v>
      </c>
      <c r="N11" s="58" t="s">
        <v>491</v>
      </c>
      <c r="O11" s="59" t="s">
        <v>492</v>
      </c>
      <c r="P11" s="59"/>
    </row>
    <row r="12" spans="1:16" x14ac:dyDescent="0.35">
      <c r="A12" s="57"/>
      <c r="B12" s="58"/>
      <c r="C12" s="58"/>
      <c r="D12" s="58"/>
      <c r="E12" s="58"/>
      <c r="F12" s="58"/>
      <c r="G12" s="55"/>
      <c r="H12" s="55"/>
      <c r="I12" s="55"/>
      <c r="J12" s="55"/>
      <c r="K12" s="55"/>
      <c r="L12" s="55"/>
      <c r="M12" s="55"/>
      <c r="N12" s="58"/>
      <c r="O12" s="40"/>
      <c r="P12" s="59"/>
    </row>
    <row r="13" spans="1:16" ht="33" x14ac:dyDescent="0.35">
      <c r="A13" s="57"/>
      <c r="B13" s="60" t="s">
        <v>493</v>
      </c>
      <c r="C13" s="60" t="s">
        <v>494</v>
      </c>
      <c r="D13" s="60" t="s">
        <v>495</v>
      </c>
      <c r="E13" s="60"/>
      <c r="F13" s="60"/>
      <c r="G13" s="61"/>
      <c r="H13" s="61"/>
      <c r="I13" s="61"/>
      <c r="J13" s="61"/>
      <c r="K13" s="61"/>
      <c r="L13" s="61"/>
      <c r="M13" s="61"/>
      <c r="N13" s="60"/>
      <c r="O13" s="60"/>
      <c r="P13" s="59"/>
    </row>
    <row r="14" spans="1:16" x14ac:dyDescent="0.35">
      <c r="A14" s="57"/>
      <c r="B14" s="60"/>
      <c r="C14" s="60"/>
      <c r="D14" s="60"/>
      <c r="E14" s="60"/>
      <c r="F14" s="60"/>
      <c r="G14" s="61"/>
      <c r="H14" s="61"/>
      <c r="I14" s="61"/>
      <c r="J14" s="61"/>
      <c r="K14" s="61"/>
      <c r="L14" s="61"/>
      <c r="M14" s="61"/>
      <c r="N14" s="60"/>
      <c r="O14" s="60"/>
      <c r="P14" s="59"/>
    </row>
    <row r="15" spans="1:16" x14ac:dyDescent="0.35">
      <c r="A15" s="57"/>
      <c r="B15" s="62" t="s">
        <v>476</v>
      </c>
      <c r="C15" s="62" t="s">
        <v>496</v>
      </c>
      <c r="D15" s="62" t="s">
        <v>497</v>
      </c>
      <c r="E15" s="62" t="s">
        <v>498</v>
      </c>
      <c r="F15" s="62" t="s">
        <v>499</v>
      </c>
      <c r="G15" s="63"/>
      <c r="H15" s="63"/>
      <c r="I15" s="63">
        <v>600</v>
      </c>
      <c r="J15" s="63"/>
      <c r="K15" s="63"/>
      <c r="L15" s="63">
        <v>10</v>
      </c>
      <c r="M15" s="63"/>
      <c r="N15" s="62" t="s">
        <v>500</v>
      </c>
      <c r="O15" s="64"/>
      <c r="P15" s="64"/>
    </row>
    <row r="16" spans="1:16" x14ac:dyDescent="0.35">
      <c r="A16" s="57"/>
      <c r="B16" s="62"/>
      <c r="C16" s="62"/>
      <c r="D16" s="62"/>
      <c r="E16" s="62" t="s">
        <v>501</v>
      </c>
      <c r="F16" s="62" t="s">
        <v>502</v>
      </c>
      <c r="G16" s="63"/>
      <c r="H16" s="63">
        <v>900</v>
      </c>
      <c r="I16" s="63"/>
      <c r="J16" s="63"/>
      <c r="K16" s="63"/>
      <c r="L16" s="63">
        <v>5</v>
      </c>
      <c r="M16" s="63"/>
      <c r="N16" s="62" t="s">
        <v>503</v>
      </c>
      <c r="O16" s="64"/>
      <c r="P16" s="64"/>
    </row>
    <row r="17" spans="1:16" ht="33" x14ac:dyDescent="0.35">
      <c r="A17" s="65"/>
      <c r="B17" s="58"/>
      <c r="C17" s="58" t="s">
        <v>504</v>
      </c>
      <c r="D17" s="58" t="s">
        <v>505</v>
      </c>
      <c r="E17" s="58" t="s">
        <v>506</v>
      </c>
      <c r="F17" s="54" t="s">
        <v>508</v>
      </c>
      <c r="G17" s="56"/>
      <c r="H17" s="56"/>
      <c r="I17" s="56"/>
      <c r="J17" s="56"/>
      <c r="K17" s="56">
        <v>6</v>
      </c>
      <c r="L17" s="56">
        <v>15</v>
      </c>
      <c r="M17" s="56" t="s">
        <v>468</v>
      </c>
      <c r="N17" s="54" t="s">
        <v>513</v>
      </c>
      <c r="O17" s="40"/>
      <c r="P17" s="40"/>
    </row>
    <row r="18" spans="1:16" x14ac:dyDescent="0.35">
      <c r="A18" s="65"/>
      <c r="B18" s="58"/>
      <c r="C18" s="58"/>
      <c r="D18" s="54"/>
      <c r="E18" s="54"/>
      <c r="F18" s="54"/>
      <c r="G18" s="56"/>
      <c r="H18" s="56"/>
      <c r="I18" s="56"/>
      <c r="J18" s="56"/>
      <c r="K18" s="56"/>
      <c r="L18" s="56"/>
      <c r="M18" s="56"/>
      <c r="N18" s="54"/>
      <c r="O18" s="40"/>
      <c r="P18" s="40"/>
    </row>
    <row r="19" spans="1:16" x14ac:dyDescent="0.35">
      <c r="A19" s="65"/>
      <c r="B19" s="60"/>
      <c r="C19" s="60" t="s">
        <v>514</v>
      </c>
      <c r="D19" s="66" t="s">
        <v>515</v>
      </c>
      <c r="E19" s="66" t="s">
        <v>516</v>
      </c>
      <c r="F19" s="66" t="s">
        <v>517</v>
      </c>
      <c r="G19" s="67"/>
      <c r="H19" s="67">
        <v>800</v>
      </c>
      <c r="I19" s="67"/>
      <c r="J19" s="67"/>
      <c r="K19" s="67">
        <v>10</v>
      </c>
      <c r="L19" s="67">
        <v>20</v>
      </c>
      <c r="M19" s="67" t="s">
        <v>473</v>
      </c>
      <c r="N19" s="66" t="s">
        <v>518</v>
      </c>
      <c r="O19" s="60"/>
      <c r="P19" s="60"/>
    </row>
    <row r="20" spans="1:16" x14ac:dyDescent="0.35">
      <c r="A20" s="65"/>
      <c r="B20" s="60"/>
      <c r="C20" s="60"/>
      <c r="D20" s="66"/>
      <c r="E20" s="66"/>
      <c r="F20" s="66"/>
      <c r="G20" s="67"/>
      <c r="H20" s="67"/>
      <c r="I20" s="67"/>
      <c r="J20" s="67"/>
      <c r="K20" s="67"/>
      <c r="L20" s="67"/>
      <c r="M20" s="67"/>
      <c r="N20" s="66"/>
      <c r="O20" s="60"/>
      <c r="P20" s="60"/>
    </row>
    <row r="21" spans="1:16" x14ac:dyDescent="0.35">
      <c r="A21" s="65"/>
      <c r="B21" s="58" t="s">
        <v>476</v>
      </c>
      <c r="C21" s="58" t="s">
        <v>519</v>
      </c>
      <c r="D21" s="58" t="s">
        <v>520</v>
      </c>
      <c r="E21" s="58"/>
      <c r="F21" s="58" t="s">
        <v>521</v>
      </c>
      <c r="G21" s="55">
        <v>4</v>
      </c>
      <c r="H21" s="55"/>
      <c r="I21" s="55">
        <v>500</v>
      </c>
      <c r="J21" s="55"/>
      <c r="K21" s="55"/>
      <c r="L21" s="55"/>
      <c r="M21" s="55"/>
      <c r="N21" s="58" t="s">
        <v>522</v>
      </c>
      <c r="O21" s="40"/>
      <c r="P21" s="40"/>
    </row>
    <row r="22" spans="1:16" ht="33" x14ac:dyDescent="0.35">
      <c r="A22" s="65"/>
      <c r="B22" s="58"/>
      <c r="C22" s="58"/>
      <c r="D22" s="58"/>
      <c r="E22" s="58"/>
      <c r="F22" s="58" t="s">
        <v>523</v>
      </c>
      <c r="G22" s="55"/>
      <c r="H22" s="55"/>
      <c r="I22" s="55"/>
      <c r="J22" s="55"/>
      <c r="K22" s="55">
        <v>12</v>
      </c>
      <c r="L22" s="55">
        <v>6</v>
      </c>
      <c r="M22" s="55" t="s">
        <v>468</v>
      </c>
      <c r="N22" s="58" t="s">
        <v>524</v>
      </c>
      <c r="O22" s="40"/>
      <c r="P22" s="40"/>
    </row>
    <row r="23" spans="1:16" ht="33" x14ac:dyDescent="0.35">
      <c r="A23" s="65"/>
      <c r="B23" s="60"/>
      <c r="C23" s="60" t="s">
        <v>525</v>
      </c>
      <c r="D23" s="60" t="s">
        <v>526</v>
      </c>
      <c r="E23" s="60" t="s">
        <v>527</v>
      </c>
      <c r="F23" s="60" t="s">
        <v>528</v>
      </c>
      <c r="G23" s="61"/>
      <c r="H23" s="61"/>
      <c r="I23" s="61"/>
      <c r="J23" s="61"/>
      <c r="K23" s="61"/>
      <c r="L23" s="61"/>
      <c r="M23" s="61" t="s">
        <v>468</v>
      </c>
      <c r="N23" s="60" t="s">
        <v>529</v>
      </c>
      <c r="O23" s="60"/>
      <c r="P23" s="60"/>
    </row>
    <row r="24" spans="1:16" x14ac:dyDescent="0.35">
      <c r="A24" s="65"/>
      <c r="B24" s="60"/>
      <c r="C24" s="60"/>
      <c r="D24" s="60"/>
      <c r="E24" s="60" t="s">
        <v>530</v>
      </c>
      <c r="F24" s="60" t="s">
        <v>531</v>
      </c>
      <c r="G24" s="61">
        <v>3</v>
      </c>
      <c r="H24" s="61"/>
      <c r="I24" s="61">
        <v>900</v>
      </c>
      <c r="J24" s="61"/>
      <c r="K24" s="61"/>
      <c r="L24" s="61"/>
      <c r="M24" s="61"/>
      <c r="N24" s="60" t="s">
        <v>532</v>
      </c>
      <c r="O24" s="60"/>
      <c r="P24" s="60"/>
    </row>
    <row r="25" spans="1:16" ht="33" x14ac:dyDescent="0.35">
      <c r="A25" s="65"/>
      <c r="B25" s="60"/>
      <c r="C25" s="60"/>
      <c r="D25" s="60"/>
      <c r="E25" s="60" t="s">
        <v>533</v>
      </c>
      <c r="F25" s="60" t="s">
        <v>534</v>
      </c>
      <c r="G25" s="61"/>
      <c r="H25" s="61">
        <v>800</v>
      </c>
      <c r="I25" s="61"/>
      <c r="J25" s="61"/>
      <c r="K25" s="61">
        <v>10</v>
      </c>
      <c r="L25" s="61">
        <v>5</v>
      </c>
      <c r="M25" s="61" t="s">
        <v>446</v>
      </c>
      <c r="N25" s="60" t="s">
        <v>535</v>
      </c>
      <c r="O25" s="60"/>
      <c r="P25" s="60"/>
    </row>
    <row r="26" spans="1:16" x14ac:dyDescent="0.35">
      <c r="A26" s="65"/>
      <c r="B26" s="58"/>
      <c r="C26" s="58" t="s">
        <v>536</v>
      </c>
      <c r="D26" s="58" t="s">
        <v>537</v>
      </c>
      <c r="E26" s="58" t="s">
        <v>538</v>
      </c>
      <c r="F26" s="58" t="s">
        <v>539</v>
      </c>
      <c r="G26" s="55"/>
      <c r="H26" s="55"/>
      <c r="I26" s="55"/>
      <c r="J26" s="55"/>
      <c r="K26" s="55"/>
      <c r="L26" s="55"/>
      <c r="M26" s="55"/>
      <c r="N26" s="58" t="s">
        <v>540</v>
      </c>
      <c r="O26" s="40"/>
      <c r="P26" s="40"/>
    </row>
    <row r="27" spans="1:16" x14ac:dyDescent="0.35">
      <c r="A27" s="65"/>
      <c r="B27" s="58"/>
      <c r="C27" s="58"/>
      <c r="D27" s="58"/>
      <c r="E27" s="58" t="s">
        <v>541</v>
      </c>
      <c r="F27" s="58" t="s">
        <v>542</v>
      </c>
      <c r="G27" s="55"/>
      <c r="H27" s="55"/>
      <c r="I27" s="55"/>
      <c r="J27" s="55"/>
      <c r="K27" s="55"/>
      <c r="L27" s="55"/>
      <c r="M27" s="55"/>
      <c r="N27" s="58" t="s">
        <v>543</v>
      </c>
      <c r="O27" s="40"/>
      <c r="P27" s="40"/>
    </row>
    <row r="28" spans="1:16" ht="33" x14ac:dyDescent="0.35">
      <c r="A28" s="65"/>
      <c r="B28" s="60" t="s">
        <v>493</v>
      </c>
      <c r="C28" s="60" t="s">
        <v>544</v>
      </c>
      <c r="D28" s="60" t="s">
        <v>545</v>
      </c>
      <c r="E28" s="60" t="s">
        <v>546</v>
      </c>
      <c r="F28" s="60" t="s">
        <v>547</v>
      </c>
      <c r="G28" s="61"/>
      <c r="H28" s="61"/>
      <c r="I28" s="61"/>
      <c r="J28" s="61"/>
      <c r="K28" s="61"/>
      <c r="L28" s="61">
        <v>7</v>
      </c>
      <c r="M28" s="61"/>
      <c r="N28" s="60" t="s">
        <v>548</v>
      </c>
      <c r="O28" s="60"/>
      <c r="P28" s="60"/>
    </row>
    <row r="29" spans="1:16" x14ac:dyDescent="0.35">
      <c r="A29" s="65"/>
      <c r="B29" s="60"/>
      <c r="C29" s="60"/>
      <c r="D29" s="66"/>
      <c r="E29" s="66"/>
      <c r="F29" s="60"/>
      <c r="G29" s="61"/>
      <c r="H29" s="61"/>
      <c r="I29" s="61"/>
      <c r="J29" s="61"/>
      <c r="K29" s="61"/>
      <c r="L29" s="61"/>
      <c r="M29" s="61"/>
      <c r="N29" s="60"/>
      <c r="O29" s="60"/>
      <c r="P29" s="60"/>
    </row>
    <row r="30" spans="1:16" ht="33" x14ac:dyDescent="0.35">
      <c r="A30" s="65"/>
      <c r="B30" s="58"/>
      <c r="C30" s="58" t="s">
        <v>549</v>
      </c>
      <c r="D30" s="58" t="s">
        <v>550</v>
      </c>
      <c r="E30" s="58" t="s">
        <v>551</v>
      </c>
      <c r="F30" s="58" t="s">
        <v>552</v>
      </c>
      <c r="G30" s="55"/>
      <c r="H30" s="55"/>
      <c r="I30" s="55"/>
      <c r="J30" s="55"/>
      <c r="K30" s="55"/>
      <c r="L30" s="55"/>
      <c r="M30" s="55"/>
      <c r="N30" s="58" t="s">
        <v>553</v>
      </c>
      <c r="O30" s="40"/>
      <c r="P30" s="40"/>
    </row>
    <row r="31" spans="1:16" x14ac:dyDescent="0.35">
      <c r="A31" s="65"/>
      <c r="B31" s="58"/>
      <c r="C31" s="58"/>
      <c r="D31" s="58"/>
      <c r="E31" s="58" t="s">
        <v>554</v>
      </c>
      <c r="F31" s="58" t="s">
        <v>555</v>
      </c>
      <c r="G31" s="55"/>
      <c r="H31" s="55"/>
      <c r="I31" s="55"/>
      <c r="J31" s="55"/>
      <c r="K31" s="55"/>
      <c r="L31" s="55"/>
      <c r="M31" s="55"/>
      <c r="N31" s="58" t="s">
        <v>556</v>
      </c>
      <c r="O31" s="40"/>
      <c r="P31" s="40"/>
    </row>
    <row r="32" spans="1:16" x14ac:dyDescent="0.35">
      <c r="A32" s="65"/>
      <c r="B32" s="60" t="s">
        <v>476</v>
      </c>
      <c r="C32" s="60" t="s">
        <v>557</v>
      </c>
      <c r="D32" s="60" t="s">
        <v>558</v>
      </c>
      <c r="E32" s="60" t="s">
        <v>559</v>
      </c>
      <c r="F32" s="60" t="s">
        <v>560</v>
      </c>
      <c r="G32" s="61"/>
      <c r="H32" s="61"/>
      <c r="I32" s="61"/>
      <c r="J32" s="61"/>
      <c r="K32" s="61"/>
      <c r="L32" s="61"/>
      <c r="M32" s="61"/>
      <c r="N32" s="60" t="s">
        <v>561</v>
      </c>
      <c r="O32" s="68"/>
      <c r="P32" s="68"/>
    </row>
    <row r="33" spans="1:16" x14ac:dyDescent="0.35">
      <c r="A33" s="65"/>
      <c r="B33" s="60"/>
      <c r="C33" s="60"/>
      <c r="D33" s="60"/>
      <c r="E33" s="60" t="s">
        <v>562</v>
      </c>
      <c r="F33" s="60" t="s">
        <v>563</v>
      </c>
      <c r="G33" s="61"/>
      <c r="H33" s="61"/>
      <c r="I33" s="61"/>
      <c r="J33" s="61"/>
      <c r="K33" s="61"/>
      <c r="L33" s="61"/>
      <c r="M33" s="61"/>
      <c r="N33" s="60" t="s">
        <v>564</v>
      </c>
      <c r="O33" s="68"/>
      <c r="P33" s="68"/>
    </row>
    <row r="34" spans="1:16" x14ac:dyDescent="0.35">
      <c r="A34" s="65"/>
      <c r="B34" s="60"/>
      <c r="C34" s="60"/>
      <c r="D34" s="60"/>
      <c r="E34" s="60" t="s">
        <v>565</v>
      </c>
      <c r="F34" s="60" t="s">
        <v>566</v>
      </c>
      <c r="G34" s="61"/>
      <c r="H34" s="61"/>
      <c r="I34" s="61"/>
      <c r="J34" s="61"/>
      <c r="K34" s="61"/>
      <c r="L34" s="61"/>
      <c r="M34" s="61"/>
      <c r="N34" s="60" t="s">
        <v>567</v>
      </c>
      <c r="O34" s="68"/>
      <c r="P34" s="68"/>
    </row>
    <row r="35" spans="1:16" ht="33" x14ac:dyDescent="0.35">
      <c r="A35" s="65"/>
      <c r="B35" s="58" t="s">
        <v>493</v>
      </c>
      <c r="C35" s="58" t="s">
        <v>568</v>
      </c>
      <c r="D35" s="58" t="s">
        <v>569</v>
      </c>
      <c r="E35" s="58" t="s">
        <v>559</v>
      </c>
      <c r="F35" s="58" t="s">
        <v>560</v>
      </c>
      <c r="G35" s="55"/>
      <c r="H35" s="55"/>
      <c r="I35" s="55"/>
      <c r="J35" s="55"/>
      <c r="K35" s="55"/>
      <c r="L35" s="55"/>
      <c r="M35" s="55"/>
      <c r="N35" s="58" t="s">
        <v>561</v>
      </c>
      <c r="O35" s="40"/>
      <c r="P35" s="40"/>
    </row>
    <row r="36" spans="1:16" x14ac:dyDescent="0.35">
      <c r="A36" s="65"/>
      <c r="B36" s="58"/>
      <c r="C36" s="58"/>
      <c r="D36" s="58"/>
      <c r="E36" s="58" t="s">
        <v>570</v>
      </c>
      <c r="F36" s="58" t="s">
        <v>571</v>
      </c>
      <c r="G36" s="55"/>
      <c r="H36" s="55"/>
      <c r="I36" s="55"/>
      <c r="J36" s="55"/>
      <c r="K36" s="55"/>
      <c r="L36" s="55"/>
      <c r="M36" s="55"/>
      <c r="N36" s="58" t="s">
        <v>572</v>
      </c>
      <c r="O36" s="40"/>
      <c r="P36" s="40"/>
    </row>
    <row r="37" spans="1:16" x14ac:dyDescent="0.35">
      <c r="A37" s="69"/>
      <c r="B37" s="60"/>
      <c r="C37" s="60" t="s">
        <v>573</v>
      </c>
      <c r="D37" s="60" t="s">
        <v>574</v>
      </c>
      <c r="E37" s="60" t="s">
        <v>575</v>
      </c>
      <c r="F37" s="60" t="s">
        <v>576</v>
      </c>
      <c r="G37" s="61"/>
      <c r="H37" s="61"/>
      <c r="I37" s="61"/>
      <c r="J37" s="61"/>
      <c r="K37" s="61"/>
      <c r="L37" s="61"/>
      <c r="M37" s="61"/>
      <c r="N37" s="60" t="s">
        <v>577</v>
      </c>
      <c r="O37" s="60"/>
      <c r="P37" s="60"/>
    </row>
    <row r="38" spans="1:16" x14ac:dyDescent="0.35">
      <c r="A38" s="69"/>
      <c r="B38" s="60"/>
      <c r="C38" s="60"/>
      <c r="D38" s="66"/>
      <c r="E38" s="66" t="s">
        <v>578</v>
      </c>
      <c r="F38" s="66" t="s">
        <v>579</v>
      </c>
      <c r="G38" s="67"/>
      <c r="H38" s="67"/>
      <c r="I38" s="67"/>
      <c r="J38" s="67"/>
      <c r="K38" s="67">
        <v>3</v>
      </c>
      <c r="L38" s="67">
        <v>12</v>
      </c>
      <c r="M38" s="67" t="s">
        <v>473</v>
      </c>
      <c r="N38" s="66" t="s">
        <v>580</v>
      </c>
      <c r="O38" s="60"/>
      <c r="P38" s="60"/>
    </row>
    <row r="39" spans="1:16" x14ac:dyDescent="0.35">
      <c r="A39" s="54"/>
      <c r="B39" s="58"/>
      <c r="C39" s="58"/>
      <c r="D39" s="58"/>
      <c r="E39" s="58"/>
      <c r="F39" s="58"/>
      <c r="G39" s="55"/>
      <c r="H39" s="55"/>
      <c r="I39" s="55"/>
      <c r="J39" s="55"/>
      <c r="K39" s="55"/>
      <c r="L39" s="55"/>
      <c r="M39" s="55"/>
      <c r="N39" s="58"/>
      <c r="O39" s="40"/>
      <c r="P39" s="40"/>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0"/>
  <sheetViews>
    <sheetView workbookViewId="0">
      <selection activeCell="K8" sqref="K8"/>
    </sheetView>
  </sheetViews>
  <sheetFormatPr defaultColWidth="17.28515625" defaultRowHeight="16.5" x14ac:dyDescent="0.35"/>
  <cols>
    <col min="1" max="1" width="4.7109375" style="16" bestFit="1" customWidth="1"/>
    <col min="2" max="2" width="12.140625" style="16" bestFit="1" customWidth="1"/>
    <col min="3" max="3" width="45.28515625" style="16" bestFit="1" customWidth="1"/>
    <col min="4" max="4" width="10.28515625" style="16" bestFit="1" customWidth="1"/>
    <col min="5" max="6" width="8.42578125" style="16" bestFit="1" customWidth="1"/>
    <col min="7" max="8" width="10.28515625" style="16" bestFit="1" customWidth="1"/>
    <col min="9" max="9" width="10.28515625" style="16" customWidth="1"/>
    <col min="10" max="10" width="6.42578125" style="16" customWidth="1"/>
    <col min="11" max="11" width="16.42578125" style="16" bestFit="1" customWidth="1"/>
    <col min="12" max="16384" width="17.28515625" style="16"/>
  </cols>
  <sheetData>
    <row r="1" spans="1:11" x14ac:dyDescent="0.35">
      <c r="A1" s="70" t="s">
        <v>68</v>
      </c>
      <c r="B1" s="70" t="s">
        <v>75</v>
      </c>
      <c r="C1" s="70" t="s">
        <v>76</v>
      </c>
      <c r="D1" s="70" t="s">
        <v>77</v>
      </c>
      <c r="E1" s="70" t="s">
        <v>78</v>
      </c>
      <c r="F1" s="70" t="s">
        <v>79</v>
      </c>
      <c r="G1" s="70" t="s">
        <v>80</v>
      </c>
      <c r="H1" s="70" t="s">
        <v>81</v>
      </c>
      <c r="I1" s="70" t="s">
        <v>82</v>
      </c>
      <c r="J1" s="70"/>
      <c r="K1" s="70" t="s">
        <v>159</v>
      </c>
    </row>
    <row r="2" spans="1:11" x14ac:dyDescent="0.35">
      <c r="A2" s="71" t="s">
        <v>160</v>
      </c>
      <c r="B2" s="72" t="s">
        <v>13</v>
      </c>
      <c r="C2" s="72" t="s">
        <v>586</v>
      </c>
      <c r="D2" s="72" t="str">
        <f>玩家技能!B2</f>
        <v>盾牌格档</v>
      </c>
      <c r="E2" s="72" t="str">
        <f>玩家技能!B9</f>
        <v>阳炎风暴</v>
      </c>
      <c r="F2" s="72" t="str">
        <f>玩家技能!B10</f>
        <v>秘法震击</v>
      </c>
      <c r="G2" s="72" t="str">
        <f>玩家技能!B11</f>
        <v>纷争</v>
      </c>
      <c r="H2" s="72" t="str">
        <f>玩家技能!B12</f>
        <v>辛多雷之盾</v>
      </c>
      <c r="I2" s="72" t="str">
        <f>玩家技能!B13</f>
        <v>NULL</v>
      </c>
      <c r="J2" s="72"/>
      <c r="K2" s="72"/>
    </row>
    <row r="3" spans="1:11" x14ac:dyDescent="0.35">
      <c r="A3" s="19"/>
      <c r="B3" s="72" t="s">
        <v>661</v>
      </c>
      <c r="C3" s="72" t="s">
        <v>797</v>
      </c>
      <c r="D3" s="72" t="str">
        <f>玩家技能!B14</f>
        <v>割伤</v>
      </c>
      <c r="E3" s="72" t="str">
        <f>玩家技能!B15</f>
        <v>野蛮咆哮</v>
      </c>
      <c r="F3" s="72" t="str">
        <f>玩家技能!B16</f>
        <v>丛林治愈</v>
      </c>
      <c r="G3" s="72" t="str">
        <f>玩家技能!B17</f>
        <v>自然反射</v>
      </c>
      <c r="H3" s="72" t="str">
        <f>玩家技能!B18</f>
        <v>生存本能</v>
      </c>
      <c r="I3" s="72" t="str">
        <f>玩家技能!B19</f>
        <v>NULL</v>
      </c>
      <c r="J3" s="72"/>
      <c r="K3" s="72"/>
    </row>
    <row r="4" spans="1:11" x14ac:dyDescent="0.35">
      <c r="A4" s="73" t="s">
        <v>804</v>
      </c>
      <c r="B4" s="74" t="s">
        <v>83</v>
      </c>
      <c r="C4" s="74" t="s">
        <v>830</v>
      </c>
      <c r="D4" s="74" t="str">
        <f>玩家技能!B20</f>
        <v>生命绽放</v>
      </c>
      <c r="E4" s="74" t="str">
        <f>玩家技能!B21</f>
        <v>回春术</v>
      </c>
      <c r="F4" s="74" t="str">
        <f>玩家技能!B22</f>
        <v>愈合</v>
      </c>
      <c r="G4" s="74" t="str">
        <f>玩家技能!B23</f>
        <v>迅捷治愈</v>
      </c>
      <c r="H4" s="74" t="str">
        <f>玩家技能!B24</f>
        <v>宁静</v>
      </c>
      <c r="I4" s="74" t="str">
        <f>玩家技能!B25</f>
        <v>NULL</v>
      </c>
      <c r="J4" s="74"/>
      <c r="K4" s="74"/>
    </row>
    <row r="5" spans="1:11" x14ac:dyDescent="0.35">
      <c r="A5" s="19"/>
      <c r="B5" s="74" t="s">
        <v>114</v>
      </c>
      <c r="C5" s="74" t="s">
        <v>833</v>
      </c>
      <c r="D5" s="74" t="str">
        <f>玩家技能!B26</f>
        <v>闪耀之光</v>
      </c>
      <c r="E5" s="74" t="str">
        <f>玩家技能!B27</f>
        <v>圣光术</v>
      </c>
      <c r="F5" s="74" t="str">
        <f>玩家技能!B28</f>
        <v>神圣震击</v>
      </c>
      <c r="G5" s="74" t="str">
        <f>玩家技能!B29</f>
        <v>神恩</v>
      </c>
      <c r="H5" s="74" t="str">
        <f>玩家技能!B30</f>
        <v>圣光印记</v>
      </c>
      <c r="I5" s="74" t="str">
        <f>玩家技能!B31</f>
        <v>NULL</v>
      </c>
      <c r="J5" s="74"/>
      <c r="K5" s="74"/>
    </row>
    <row r="6" spans="1:11" x14ac:dyDescent="0.35">
      <c r="A6" s="19"/>
      <c r="B6" s="74" t="s">
        <v>186</v>
      </c>
      <c r="C6" s="74" t="s">
        <v>845</v>
      </c>
      <c r="D6" s="74" t="str">
        <f>玩家技能!B32</f>
        <v>医疗术</v>
      </c>
      <c r="E6" s="74" t="str">
        <f>玩家技能!B36</f>
        <v>驱魔</v>
      </c>
      <c r="F6" s="74" t="str">
        <f>玩家技能!B34</f>
        <v>护盾术</v>
      </c>
      <c r="G6" s="74" t="str">
        <f>玩家技能!B35</f>
        <v>愈合祷言</v>
      </c>
      <c r="H6" s="74" t="str">
        <f>玩家技能!B33</f>
        <v>治疗祷言</v>
      </c>
      <c r="I6" s="74" t="str">
        <f>玩家技能!B37</f>
        <v>NULL</v>
      </c>
      <c r="J6" s="74"/>
      <c r="K6" s="74"/>
    </row>
    <row r="7" spans="1:11" x14ac:dyDescent="0.35">
      <c r="A7" s="75" t="s">
        <v>850</v>
      </c>
      <c r="B7" s="76" t="s">
        <v>298</v>
      </c>
      <c r="C7" s="76" t="s">
        <v>854</v>
      </c>
      <c r="D7" s="76" t="str">
        <f>玩家技能!B47</f>
        <v>英勇打击</v>
      </c>
      <c r="E7" s="76" t="str">
        <f>玩家技能!B48</f>
        <v>撕裂</v>
      </c>
      <c r="F7" s="76" t="str">
        <f>玩家技能!B49</f>
        <v>压制</v>
      </c>
      <c r="G7" s="76" t="str">
        <f>玩家技能!B50</f>
        <v>致死打击</v>
      </c>
      <c r="H7" s="76" t="str">
        <f>玩家技能!B51</f>
        <v>斩杀</v>
      </c>
      <c r="I7" s="76" t="str">
        <f>玩家技能!B52</f>
        <v>NULL</v>
      </c>
      <c r="J7" s="76"/>
      <c r="K7" s="76"/>
    </row>
    <row r="8" spans="1:11" x14ac:dyDescent="0.35">
      <c r="A8" s="19"/>
      <c r="B8" s="76" t="s">
        <v>221</v>
      </c>
      <c r="C8" s="76" t="s">
        <v>865</v>
      </c>
      <c r="D8" s="76" t="str">
        <f>玩家技能!B38</f>
        <v>黑箭</v>
      </c>
      <c r="E8" s="76" t="str">
        <f>玩家技能!B39</f>
        <v>专注</v>
      </c>
      <c r="F8" s="76" t="str">
        <f>玩家技能!B40</f>
        <v>冰冻陷阱</v>
      </c>
      <c r="G8" s="76" t="str">
        <f>玩家技能!B41</f>
        <v>憎恶/女妖</v>
      </c>
      <c r="H8" s="76" t="str">
        <f>玩家技能!B42</f>
        <v>死亡契约</v>
      </c>
      <c r="I8" s="76" t="str">
        <f>玩家技能!B43</f>
        <v>食尸鬼仆从</v>
      </c>
      <c r="J8" s="76"/>
      <c r="K8" s="76" t="s">
        <v>866</v>
      </c>
    </row>
    <row r="9" spans="1:11" x14ac:dyDescent="0.35">
      <c r="A9" s="19"/>
      <c r="B9" s="76" t="s">
        <v>627</v>
      </c>
      <c r="C9" s="76" t="s">
        <v>867</v>
      </c>
      <c r="D9" s="76" t="str">
        <f>玩家技能!B65</f>
        <v>邪恶攻击</v>
      </c>
      <c r="E9" s="76" t="str">
        <f>玩家技能!B66</f>
        <v>剔骨</v>
      </c>
      <c r="F9" s="76" t="str">
        <f>玩家技能!B67</f>
        <v>突袭</v>
      </c>
      <c r="G9" s="76" t="str">
        <f>玩家技能!B68</f>
        <v>剑舞</v>
      </c>
      <c r="H9" s="76" t="str">
        <f>玩家技能!B69</f>
        <v>潜行</v>
      </c>
      <c r="I9" s="76" t="str">
        <f>玩家技能!B70</f>
        <v>NULL</v>
      </c>
      <c r="J9" s="76"/>
      <c r="K9" s="76" t="s">
        <v>868</v>
      </c>
    </row>
    <row r="10" spans="1:11" x14ac:dyDescent="0.35">
      <c r="A10" s="19"/>
      <c r="B10" s="76" t="s">
        <v>350</v>
      </c>
      <c r="C10" s="76" t="s">
        <v>869</v>
      </c>
      <c r="D10" s="76" t="str">
        <f>玩家技能!B53</f>
        <v>寒冰箭</v>
      </c>
      <c r="E10" s="76" t="str">
        <f>玩家技能!B54</f>
        <v>暴风雪</v>
      </c>
      <c r="F10" s="76" t="str">
        <f>玩家技能!B55</f>
        <v>冰冻新星</v>
      </c>
      <c r="G10" s="76" t="str">
        <f>玩家技能!B56</f>
        <v>变形术</v>
      </c>
      <c r="H10" s="76" t="str">
        <f>玩家技能!B57</f>
        <v>法术转移</v>
      </c>
      <c r="I10" s="76" t="str">
        <f>玩家技能!B58</f>
        <v>智慧导能</v>
      </c>
      <c r="J10" s="76"/>
      <c r="K10" s="76"/>
    </row>
    <row r="11" spans="1:11" x14ac:dyDescent="0.35">
      <c r="A11" s="19"/>
      <c r="B11" s="76" t="s">
        <v>425</v>
      </c>
      <c r="C11" s="76" t="s">
        <v>870</v>
      </c>
      <c r="D11" s="76" t="str">
        <f>玩家技能!B59</f>
        <v>风暴鞭笞</v>
      </c>
      <c r="E11" s="76" t="str">
        <f>玩家技能!B60</f>
        <v>大地震击</v>
      </c>
      <c r="F11" s="76" t="str">
        <f>玩家技能!B61</f>
        <v>净化术</v>
      </c>
      <c r="G11" s="76" t="str">
        <f>玩家技能!B62</f>
        <v>附魔图腾</v>
      </c>
      <c r="H11" s="76" t="str">
        <f>玩家技能!B63</f>
        <v>升腾</v>
      </c>
      <c r="I11" s="76" t="str">
        <f>玩家技能!B64</f>
        <v>NULL</v>
      </c>
      <c r="J11" s="76"/>
      <c r="K11" s="76"/>
    </row>
    <row r="12" spans="1:11" x14ac:dyDescent="0.35">
      <c r="A12" s="19"/>
      <c r="B12" s="76" t="s">
        <v>761</v>
      </c>
      <c r="C12" s="76" t="s">
        <v>871</v>
      </c>
      <c r="D12" s="76" t="str">
        <f>玩家技能!B71</f>
        <v>暗言字：痛</v>
      </c>
      <c r="E12" s="76" t="str">
        <f>玩家技能!B72</f>
        <v>精髓榨取</v>
      </c>
      <c r="F12" s="76" t="str">
        <f>玩家技能!B73</f>
        <v>精神鞭笞</v>
      </c>
      <c r="G12" s="76" t="str">
        <f>玩家技能!B74</f>
        <v>暗言字：死</v>
      </c>
      <c r="H12" s="76" t="str">
        <f>玩家技能!B75</f>
        <v>暗言字：惧</v>
      </c>
      <c r="I12" s="76" t="str">
        <f>玩家技能!B76</f>
        <v>NULL</v>
      </c>
      <c r="J12" s="76"/>
      <c r="K12" s="76"/>
    </row>
    <row r="13" spans="1:11" x14ac:dyDescent="0.35">
      <c r="A13" s="70"/>
      <c r="B13" s="70"/>
      <c r="C13" s="70"/>
      <c r="D13" s="70"/>
      <c r="E13" s="70"/>
      <c r="F13" s="70"/>
      <c r="G13" s="70"/>
      <c r="H13" s="70"/>
      <c r="I13" s="70"/>
      <c r="J13" s="70"/>
      <c r="K13" s="70"/>
    </row>
    <row r="14" spans="1:11" x14ac:dyDescent="0.35">
      <c r="A14" s="70"/>
      <c r="B14" s="70"/>
      <c r="C14" s="70"/>
      <c r="D14" s="70"/>
      <c r="E14" s="70"/>
      <c r="F14" s="70"/>
      <c r="G14" s="70"/>
      <c r="H14" s="70"/>
      <c r="I14" s="70"/>
      <c r="J14" s="70"/>
      <c r="K14" s="70"/>
    </row>
    <row r="15" spans="1:11" x14ac:dyDescent="0.35">
      <c r="A15" s="70"/>
      <c r="B15" s="70"/>
      <c r="C15" s="70"/>
      <c r="D15" s="70"/>
      <c r="E15" s="70"/>
      <c r="F15" s="70"/>
      <c r="G15" s="70"/>
      <c r="H15" s="70"/>
      <c r="I15" s="70"/>
      <c r="J15" s="70"/>
      <c r="K15" s="70"/>
    </row>
    <row r="16" spans="1:11" x14ac:dyDescent="0.35">
      <c r="A16" s="70"/>
      <c r="B16" s="70"/>
      <c r="C16" s="70"/>
      <c r="D16" s="70"/>
      <c r="E16" s="70"/>
      <c r="F16" s="70"/>
      <c r="G16" s="70"/>
      <c r="H16" s="70"/>
      <c r="I16" s="70"/>
      <c r="J16" s="70"/>
      <c r="K16" s="70"/>
    </row>
    <row r="17" spans="1:11" x14ac:dyDescent="0.35">
      <c r="A17" s="70"/>
      <c r="B17" s="70"/>
      <c r="C17" s="70"/>
      <c r="D17" s="70"/>
      <c r="E17" s="70"/>
      <c r="F17" s="70"/>
      <c r="G17" s="70"/>
      <c r="H17" s="70"/>
      <c r="I17" s="70"/>
      <c r="J17" s="70"/>
      <c r="K17" s="70"/>
    </row>
    <row r="18" spans="1:11" x14ac:dyDescent="0.35">
      <c r="A18" s="70"/>
      <c r="B18" s="70"/>
      <c r="C18" s="70"/>
      <c r="D18" s="70"/>
      <c r="E18" s="70"/>
      <c r="F18" s="70"/>
      <c r="G18" s="70"/>
      <c r="H18" s="70"/>
      <c r="I18" s="70"/>
      <c r="J18" s="70"/>
      <c r="K18" s="70"/>
    </row>
    <row r="19" spans="1:11" x14ac:dyDescent="0.35">
      <c r="A19" s="70"/>
      <c r="B19" s="70"/>
      <c r="C19" s="70"/>
      <c r="D19" s="70"/>
      <c r="E19" s="70"/>
      <c r="F19" s="70"/>
      <c r="G19" s="70"/>
      <c r="H19" s="70"/>
      <c r="I19" s="70"/>
      <c r="J19" s="70"/>
      <c r="K19" s="70"/>
    </row>
    <row r="20" spans="1:11" x14ac:dyDescent="0.35">
      <c r="A20" s="70"/>
      <c r="B20" s="70"/>
      <c r="C20" s="70"/>
      <c r="D20" s="70"/>
      <c r="E20" s="70"/>
      <c r="F20" s="70"/>
      <c r="G20" s="70"/>
      <c r="H20" s="70"/>
      <c r="I20" s="70"/>
      <c r="J20" s="70"/>
      <c r="K20" s="70"/>
    </row>
  </sheetData>
  <mergeCells count="3">
    <mergeCell ref="A2:A3"/>
    <mergeCell ref="A4:A6"/>
    <mergeCell ref="A7:A1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99"/>
  <sheetViews>
    <sheetView workbookViewId="0">
      <selection activeCell="F41" sqref="F41"/>
    </sheetView>
  </sheetViews>
  <sheetFormatPr defaultColWidth="17.28515625" defaultRowHeight="15.75" customHeight="1" x14ac:dyDescent="0.2"/>
  <cols>
    <col min="1" max="6" width="13.5703125" customWidth="1"/>
    <col min="7" max="7" width="6.28515625" customWidth="1"/>
    <col min="8" max="18" width="14.42578125" customWidth="1"/>
  </cols>
  <sheetData>
    <row r="1" spans="1:18" ht="12.75" customHeight="1" x14ac:dyDescent="0.2">
      <c r="A1" s="3" t="str">
        <f>玩家技能!A2</f>
        <v>血精灵防御者</v>
      </c>
      <c r="B1" s="3" t="str">
        <f>玩家技能!B2</f>
        <v>盾牌格档</v>
      </c>
      <c r="C1" s="3" t="str">
        <f>玩家技能!B9</f>
        <v>阳炎风暴</v>
      </c>
      <c r="D1" s="3" t="str">
        <f>玩家技能!B10</f>
        <v>秘法震击</v>
      </c>
      <c r="E1" s="3" t="str">
        <f>玩家技能!B11</f>
        <v>纷争</v>
      </c>
      <c r="F1" s="3" t="str">
        <f>玩家技能!B12</f>
        <v>辛多雷之盾</v>
      </c>
      <c r="G1" s="4"/>
      <c r="H1" s="4"/>
      <c r="I1" s="4"/>
      <c r="J1" s="4"/>
      <c r="K1" s="4"/>
      <c r="L1" s="4"/>
      <c r="M1" s="4"/>
      <c r="N1" s="4"/>
      <c r="O1" s="4"/>
      <c r="P1" s="4"/>
      <c r="Q1" s="4"/>
      <c r="R1" s="4"/>
    </row>
    <row r="2" spans="1:18" ht="12.75" customHeight="1" x14ac:dyDescent="0.2">
      <c r="A2" s="4"/>
      <c r="B2" s="4" t="s">
        <v>108</v>
      </c>
      <c r="C2" s="4" t="s">
        <v>110</v>
      </c>
      <c r="D2" s="4" t="s">
        <v>111</v>
      </c>
      <c r="E2" s="4" t="s">
        <v>112</v>
      </c>
      <c r="F2" s="4" t="s">
        <v>113</v>
      </c>
      <c r="G2" s="4"/>
      <c r="H2" s="4"/>
      <c r="I2" s="4"/>
      <c r="J2" s="4"/>
      <c r="K2" s="4"/>
      <c r="L2" s="4"/>
      <c r="M2" s="4"/>
      <c r="N2" s="4"/>
      <c r="O2" s="4"/>
      <c r="P2" s="4"/>
      <c r="Q2" s="4"/>
      <c r="R2" s="4"/>
    </row>
    <row r="3" spans="1:18" ht="12.75" customHeight="1" x14ac:dyDescent="0.2">
      <c r="A3" s="5">
        <v>1</v>
      </c>
      <c r="B3" s="5">
        <v>1</v>
      </c>
      <c r="C3" s="5">
        <v>1</v>
      </c>
      <c r="D3" s="5">
        <v>1</v>
      </c>
      <c r="E3" s="5">
        <v>0</v>
      </c>
      <c r="F3" s="5">
        <v>0</v>
      </c>
      <c r="G3" s="6">
        <f t="shared" ref="G3:G7" si="0">SUM(B3:F3)</f>
        <v>3</v>
      </c>
      <c r="H3" s="6" t="e">
        <f t="shared" ref="H3:L3" ca="1" si="1">IF(GT(B3,0),B$2, "")</f>
        <v>#NAME?</v>
      </c>
      <c r="I3" s="6" t="e">
        <f t="shared" ca="1" si="1"/>
        <v>#NAME?</v>
      </c>
      <c r="J3" s="6" t="e">
        <f t="shared" ca="1" si="1"/>
        <v>#NAME?</v>
      </c>
      <c r="K3" s="7" t="e">
        <f t="shared" ca="1" si="1"/>
        <v>#NAME?</v>
      </c>
      <c r="L3" s="7" t="e">
        <f t="shared" ca="1" si="1"/>
        <v>#NAME?</v>
      </c>
      <c r="M3" s="7"/>
      <c r="N3" s="7" t="e">
        <f t="shared" ref="N3:R3" ca="1" si="2">IF((LEN(H3)&gt;0), CONCATENATE("SelectHeroSkill(source, ", H3, ");"), "")</f>
        <v>#NAME?</v>
      </c>
      <c r="O3" s="7" t="e">
        <f t="shared" ca="1" si="2"/>
        <v>#NAME?</v>
      </c>
      <c r="P3" s="7" t="e">
        <f t="shared" ca="1" si="2"/>
        <v>#NAME?</v>
      </c>
      <c r="Q3" s="7" t="e">
        <f t="shared" ca="1" si="2"/>
        <v>#NAME?</v>
      </c>
      <c r="R3" s="7" t="e">
        <f t="shared" ca="1" si="2"/>
        <v>#NAME?</v>
      </c>
    </row>
    <row r="4" spans="1:18" ht="12.75" customHeight="1" x14ac:dyDescent="0.2">
      <c r="A4" s="5">
        <v>2</v>
      </c>
      <c r="B4" s="5">
        <v>1</v>
      </c>
      <c r="C4" s="5">
        <v>1</v>
      </c>
      <c r="D4" s="5">
        <v>2</v>
      </c>
      <c r="E4" s="5">
        <v>1</v>
      </c>
      <c r="F4" s="5">
        <v>1</v>
      </c>
      <c r="G4" s="6">
        <f t="shared" si="0"/>
        <v>6</v>
      </c>
      <c r="H4" s="6" t="e">
        <f t="shared" ref="H4:L4" ca="1" si="3">IF(GT(B4,0),B$2, "")</f>
        <v>#NAME?</v>
      </c>
      <c r="I4" s="6" t="e">
        <f t="shared" ca="1" si="3"/>
        <v>#NAME?</v>
      </c>
      <c r="J4" s="6" t="e">
        <f t="shared" ca="1" si="3"/>
        <v>#NAME?</v>
      </c>
      <c r="K4" s="6" t="e">
        <f t="shared" ca="1" si="3"/>
        <v>#NAME?</v>
      </c>
      <c r="L4" s="6" t="e">
        <f t="shared" ca="1" si="3"/>
        <v>#NAME?</v>
      </c>
      <c r="M4" s="7"/>
      <c r="N4" s="7" t="e">
        <f t="shared" ref="N4:R4" ca="1" si="4">IF((LEN(H4)&gt;0), CONCATENATE("SelectHeroSkill(source, ", H4, ");"), "")</f>
        <v>#NAME?</v>
      </c>
      <c r="O4" s="7" t="e">
        <f t="shared" ca="1" si="4"/>
        <v>#NAME?</v>
      </c>
      <c r="P4" s="7" t="e">
        <f t="shared" ca="1" si="4"/>
        <v>#NAME?</v>
      </c>
      <c r="Q4" s="7" t="e">
        <f t="shared" ca="1" si="4"/>
        <v>#NAME?</v>
      </c>
      <c r="R4" s="7" t="e">
        <f t="shared" ca="1" si="4"/>
        <v>#NAME?</v>
      </c>
    </row>
    <row r="5" spans="1:18" ht="12.75" customHeight="1" x14ac:dyDescent="0.2">
      <c r="A5" s="5">
        <v>3</v>
      </c>
      <c r="B5" s="5">
        <v>2</v>
      </c>
      <c r="C5" s="5">
        <v>1</v>
      </c>
      <c r="D5" s="5">
        <v>3</v>
      </c>
      <c r="E5" s="5">
        <v>1</v>
      </c>
      <c r="F5" s="5">
        <v>2</v>
      </c>
      <c r="G5" s="6">
        <f t="shared" si="0"/>
        <v>9</v>
      </c>
      <c r="H5" s="6" t="e">
        <f t="shared" ref="H5:L5" ca="1" si="5">IF(GT(B5,0),B$2, "")</f>
        <v>#NAME?</v>
      </c>
      <c r="I5" s="6" t="e">
        <f t="shared" ca="1" si="5"/>
        <v>#NAME?</v>
      </c>
      <c r="J5" s="6" t="e">
        <f t="shared" ca="1" si="5"/>
        <v>#NAME?</v>
      </c>
      <c r="K5" s="6" t="e">
        <f t="shared" ca="1" si="5"/>
        <v>#NAME?</v>
      </c>
      <c r="L5" s="6" t="e">
        <f t="shared" ca="1" si="5"/>
        <v>#NAME?</v>
      </c>
      <c r="M5" s="7"/>
      <c r="N5" s="7" t="e">
        <f t="shared" ref="N5:R5" ca="1" si="6">IF((LEN(H5)&gt;0), CONCATENATE("SelectHeroSkill(source, ", H5, ");"), "")</f>
        <v>#NAME?</v>
      </c>
      <c r="O5" s="7" t="e">
        <f t="shared" ca="1" si="6"/>
        <v>#NAME?</v>
      </c>
      <c r="P5" s="7" t="e">
        <f t="shared" ca="1" si="6"/>
        <v>#NAME?</v>
      </c>
      <c r="Q5" s="7" t="e">
        <f t="shared" ca="1" si="6"/>
        <v>#NAME?</v>
      </c>
      <c r="R5" s="7" t="e">
        <f t="shared" ca="1" si="6"/>
        <v>#NAME?</v>
      </c>
    </row>
    <row r="6" spans="1:18" ht="12.75" customHeight="1" x14ac:dyDescent="0.2">
      <c r="A6" s="5">
        <v>4</v>
      </c>
      <c r="B6" s="5">
        <v>2</v>
      </c>
      <c r="C6" s="5">
        <v>3</v>
      </c>
      <c r="D6" s="5">
        <v>3</v>
      </c>
      <c r="E6" s="5">
        <v>1</v>
      </c>
      <c r="F6" s="5">
        <v>3</v>
      </c>
      <c r="G6" s="6">
        <f t="shared" si="0"/>
        <v>12</v>
      </c>
      <c r="H6" s="6" t="e">
        <f t="shared" ref="H6:L6" ca="1" si="7">IF(GT(B6,0),B$2, "")</f>
        <v>#NAME?</v>
      </c>
      <c r="I6" s="6" t="e">
        <f t="shared" ca="1" si="7"/>
        <v>#NAME?</v>
      </c>
      <c r="J6" s="6" t="e">
        <f t="shared" ca="1" si="7"/>
        <v>#NAME?</v>
      </c>
      <c r="K6" s="6" t="e">
        <f t="shared" ca="1" si="7"/>
        <v>#NAME?</v>
      </c>
      <c r="L6" s="6" t="e">
        <f t="shared" ca="1" si="7"/>
        <v>#NAME?</v>
      </c>
      <c r="M6" s="7"/>
      <c r="N6" s="7" t="e">
        <f t="shared" ref="N6:R6" ca="1" si="8">IF((LEN(H6)&gt;0), CONCATENATE("SelectHeroSkill(source, ", H6, ");"), "")</f>
        <v>#NAME?</v>
      </c>
      <c r="O6" s="7" t="e">
        <f t="shared" ca="1" si="8"/>
        <v>#NAME?</v>
      </c>
      <c r="P6" s="7" t="e">
        <f t="shared" ca="1" si="8"/>
        <v>#NAME?</v>
      </c>
      <c r="Q6" s="7" t="e">
        <f t="shared" ca="1" si="8"/>
        <v>#NAME?</v>
      </c>
      <c r="R6" s="7" t="e">
        <f t="shared" ca="1" si="8"/>
        <v>#NAME?</v>
      </c>
    </row>
    <row r="7" spans="1:18" ht="12.75" customHeight="1" x14ac:dyDescent="0.2">
      <c r="A7" s="5">
        <v>5</v>
      </c>
      <c r="B7" s="5">
        <v>3</v>
      </c>
      <c r="C7" s="5">
        <v>3</v>
      </c>
      <c r="D7" s="5">
        <v>3</v>
      </c>
      <c r="E7" s="5">
        <v>3</v>
      </c>
      <c r="F7" s="5">
        <v>3</v>
      </c>
      <c r="G7" s="6">
        <f t="shared" si="0"/>
        <v>15</v>
      </c>
      <c r="H7" s="6" t="e">
        <f t="shared" ref="H7:L7" ca="1" si="9">IF(GT(B7,0),B$2, "")</f>
        <v>#NAME?</v>
      </c>
      <c r="I7" s="6" t="e">
        <f t="shared" ca="1" si="9"/>
        <v>#NAME?</v>
      </c>
      <c r="J7" s="6" t="e">
        <f t="shared" ca="1" si="9"/>
        <v>#NAME?</v>
      </c>
      <c r="K7" s="6" t="e">
        <f t="shared" ca="1" si="9"/>
        <v>#NAME?</v>
      </c>
      <c r="L7" s="6" t="e">
        <f t="shared" ca="1" si="9"/>
        <v>#NAME?</v>
      </c>
      <c r="M7" s="7"/>
      <c r="N7" s="7" t="e">
        <f t="shared" ref="N7:R7" ca="1" si="10">IF((LEN(H7)&gt;0), CONCATENATE("SelectHeroSkill(source, ", H7, ");"), "")</f>
        <v>#NAME?</v>
      </c>
      <c r="O7" s="7" t="e">
        <f t="shared" ca="1" si="10"/>
        <v>#NAME?</v>
      </c>
      <c r="P7" s="7" t="e">
        <f t="shared" ca="1" si="10"/>
        <v>#NAME?</v>
      </c>
      <c r="Q7" s="7" t="e">
        <f t="shared" ca="1" si="10"/>
        <v>#NAME?</v>
      </c>
      <c r="R7" s="7" t="e">
        <f t="shared" ca="1" si="10"/>
        <v>#NAME?</v>
      </c>
    </row>
    <row r="8" spans="1:18" ht="12.75" customHeight="1" x14ac:dyDescent="0.2">
      <c r="A8" s="7"/>
      <c r="B8" s="7"/>
      <c r="C8" s="7"/>
      <c r="D8" s="7"/>
      <c r="E8" s="7"/>
      <c r="F8" s="7"/>
      <c r="G8" s="7"/>
      <c r="H8" s="7"/>
      <c r="I8" s="7"/>
      <c r="J8" s="7"/>
      <c r="K8" s="7"/>
      <c r="L8" s="7"/>
      <c r="M8" s="7"/>
      <c r="N8" s="7"/>
      <c r="O8" s="7"/>
      <c r="P8" s="7"/>
      <c r="Q8" s="7"/>
      <c r="R8" s="7"/>
    </row>
    <row r="9" spans="1:18" ht="12.75" customHeight="1" x14ac:dyDescent="0.2">
      <c r="A9" s="7"/>
      <c r="B9" s="7"/>
      <c r="C9" s="7"/>
      <c r="D9" s="7"/>
      <c r="E9" s="7"/>
      <c r="F9" s="7"/>
      <c r="G9" s="7"/>
      <c r="H9" s="7"/>
      <c r="I9" s="7"/>
      <c r="J9" s="7"/>
      <c r="K9" s="7"/>
      <c r="L9" s="7"/>
      <c r="M9" s="7"/>
      <c r="N9" s="7"/>
      <c r="O9" s="7"/>
      <c r="P9" s="7"/>
      <c r="Q9" s="7"/>
      <c r="R9" s="7"/>
    </row>
    <row r="10" spans="1:18" ht="12.75" customHeight="1" x14ac:dyDescent="0.2">
      <c r="A10" s="3" t="str">
        <f>玩家技能!A14</f>
        <v>利爪德鲁依</v>
      </c>
      <c r="B10" s="3" t="str">
        <f>玩家技能!B14</f>
        <v>割伤</v>
      </c>
      <c r="C10" s="3" t="str">
        <f>玩家技能!B15</f>
        <v>野蛮咆哮</v>
      </c>
      <c r="D10" s="3" t="str">
        <f>玩家技能!B16</f>
        <v>丛林治愈</v>
      </c>
      <c r="E10" s="3" t="str">
        <f>玩家技能!B17</f>
        <v>自然反射</v>
      </c>
      <c r="F10" s="3" t="str">
        <f>玩家技能!B18</f>
        <v>生存本能</v>
      </c>
      <c r="G10" s="4"/>
      <c r="H10" s="4"/>
      <c r="I10" s="4"/>
      <c r="J10" s="4"/>
      <c r="K10" s="4"/>
      <c r="L10" s="4"/>
      <c r="M10" s="4"/>
      <c r="N10" s="4"/>
      <c r="O10" s="4"/>
      <c r="P10" s="4"/>
      <c r="Q10" s="4"/>
      <c r="R10" s="4"/>
    </row>
    <row r="11" spans="1:18" ht="12.75" customHeight="1" x14ac:dyDescent="0.2">
      <c r="A11" s="4"/>
      <c r="B11" s="4" t="s">
        <v>430</v>
      </c>
      <c r="C11" s="4" t="s">
        <v>431</v>
      </c>
      <c r="D11" s="4" t="s">
        <v>432</v>
      </c>
      <c r="E11" s="4" t="s">
        <v>433</v>
      </c>
      <c r="F11" s="4" t="s">
        <v>434</v>
      </c>
      <c r="G11" s="4"/>
      <c r="H11" s="4"/>
      <c r="I11" s="4"/>
      <c r="J11" s="4"/>
      <c r="K11" s="4"/>
      <c r="L11" s="4"/>
      <c r="M11" s="4"/>
      <c r="N11" s="4"/>
      <c r="O11" s="4"/>
      <c r="P11" s="4"/>
      <c r="Q11" s="4"/>
      <c r="R11" s="4"/>
    </row>
    <row r="12" spans="1:18" ht="12.75" customHeight="1" x14ac:dyDescent="0.2">
      <c r="A12" s="5">
        <v>1</v>
      </c>
      <c r="B12" s="5">
        <v>1</v>
      </c>
      <c r="C12" s="5">
        <v>1</v>
      </c>
      <c r="D12" s="5">
        <v>1</v>
      </c>
      <c r="E12" s="5">
        <v>0</v>
      </c>
      <c r="F12" s="5">
        <v>0</v>
      </c>
      <c r="G12" s="6">
        <f t="shared" ref="G12:G16" si="11">SUM(B12:F12)</f>
        <v>3</v>
      </c>
      <c r="H12" s="6" t="e">
        <f t="shared" ref="H12:L12" ca="1" si="12">IF(GT(B12,0),B$11, "")</f>
        <v>#NAME?</v>
      </c>
      <c r="I12" s="6" t="e">
        <f t="shared" ca="1" si="12"/>
        <v>#NAME?</v>
      </c>
      <c r="J12" s="6" t="e">
        <f t="shared" ca="1" si="12"/>
        <v>#NAME?</v>
      </c>
      <c r="K12" s="7" t="e">
        <f t="shared" ca="1" si="12"/>
        <v>#NAME?</v>
      </c>
      <c r="L12" s="7" t="e">
        <f t="shared" ca="1" si="12"/>
        <v>#NAME?</v>
      </c>
      <c r="M12" s="7"/>
      <c r="N12" s="7" t="e">
        <f t="shared" ref="N12:R12" ca="1" si="13">IF((LEN(H12)&gt;0), CONCATENATE("SelectHeroSkill(source, ", H12, ");"), "")</f>
        <v>#NAME?</v>
      </c>
      <c r="O12" s="7" t="e">
        <f t="shared" ca="1" si="13"/>
        <v>#NAME?</v>
      </c>
      <c r="P12" s="7" t="e">
        <f t="shared" ca="1" si="13"/>
        <v>#NAME?</v>
      </c>
      <c r="Q12" s="7" t="e">
        <f t="shared" ca="1" si="13"/>
        <v>#NAME?</v>
      </c>
      <c r="R12" s="7" t="e">
        <f t="shared" ca="1" si="13"/>
        <v>#NAME?</v>
      </c>
    </row>
    <row r="13" spans="1:18" ht="12.75" customHeight="1" x14ac:dyDescent="0.2">
      <c r="A13" s="5">
        <v>2</v>
      </c>
      <c r="B13" s="5">
        <v>2</v>
      </c>
      <c r="C13" s="5">
        <v>1</v>
      </c>
      <c r="D13" s="5">
        <v>1</v>
      </c>
      <c r="E13" s="5">
        <v>1</v>
      </c>
      <c r="F13" s="5">
        <v>1</v>
      </c>
      <c r="G13" s="6">
        <f t="shared" si="11"/>
        <v>6</v>
      </c>
      <c r="H13" s="6" t="e">
        <f t="shared" ref="H13:L13" ca="1" si="14">IF(GT(B13,0),B$11, "")</f>
        <v>#NAME?</v>
      </c>
      <c r="I13" s="6" t="e">
        <f t="shared" ca="1" si="14"/>
        <v>#NAME?</v>
      </c>
      <c r="J13" s="6" t="e">
        <f t="shared" ca="1" si="14"/>
        <v>#NAME?</v>
      </c>
      <c r="K13" s="6" t="e">
        <f t="shared" ca="1" si="14"/>
        <v>#NAME?</v>
      </c>
      <c r="L13" s="6" t="e">
        <f t="shared" ca="1" si="14"/>
        <v>#NAME?</v>
      </c>
      <c r="M13" s="7"/>
      <c r="N13" s="7" t="e">
        <f t="shared" ref="N13:R13" ca="1" si="15">IF((LEN(H13)&gt;0), CONCATENATE("SelectHeroSkill(source, ", H13, ");"), "")</f>
        <v>#NAME?</v>
      </c>
      <c r="O13" s="7" t="e">
        <f t="shared" ca="1" si="15"/>
        <v>#NAME?</v>
      </c>
      <c r="P13" s="7" t="e">
        <f t="shared" ca="1" si="15"/>
        <v>#NAME?</v>
      </c>
      <c r="Q13" s="7" t="e">
        <f t="shared" ca="1" si="15"/>
        <v>#NAME?</v>
      </c>
      <c r="R13" s="7" t="e">
        <f t="shared" ca="1" si="15"/>
        <v>#NAME?</v>
      </c>
    </row>
    <row r="14" spans="1:18" ht="12.75" customHeight="1" x14ac:dyDescent="0.2">
      <c r="A14" s="5">
        <v>3</v>
      </c>
      <c r="B14" s="5">
        <v>2</v>
      </c>
      <c r="C14" s="5">
        <v>1</v>
      </c>
      <c r="D14" s="5">
        <v>2</v>
      </c>
      <c r="E14" s="5">
        <v>2</v>
      </c>
      <c r="F14" s="5">
        <v>2</v>
      </c>
      <c r="G14" s="6">
        <f t="shared" si="11"/>
        <v>9</v>
      </c>
      <c r="H14" s="6" t="e">
        <f t="shared" ref="H14:L14" ca="1" si="16">IF(GT(B14,0),B$11, "")</f>
        <v>#NAME?</v>
      </c>
      <c r="I14" s="6" t="e">
        <f t="shared" ca="1" si="16"/>
        <v>#NAME?</v>
      </c>
      <c r="J14" s="6" t="e">
        <f t="shared" ca="1" si="16"/>
        <v>#NAME?</v>
      </c>
      <c r="K14" s="6" t="e">
        <f t="shared" ca="1" si="16"/>
        <v>#NAME?</v>
      </c>
      <c r="L14" s="6" t="e">
        <f t="shared" ca="1" si="16"/>
        <v>#NAME?</v>
      </c>
      <c r="M14" s="7"/>
      <c r="N14" s="7" t="e">
        <f t="shared" ref="N14:R14" ca="1" si="17">IF((LEN(H14)&gt;0), CONCATENATE("SelectHeroSkill(source, ", H14, ");"), "")</f>
        <v>#NAME?</v>
      </c>
      <c r="O14" s="7" t="e">
        <f t="shared" ca="1" si="17"/>
        <v>#NAME?</v>
      </c>
      <c r="P14" s="7" t="e">
        <f t="shared" ca="1" si="17"/>
        <v>#NAME?</v>
      </c>
      <c r="Q14" s="7" t="e">
        <f t="shared" ca="1" si="17"/>
        <v>#NAME?</v>
      </c>
      <c r="R14" s="7" t="e">
        <f t="shared" ca="1" si="17"/>
        <v>#NAME?</v>
      </c>
    </row>
    <row r="15" spans="1:18" ht="12.75" customHeight="1" x14ac:dyDescent="0.2">
      <c r="A15" s="5">
        <v>4</v>
      </c>
      <c r="B15" s="5">
        <v>3</v>
      </c>
      <c r="C15" s="5">
        <v>1</v>
      </c>
      <c r="D15" s="5">
        <v>3</v>
      </c>
      <c r="E15" s="5">
        <v>2</v>
      </c>
      <c r="F15" s="5">
        <v>3</v>
      </c>
      <c r="G15" s="6">
        <f t="shared" si="11"/>
        <v>12</v>
      </c>
      <c r="H15" s="6" t="e">
        <f t="shared" ref="H15:L15" ca="1" si="18">IF(GT(B15,0),B$11, "")</f>
        <v>#NAME?</v>
      </c>
      <c r="I15" s="6" t="e">
        <f t="shared" ca="1" si="18"/>
        <v>#NAME?</v>
      </c>
      <c r="J15" s="6" t="e">
        <f t="shared" ca="1" si="18"/>
        <v>#NAME?</v>
      </c>
      <c r="K15" s="6" t="e">
        <f t="shared" ca="1" si="18"/>
        <v>#NAME?</v>
      </c>
      <c r="L15" s="6" t="e">
        <f t="shared" ca="1" si="18"/>
        <v>#NAME?</v>
      </c>
      <c r="M15" s="7"/>
      <c r="N15" s="7" t="e">
        <f t="shared" ref="N15:R15" ca="1" si="19">IF((LEN(H15)&gt;0), CONCATENATE("SelectHeroSkill(source, ", H15, ");"), "")</f>
        <v>#NAME?</v>
      </c>
      <c r="O15" s="7" t="e">
        <f t="shared" ca="1" si="19"/>
        <v>#NAME?</v>
      </c>
      <c r="P15" s="7" t="e">
        <f t="shared" ca="1" si="19"/>
        <v>#NAME?</v>
      </c>
      <c r="Q15" s="7" t="e">
        <f t="shared" ca="1" si="19"/>
        <v>#NAME?</v>
      </c>
      <c r="R15" s="7" t="e">
        <f t="shared" ca="1" si="19"/>
        <v>#NAME?</v>
      </c>
    </row>
    <row r="16" spans="1:18" ht="12.75" customHeight="1" x14ac:dyDescent="0.2">
      <c r="A16" s="5">
        <v>5</v>
      </c>
      <c r="B16" s="5">
        <v>3</v>
      </c>
      <c r="C16" s="5">
        <v>3</v>
      </c>
      <c r="D16" s="5">
        <v>3</v>
      </c>
      <c r="E16" s="5">
        <v>3</v>
      </c>
      <c r="F16" s="5">
        <v>3</v>
      </c>
      <c r="G16" s="6">
        <f t="shared" si="11"/>
        <v>15</v>
      </c>
      <c r="H16" s="6" t="e">
        <f t="shared" ref="H16:L16" ca="1" si="20">IF(GT(B16,0),B$11, "")</f>
        <v>#NAME?</v>
      </c>
      <c r="I16" s="6" t="e">
        <f t="shared" ca="1" si="20"/>
        <v>#NAME?</v>
      </c>
      <c r="J16" s="6" t="e">
        <f t="shared" ca="1" si="20"/>
        <v>#NAME?</v>
      </c>
      <c r="K16" s="6" t="e">
        <f t="shared" ca="1" si="20"/>
        <v>#NAME?</v>
      </c>
      <c r="L16" s="6" t="e">
        <f t="shared" ca="1" si="20"/>
        <v>#NAME?</v>
      </c>
      <c r="M16" s="7"/>
      <c r="N16" s="7" t="e">
        <f t="shared" ref="N16:R16" ca="1" si="21">IF((LEN(H16)&gt;0), CONCATENATE("SelectHeroSkill(source, ", H16, ");"), "")</f>
        <v>#NAME?</v>
      </c>
      <c r="O16" s="7" t="e">
        <f t="shared" ca="1" si="21"/>
        <v>#NAME?</v>
      </c>
      <c r="P16" s="7" t="e">
        <f t="shared" ca="1" si="21"/>
        <v>#NAME?</v>
      </c>
      <c r="Q16" s="7" t="e">
        <f t="shared" ca="1" si="21"/>
        <v>#NAME?</v>
      </c>
      <c r="R16" s="7" t="e">
        <f t="shared" ca="1" si="21"/>
        <v>#NAME?</v>
      </c>
    </row>
    <row r="17" spans="1:18" ht="12.75" customHeight="1" x14ac:dyDescent="0.2">
      <c r="A17" s="7"/>
      <c r="B17" s="7"/>
      <c r="C17" s="7"/>
      <c r="D17" s="7"/>
      <c r="E17" s="7"/>
      <c r="F17" s="7"/>
      <c r="G17" s="7"/>
      <c r="H17" s="7"/>
      <c r="I17" s="7"/>
      <c r="J17" s="7"/>
      <c r="K17" s="7"/>
      <c r="L17" s="7"/>
      <c r="M17" s="7"/>
      <c r="N17" s="7"/>
      <c r="O17" s="7"/>
      <c r="P17" s="7"/>
      <c r="Q17" s="7"/>
      <c r="R17" s="7"/>
    </row>
    <row r="18" spans="1:18" ht="12.75" customHeight="1" x14ac:dyDescent="0.2">
      <c r="A18" s="7"/>
      <c r="B18" s="7"/>
      <c r="C18" s="7"/>
      <c r="D18" s="7"/>
      <c r="E18" s="7"/>
      <c r="F18" s="7"/>
      <c r="G18" s="7"/>
      <c r="H18" s="7"/>
      <c r="I18" s="7"/>
      <c r="J18" s="7"/>
      <c r="K18" s="7"/>
      <c r="L18" s="7"/>
      <c r="M18" s="7"/>
      <c r="N18" s="7"/>
      <c r="O18" s="7"/>
      <c r="P18" s="7"/>
      <c r="Q18" s="7"/>
      <c r="R18" s="7"/>
    </row>
    <row r="19" spans="1:18" ht="12.75" customHeight="1" x14ac:dyDescent="0.2">
      <c r="A19" s="3" t="str">
        <f>玩家技能!A20</f>
        <v>丛林守护者</v>
      </c>
      <c r="B19" s="3" t="str">
        <f>玩家技能!B20</f>
        <v>生命绽放</v>
      </c>
      <c r="C19" s="3" t="str">
        <f>玩家技能!B21</f>
        <v>回春术</v>
      </c>
      <c r="D19" s="3" t="str">
        <f>玩家技能!B22</f>
        <v>愈合</v>
      </c>
      <c r="E19" s="3" t="str">
        <f>玩家技能!B23</f>
        <v>迅捷治愈</v>
      </c>
      <c r="F19" s="3" t="str">
        <f>玩家技能!B24</f>
        <v>宁静</v>
      </c>
      <c r="G19" s="4"/>
      <c r="H19" s="4"/>
      <c r="I19" s="4"/>
      <c r="J19" s="4"/>
      <c r="K19" s="4"/>
      <c r="L19" s="4"/>
      <c r="M19" s="4"/>
      <c r="N19" s="4"/>
      <c r="O19" s="4"/>
      <c r="P19" s="4"/>
      <c r="Q19" s="4"/>
      <c r="R19" s="4"/>
    </row>
    <row r="20" spans="1:18" ht="12.75" customHeight="1" x14ac:dyDescent="0.2">
      <c r="A20" s="4"/>
      <c r="B20" s="4" t="s">
        <v>507</v>
      </c>
      <c r="C20" s="4" t="s">
        <v>509</v>
      </c>
      <c r="D20" s="4" t="s">
        <v>510</v>
      </c>
      <c r="E20" s="4" t="s">
        <v>511</v>
      </c>
      <c r="F20" s="4" t="s">
        <v>512</v>
      </c>
      <c r="G20" s="4"/>
      <c r="H20" s="4"/>
      <c r="I20" s="4"/>
      <c r="J20" s="4"/>
      <c r="K20" s="4"/>
      <c r="L20" s="4"/>
      <c r="M20" s="4"/>
      <c r="N20" s="4"/>
      <c r="O20" s="4"/>
      <c r="P20" s="4"/>
      <c r="Q20" s="4"/>
      <c r="R20" s="4"/>
    </row>
    <row r="21" spans="1:18" ht="12.75" customHeight="1" x14ac:dyDescent="0.2">
      <c r="A21" s="5">
        <v>1</v>
      </c>
      <c r="B21" s="5">
        <v>1</v>
      </c>
      <c r="C21" s="5">
        <v>1</v>
      </c>
      <c r="D21" s="5">
        <v>1</v>
      </c>
      <c r="E21" s="5">
        <v>0</v>
      </c>
      <c r="F21" s="5">
        <v>0</v>
      </c>
      <c r="G21" s="6">
        <f t="shared" ref="G21:G25" si="22">SUM(B21:F21)</f>
        <v>3</v>
      </c>
      <c r="H21" s="6" t="e">
        <f t="shared" ref="H21:L21" ca="1" si="23">IF(GT(B21,0),B$20, "")</f>
        <v>#NAME?</v>
      </c>
      <c r="I21" s="6" t="e">
        <f t="shared" ca="1" si="23"/>
        <v>#NAME?</v>
      </c>
      <c r="J21" s="6" t="e">
        <f t="shared" ca="1" si="23"/>
        <v>#NAME?</v>
      </c>
      <c r="K21" s="7" t="e">
        <f t="shared" ca="1" si="23"/>
        <v>#NAME?</v>
      </c>
      <c r="L21" s="7" t="e">
        <f t="shared" ca="1" si="23"/>
        <v>#NAME?</v>
      </c>
      <c r="M21" s="7"/>
      <c r="N21" s="7" t="e">
        <f t="shared" ref="N21:R21" ca="1" si="24">IF((LEN(H21)&gt;0), CONCATENATE("SelectHeroSkill(source, ", H21, ");"), "")</f>
        <v>#NAME?</v>
      </c>
      <c r="O21" s="7" t="e">
        <f t="shared" ca="1" si="24"/>
        <v>#NAME?</v>
      </c>
      <c r="P21" s="7" t="e">
        <f t="shared" ca="1" si="24"/>
        <v>#NAME?</v>
      </c>
      <c r="Q21" s="7" t="e">
        <f t="shared" ca="1" si="24"/>
        <v>#NAME?</v>
      </c>
      <c r="R21" s="7" t="e">
        <f t="shared" ca="1" si="24"/>
        <v>#NAME?</v>
      </c>
    </row>
    <row r="22" spans="1:18" ht="12.75" customHeight="1" x14ac:dyDescent="0.2">
      <c r="A22" s="5">
        <v>2</v>
      </c>
      <c r="B22" s="5">
        <v>1</v>
      </c>
      <c r="C22" s="5">
        <v>2</v>
      </c>
      <c r="D22" s="5">
        <v>1</v>
      </c>
      <c r="E22" s="5">
        <v>1</v>
      </c>
      <c r="F22" s="5">
        <v>1</v>
      </c>
      <c r="G22" s="6">
        <f t="shared" si="22"/>
        <v>6</v>
      </c>
      <c r="H22" s="6" t="e">
        <f t="shared" ref="H22:L22" ca="1" si="25">IF(GT(B22,0),B$20, "")</f>
        <v>#NAME?</v>
      </c>
      <c r="I22" s="6" t="e">
        <f t="shared" ca="1" si="25"/>
        <v>#NAME?</v>
      </c>
      <c r="J22" s="6" t="e">
        <f t="shared" ca="1" si="25"/>
        <v>#NAME?</v>
      </c>
      <c r="K22" s="6" t="e">
        <f t="shared" ca="1" si="25"/>
        <v>#NAME?</v>
      </c>
      <c r="L22" s="6" t="e">
        <f t="shared" ca="1" si="25"/>
        <v>#NAME?</v>
      </c>
      <c r="M22" s="7"/>
      <c r="N22" s="7" t="e">
        <f t="shared" ref="N22:R22" ca="1" si="26">IF((LEN(H22)&gt;0), CONCATENATE("SelectHeroSkill(source, ", H22, ");"), "")</f>
        <v>#NAME?</v>
      </c>
      <c r="O22" s="7" t="e">
        <f t="shared" ca="1" si="26"/>
        <v>#NAME?</v>
      </c>
      <c r="P22" s="7" t="e">
        <f t="shared" ca="1" si="26"/>
        <v>#NAME?</v>
      </c>
      <c r="Q22" s="7" t="e">
        <f t="shared" ca="1" si="26"/>
        <v>#NAME?</v>
      </c>
      <c r="R22" s="7" t="e">
        <f t="shared" ca="1" si="26"/>
        <v>#NAME?</v>
      </c>
    </row>
    <row r="23" spans="1:18" ht="12.75" customHeight="1" x14ac:dyDescent="0.2">
      <c r="A23" s="5">
        <v>3</v>
      </c>
      <c r="B23" s="5">
        <v>2</v>
      </c>
      <c r="C23" s="5">
        <v>3</v>
      </c>
      <c r="D23" s="5">
        <v>2</v>
      </c>
      <c r="E23" s="5">
        <v>1</v>
      </c>
      <c r="F23" s="5">
        <v>1</v>
      </c>
      <c r="G23" s="6">
        <f t="shared" si="22"/>
        <v>9</v>
      </c>
      <c r="H23" s="6" t="e">
        <f t="shared" ref="H23:L23" ca="1" si="27">IF(GT(B23,0),B$20, "")</f>
        <v>#NAME?</v>
      </c>
      <c r="I23" s="6" t="e">
        <f t="shared" ca="1" si="27"/>
        <v>#NAME?</v>
      </c>
      <c r="J23" s="6" t="e">
        <f t="shared" ca="1" si="27"/>
        <v>#NAME?</v>
      </c>
      <c r="K23" s="6" t="e">
        <f t="shared" ca="1" si="27"/>
        <v>#NAME?</v>
      </c>
      <c r="L23" s="6" t="e">
        <f t="shared" ca="1" si="27"/>
        <v>#NAME?</v>
      </c>
      <c r="M23" s="7"/>
      <c r="N23" s="7" t="e">
        <f t="shared" ref="N23:R23" ca="1" si="28">IF((LEN(H23)&gt;0), CONCATENATE("SelectHeroSkill(source, ", H23, ");"), "")</f>
        <v>#NAME?</v>
      </c>
      <c r="O23" s="7" t="e">
        <f t="shared" ca="1" si="28"/>
        <v>#NAME?</v>
      </c>
      <c r="P23" s="7" t="e">
        <f t="shared" ca="1" si="28"/>
        <v>#NAME?</v>
      </c>
      <c r="Q23" s="7" t="e">
        <f t="shared" ca="1" si="28"/>
        <v>#NAME?</v>
      </c>
      <c r="R23" s="7" t="e">
        <f t="shared" ca="1" si="28"/>
        <v>#NAME?</v>
      </c>
    </row>
    <row r="24" spans="1:18" ht="12.75" customHeight="1" x14ac:dyDescent="0.2">
      <c r="A24" s="5">
        <v>4</v>
      </c>
      <c r="B24" s="5">
        <v>3</v>
      </c>
      <c r="C24" s="5">
        <v>3</v>
      </c>
      <c r="D24" s="5">
        <v>3</v>
      </c>
      <c r="E24" s="5">
        <v>2</v>
      </c>
      <c r="F24" s="5">
        <v>1</v>
      </c>
      <c r="G24" s="6">
        <f t="shared" si="22"/>
        <v>12</v>
      </c>
      <c r="H24" s="6" t="e">
        <f t="shared" ref="H24:L24" ca="1" si="29">IF(GT(B24,0),B$20, "")</f>
        <v>#NAME?</v>
      </c>
      <c r="I24" s="6" t="e">
        <f t="shared" ca="1" si="29"/>
        <v>#NAME?</v>
      </c>
      <c r="J24" s="6" t="e">
        <f t="shared" ca="1" si="29"/>
        <v>#NAME?</v>
      </c>
      <c r="K24" s="6" t="e">
        <f t="shared" ca="1" si="29"/>
        <v>#NAME?</v>
      </c>
      <c r="L24" s="6" t="e">
        <f t="shared" ca="1" si="29"/>
        <v>#NAME?</v>
      </c>
      <c r="M24" s="7"/>
      <c r="N24" s="7" t="e">
        <f t="shared" ref="N24:R24" ca="1" si="30">IF((LEN(H24)&gt;0), CONCATENATE("SelectHeroSkill(source, ", H24, ");"), "")</f>
        <v>#NAME?</v>
      </c>
      <c r="O24" s="7" t="e">
        <f t="shared" ca="1" si="30"/>
        <v>#NAME?</v>
      </c>
      <c r="P24" s="7" t="e">
        <f t="shared" ca="1" si="30"/>
        <v>#NAME?</v>
      </c>
      <c r="Q24" s="7" t="e">
        <f t="shared" ca="1" si="30"/>
        <v>#NAME?</v>
      </c>
      <c r="R24" s="7" t="e">
        <f t="shared" ca="1" si="30"/>
        <v>#NAME?</v>
      </c>
    </row>
    <row r="25" spans="1:18" ht="12.75" customHeight="1" x14ac:dyDescent="0.2">
      <c r="A25" s="5">
        <v>5</v>
      </c>
      <c r="B25" s="5">
        <v>3</v>
      </c>
      <c r="C25" s="5">
        <v>3</v>
      </c>
      <c r="D25" s="5">
        <v>3</v>
      </c>
      <c r="E25" s="5">
        <v>3</v>
      </c>
      <c r="F25" s="5">
        <v>3</v>
      </c>
      <c r="G25" s="6">
        <f t="shared" si="22"/>
        <v>15</v>
      </c>
      <c r="H25" s="6" t="e">
        <f t="shared" ref="H25:L25" ca="1" si="31">IF(GT(B25,0),B$20, "")</f>
        <v>#NAME?</v>
      </c>
      <c r="I25" s="6" t="e">
        <f t="shared" ca="1" si="31"/>
        <v>#NAME?</v>
      </c>
      <c r="J25" s="6" t="e">
        <f t="shared" ca="1" si="31"/>
        <v>#NAME?</v>
      </c>
      <c r="K25" s="6" t="e">
        <f t="shared" ca="1" si="31"/>
        <v>#NAME?</v>
      </c>
      <c r="L25" s="6" t="e">
        <f t="shared" ca="1" si="31"/>
        <v>#NAME?</v>
      </c>
      <c r="M25" s="7"/>
      <c r="N25" s="7" t="e">
        <f t="shared" ref="N25:R25" ca="1" si="32">IF((LEN(H25)&gt;0), CONCATENATE("SelectHeroSkill(source, ", H25, ");"), "")</f>
        <v>#NAME?</v>
      </c>
      <c r="O25" s="7" t="e">
        <f t="shared" ca="1" si="32"/>
        <v>#NAME?</v>
      </c>
      <c r="P25" s="7" t="e">
        <f t="shared" ca="1" si="32"/>
        <v>#NAME?</v>
      </c>
      <c r="Q25" s="7" t="e">
        <f t="shared" ca="1" si="32"/>
        <v>#NAME?</v>
      </c>
      <c r="R25" s="7" t="e">
        <f t="shared" ca="1" si="32"/>
        <v>#NAME?</v>
      </c>
    </row>
    <row r="26" spans="1:18" ht="12.75" customHeight="1" x14ac:dyDescent="0.2">
      <c r="A26" s="7"/>
      <c r="B26" s="7"/>
      <c r="C26" s="7"/>
      <c r="D26" s="7"/>
      <c r="E26" s="7"/>
      <c r="F26" s="7"/>
      <c r="G26" s="7"/>
      <c r="H26" s="7"/>
      <c r="I26" s="7"/>
      <c r="J26" s="7"/>
      <c r="K26" s="7"/>
      <c r="L26" s="7"/>
      <c r="M26" s="7"/>
      <c r="N26" s="7"/>
      <c r="O26" s="7"/>
      <c r="P26" s="7"/>
      <c r="Q26" s="7"/>
      <c r="R26" s="7"/>
    </row>
    <row r="27" spans="1:18" ht="12.75" customHeight="1" x14ac:dyDescent="0.2">
      <c r="A27" s="7"/>
      <c r="B27" s="7"/>
      <c r="C27" s="7"/>
      <c r="D27" s="7"/>
      <c r="E27" s="7"/>
      <c r="F27" s="7"/>
      <c r="G27" s="7"/>
      <c r="H27" s="7"/>
      <c r="I27" s="7"/>
      <c r="J27" s="7"/>
      <c r="K27" s="7"/>
      <c r="L27" s="7"/>
      <c r="M27" s="7"/>
      <c r="N27" s="7"/>
      <c r="O27" s="7"/>
      <c r="P27" s="7"/>
      <c r="Q27" s="7"/>
      <c r="R27" s="7"/>
    </row>
    <row r="28" spans="1:18" ht="12.75" customHeight="1" x14ac:dyDescent="0.2">
      <c r="A28" s="3" t="str">
        <f>玩家技能!A26</f>
        <v>圣骑士</v>
      </c>
      <c r="B28" s="3" t="str">
        <f>玩家技能!B26</f>
        <v>闪耀之光</v>
      </c>
      <c r="C28" s="3" t="str">
        <f>玩家技能!B27</f>
        <v>圣光术</v>
      </c>
      <c r="D28" s="3" t="str">
        <f>玩家技能!B28</f>
        <v>神圣震击</v>
      </c>
      <c r="E28" s="3" t="str">
        <f>玩家技能!B29</f>
        <v>神恩</v>
      </c>
      <c r="F28" s="3" t="str">
        <f>玩家技能!B30</f>
        <v>圣光印记</v>
      </c>
      <c r="G28" s="4"/>
      <c r="H28" s="4"/>
      <c r="I28" s="4"/>
      <c r="J28" s="4"/>
      <c r="K28" s="4"/>
      <c r="L28" s="4"/>
      <c r="M28" s="4"/>
      <c r="N28" s="4"/>
      <c r="O28" s="4"/>
      <c r="P28" s="4"/>
      <c r="Q28" s="4"/>
      <c r="R28" s="4"/>
    </row>
    <row r="29" spans="1:18" ht="12.75" customHeight="1" x14ac:dyDescent="0.2">
      <c r="A29" s="4"/>
      <c r="B29" s="4" t="s">
        <v>581</v>
      </c>
      <c r="C29" s="4" t="s">
        <v>582</v>
      </c>
      <c r="D29" s="4" t="s">
        <v>583</v>
      </c>
      <c r="E29" s="4" t="s">
        <v>584</v>
      </c>
      <c r="F29" s="4" t="s">
        <v>585</v>
      </c>
      <c r="G29" s="4"/>
      <c r="H29" s="4"/>
      <c r="I29" s="4"/>
      <c r="J29" s="4"/>
      <c r="K29" s="4"/>
      <c r="L29" s="4"/>
      <c r="M29" s="4"/>
      <c r="N29" s="4"/>
      <c r="O29" s="4"/>
      <c r="P29" s="4"/>
      <c r="Q29" s="4"/>
      <c r="R29" s="4"/>
    </row>
    <row r="30" spans="1:18" ht="12.75" customHeight="1" x14ac:dyDescent="0.2">
      <c r="A30" s="5">
        <v>1</v>
      </c>
      <c r="B30" s="5">
        <v>1</v>
      </c>
      <c r="C30" s="5">
        <v>1</v>
      </c>
      <c r="D30" s="5">
        <v>1</v>
      </c>
      <c r="E30" s="5">
        <v>0</v>
      </c>
      <c r="F30" s="5">
        <v>0</v>
      </c>
      <c r="G30" s="6">
        <f t="shared" ref="G30:G34" si="33">SUM(B30:F30)</f>
        <v>3</v>
      </c>
      <c r="H30" s="6" t="e">
        <f t="shared" ref="H30:L30" ca="1" si="34">IF(GT(B30,0),B$29, "")</f>
        <v>#NAME?</v>
      </c>
      <c r="I30" s="6" t="e">
        <f t="shared" ca="1" si="34"/>
        <v>#NAME?</v>
      </c>
      <c r="J30" s="6" t="e">
        <f t="shared" ca="1" si="34"/>
        <v>#NAME?</v>
      </c>
      <c r="K30" s="7" t="e">
        <f t="shared" ca="1" si="34"/>
        <v>#NAME?</v>
      </c>
      <c r="L30" s="7" t="e">
        <f t="shared" ca="1" si="34"/>
        <v>#NAME?</v>
      </c>
      <c r="M30" s="7"/>
      <c r="N30" s="7" t="e">
        <f t="shared" ref="N30:R30" ca="1" si="35">IF((LEN(H30)&gt;0), CONCATENATE("SelectHeroSkill(source, ", H30, ");"), "")</f>
        <v>#NAME?</v>
      </c>
      <c r="O30" s="7" t="e">
        <f t="shared" ca="1" si="35"/>
        <v>#NAME?</v>
      </c>
      <c r="P30" s="7" t="e">
        <f t="shared" ca="1" si="35"/>
        <v>#NAME?</v>
      </c>
      <c r="Q30" s="7" t="e">
        <f t="shared" ca="1" si="35"/>
        <v>#NAME?</v>
      </c>
      <c r="R30" s="7" t="e">
        <f t="shared" ca="1" si="35"/>
        <v>#NAME?</v>
      </c>
    </row>
    <row r="31" spans="1:18" ht="12.75" customHeight="1" x14ac:dyDescent="0.2">
      <c r="A31" s="5">
        <v>2</v>
      </c>
      <c r="B31" s="5">
        <v>1</v>
      </c>
      <c r="C31" s="5">
        <v>1</v>
      </c>
      <c r="D31" s="5">
        <v>1</v>
      </c>
      <c r="E31" s="5">
        <v>2</v>
      </c>
      <c r="F31" s="5">
        <v>1</v>
      </c>
      <c r="G31" s="6">
        <f t="shared" si="33"/>
        <v>6</v>
      </c>
      <c r="H31" s="6" t="e">
        <f t="shared" ref="H31:L31" ca="1" si="36">IF(GT(B31,0),B$29, "")</f>
        <v>#NAME?</v>
      </c>
      <c r="I31" s="6" t="e">
        <f t="shared" ca="1" si="36"/>
        <v>#NAME?</v>
      </c>
      <c r="J31" s="6" t="e">
        <f t="shared" ca="1" si="36"/>
        <v>#NAME?</v>
      </c>
      <c r="K31" s="6" t="e">
        <f t="shared" ca="1" si="36"/>
        <v>#NAME?</v>
      </c>
      <c r="L31" s="6" t="e">
        <f t="shared" ca="1" si="36"/>
        <v>#NAME?</v>
      </c>
      <c r="M31" s="7"/>
      <c r="N31" s="7" t="e">
        <f t="shared" ref="N31:R31" ca="1" si="37">IF((LEN(H31)&gt;0), CONCATENATE("SelectHeroSkill(source, ", H31, ");"), "")</f>
        <v>#NAME?</v>
      </c>
      <c r="O31" s="7" t="e">
        <f t="shared" ca="1" si="37"/>
        <v>#NAME?</v>
      </c>
      <c r="P31" s="7" t="e">
        <f t="shared" ca="1" si="37"/>
        <v>#NAME?</v>
      </c>
      <c r="Q31" s="7" t="e">
        <f t="shared" ca="1" si="37"/>
        <v>#NAME?</v>
      </c>
      <c r="R31" s="7" t="e">
        <f t="shared" ca="1" si="37"/>
        <v>#NAME?</v>
      </c>
    </row>
    <row r="32" spans="1:18" ht="12.75" customHeight="1" x14ac:dyDescent="0.2">
      <c r="A32" s="5">
        <v>3</v>
      </c>
      <c r="B32" s="5">
        <v>2</v>
      </c>
      <c r="C32" s="5">
        <v>2</v>
      </c>
      <c r="D32" s="5">
        <v>1</v>
      </c>
      <c r="E32" s="5">
        <v>3</v>
      </c>
      <c r="F32" s="5">
        <v>1</v>
      </c>
      <c r="G32" s="6">
        <f t="shared" si="33"/>
        <v>9</v>
      </c>
      <c r="H32" s="6" t="e">
        <f t="shared" ref="H32:L32" ca="1" si="38">IF(GT(B32,0),B$29, "")</f>
        <v>#NAME?</v>
      </c>
      <c r="I32" s="6" t="e">
        <f t="shared" ca="1" si="38"/>
        <v>#NAME?</v>
      </c>
      <c r="J32" s="6" t="e">
        <f t="shared" ca="1" si="38"/>
        <v>#NAME?</v>
      </c>
      <c r="K32" s="6" t="e">
        <f t="shared" ca="1" si="38"/>
        <v>#NAME?</v>
      </c>
      <c r="L32" s="6" t="e">
        <f t="shared" ca="1" si="38"/>
        <v>#NAME?</v>
      </c>
      <c r="M32" s="7"/>
      <c r="N32" s="7" t="e">
        <f t="shared" ref="N32:R32" ca="1" si="39">IF((LEN(H32)&gt;0), CONCATENATE("SelectHeroSkill(source, ", H32, ");"), "")</f>
        <v>#NAME?</v>
      </c>
      <c r="O32" s="7" t="e">
        <f t="shared" ca="1" si="39"/>
        <v>#NAME?</v>
      </c>
      <c r="P32" s="7" t="e">
        <f t="shared" ca="1" si="39"/>
        <v>#NAME?</v>
      </c>
      <c r="Q32" s="7" t="e">
        <f t="shared" ca="1" si="39"/>
        <v>#NAME?</v>
      </c>
      <c r="R32" s="7" t="e">
        <f t="shared" ca="1" si="39"/>
        <v>#NAME?</v>
      </c>
    </row>
    <row r="33" spans="1:18" ht="12.75" customHeight="1" x14ac:dyDescent="0.2">
      <c r="A33" s="5">
        <v>4</v>
      </c>
      <c r="B33" s="5">
        <v>3</v>
      </c>
      <c r="C33" s="5">
        <v>3</v>
      </c>
      <c r="D33" s="5">
        <v>2</v>
      </c>
      <c r="E33" s="5">
        <v>3</v>
      </c>
      <c r="F33" s="5">
        <v>1</v>
      </c>
      <c r="G33" s="6">
        <f t="shared" si="33"/>
        <v>12</v>
      </c>
      <c r="H33" s="6" t="e">
        <f t="shared" ref="H33:L33" ca="1" si="40">IF(GT(B33,0),B$29, "")</f>
        <v>#NAME?</v>
      </c>
      <c r="I33" s="6" t="e">
        <f t="shared" ca="1" si="40"/>
        <v>#NAME?</v>
      </c>
      <c r="J33" s="6" t="e">
        <f t="shared" ca="1" si="40"/>
        <v>#NAME?</v>
      </c>
      <c r="K33" s="6" t="e">
        <f t="shared" ca="1" si="40"/>
        <v>#NAME?</v>
      </c>
      <c r="L33" s="6" t="e">
        <f t="shared" ca="1" si="40"/>
        <v>#NAME?</v>
      </c>
      <c r="M33" s="7"/>
      <c r="N33" s="7" t="e">
        <f t="shared" ref="N33:R33" ca="1" si="41">IF((LEN(H33)&gt;0), CONCATENATE("SelectHeroSkill(source, ", H33, ");"), "")</f>
        <v>#NAME?</v>
      </c>
      <c r="O33" s="7" t="e">
        <f t="shared" ca="1" si="41"/>
        <v>#NAME?</v>
      </c>
      <c r="P33" s="7" t="e">
        <f t="shared" ca="1" si="41"/>
        <v>#NAME?</v>
      </c>
      <c r="Q33" s="7" t="e">
        <f t="shared" ca="1" si="41"/>
        <v>#NAME?</v>
      </c>
      <c r="R33" s="7" t="e">
        <f t="shared" ca="1" si="41"/>
        <v>#NAME?</v>
      </c>
    </row>
    <row r="34" spans="1:18" ht="12.75" customHeight="1" x14ac:dyDescent="0.2">
      <c r="A34" s="5">
        <v>5</v>
      </c>
      <c r="B34" s="5">
        <v>3</v>
      </c>
      <c r="C34" s="5">
        <v>3</v>
      </c>
      <c r="D34" s="5">
        <v>3</v>
      </c>
      <c r="E34" s="5">
        <v>3</v>
      </c>
      <c r="F34" s="5">
        <v>3</v>
      </c>
      <c r="G34" s="6">
        <f t="shared" si="33"/>
        <v>15</v>
      </c>
      <c r="H34" s="6" t="e">
        <f t="shared" ref="H34:L34" ca="1" si="42">IF(GT(B34,0),B$29, "")</f>
        <v>#NAME?</v>
      </c>
      <c r="I34" s="6" t="e">
        <f t="shared" ca="1" si="42"/>
        <v>#NAME?</v>
      </c>
      <c r="J34" s="6" t="e">
        <f t="shared" ca="1" si="42"/>
        <v>#NAME?</v>
      </c>
      <c r="K34" s="6" t="e">
        <f t="shared" ca="1" si="42"/>
        <v>#NAME?</v>
      </c>
      <c r="L34" s="6" t="e">
        <f t="shared" ca="1" si="42"/>
        <v>#NAME?</v>
      </c>
      <c r="M34" s="7"/>
      <c r="N34" s="7" t="e">
        <f t="shared" ref="N34:R34" ca="1" si="43">IF((LEN(H34)&gt;0), CONCATENATE("SelectHeroSkill(source, ", H34, ");"), "")</f>
        <v>#NAME?</v>
      </c>
      <c r="O34" s="7" t="e">
        <f t="shared" ca="1" si="43"/>
        <v>#NAME?</v>
      </c>
      <c r="P34" s="7" t="e">
        <f t="shared" ca="1" si="43"/>
        <v>#NAME?</v>
      </c>
      <c r="Q34" s="7" t="e">
        <f t="shared" ca="1" si="43"/>
        <v>#NAME?</v>
      </c>
      <c r="R34" s="7" t="e">
        <f t="shared" ca="1" si="43"/>
        <v>#NAME?</v>
      </c>
    </row>
    <row r="35" spans="1:18" ht="12.75" customHeight="1" x14ac:dyDescent="0.2">
      <c r="A35" s="7"/>
      <c r="B35" s="7"/>
      <c r="C35" s="7"/>
      <c r="D35" s="7"/>
      <c r="E35" s="7"/>
      <c r="F35" s="7"/>
      <c r="G35" s="7"/>
      <c r="H35" s="7"/>
      <c r="I35" s="7"/>
      <c r="J35" s="7"/>
      <c r="K35" s="7"/>
      <c r="L35" s="7"/>
      <c r="M35" s="7"/>
      <c r="N35" s="7"/>
      <c r="O35" s="7"/>
      <c r="P35" s="7"/>
      <c r="Q35" s="7"/>
      <c r="R35" s="7"/>
    </row>
    <row r="36" spans="1:18" ht="12.75" customHeight="1" x14ac:dyDescent="0.2">
      <c r="A36" s="7"/>
      <c r="B36" s="7"/>
      <c r="C36" s="7"/>
      <c r="D36" s="7"/>
      <c r="E36" s="7"/>
      <c r="F36" s="7"/>
      <c r="G36" s="7"/>
      <c r="H36" s="7"/>
      <c r="I36" s="7"/>
      <c r="J36" s="7"/>
      <c r="K36" s="7"/>
      <c r="L36" s="7"/>
      <c r="M36" s="7"/>
      <c r="N36" s="7"/>
      <c r="O36" s="7"/>
      <c r="P36" s="7"/>
      <c r="Q36" s="7"/>
      <c r="R36" s="7"/>
    </row>
    <row r="37" spans="1:18" ht="12.75" customHeight="1" x14ac:dyDescent="0.2">
      <c r="A37" s="3" t="str">
        <f>玩家技能!A32</f>
        <v>牧师</v>
      </c>
      <c r="B37" s="3" t="str">
        <f>玩家技能!B32</f>
        <v>医疗术</v>
      </c>
      <c r="C37" s="3" t="str">
        <f>玩家技能!B33</f>
        <v>治疗祷言</v>
      </c>
      <c r="D37" s="3" t="str">
        <f>玩家技能!B34</f>
        <v>护盾术</v>
      </c>
      <c r="E37" s="3" t="str">
        <f>玩家技能!B35</f>
        <v>愈合祷言</v>
      </c>
      <c r="F37" s="3" t="str">
        <f>玩家技能!B36</f>
        <v>驱魔</v>
      </c>
      <c r="G37" s="4"/>
      <c r="H37" s="4"/>
      <c r="I37" s="4"/>
      <c r="J37" s="4"/>
      <c r="K37" s="4"/>
      <c r="L37" s="4"/>
      <c r="M37" s="4"/>
      <c r="N37" s="4"/>
      <c r="O37" s="4"/>
      <c r="P37" s="4"/>
      <c r="Q37" s="4"/>
      <c r="R37" s="4"/>
    </row>
    <row r="38" spans="1:18" ht="12.75" customHeight="1" x14ac:dyDescent="0.2">
      <c r="A38" s="4"/>
      <c r="B38" s="4" t="s">
        <v>703</v>
      </c>
      <c r="C38" s="4" t="s">
        <v>704</v>
      </c>
      <c r="D38" s="4" t="s">
        <v>705</v>
      </c>
      <c r="E38" s="4" t="s">
        <v>710</v>
      </c>
      <c r="F38" s="4" t="s">
        <v>714</v>
      </c>
      <c r="G38" s="4"/>
      <c r="H38" s="4"/>
      <c r="I38" s="4"/>
      <c r="J38" s="4"/>
      <c r="K38" s="4"/>
      <c r="L38" s="4"/>
      <c r="M38" s="4"/>
      <c r="N38" s="4"/>
      <c r="O38" s="4"/>
      <c r="P38" s="4"/>
      <c r="Q38" s="4"/>
      <c r="R38" s="4"/>
    </row>
    <row r="39" spans="1:18" ht="12.75" customHeight="1" x14ac:dyDescent="0.2">
      <c r="A39" s="5">
        <v>1</v>
      </c>
      <c r="B39" s="5">
        <v>1</v>
      </c>
      <c r="C39" s="5">
        <v>1</v>
      </c>
      <c r="D39" s="5">
        <v>1</v>
      </c>
      <c r="E39" s="5">
        <v>0</v>
      </c>
      <c r="F39" s="5">
        <v>0</v>
      </c>
      <c r="G39" s="6">
        <f t="shared" ref="G39:G43" si="44">SUM(B39:F39)</f>
        <v>3</v>
      </c>
      <c r="H39" s="6" t="e">
        <f t="shared" ref="H39:L39" ca="1" si="45">IF(GT(B39,0),B$38, "")</f>
        <v>#NAME?</v>
      </c>
      <c r="I39" s="6" t="e">
        <f t="shared" ca="1" si="45"/>
        <v>#NAME?</v>
      </c>
      <c r="J39" s="6" t="e">
        <f t="shared" ca="1" si="45"/>
        <v>#NAME?</v>
      </c>
      <c r="K39" s="7" t="e">
        <f t="shared" ca="1" si="45"/>
        <v>#NAME?</v>
      </c>
      <c r="L39" s="7" t="e">
        <f t="shared" ca="1" si="45"/>
        <v>#NAME?</v>
      </c>
      <c r="M39" s="7"/>
      <c r="N39" s="7" t="e">
        <f t="shared" ref="N39:R39" ca="1" si="46">IF((LEN(H39)&gt;0), CONCATENATE("SelectHeroSkill(source, ", H39, ");"), "")</f>
        <v>#NAME?</v>
      </c>
      <c r="O39" s="7" t="e">
        <f t="shared" ca="1" si="46"/>
        <v>#NAME?</v>
      </c>
      <c r="P39" s="7" t="e">
        <f t="shared" ca="1" si="46"/>
        <v>#NAME?</v>
      </c>
      <c r="Q39" s="7" t="e">
        <f t="shared" ca="1" si="46"/>
        <v>#NAME?</v>
      </c>
      <c r="R39" s="7" t="e">
        <f t="shared" ca="1" si="46"/>
        <v>#NAME?</v>
      </c>
    </row>
    <row r="40" spans="1:18" ht="12.75" customHeight="1" x14ac:dyDescent="0.2">
      <c r="A40" s="5">
        <v>2</v>
      </c>
      <c r="B40" s="5">
        <v>1</v>
      </c>
      <c r="C40" s="5">
        <v>1</v>
      </c>
      <c r="D40" s="5">
        <v>2</v>
      </c>
      <c r="E40" s="5">
        <v>1</v>
      </c>
      <c r="F40" s="5">
        <v>1</v>
      </c>
      <c r="G40" s="6">
        <f t="shared" si="44"/>
        <v>6</v>
      </c>
      <c r="H40" s="6" t="e">
        <f t="shared" ref="H40:L40" ca="1" si="47">IF(GT(B40,0),B$38, "")</f>
        <v>#NAME?</v>
      </c>
      <c r="I40" s="6" t="e">
        <f t="shared" ca="1" si="47"/>
        <v>#NAME?</v>
      </c>
      <c r="J40" s="6" t="e">
        <f t="shared" ca="1" si="47"/>
        <v>#NAME?</v>
      </c>
      <c r="K40" s="6" t="e">
        <f t="shared" ca="1" si="47"/>
        <v>#NAME?</v>
      </c>
      <c r="L40" s="6" t="e">
        <f t="shared" ca="1" si="47"/>
        <v>#NAME?</v>
      </c>
      <c r="M40" s="7"/>
      <c r="N40" s="7" t="e">
        <f t="shared" ref="N40:R40" ca="1" si="48">IF((LEN(H40)&gt;0), CONCATENATE("SelectHeroSkill(source, ", H40, ");"), "")</f>
        <v>#NAME?</v>
      </c>
      <c r="O40" s="7" t="e">
        <f t="shared" ca="1" si="48"/>
        <v>#NAME?</v>
      </c>
      <c r="P40" s="7" t="e">
        <f t="shared" ca="1" si="48"/>
        <v>#NAME?</v>
      </c>
      <c r="Q40" s="7" t="e">
        <f t="shared" ca="1" si="48"/>
        <v>#NAME?</v>
      </c>
      <c r="R40" s="7" t="e">
        <f t="shared" ca="1" si="48"/>
        <v>#NAME?</v>
      </c>
    </row>
    <row r="41" spans="1:18" ht="12.75" customHeight="1" x14ac:dyDescent="0.2">
      <c r="A41" s="5">
        <v>3</v>
      </c>
      <c r="B41" s="5">
        <v>2</v>
      </c>
      <c r="C41" s="5">
        <v>1</v>
      </c>
      <c r="D41" s="5">
        <v>3</v>
      </c>
      <c r="E41" s="5">
        <v>2</v>
      </c>
      <c r="F41" s="5">
        <v>1</v>
      </c>
      <c r="G41" s="6">
        <f t="shared" si="44"/>
        <v>9</v>
      </c>
      <c r="H41" s="6" t="e">
        <f t="shared" ref="H41:L41" ca="1" si="49">IF(GT(B41,0),B$38, "")</f>
        <v>#NAME?</v>
      </c>
      <c r="I41" s="6" t="e">
        <f t="shared" ca="1" si="49"/>
        <v>#NAME?</v>
      </c>
      <c r="J41" s="6" t="e">
        <f t="shared" ca="1" si="49"/>
        <v>#NAME?</v>
      </c>
      <c r="K41" s="6" t="e">
        <f t="shared" ca="1" si="49"/>
        <v>#NAME?</v>
      </c>
      <c r="L41" s="6" t="e">
        <f t="shared" ca="1" si="49"/>
        <v>#NAME?</v>
      </c>
      <c r="M41" s="7"/>
      <c r="N41" s="7" t="e">
        <f t="shared" ref="N41:R41" ca="1" si="50">IF((LEN(H41)&gt;0), CONCATENATE("SelectHeroSkill(source, ", H41, ");"), "")</f>
        <v>#NAME?</v>
      </c>
      <c r="O41" s="7" t="e">
        <f t="shared" ca="1" si="50"/>
        <v>#NAME?</v>
      </c>
      <c r="P41" s="7" t="e">
        <f t="shared" ca="1" si="50"/>
        <v>#NAME?</v>
      </c>
      <c r="Q41" s="7" t="e">
        <f t="shared" ca="1" si="50"/>
        <v>#NAME?</v>
      </c>
      <c r="R41" s="7" t="e">
        <f t="shared" ca="1" si="50"/>
        <v>#NAME?</v>
      </c>
    </row>
    <row r="42" spans="1:18" ht="12.75" customHeight="1" x14ac:dyDescent="0.2">
      <c r="A42" s="5">
        <v>4</v>
      </c>
      <c r="B42" s="5">
        <v>3</v>
      </c>
      <c r="C42" s="5">
        <v>2</v>
      </c>
      <c r="D42" s="5">
        <v>3</v>
      </c>
      <c r="E42" s="5">
        <v>3</v>
      </c>
      <c r="F42" s="5">
        <v>1</v>
      </c>
      <c r="G42" s="6">
        <f t="shared" si="44"/>
        <v>12</v>
      </c>
      <c r="H42" s="6" t="e">
        <f t="shared" ref="H42:L42" ca="1" si="51">IF(GT(B42,0),B$38, "")</f>
        <v>#NAME?</v>
      </c>
      <c r="I42" s="6" t="e">
        <f t="shared" ca="1" si="51"/>
        <v>#NAME?</v>
      </c>
      <c r="J42" s="6" t="e">
        <f t="shared" ca="1" si="51"/>
        <v>#NAME?</v>
      </c>
      <c r="K42" s="6" t="e">
        <f t="shared" ca="1" si="51"/>
        <v>#NAME?</v>
      </c>
      <c r="L42" s="6" t="e">
        <f t="shared" ca="1" si="51"/>
        <v>#NAME?</v>
      </c>
      <c r="M42" s="7"/>
      <c r="N42" s="7" t="e">
        <f t="shared" ref="N42:R42" ca="1" si="52">IF((LEN(H42)&gt;0), CONCATENATE("SelectHeroSkill(source, ", H42, ");"), "")</f>
        <v>#NAME?</v>
      </c>
      <c r="O42" s="7" t="e">
        <f t="shared" ca="1" si="52"/>
        <v>#NAME?</v>
      </c>
      <c r="P42" s="7" t="e">
        <f t="shared" ca="1" si="52"/>
        <v>#NAME?</v>
      </c>
      <c r="Q42" s="7" t="e">
        <f t="shared" ca="1" si="52"/>
        <v>#NAME?</v>
      </c>
      <c r="R42" s="7" t="e">
        <f t="shared" ca="1" si="52"/>
        <v>#NAME?</v>
      </c>
    </row>
    <row r="43" spans="1:18" ht="12.75" customHeight="1" x14ac:dyDescent="0.2">
      <c r="A43" s="5">
        <v>5</v>
      </c>
      <c r="B43" s="5">
        <v>3</v>
      </c>
      <c r="C43" s="5">
        <v>3</v>
      </c>
      <c r="D43" s="5">
        <v>3</v>
      </c>
      <c r="E43" s="5">
        <v>3</v>
      </c>
      <c r="F43" s="5">
        <v>3</v>
      </c>
      <c r="G43" s="6">
        <f t="shared" si="44"/>
        <v>15</v>
      </c>
      <c r="H43" s="6" t="e">
        <f t="shared" ref="H43:L43" ca="1" si="53">IF(GT(B43,0),B$38, "")</f>
        <v>#NAME?</v>
      </c>
      <c r="I43" s="6" t="e">
        <f t="shared" ca="1" si="53"/>
        <v>#NAME?</v>
      </c>
      <c r="J43" s="6" t="e">
        <f t="shared" ca="1" si="53"/>
        <v>#NAME?</v>
      </c>
      <c r="K43" s="6" t="e">
        <f t="shared" ca="1" si="53"/>
        <v>#NAME?</v>
      </c>
      <c r="L43" s="6" t="e">
        <f t="shared" ca="1" si="53"/>
        <v>#NAME?</v>
      </c>
      <c r="M43" s="7"/>
      <c r="N43" s="7" t="e">
        <f t="shared" ref="N43:R43" ca="1" si="54">IF((LEN(H43)&gt;0), CONCATENATE("SelectHeroSkill(source, ", H43, ");"), "")</f>
        <v>#NAME?</v>
      </c>
      <c r="O43" s="7" t="e">
        <f t="shared" ca="1" si="54"/>
        <v>#NAME?</v>
      </c>
      <c r="P43" s="7" t="e">
        <f t="shared" ca="1" si="54"/>
        <v>#NAME?</v>
      </c>
      <c r="Q43" s="7" t="e">
        <f t="shared" ca="1" si="54"/>
        <v>#NAME?</v>
      </c>
      <c r="R43" s="7" t="e">
        <f t="shared" ca="1" si="54"/>
        <v>#NAME?</v>
      </c>
    </row>
    <row r="44" spans="1:18" ht="12.75" customHeight="1" x14ac:dyDescent="0.2">
      <c r="A44" s="7"/>
      <c r="B44" s="7"/>
      <c r="C44" s="7"/>
      <c r="D44" s="7"/>
      <c r="E44" s="7"/>
      <c r="F44" s="7"/>
      <c r="G44" s="7"/>
      <c r="H44" s="7"/>
      <c r="I44" s="7"/>
      <c r="J44" s="7"/>
      <c r="K44" s="7"/>
      <c r="L44" s="7"/>
      <c r="M44" s="7"/>
      <c r="N44" s="7"/>
      <c r="O44" s="7"/>
      <c r="P44" s="7"/>
      <c r="Q44" s="7"/>
      <c r="R44" s="7"/>
    </row>
    <row r="45" spans="1:18" ht="12.75" customHeight="1" x14ac:dyDescent="0.2">
      <c r="A45" s="7"/>
      <c r="B45" s="7"/>
      <c r="C45" s="7"/>
      <c r="D45" s="7"/>
      <c r="E45" s="7"/>
      <c r="F45" s="7"/>
      <c r="G45" s="7"/>
      <c r="H45" s="7"/>
      <c r="I45" s="7"/>
      <c r="J45" s="7"/>
      <c r="K45" s="7"/>
      <c r="L45" s="7"/>
      <c r="M45" s="7"/>
      <c r="N45" s="7"/>
      <c r="O45" s="7"/>
      <c r="P45" s="7"/>
      <c r="Q45" s="7"/>
      <c r="R45" s="7"/>
    </row>
    <row r="46" spans="1:18" ht="12.75" customHeight="1" x14ac:dyDescent="0.2">
      <c r="A46" s="3" t="str">
        <f>玩家技能!A38</f>
        <v>黑暗猎手</v>
      </c>
      <c r="B46" s="3" t="str">
        <f>玩家技能!B38</f>
        <v>黑箭</v>
      </c>
      <c r="C46" s="3" t="str">
        <f>玩家技能!B39</f>
        <v>专注</v>
      </c>
      <c r="D46" s="3" t="str">
        <f>玩家技能!B40</f>
        <v>冰冻陷阱</v>
      </c>
      <c r="E46" s="3" t="str">
        <f>玩家技能!B41</f>
        <v>憎恶/女妖</v>
      </c>
      <c r="F46" s="3" t="str">
        <f>玩家技能!B42</f>
        <v>死亡契约</v>
      </c>
      <c r="G46" s="4"/>
      <c r="H46" s="4"/>
      <c r="I46" s="4"/>
      <c r="J46" s="4"/>
      <c r="K46" s="4"/>
      <c r="L46" s="4"/>
      <c r="M46" s="4"/>
      <c r="N46" s="4"/>
      <c r="O46" s="4"/>
      <c r="P46" s="4"/>
      <c r="Q46" s="4"/>
      <c r="R46" s="4"/>
    </row>
    <row r="47" spans="1:18" ht="12.75" customHeight="1" x14ac:dyDescent="0.2">
      <c r="A47" s="4"/>
      <c r="B47" s="4" t="s">
        <v>834</v>
      </c>
      <c r="C47" s="4" t="s">
        <v>835</v>
      </c>
      <c r="D47" s="4" t="s">
        <v>836</v>
      </c>
      <c r="E47" s="4" t="s">
        <v>837</v>
      </c>
      <c r="F47" s="4" t="s">
        <v>838</v>
      </c>
      <c r="G47" s="4"/>
      <c r="H47" s="4"/>
      <c r="I47" s="4"/>
      <c r="J47" s="4"/>
      <c r="K47" s="4"/>
      <c r="L47" s="4"/>
      <c r="M47" s="4"/>
      <c r="N47" s="4"/>
      <c r="O47" s="4"/>
      <c r="P47" s="4"/>
      <c r="Q47" s="4"/>
      <c r="R47" s="4"/>
    </row>
    <row r="48" spans="1:18" ht="12.75" customHeight="1" x14ac:dyDescent="0.2">
      <c r="A48" s="5">
        <v>1</v>
      </c>
      <c r="B48" s="5">
        <v>1</v>
      </c>
      <c r="C48" s="5">
        <v>1</v>
      </c>
      <c r="D48" s="5">
        <v>1</v>
      </c>
      <c r="E48" s="5">
        <v>0</v>
      </c>
      <c r="F48" s="5">
        <v>0</v>
      </c>
      <c r="G48" s="6">
        <f t="shared" ref="G48:G52" si="55">SUM(B48:F48)</f>
        <v>3</v>
      </c>
      <c r="H48" s="6" t="e">
        <f t="shared" ref="H48:L48" ca="1" si="56">IF(GT(B48,0),B$47, "")</f>
        <v>#NAME?</v>
      </c>
      <c r="I48" s="6" t="e">
        <f t="shared" ca="1" si="56"/>
        <v>#NAME?</v>
      </c>
      <c r="J48" s="6" t="e">
        <f t="shared" ca="1" si="56"/>
        <v>#NAME?</v>
      </c>
      <c r="K48" s="7" t="e">
        <f t="shared" ca="1" si="56"/>
        <v>#NAME?</v>
      </c>
      <c r="L48" s="7" t="e">
        <f t="shared" ca="1" si="56"/>
        <v>#NAME?</v>
      </c>
      <c r="M48" s="7"/>
      <c r="N48" s="7" t="e">
        <f t="shared" ref="N48:R48" ca="1" si="57">IF((LEN(H48)&gt;0), CONCATENATE("SelectHeroSkill(source, ", H48, ");"), "")</f>
        <v>#NAME?</v>
      </c>
      <c r="O48" s="7" t="e">
        <f t="shared" ca="1" si="57"/>
        <v>#NAME?</v>
      </c>
      <c r="P48" s="7" t="e">
        <f t="shared" ca="1" si="57"/>
        <v>#NAME?</v>
      </c>
      <c r="Q48" s="7" t="e">
        <f t="shared" ca="1" si="57"/>
        <v>#NAME?</v>
      </c>
      <c r="R48" s="7" t="e">
        <f t="shared" ca="1" si="57"/>
        <v>#NAME?</v>
      </c>
    </row>
    <row r="49" spans="1:18" ht="12.75" customHeight="1" x14ac:dyDescent="0.2">
      <c r="A49" s="5">
        <v>2</v>
      </c>
      <c r="B49" s="5">
        <v>2</v>
      </c>
      <c r="C49" s="5">
        <v>1</v>
      </c>
      <c r="D49" s="5">
        <v>1</v>
      </c>
      <c r="E49" s="5">
        <v>1</v>
      </c>
      <c r="F49" s="5">
        <v>1</v>
      </c>
      <c r="G49" s="6">
        <f t="shared" si="55"/>
        <v>6</v>
      </c>
      <c r="H49" s="6" t="e">
        <f t="shared" ref="H49:L49" ca="1" si="58">IF(GT(B49,0),B$47, "")</f>
        <v>#NAME?</v>
      </c>
      <c r="I49" s="6" t="e">
        <f t="shared" ca="1" si="58"/>
        <v>#NAME?</v>
      </c>
      <c r="J49" s="6" t="e">
        <f t="shared" ca="1" si="58"/>
        <v>#NAME?</v>
      </c>
      <c r="K49" s="6" t="e">
        <f t="shared" ca="1" si="58"/>
        <v>#NAME?</v>
      </c>
      <c r="L49" s="6" t="e">
        <f t="shared" ca="1" si="58"/>
        <v>#NAME?</v>
      </c>
      <c r="M49" s="7"/>
      <c r="N49" s="7" t="e">
        <f t="shared" ref="N49:R49" ca="1" si="59">IF((LEN(H49)&gt;0), CONCATENATE("SelectHeroSkill(source, ", H49, ");"), "")</f>
        <v>#NAME?</v>
      </c>
      <c r="O49" s="7" t="e">
        <f t="shared" ca="1" si="59"/>
        <v>#NAME?</v>
      </c>
      <c r="P49" s="7" t="e">
        <f t="shared" ca="1" si="59"/>
        <v>#NAME?</v>
      </c>
      <c r="Q49" s="7" t="e">
        <f t="shared" ca="1" si="59"/>
        <v>#NAME?</v>
      </c>
      <c r="R49" s="7" t="e">
        <f t="shared" ca="1" si="59"/>
        <v>#NAME?</v>
      </c>
    </row>
    <row r="50" spans="1:18" ht="12.75" customHeight="1" x14ac:dyDescent="0.2">
      <c r="A50" s="5">
        <v>3</v>
      </c>
      <c r="B50" s="5">
        <v>3</v>
      </c>
      <c r="C50" s="5">
        <v>1</v>
      </c>
      <c r="D50" s="5">
        <v>2</v>
      </c>
      <c r="E50" s="5">
        <v>2</v>
      </c>
      <c r="F50" s="5">
        <v>1</v>
      </c>
      <c r="G50" s="6">
        <f t="shared" si="55"/>
        <v>9</v>
      </c>
      <c r="H50" s="6" t="e">
        <f t="shared" ref="H50:L50" ca="1" si="60">IF(GT(B50,0),B$47, "")</f>
        <v>#NAME?</v>
      </c>
      <c r="I50" s="6" t="e">
        <f t="shared" ca="1" si="60"/>
        <v>#NAME?</v>
      </c>
      <c r="J50" s="6" t="e">
        <f t="shared" ca="1" si="60"/>
        <v>#NAME?</v>
      </c>
      <c r="K50" s="6" t="e">
        <f t="shared" ca="1" si="60"/>
        <v>#NAME?</v>
      </c>
      <c r="L50" s="6" t="e">
        <f t="shared" ca="1" si="60"/>
        <v>#NAME?</v>
      </c>
      <c r="M50" s="7"/>
      <c r="N50" s="7" t="e">
        <f t="shared" ref="N50:R50" ca="1" si="61">IF((LEN(H50)&gt;0), CONCATENATE("SelectHeroSkill(source, ", H50, ");"), "")</f>
        <v>#NAME?</v>
      </c>
      <c r="O50" s="7" t="e">
        <f t="shared" ca="1" si="61"/>
        <v>#NAME?</v>
      </c>
      <c r="P50" s="7" t="e">
        <f t="shared" ca="1" si="61"/>
        <v>#NAME?</v>
      </c>
      <c r="Q50" s="7" t="e">
        <f t="shared" ca="1" si="61"/>
        <v>#NAME?</v>
      </c>
      <c r="R50" s="7" t="e">
        <f t="shared" ca="1" si="61"/>
        <v>#NAME?</v>
      </c>
    </row>
    <row r="51" spans="1:18" ht="12.75" customHeight="1" x14ac:dyDescent="0.2">
      <c r="A51" s="5">
        <v>4</v>
      </c>
      <c r="B51" s="5">
        <v>3</v>
      </c>
      <c r="C51" s="5">
        <v>2</v>
      </c>
      <c r="D51" s="5">
        <v>3</v>
      </c>
      <c r="E51" s="5">
        <v>2</v>
      </c>
      <c r="F51" s="5">
        <v>2</v>
      </c>
      <c r="G51" s="6">
        <f t="shared" si="55"/>
        <v>12</v>
      </c>
      <c r="H51" s="6" t="e">
        <f t="shared" ref="H51:L51" ca="1" si="62">IF(GT(B51,0),B$47, "")</f>
        <v>#NAME?</v>
      </c>
      <c r="I51" s="6" t="e">
        <f t="shared" ca="1" si="62"/>
        <v>#NAME?</v>
      </c>
      <c r="J51" s="6" t="e">
        <f t="shared" ca="1" si="62"/>
        <v>#NAME?</v>
      </c>
      <c r="K51" s="6" t="e">
        <f t="shared" ca="1" si="62"/>
        <v>#NAME?</v>
      </c>
      <c r="L51" s="6" t="e">
        <f t="shared" ca="1" si="62"/>
        <v>#NAME?</v>
      </c>
      <c r="M51" s="7"/>
      <c r="N51" s="7" t="e">
        <f t="shared" ref="N51:R51" ca="1" si="63">IF((LEN(H51)&gt;0), CONCATENATE("SelectHeroSkill(source, ", H51, ");"), "")</f>
        <v>#NAME?</v>
      </c>
      <c r="O51" s="7" t="e">
        <f t="shared" ca="1" si="63"/>
        <v>#NAME?</v>
      </c>
      <c r="P51" s="7" t="e">
        <f t="shared" ca="1" si="63"/>
        <v>#NAME?</v>
      </c>
      <c r="Q51" s="7" t="e">
        <f t="shared" ca="1" si="63"/>
        <v>#NAME?</v>
      </c>
      <c r="R51" s="7" t="e">
        <f t="shared" ca="1" si="63"/>
        <v>#NAME?</v>
      </c>
    </row>
    <row r="52" spans="1:18" ht="12.75" customHeight="1" x14ac:dyDescent="0.2">
      <c r="A52" s="5">
        <v>5</v>
      </c>
      <c r="B52" s="5">
        <v>3</v>
      </c>
      <c r="C52" s="5">
        <v>3</v>
      </c>
      <c r="D52" s="5">
        <v>3</v>
      </c>
      <c r="E52" s="5">
        <v>3</v>
      </c>
      <c r="F52" s="5">
        <v>3</v>
      </c>
      <c r="G52" s="6">
        <f t="shared" si="55"/>
        <v>15</v>
      </c>
      <c r="H52" s="6" t="e">
        <f t="shared" ref="H52:L52" ca="1" si="64">IF(GT(B52,0),B$47, "")</f>
        <v>#NAME?</v>
      </c>
      <c r="I52" s="6" t="e">
        <f t="shared" ca="1" si="64"/>
        <v>#NAME?</v>
      </c>
      <c r="J52" s="6" t="e">
        <f t="shared" ca="1" si="64"/>
        <v>#NAME?</v>
      </c>
      <c r="K52" s="6" t="e">
        <f t="shared" ca="1" si="64"/>
        <v>#NAME?</v>
      </c>
      <c r="L52" s="6" t="e">
        <f t="shared" ca="1" si="64"/>
        <v>#NAME?</v>
      </c>
      <c r="M52" s="7"/>
      <c r="N52" s="7" t="e">
        <f t="shared" ref="N52:R52" ca="1" si="65">IF((LEN(H52)&gt;0), CONCATENATE("SelectHeroSkill(source, ", H52, ");"), "")</f>
        <v>#NAME?</v>
      </c>
      <c r="O52" s="7" t="e">
        <f t="shared" ca="1" si="65"/>
        <v>#NAME?</v>
      </c>
      <c r="P52" s="7" t="e">
        <f t="shared" ca="1" si="65"/>
        <v>#NAME?</v>
      </c>
      <c r="Q52" s="7" t="e">
        <f t="shared" ca="1" si="65"/>
        <v>#NAME?</v>
      </c>
      <c r="R52" s="7" t="e">
        <f t="shared" ca="1" si="65"/>
        <v>#NAME?</v>
      </c>
    </row>
    <row r="53" spans="1:18" ht="12.75" customHeight="1" x14ac:dyDescent="0.2">
      <c r="A53" s="7"/>
      <c r="B53" s="7"/>
      <c r="C53" s="7"/>
      <c r="D53" s="7"/>
      <c r="E53" s="7"/>
      <c r="F53" s="7"/>
      <c r="G53" s="7"/>
      <c r="H53" s="7"/>
      <c r="I53" s="7"/>
      <c r="J53" s="7"/>
      <c r="K53" s="7"/>
      <c r="L53" s="7"/>
      <c r="M53" s="7"/>
      <c r="N53" s="7"/>
      <c r="O53" s="7"/>
      <c r="P53" s="7"/>
      <c r="Q53" s="7"/>
      <c r="R53" s="7"/>
    </row>
    <row r="54" spans="1:18" ht="12.75" customHeight="1" x14ac:dyDescent="0.2">
      <c r="A54" s="7"/>
      <c r="B54" s="7"/>
      <c r="C54" s="7"/>
      <c r="D54" s="7"/>
      <c r="E54" s="7"/>
      <c r="F54" s="7"/>
      <c r="G54" s="7"/>
      <c r="H54" s="7"/>
      <c r="I54" s="7"/>
      <c r="J54" s="7"/>
      <c r="K54" s="7"/>
      <c r="L54" s="7"/>
      <c r="M54" s="7"/>
      <c r="N54" s="7"/>
      <c r="O54" s="7"/>
      <c r="P54" s="7"/>
      <c r="Q54" s="7"/>
      <c r="R54" s="7"/>
    </row>
    <row r="55" spans="1:18" ht="12.75" customHeight="1" x14ac:dyDescent="0.2">
      <c r="A55" s="3" t="str">
        <f>玩家技能!A47</f>
        <v>剑圣</v>
      </c>
      <c r="B55" s="3" t="str">
        <f>玩家技能!B47</f>
        <v>英勇打击</v>
      </c>
      <c r="C55" s="3" t="str">
        <f>玩家技能!B48</f>
        <v>撕裂</v>
      </c>
      <c r="D55" s="3" t="str">
        <f>玩家技能!B49</f>
        <v>压制</v>
      </c>
      <c r="E55" s="3" t="str">
        <f>玩家技能!B50</f>
        <v>致死打击</v>
      </c>
      <c r="F55" s="3" t="str">
        <f>玩家技能!B51</f>
        <v>斩杀</v>
      </c>
      <c r="G55" s="4"/>
      <c r="H55" s="4"/>
      <c r="I55" s="4"/>
      <c r="J55" s="4"/>
      <c r="K55" s="4"/>
      <c r="L55" s="4"/>
      <c r="M55" s="4"/>
      <c r="N55" s="4"/>
      <c r="O55" s="4"/>
      <c r="P55" s="4"/>
      <c r="Q55" s="4"/>
      <c r="R55" s="4"/>
    </row>
    <row r="56" spans="1:18" ht="12.75" customHeight="1" x14ac:dyDescent="0.2">
      <c r="A56" s="4"/>
      <c r="B56" s="4" t="s">
        <v>872</v>
      </c>
      <c r="C56" s="4" t="s">
        <v>873</v>
      </c>
      <c r="D56" s="4" t="s">
        <v>874</v>
      </c>
      <c r="E56" s="4" t="s">
        <v>875</v>
      </c>
      <c r="F56" s="4" t="s">
        <v>876</v>
      </c>
      <c r="G56" s="4"/>
      <c r="H56" s="4"/>
      <c r="I56" s="4"/>
      <c r="J56" s="4"/>
      <c r="K56" s="4"/>
      <c r="L56" s="4"/>
      <c r="M56" s="4"/>
      <c r="N56" s="4"/>
      <c r="O56" s="4"/>
      <c r="P56" s="4"/>
      <c r="Q56" s="4"/>
      <c r="R56" s="4"/>
    </row>
    <row r="57" spans="1:18" ht="12.75" customHeight="1" x14ac:dyDescent="0.2">
      <c r="A57" s="5">
        <v>1</v>
      </c>
      <c r="B57" s="5">
        <v>1</v>
      </c>
      <c r="C57" s="5">
        <v>1</v>
      </c>
      <c r="D57" s="5">
        <v>1</v>
      </c>
      <c r="E57" s="5">
        <v>0</v>
      </c>
      <c r="F57" s="5">
        <v>0</v>
      </c>
      <c r="G57" s="6">
        <f t="shared" ref="G57:G61" si="66">SUM(B57:F57)</f>
        <v>3</v>
      </c>
      <c r="H57" s="6" t="e">
        <f t="shared" ref="H57:L57" ca="1" si="67">IF(GT(B57,0),B$56, "")</f>
        <v>#NAME?</v>
      </c>
      <c r="I57" s="6" t="e">
        <f t="shared" ca="1" si="67"/>
        <v>#NAME?</v>
      </c>
      <c r="J57" s="6" t="e">
        <f t="shared" ca="1" si="67"/>
        <v>#NAME?</v>
      </c>
      <c r="K57" s="7" t="e">
        <f t="shared" ca="1" si="67"/>
        <v>#NAME?</v>
      </c>
      <c r="L57" s="7" t="e">
        <f t="shared" ca="1" si="67"/>
        <v>#NAME?</v>
      </c>
      <c r="M57" s="7"/>
      <c r="N57" s="7" t="e">
        <f t="shared" ref="N57:R57" ca="1" si="68">IF((LEN(H57)&gt;0), CONCATENATE("SelectHeroSkill(source, ", H57, ");"), "")</f>
        <v>#NAME?</v>
      </c>
      <c r="O57" s="7" t="e">
        <f t="shared" ca="1" si="68"/>
        <v>#NAME?</v>
      </c>
      <c r="P57" s="7" t="e">
        <f t="shared" ca="1" si="68"/>
        <v>#NAME?</v>
      </c>
      <c r="Q57" s="7" t="e">
        <f t="shared" ca="1" si="68"/>
        <v>#NAME?</v>
      </c>
      <c r="R57" s="7" t="e">
        <f t="shared" ca="1" si="68"/>
        <v>#NAME?</v>
      </c>
    </row>
    <row r="58" spans="1:18" ht="12.75" customHeight="1" x14ac:dyDescent="0.2">
      <c r="A58" s="5">
        <v>2</v>
      </c>
      <c r="B58" s="5">
        <v>1</v>
      </c>
      <c r="C58" s="5">
        <v>1</v>
      </c>
      <c r="D58" s="5">
        <v>2</v>
      </c>
      <c r="E58" s="5">
        <v>1</v>
      </c>
      <c r="F58" s="5">
        <v>1</v>
      </c>
      <c r="G58" s="6">
        <f t="shared" si="66"/>
        <v>6</v>
      </c>
      <c r="H58" s="6" t="e">
        <f t="shared" ref="H58:L58" ca="1" si="69">IF(GT(B58,0),B$56, "")</f>
        <v>#NAME?</v>
      </c>
      <c r="I58" s="6" t="e">
        <f t="shared" ca="1" si="69"/>
        <v>#NAME?</v>
      </c>
      <c r="J58" s="6" t="e">
        <f t="shared" ca="1" si="69"/>
        <v>#NAME?</v>
      </c>
      <c r="K58" s="6" t="e">
        <f t="shared" ca="1" si="69"/>
        <v>#NAME?</v>
      </c>
      <c r="L58" s="6" t="e">
        <f t="shared" ca="1" si="69"/>
        <v>#NAME?</v>
      </c>
      <c r="M58" s="7"/>
      <c r="N58" s="7" t="e">
        <f t="shared" ref="N58:R58" ca="1" si="70">IF((LEN(H58)&gt;0), CONCATENATE("SelectHeroSkill(source, ", H58, ");"), "")</f>
        <v>#NAME?</v>
      </c>
      <c r="O58" s="7" t="e">
        <f t="shared" ca="1" si="70"/>
        <v>#NAME?</v>
      </c>
      <c r="P58" s="7" t="e">
        <f t="shared" ca="1" si="70"/>
        <v>#NAME?</v>
      </c>
      <c r="Q58" s="7" t="e">
        <f t="shared" ca="1" si="70"/>
        <v>#NAME?</v>
      </c>
      <c r="R58" s="7" t="e">
        <f t="shared" ca="1" si="70"/>
        <v>#NAME?</v>
      </c>
    </row>
    <row r="59" spans="1:18" ht="12.75" customHeight="1" x14ac:dyDescent="0.2">
      <c r="A59" s="5">
        <v>3</v>
      </c>
      <c r="B59" s="5">
        <v>1</v>
      </c>
      <c r="C59" s="5">
        <v>1</v>
      </c>
      <c r="D59" s="5">
        <v>3</v>
      </c>
      <c r="E59" s="5">
        <v>2</v>
      </c>
      <c r="F59" s="5">
        <v>2</v>
      </c>
      <c r="G59" s="6">
        <f t="shared" si="66"/>
        <v>9</v>
      </c>
      <c r="H59" s="6" t="e">
        <f t="shared" ref="H59:L59" ca="1" si="71">IF(GT(B59,0),B$56, "")</f>
        <v>#NAME?</v>
      </c>
      <c r="I59" s="6" t="e">
        <f t="shared" ca="1" si="71"/>
        <v>#NAME?</v>
      </c>
      <c r="J59" s="6" t="e">
        <f t="shared" ca="1" si="71"/>
        <v>#NAME?</v>
      </c>
      <c r="K59" s="6" t="e">
        <f t="shared" ca="1" si="71"/>
        <v>#NAME?</v>
      </c>
      <c r="L59" s="6" t="e">
        <f t="shared" ca="1" si="71"/>
        <v>#NAME?</v>
      </c>
      <c r="M59" s="7"/>
      <c r="N59" s="7" t="e">
        <f t="shared" ref="N59:R59" ca="1" si="72">IF((LEN(H59)&gt;0), CONCATENATE("SelectHeroSkill(source, ", H59, ");"), "")</f>
        <v>#NAME?</v>
      </c>
      <c r="O59" s="7" t="e">
        <f t="shared" ca="1" si="72"/>
        <v>#NAME?</v>
      </c>
      <c r="P59" s="7" t="e">
        <f t="shared" ca="1" si="72"/>
        <v>#NAME?</v>
      </c>
      <c r="Q59" s="7" t="e">
        <f t="shared" ca="1" si="72"/>
        <v>#NAME?</v>
      </c>
      <c r="R59" s="7" t="e">
        <f t="shared" ca="1" si="72"/>
        <v>#NAME?</v>
      </c>
    </row>
    <row r="60" spans="1:18" ht="12.75" customHeight="1" x14ac:dyDescent="0.2">
      <c r="A60" s="5">
        <v>4</v>
      </c>
      <c r="B60" s="5">
        <v>3</v>
      </c>
      <c r="C60" s="5">
        <v>1</v>
      </c>
      <c r="D60" s="5">
        <v>3</v>
      </c>
      <c r="E60" s="5">
        <v>3</v>
      </c>
      <c r="F60" s="5">
        <v>2</v>
      </c>
      <c r="G60" s="6">
        <f t="shared" si="66"/>
        <v>12</v>
      </c>
      <c r="H60" s="6" t="e">
        <f t="shared" ref="H60:L60" ca="1" si="73">IF(GT(B60,0),B$56, "")</f>
        <v>#NAME?</v>
      </c>
      <c r="I60" s="6" t="e">
        <f t="shared" ca="1" si="73"/>
        <v>#NAME?</v>
      </c>
      <c r="J60" s="6" t="e">
        <f t="shared" ca="1" si="73"/>
        <v>#NAME?</v>
      </c>
      <c r="K60" s="6" t="e">
        <f t="shared" ca="1" si="73"/>
        <v>#NAME?</v>
      </c>
      <c r="L60" s="6" t="e">
        <f t="shared" ca="1" si="73"/>
        <v>#NAME?</v>
      </c>
      <c r="M60" s="7"/>
      <c r="N60" s="7" t="e">
        <f t="shared" ref="N60:R60" ca="1" si="74">IF((LEN(H60)&gt;0), CONCATENATE("SelectHeroSkill(source, ", H60, ");"), "")</f>
        <v>#NAME?</v>
      </c>
      <c r="O60" s="7" t="e">
        <f t="shared" ca="1" si="74"/>
        <v>#NAME?</v>
      </c>
      <c r="P60" s="7" t="e">
        <f t="shared" ca="1" si="74"/>
        <v>#NAME?</v>
      </c>
      <c r="Q60" s="7" t="e">
        <f t="shared" ca="1" si="74"/>
        <v>#NAME?</v>
      </c>
      <c r="R60" s="7" t="e">
        <f t="shared" ca="1" si="74"/>
        <v>#NAME?</v>
      </c>
    </row>
    <row r="61" spans="1:18" ht="12.75" customHeight="1" x14ac:dyDescent="0.2">
      <c r="A61" s="5">
        <v>5</v>
      </c>
      <c r="B61" s="5">
        <v>3</v>
      </c>
      <c r="C61" s="5">
        <v>3</v>
      </c>
      <c r="D61" s="5">
        <v>3</v>
      </c>
      <c r="E61" s="5">
        <v>3</v>
      </c>
      <c r="F61" s="5">
        <v>3</v>
      </c>
      <c r="G61" s="6">
        <f t="shared" si="66"/>
        <v>15</v>
      </c>
      <c r="H61" s="6" t="e">
        <f t="shared" ref="H61:L61" ca="1" si="75">IF(GT(B61,0),B$56, "")</f>
        <v>#NAME?</v>
      </c>
      <c r="I61" s="6" t="e">
        <f t="shared" ca="1" si="75"/>
        <v>#NAME?</v>
      </c>
      <c r="J61" s="6" t="e">
        <f t="shared" ca="1" si="75"/>
        <v>#NAME?</v>
      </c>
      <c r="K61" s="6" t="e">
        <f t="shared" ca="1" si="75"/>
        <v>#NAME?</v>
      </c>
      <c r="L61" s="6" t="e">
        <f t="shared" ca="1" si="75"/>
        <v>#NAME?</v>
      </c>
      <c r="M61" s="7"/>
      <c r="N61" s="7" t="e">
        <f t="shared" ref="N61:R61" ca="1" si="76">IF((LEN(H61)&gt;0), CONCATENATE("SelectHeroSkill(source, ", H61, ");"), "")</f>
        <v>#NAME?</v>
      </c>
      <c r="O61" s="7" t="e">
        <f t="shared" ca="1" si="76"/>
        <v>#NAME?</v>
      </c>
      <c r="P61" s="7" t="e">
        <f t="shared" ca="1" si="76"/>
        <v>#NAME?</v>
      </c>
      <c r="Q61" s="7" t="e">
        <f t="shared" ca="1" si="76"/>
        <v>#NAME?</v>
      </c>
      <c r="R61" s="7" t="e">
        <f t="shared" ca="1" si="76"/>
        <v>#NAME?</v>
      </c>
    </row>
    <row r="62" spans="1:18" ht="12.75" customHeight="1" x14ac:dyDescent="0.2">
      <c r="A62" s="7"/>
      <c r="B62" s="7"/>
      <c r="C62" s="7"/>
      <c r="D62" s="7"/>
      <c r="E62" s="7"/>
      <c r="F62" s="7"/>
      <c r="G62" s="7"/>
      <c r="H62" s="7"/>
      <c r="I62" s="7"/>
      <c r="J62" s="7"/>
      <c r="K62" s="7"/>
      <c r="L62" s="7"/>
      <c r="M62" s="7"/>
      <c r="N62" s="7"/>
      <c r="O62" s="7"/>
      <c r="P62" s="7"/>
      <c r="Q62" s="7"/>
      <c r="R62" s="7"/>
    </row>
    <row r="63" spans="1:18" ht="12.75" customHeight="1" x14ac:dyDescent="0.2">
      <c r="A63" s="7"/>
      <c r="B63" s="7"/>
      <c r="C63" s="7"/>
      <c r="D63" s="7"/>
      <c r="E63" s="7"/>
      <c r="F63" s="7"/>
      <c r="G63" s="7"/>
      <c r="H63" s="7"/>
      <c r="I63" s="7"/>
      <c r="J63" s="7"/>
      <c r="K63" s="7"/>
      <c r="L63" s="7"/>
      <c r="M63" s="7"/>
      <c r="N63" s="7"/>
      <c r="O63" s="7"/>
      <c r="P63" s="7"/>
      <c r="Q63" s="7"/>
      <c r="R63" s="7"/>
    </row>
    <row r="64" spans="1:18" ht="12.75" customHeight="1" x14ac:dyDescent="0.2">
      <c r="A64" s="3" t="str">
        <f>玩家技能!A53</f>
        <v>寒冰法师</v>
      </c>
      <c r="B64" s="3" t="str">
        <f>玩家技能!B53</f>
        <v>寒冰箭</v>
      </c>
      <c r="C64" s="3" t="str">
        <f>玩家技能!B54</f>
        <v>暴风雪</v>
      </c>
      <c r="D64" s="3" t="str">
        <f>玩家技能!B55</f>
        <v>冰冻新星</v>
      </c>
      <c r="E64" s="3" t="str">
        <f>玩家技能!B56</f>
        <v>变形术</v>
      </c>
      <c r="F64" s="3" t="str">
        <f>玩家技能!B57</f>
        <v>法术转移</v>
      </c>
      <c r="G64" s="4"/>
      <c r="H64" s="4"/>
      <c r="I64" s="4"/>
      <c r="J64" s="4"/>
      <c r="K64" s="4"/>
      <c r="L64" s="4"/>
      <c r="M64" s="4"/>
      <c r="N64" s="4"/>
      <c r="O64" s="4"/>
      <c r="P64" s="4"/>
      <c r="Q64" s="4"/>
      <c r="R64" s="4"/>
    </row>
    <row r="65" spans="1:18" ht="12.75" customHeight="1" x14ac:dyDescent="0.2">
      <c r="A65" s="4"/>
      <c r="B65" s="4" t="s">
        <v>877</v>
      </c>
      <c r="C65" s="4" t="s">
        <v>878</v>
      </c>
      <c r="D65" s="4" t="s">
        <v>879</v>
      </c>
      <c r="E65" s="4" t="s">
        <v>880</v>
      </c>
      <c r="F65" s="4" t="s">
        <v>881</v>
      </c>
      <c r="G65" s="4"/>
      <c r="H65" s="4"/>
      <c r="I65" s="4"/>
      <c r="J65" s="4"/>
      <c r="K65" s="4"/>
      <c r="L65" s="4"/>
      <c r="M65" s="4"/>
      <c r="N65" s="4"/>
      <c r="O65" s="4"/>
      <c r="P65" s="4"/>
      <c r="Q65" s="4"/>
      <c r="R65" s="4"/>
    </row>
    <row r="66" spans="1:18" ht="12.75" customHeight="1" x14ac:dyDescent="0.2">
      <c r="A66" s="5">
        <v>1</v>
      </c>
      <c r="B66" s="5">
        <v>1</v>
      </c>
      <c r="C66" s="5">
        <v>1</v>
      </c>
      <c r="D66" s="5">
        <v>1</v>
      </c>
      <c r="E66" s="5">
        <v>0</v>
      </c>
      <c r="F66" s="5">
        <v>0</v>
      </c>
      <c r="G66" s="6">
        <f t="shared" ref="G66:G70" si="77">SUM(B66:F66)</f>
        <v>3</v>
      </c>
      <c r="H66" s="6" t="e">
        <f t="shared" ref="H66:L66" ca="1" si="78">IF(GT(B66,0),B$65, "")</f>
        <v>#NAME?</v>
      </c>
      <c r="I66" s="6" t="e">
        <f t="shared" ca="1" si="78"/>
        <v>#NAME?</v>
      </c>
      <c r="J66" s="6" t="e">
        <f t="shared" ca="1" si="78"/>
        <v>#NAME?</v>
      </c>
      <c r="K66" s="7" t="e">
        <f t="shared" ca="1" si="78"/>
        <v>#NAME?</v>
      </c>
      <c r="L66" s="7" t="e">
        <f t="shared" ca="1" si="78"/>
        <v>#NAME?</v>
      </c>
      <c r="M66" s="7"/>
      <c r="N66" s="7" t="e">
        <f t="shared" ref="N66:R66" ca="1" si="79">IF((LEN(H66)&gt;0), CONCATENATE("SelectHeroSkill(source, ", H66, ");"), "")</f>
        <v>#NAME?</v>
      </c>
      <c r="O66" s="7" t="e">
        <f t="shared" ca="1" si="79"/>
        <v>#NAME?</v>
      </c>
      <c r="P66" s="7" t="e">
        <f t="shared" ca="1" si="79"/>
        <v>#NAME?</v>
      </c>
      <c r="Q66" s="7" t="e">
        <f t="shared" ca="1" si="79"/>
        <v>#NAME?</v>
      </c>
      <c r="R66" s="7" t="e">
        <f t="shared" ca="1" si="79"/>
        <v>#NAME?</v>
      </c>
    </row>
    <row r="67" spans="1:18" ht="12.75" customHeight="1" x14ac:dyDescent="0.2">
      <c r="A67" s="5">
        <v>2</v>
      </c>
      <c r="B67" s="5">
        <v>2</v>
      </c>
      <c r="C67" s="5">
        <v>1</v>
      </c>
      <c r="D67" s="5">
        <v>1</v>
      </c>
      <c r="E67" s="5">
        <v>1</v>
      </c>
      <c r="F67" s="5">
        <v>1</v>
      </c>
      <c r="G67" s="6">
        <f t="shared" si="77"/>
        <v>6</v>
      </c>
      <c r="H67" s="6" t="e">
        <f t="shared" ref="H67:L67" ca="1" si="80">IF(GT(B67,0),B$65, "")</f>
        <v>#NAME?</v>
      </c>
      <c r="I67" s="6" t="e">
        <f t="shared" ca="1" si="80"/>
        <v>#NAME?</v>
      </c>
      <c r="J67" s="6" t="e">
        <f t="shared" ca="1" si="80"/>
        <v>#NAME?</v>
      </c>
      <c r="K67" s="6" t="e">
        <f t="shared" ca="1" si="80"/>
        <v>#NAME?</v>
      </c>
      <c r="L67" s="6" t="e">
        <f t="shared" ca="1" si="80"/>
        <v>#NAME?</v>
      </c>
      <c r="M67" s="7"/>
      <c r="N67" s="7" t="e">
        <f t="shared" ref="N67:R67" ca="1" si="81">IF((LEN(H67)&gt;0), CONCATENATE("SelectHeroSkill(source, ", H67, ");"), "")</f>
        <v>#NAME?</v>
      </c>
      <c r="O67" s="7" t="e">
        <f t="shared" ca="1" si="81"/>
        <v>#NAME?</v>
      </c>
      <c r="P67" s="7" t="e">
        <f t="shared" ca="1" si="81"/>
        <v>#NAME?</v>
      </c>
      <c r="Q67" s="7" t="e">
        <f t="shared" ca="1" si="81"/>
        <v>#NAME?</v>
      </c>
      <c r="R67" s="7" t="e">
        <f t="shared" ca="1" si="81"/>
        <v>#NAME?</v>
      </c>
    </row>
    <row r="68" spans="1:18" ht="12.75" customHeight="1" x14ac:dyDescent="0.2">
      <c r="A68" s="5">
        <v>3</v>
      </c>
      <c r="B68" s="5">
        <v>2</v>
      </c>
      <c r="C68" s="5">
        <v>2</v>
      </c>
      <c r="D68" s="5">
        <v>1</v>
      </c>
      <c r="E68" s="5">
        <v>2</v>
      </c>
      <c r="F68" s="5">
        <v>2</v>
      </c>
      <c r="G68" s="6">
        <f t="shared" si="77"/>
        <v>9</v>
      </c>
      <c r="H68" s="6" t="e">
        <f t="shared" ref="H68:L68" ca="1" si="82">IF(GT(B68,0),B$65, "")</f>
        <v>#NAME?</v>
      </c>
      <c r="I68" s="6" t="e">
        <f t="shared" ca="1" si="82"/>
        <v>#NAME?</v>
      </c>
      <c r="J68" s="6" t="e">
        <f t="shared" ca="1" si="82"/>
        <v>#NAME?</v>
      </c>
      <c r="K68" s="6" t="e">
        <f t="shared" ca="1" si="82"/>
        <v>#NAME?</v>
      </c>
      <c r="L68" s="6" t="e">
        <f t="shared" ca="1" si="82"/>
        <v>#NAME?</v>
      </c>
      <c r="M68" s="7"/>
      <c r="N68" s="7" t="e">
        <f t="shared" ref="N68:R68" ca="1" si="83">IF((LEN(H68)&gt;0), CONCATENATE("SelectHeroSkill(source, ", H68, ");"), "")</f>
        <v>#NAME?</v>
      </c>
      <c r="O68" s="7" t="e">
        <f t="shared" ca="1" si="83"/>
        <v>#NAME?</v>
      </c>
      <c r="P68" s="7" t="e">
        <f t="shared" ca="1" si="83"/>
        <v>#NAME?</v>
      </c>
      <c r="Q68" s="7" t="e">
        <f t="shared" ca="1" si="83"/>
        <v>#NAME?</v>
      </c>
      <c r="R68" s="7" t="e">
        <f t="shared" ca="1" si="83"/>
        <v>#NAME?</v>
      </c>
    </row>
    <row r="69" spans="1:18" ht="12.75" customHeight="1" x14ac:dyDescent="0.2">
      <c r="A69" s="5">
        <v>4</v>
      </c>
      <c r="B69" s="5">
        <v>3</v>
      </c>
      <c r="C69" s="5">
        <v>3</v>
      </c>
      <c r="D69" s="5">
        <v>1</v>
      </c>
      <c r="E69" s="5">
        <v>2</v>
      </c>
      <c r="F69" s="5">
        <v>3</v>
      </c>
      <c r="G69" s="6">
        <f t="shared" si="77"/>
        <v>12</v>
      </c>
      <c r="H69" s="6" t="e">
        <f t="shared" ref="H69:L69" ca="1" si="84">IF(GT(B69,0),B$65, "")</f>
        <v>#NAME?</v>
      </c>
      <c r="I69" s="6" t="e">
        <f t="shared" ca="1" si="84"/>
        <v>#NAME?</v>
      </c>
      <c r="J69" s="6" t="e">
        <f t="shared" ca="1" si="84"/>
        <v>#NAME?</v>
      </c>
      <c r="K69" s="6" t="e">
        <f t="shared" ca="1" si="84"/>
        <v>#NAME?</v>
      </c>
      <c r="L69" s="6" t="e">
        <f t="shared" ca="1" si="84"/>
        <v>#NAME?</v>
      </c>
      <c r="M69" s="7"/>
      <c r="N69" s="7" t="e">
        <f t="shared" ref="N69:R69" ca="1" si="85">IF((LEN(H69)&gt;0), CONCATENATE("SelectHeroSkill(source, ", H69, ");"), "")</f>
        <v>#NAME?</v>
      </c>
      <c r="O69" s="7" t="e">
        <f t="shared" ca="1" si="85"/>
        <v>#NAME?</v>
      </c>
      <c r="P69" s="7" t="e">
        <f t="shared" ca="1" si="85"/>
        <v>#NAME?</v>
      </c>
      <c r="Q69" s="7" t="e">
        <f t="shared" ca="1" si="85"/>
        <v>#NAME?</v>
      </c>
      <c r="R69" s="7" t="e">
        <f t="shared" ca="1" si="85"/>
        <v>#NAME?</v>
      </c>
    </row>
    <row r="70" spans="1:18" ht="12.75" customHeight="1" x14ac:dyDescent="0.2">
      <c r="A70" s="5">
        <v>5</v>
      </c>
      <c r="B70" s="5">
        <v>3</v>
      </c>
      <c r="C70" s="5">
        <v>3</v>
      </c>
      <c r="D70" s="5">
        <v>3</v>
      </c>
      <c r="E70" s="5">
        <v>3</v>
      </c>
      <c r="F70" s="5">
        <v>3</v>
      </c>
      <c r="G70" s="6">
        <f t="shared" si="77"/>
        <v>15</v>
      </c>
      <c r="H70" s="6" t="e">
        <f t="shared" ref="H70:L70" ca="1" si="86">IF(GT(B70,0),B$65, "")</f>
        <v>#NAME?</v>
      </c>
      <c r="I70" s="6" t="e">
        <f t="shared" ca="1" si="86"/>
        <v>#NAME?</v>
      </c>
      <c r="J70" s="6" t="e">
        <f t="shared" ca="1" si="86"/>
        <v>#NAME?</v>
      </c>
      <c r="K70" s="6" t="e">
        <f t="shared" ca="1" si="86"/>
        <v>#NAME?</v>
      </c>
      <c r="L70" s="6" t="e">
        <f t="shared" ca="1" si="86"/>
        <v>#NAME?</v>
      </c>
      <c r="M70" s="7"/>
      <c r="N70" s="7" t="e">
        <f t="shared" ref="N70:R70" ca="1" si="87">IF((LEN(H70)&gt;0), CONCATENATE("SelectHeroSkill(source, ", H70, ");"), "")</f>
        <v>#NAME?</v>
      </c>
      <c r="O70" s="7" t="e">
        <f t="shared" ca="1" si="87"/>
        <v>#NAME?</v>
      </c>
      <c r="P70" s="7" t="e">
        <f t="shared" ca="1" si="87"/>
        <v>#NAME?</v>
      </c>
      <c r="Q70" s="7" t="e">
        <f t="shared" ca="1" si="87"/>
        <v>#NAME?</v>
      </c>
      <c r="R70" s="7" t="e">
        <f t="shared" ca="1" si="87"/>
        <v>#NAME?</v>
      </c>
    </row>
    <row r="71" spans="1:18" ht="12.75" customHeight="1" x14ac:dyDescent="0.2">
      <c r="A71" s="7"/>
      <c r="B71" s="7"/>
      <c r="C71" s="7"/>
      <c r="D71" s="7"/>
      <c r="E71" s="7"/>
      <c r="F71" s="7"/>
      <c r="G71" s="7"/>
      <c r="H71" s="7"/>
      <c r="I71" s="7"/>
      <c r="J71" s="7"/>
      <c r="K71" s="7"/>
      <c r="L71" s="7"/>
      <c r="M71" s="7"/>
      <c r="N71" s="7"/>
      <c r="O71" s="7"/>
      <c r="P71" s="7"/>
      <c r="Q71" s="7"/>
      <c r="R71" s="7"/>
    </row>
    <row r="72" spans="1:18" ht="12.75" customHeight="1" x14ac:dyDescent="0.2">
      <c r="A72" s="7"/>
      <c r="B72" s="7"/>
      <c r="C72" s="7"/>
      <c r="D72" s="7"/>
      <c r="E72" s="7"/>
      <c r="F72" s="7"/>
      <c r="G72" s="7"/>
      <c r="H72" s="7"/>
      <c r="I72" s="7"/>
      <c r="J72" s="7"/>
      <c r="K72" s="7"/>
      <c r="L72" s="7"/>
      <c r="M72" s="7"/>
      <c r="N72" s="7"/>
      <c r="O72" s="7"/>
      <c r="P72" s="7"/>
      <c r="Q72" s="7"/>
      <c r="R72" s="7"/>
    </row>
    <row r="73" spans="1:18" ht="12.75" customHeight="1" x14ac:dyDescent="0.2">
      <c r="A73" s="3" t="str">
        <f>玩家技能!A59</f>
        <v>地缚者</v>
      </c>
      <c r="B73" s="3" t="str">
        <f>玩家技能!B59</f>
        <v>风暴鞭笞</v>
      </c>
      <c r="C73" s="3" t="str">
        <f>玩家技能!B60</f>
        <v>大地震击</v>
      </c>
      <c r="D73" s="3" t="str">
        <f>玩家技能!B61</f>
        <v>净化术</v>
      </c>
      <c r="E73" s="3" t="str">
        <f>玩家技能!B62</f>
        <v>附魔图腾</v>
      </c>
      <c r="F73" s="3" t="str">
        <f>玩家技能!B63</f>
        <v>升腾</v>
      </c>
      <c r="G73" s="4"/>
      <c r="H73" s="4"/>
      <c r="I73" s="4"/>
      <c r="J73" s="4"/>
      <c r="K73" s="4"/>
      <c r="L73" s="4"/>
      <c r="M73" s="4"/>
      <c r="N73" s="4"/>
      <c r="O73" s="4"/>
      <c r="P73" s="4"/>
      <c r="Q73" s="4"/>
      <c r="R73" s="4"/>
    </row>
    <row r="74" spans="1:18" ht="12.75" customHeight="1" x14ac:dyDescent="0.2">
      <c r="A74" s="4"/>
      <c r="B74" s="4" t="s">
        <v>882</v>
      </c>
      <c r="C74" s="4" t="s">
        <v>883</v>
      </c>
      <c r="D74" s="4" t="s">
        <v>884</v>
      </c>
      <c r="E74" s="4" t="s">
        <v>885</v>
      </c>
      <c r="F74" s="4" t="s">
        <v>886</v>
      </c>
      <c r="G74" s="4"/>
      <c r="H74" s="4"/>
      <c r="I74" s="4"/>
      <c r="J74" s="4"/>
      <c r="K74" s="4"/>
      <c r="L74" s="4"/>
      <c r="M74" s="4"/>
      <c r="N74" s="4"/>
      <c r="O74" s="4"/>
      <c r="P74" s="4"/>
      <c r="Q74" s="4"/>
      <c r="R74" s="4"/>
    </row>
    <row r="75" spans="1:18" ht="12.75" customHeight="1" x14ac:dyDescent="0.2">
      <c r="A75" s="5">
        <v>1</v>
      </c>
      <c r="B75" s="5">
        <v>1</v>
      </c>
      <c r="C75" s="5">
        <v>1</v>
      </c>
      <c r="D75" s="5">
        <v>0</v>
      </c>
      <c r="E75" s="5">
        <v>1</v>
      </c>
      <c r="F75" s="5">
        <v>0</v>
      </c>
      <c r="G75" s="6">
        <f t="shared" ref="G75:G79" si="88">SUM(B75:F75)</f>
        <v>3</v>
      </c>
      <c r="H75" s="6" t="e">
        <f t="shared" ref="H75:L75" ca="1" si="89">IF(GT(B75,0),B$74, "")</f>
        <v>#NAME?</v>
      </c>
      <c r="I75" s="6" t="e">
        <f t="shared" ca="1" si="89"/>
        <v>#NAME?</v>
      </c>
      <c r="J75" s="7" t="e">
        <f t="shared" ca="1" si="89"/>
        <v>#NAME?</v>
      </c>
      <c r="K75" s="6" t="e">
        <f t="shared" ca="1" si="89"/>
        <v>#NAME?</v>
      </c>
      <c r="L75" s="7" t="e">
        <f t="shared" ca="1" si="89"/>
        <v>#NAME?</v>
      </c>
      <c r="M75" s="7"/>
      <c r="N75" s="7" t="e">
        <f t="shared" ref="N75:R75" ca="1" si="90">IF((LEN(H75)&gt;0), CONCATENATE("SelectHeroSkill(source, ", H75, ");"), "")</f>
        <v>#NAME?</v>
      </c>
      <c r="O75" s="7" t="e">
        <f t="shared" ca="1" si="90"/>
        <v>#NAME?</v>
      </c>
      <c r="P75" s="7" t="e">
        <f t="shared" ca="1" si="90"/>
        <v>#NAME?</v>
      </c>
      <c r="Q75" s="7" t="e">
        <f t="shared" ca="1" si="90"/>
        <v>#NAME?</v>
      </c>
      <c r="R75" s="7" t="e">
        <f t="shared" ca="1" si="90"/>
        <v>#NAME?</v>
      </c>
    </row>
    <row r="76" spans="1:18" ht="12.75" customHeight="1" x14ac:dyDescent="0.2">
      <c r="A76" s="5">
        <v>2</v>
      </c>
      <c r="B76" s="5">
        <v>1</v>
      </c>
      <c r="C76" s="5">
        <v>1</v>
      </c>
      <c r="D76" s="5">
        <v>1</v>
      </c>
      <c r="E76" s="5">
        <v>2</v>
      </c>
      <c r="F76" s="5">
        <v>1</v>
      </c>
      <c r="G76" s="6">
        <f t="shared" si="88"/>
        <v>6</v>
      </c>
      <c r="H76" s="6" t="e">
        <f t="shared" ref="H76:L76" ca="1" si="91">IF(GT(B76,0),B$74, "")</f>
        <v>#NAME?</v>
      </c>
      <c r="I76" s="6" t="e">
        <f t="shared" ca="1" si="91"/>
        <v>#NAME?</v>
      </c>
      <c r="J76" s="6" t="e">
        <f t="shared" ca="1" si="91"/>
        <v>#NAME?</v>
      </c>
      <c r="K76" s="6" t="e">
        <f t="shared" ca="1" si="91"/>
        <v>#NAME?</v>
      </c>
      <c r="L76" s="6" t="e">
        <f t="shared" ca="1" si="91"/>
        <v>#NAME?</v>
      </c>
      <c r="M76" s="7"/>
      <c r="N76" s="7" t="e">
        <f t="shared" ref="N76:R76" ca="1" si="92">IF((LEN(H76)&gt;0), CONCATENATE("SelectHeroSkill(source, ", H76, ");"), "")</f>
        <v>#NAME?</v>
      </c>
      <c r="O76" s="7" t="e">
        <f t="shared" ca="1" si="92"/>
        <v>#NAME?</v>
      </c>
      <c r="P76" s="7" t="e">
        <f t="shared" ca="1" si="92"/>
        <v>#NAME?</v>
      </c>
      <c r="Q76" s="7" t="e">
        <f t="shared" ca="1" si="92"/>
        <v>#NAME?</v>
      </c>
      <c r="R76" s="7" t="e">
        <f t="shared" ca="1" si="92"/>
        <v>#NAME?</v>
      </c>
    </row>
    <row r="77" spans="1:18" ht="12.75" customHeight="1" x14ac:dyDescent="0.2">
      <c r="A77" s="5">
        <v>3</v>
      </c>
      <c r="B77" s="5">
        <v>1</v>
      </c>
      <c r="C77" s="5">
        <v>1</v>
      </c>
      <c r="D77" s="5">
        <v>1</v>
      </c>
      <c r="E77" s="5">
        <v>3</v>
      </c>
      <c r="F77" s="5">
        <v>3</v>
      </c>
      <c r="G77" s="6">
        <f t="shared" si="88"/>
        <v>9</v>
      </c>
      <c r="H77" s="6" t="e">
        <f t="shared" ref="H77:L77" ca="1" si="93">IF(GT(B77,0),B$74, "")</f>
        <v>#NAME?</v>
      </c>
      <c r="I77" s="6" t="e">
        <f t="shared" ca="1" si="93"/>
        <v>#NAME?</v>
      </c>
      <c r="J77" s="6" t="e">
        <f t="shared" ca="1" si="93"/>
        <v>#NAME?</v>
      </c>
      <c r="K77" s="6" t="e">
        <f t="shared" ca="1" si="93"/>
        <v>#NAME?</v>
      </c>
      <c r="L77" s="6" t="e">
        <f t="shared" ca="1" si="93"/>
        <v>#NAME?</v>
      </c>
      <c r="M77" s="7"/>
      <c r="N77" s="7" t="e">
        <f t="shared" ref="N77:R77" ca="1" si="94">IF((LEN(H77)&gt;0), CONCATENATE("SelectHeroSkill(source, ", H77, ");"), "")</f>
        <v>#NAME?</v>
      </c>
      <c r="O77" s="7" t="e">
        <f t="shared" ca="1" si="94"/>
        <v>#NAME?</v>
      </c>
      <c r="P77" s="7" t="e">
        <f t="shared" ca="1" si="94"/>
        <v>#NAME?</v>
      </c>
      <c r="Q77" s="7" t="e">
        <f t="shared" ca="1" si="94"/>
        <v>#NAME?</v>
      </c>
      <c r="R77" s="7" t="e">
        <f t="shared" ca="1" si="94"/>
        <v>#NAME?</v>
      </c>
    </row>
    <row r="78" spans="1:18" ht="12.75" customHeight="1" x14ac:dyDescent="0.2">
      <c r="A78" s="5">
        <v>4</v>
      </c>
      <c r="B78" s="5">
        <v>2</v>
      </c>
      <c r="C78" s="5">
        <v>3</v>
      </c>
      <c r="D78" s="5">
        <v>1</v>
      </c>
      <c r="E78" s="5">
        <v>3</v>
      </c>
      <c r="F78" s="5">
        <v>3</v>
      </c>
      <c r="G78" s="6">
        <f t="shared" si="88"/>
        <v>12</v>
      </c>
      <c r="H78" s="6" t="e">
        <f t="shared" ref="H78:L78" ca="1" si="95">IF(GT(B78,0),B$74, "")</f>
        <v>#NAME?</v>
      </c>
      <c r="I78" s="6" t="e">
        <f t="shared" ca="1" si="95"/>
        <v>#NAME?</v>
      </c>
      <c r="J78" s="6" t="e">
        <f t="shared" ca="1" si="95"/>
        <v>#NAME?</v>
      </c>
      <c r="K78" s="6" t="e">
        <f t="shared" ca="1" si="95"/>
        <v>#NAME?</v>
      </c>
      <c r="L78" s="6" t="e">
        <f t="shared" ca="1" si="95"/>
        <v>#NAME?</v>
      </c>
      <c r="M78" s="7"/>
      <c r="N78" s="7" t="e">
        <f t="shared" ref="N78:R78" ca="1" si="96">IF((LEN(H78)&gt;0), CONCATENATE("SelectHeroSkill(source, ", H78, ");"), "")</f>
        <v>#NAME?</v>
      </c>
      <c r="O78" s="7" t="e">
        <f t="shared" ca="1" si="96"/>
        <v>#NAME?</v>
      </c>
      <c r="P78" s="7" t="e">
        <f t="shared" ca="1" si="96"/>
        <v>#NAME?</v>
      </c>
      <c r="Q78" s="7" t="e">
        <f t="shared" ca="1" si="96"/>
        <v>#NAME?</v>
      </c>
      <c r="R78" s="7" t="e">
        <f t="shared" ca="1" si="96"/>
        <v>#NAME?</v>
      </c>
    </row>
    <row r="79" spans="1:18" ht="12.75" customHeight="1" x14ac:dyDescent="0.2">
      <c r="A79" s="5">
        <v>5</v>
      </c>
      <c r="B79" s="5">
        <v>3</v>
      </c>
      <c r="C79" s="5">
        <v>3</v>
      </c>
      <c r="D79" s="5">
        <v>3</v>
      </c>
      <c r="E79" s="5">
        <v>3</v>
      </c>
      <c r="F79" s="5">
        <v>3</v>
      </c>
      <c r="G79" s="6">
        <f t="shared" si="88"/>
        <v>15</v>
      </c>
      <c r="H79" s="6" t="e">
        <f t="shared" ref="H79:L79" ca="1" si="97">IF(GT(B79,0),B$74, "")</f>
        <v>#NAME?</v>
      </c>
      <c r="I79" s="6" t="e">
        <f t="shared" ca="1" si="97"/>
        <v>#NAME?</v>
      </c>
      <c r="J79" s="6" t="e">
        <f t="shared" ca="1" si="97"/>
        <v>#NAME?</v>
      </c>
      <c r="K79" s="6" t="e">
        <f t="shared" ca="1" si="97"/>
        <v>#NAME?</v>
      </c>
      <c r="L79" s="6" t="e">
        <f t="shared" ca="1" si="97"/>
        <v>#NAME?</v>
      </c>
      <c r="M79" s="7"/>
      <c r="N79" s="7" t="e">
        <f t="shared" ref="N79:R79" ca="1" si="98">IF((LEN(H79)&gt;0), CONCATENATE("SelectHeroSkill(source, ", H79, ");"), "")</f>
        <v>#NAME?</v>
      </c>
      <c r="O79" s="7" t="e">
        <f t="shared" ca="1" si="98"/>
        <v>#NAME?</v>
      </c>
      <c r="P79" s="7" t="e">
        <f t="shared" ca="1" si="98"/>
        <v>#NAME?</v>
      </c>
      <c r="Q79" s="7" t="e">
        <f t="shared" ca="1" si="98"/>
        <v>#NAME?</v>
      </c>
      <c r="R79" s="7" t="e">
        <f t="shared" ca="1" si="98"/>
        <v>#NAME?</v>
      </c>
    </row>
    <row r="80" spans="1:18" ht="12.75" customHeight="1" x14ac:dyDescent="0.2">
      <c r="A80" s="7"/>
      <c r="B80" s="7"/>
      <c r="C80" s="7"/>
      <c r="D80" s="7"/>
      <c r="E80" s="7"/>
      <c r="F80" s="7"/>
      <c r="G80" s="7"/>
      <c r="H80" s="7"/>
      <c r="I80" s="7"/>
      <c r="J80" s="7"/>
      <c r="K80" s="7"/>
      <c r="L80" s="7"/>
      <c r="M80" s="7"/>
      <c r="N80" s="7"/>
      <c r="O80" s="7"/>
      <c r="P80" s="7"/>
      <c r="Q80" s="7"/>
      <c r="R80" s="7"/>
    </row>
    <row r="81" spans="1:18" ht="12.75" customHeight="1" x14ac:dyDescent="0.2">
      <c r="A81" s="7"/>
      <c r="B81" s="7"/>
      <c r="C81" s="7"/>
      <c r="D81" s="7"/>
      <c r="E81" s="7"/>
      <c r="F81" s="7"/>
      <c r="G81" s="7"/>
      <c r="H81" s="7"/>
      <c r="I81" s="7"/>
      <c r="J81" s="7"/>
      <c r="K81" s="7"/>
      <c r="L81" s="7"/>
      <c r="M81" s="7"/>
      <c r="N81" s="7"/>
      <c r="O81" s="7"/>
      <c r="P81" s="7"/>
      <c r="Q81" s="7"/>
      <c r="R81" s="7"/>
    </row>
    <row r="82" spans="1:18" ht="12.75" customHeight="1" x14ac:dyDescent="0.2">
      <c r="A82" s="3" t="str">
        <f>玩家技能!A65</f>
        <v>流浪剑客</v>
      </c>
      <c r="B82" s="3" t="str">
        <f>玩家技能!B65</f>
        <v>邪恶攻击</v>
      </c>
      <c r="C82" s="3" t="str">
        <f>玩家技能!B66</f>
        <v>剔骨</v>
      </c>
      <c r="D82" s="3" t="str">
        <f>玩家技能!B67</f>
        <v>突袭</v>
      </c>
      <c r="E82" s="3" t="str">
        <f>玩家技能!B68</f>
        <v>剑舞</v>
      </c>
      <c r="F82" s="3" t="str">
        <f>玩家技能!B69</f>
        <v>潜行</v>
      </c>
      <c r="G82" s="4"/>
      <c r="H82" s="4"/>
      <c r="I82" s="4"/>
      <c r="J82" s="4"/>
      <c r="K82" s="4"/>
      <c r="L82" s="4"/>
      <c r="M82" s="4"/>
      <c r="N82" s="4"/>
      <c r="O82" s="4"/>
      <c r="P82" s="4"/>
      <c r="Q82" s="4"/>
      <c r="R82" s="4"/>
    </row>
    <row r="83" spans="1:18" ht="12.75" customHeight="1" x14ac:dyDescent="0.2">
      <c r="A83" s="4"/>
      <c r="B83" s="4" t="s">
        <v>887</v>
      </c>
      <c r="C83" s="4" t="s">
        <v>888</v>
      </c>
      <c r="D83" s="4" t="s">
        <v>889</v>
      </c>
      <c r="E83" s="4" t="s">
        <v>890</v>
      </c>
      <c r="F83" s="4" t="s">
        <v>891</v>
      </c>
      <c r="G83" s="4"/>
      <c r="H83" s="4"/>
      <c r="I83" s="4"/>
      <c r="J83" s="4"/>
      <c r="K83" s="4"/>
      <c r="L83" s="4"/>
      <c r="M83" s="4"/>
      <c r="N83" s="4"/>
      <c r="O83" s="4"/>
      <c r="P83" s="4"/>
      <c r="Q83" s="4"/>
      <c r="R83" s="4"/>
    </row>
    <row r="84" spans="1:18" ht="12.75" customHeight="1" x14ac:dyDescent="0.2">
      <c r="A84" s="5">
        <v>1</v>
      </c>
      <c r="B84" s="5">
        <v>1</v>
      </c>
      <c r="C84" s="5">
        <v>1</v>
      </c>
      <c r="D84" s="5">
        <v>1</v>
      </c>
      <c r="E84" s="5">
        <v>0</v>
      </c>
      <c r="F84" s="5">
        <v>0</v>
      </c>
      <c r="G84" s="6">
        <f t="shared" ref="G84:G88" si="99">SUM(B84:F84)</f>
        <v>3</v>
      </c>
      <c r="H84" s="6" t="e">
        <f t="shared" ref="H84:L84" ca="1" si="100">IF(GT(B84,0),B$83, "")</f>
        <v>#NAME?</v>
      </c>
      <c r="I84" s="6" t="e">
        <f t="shared" ca="1" si="100"/>
        <v>#NAME?</v>
      </c>
      <c r="J84" s="6" t="e">
        <f t="shared" ca="1" si="100"/>
        <v>#NAME?</v>
      </c>
      <c r="K84" s="7" t="e">
        <f t="shared" ca="1" si="100"/>
        <v>#NAME?</v>
      </c>
      <c r="L84" s="7" t="e">
        <f t="shared" ca="1" si="100"/>
        <v>#NAME?</v>
      </c>
      <c r="M84" s="7"/>
      <c r="N84" s="7" t="e">
        <f t="shared" ref="N84:R84" ca="1" si="101">IF((LEN(H84)&gt;0), CONCATENATE("SelectHeroSkill(source, ", H84, ");"), "")</f>
        <v>#NAME?</v>
      </c>
      <c r="O84" s="7" t="e">
        <f t="shared" ca="1" si="101"/>
        <v>#NAME?</v>
      </c>
      <c r="P84" s="7" t="e">
        <f t="shared" ca="1" si="101"/>
        <v>#NAME?</v>
      </c>
      <c r="Q84" s="7" t="e">
        <f t="shared" ca="1" si="101"/>
        <v>#NAME?</v>
      </c>
      <c r="R84" s="7" t="e">
        <f t="shared" ca="1" si="101"/>
        <v>#NAME?</v>
      </c>
    </row>
    <row r="85" spans="1:18" ht="12.75" customHeight="1" x14ac:dyDescent="0.2">
      <c r="A85" s="5">
        <v>2</v>
      </c>
      <c r="B85" s="5">
        <v>2</v>
      </c>
      <c r="C85" s="5">
        <v>1</v>
      </c>
      <c r="D85" s="5">
        <v>1</v>
      </c>
      <c r="E85" s="5">
        <v>1</v>
      </c>
      <c r="F85" s="5">
        <v>1</v>
      </c>
      <c r="G85" s="6">
        <f t="shared" si="99"/>
        <v>6</v>
      </c>
      <c r="H85" s="6" t="e">
        <f t="shared" ref="H85:L85" ca="1" si="102">IF(GT(B85,0),B$83, "")</f>
        <v>#NAME?</v>
      </c>
      <c r="I85" s="6" t="e">
        <f t="shared" ca="1" si="102"/>
        <v>#NAME?</v>
      </c>
      <c r="J85" s="6" t="e">
        <f t="shared" ca="1" si="102"/>
        <v>#NAME?</v>
      </c>
      <c r="K85" s="6" t="e">
        <f t="shared" ca="1" si="102"/>
        <v>#NAME?</v>
      </c>
      <c r="L85" s="6" t="e">
        <f t="shared" ca="1" si="102"/>
        <v>#NAME?</v>
      </c>
      <c r="M85" s="7"/>
      <c r="N85" s="7" t="e">
        <f t="shared" ref="N85:R85" ca="1" si="103">IF((LEN(H85)&gt;0), CONCATENATE("SelectHeroSkill(source, ", H85, ");"), "")</f>
        <v>#NAME?</v>
      </c>
      <c r="O85" s="7" t="e">
        <f t="shared" ca="1" si="103"/>
        <v>#NAME?</v>
      </c>
      <c r="P85" s="7" t="e">
        <f t="shared" ca="1" si="103"/>
        <v>#NAME?</v>
      </c>
      <c r="Q85" s="7" t="e">
        <f t="shared" ca="1" si="103"/>
        <v>#NAME?</v>
      </c>
      <c r="R85" s="7" t="e">
        <f t="shared" ca="1" si="103"/>
        <v>#NAME?</v>
      </c>
    </row>
    <row r="86" spans="1:18" ht="12.75" customHeight="1" x14ac:dyDescent="0.2">
      <c r="A86" s="5">
        <v>3</v>
      </c>
      <c r="B86" s="5">
        <v>3</v>
      </c>
      <c r="C86" s="5">
        <v>2</v>
      </c>
      <c r="D86" s="5">
        <v>2</v>
      </c>
      <c r="E86" s="5">
        <v>1</v>
      </c>
      <c r="F86" s="5">
        <v>1</v>
      </c>
      <c r="G86" s="6">
        <f t="shared" si="99"/>
        <v>9</v>
      </c>
      <c r="H86" s="6" t="e">
        <f t="shared" ref="H86:L86" ca="1" si="104">IF(GT(B86,0),B$83, "")</f>
        <v>#NAME?</v>
      </c>
      <c r="I86" s="6" t="e">
        <f t="shared" ca="1" si="104"/>
        <v>#NAME?</v>
      </c>
      <c r="J86" s="6" t="e">
        <f t="shared" ca="1" si="104"/>
        <v>#NAME?</v>
      </c>
      <c r="K86" s="6" t="e">
        <f t="shared" ca="1" si="104"/>
        <v>#NAME?</v>
      </c>
      <c r="L86" s="6" t="e">
        <f t="shared" ca="1" si="104"/>
        <v>#NAME?</v>
      </c>
      <c r="M86" s="7"/>
      <c r="N86" s="7" t="e">
        <f t="shared" ref="N86:R86" ca="1" si="105">IF((LEN(H86)&gt;0), CONCATENATE("SelectHeroSkill(source, ", H86, ");"), "")</f>
        <v>#NAME?</v>
      </c>
      <c r="O86" s="7" t="e">
        <f t="shared" ca="1" si="105"/>
        <v>#NAME?</v>
      </c>
      <c r="P86" s="7" t="e">
        <f t="shared" ca="1" si="105"/>
        <v>#NAME?</v>
      </c>
      <c r="Q86" s="7" t="e">
        <f t="shared" ca="1" si="105"/>
        <v>#NAME?</v>
      </c>
      <c r="R86" s="7" t="e">
        <f t="shared" ca="1" si="105"/>
        <v>#NAME?</v>
      </c>
    </row>
    <row r="87" spans="1:18" ht="12.75" customHeight="1" x14ac:dyDescent="0.2">
      <c r="A87" s="5">
        <v>4</v>
      </c>
      <c r="B87" s="5">
        <v>3</v>
      </c>
      <c r="C87" s="5">
        <v>3</v>
      </c>
      <c r="D87" s="5">
        <v>3</v>
      </c>
      <c r="E87" s="5">
        <v>2</v>
      </c>
      <c r="F87" s="5">
        <v>1</v>
      </c>
      <c r="G87" s="6">
        <f t="shared" si="99"/>
        <v>12</v>
      </c>
      <c r="H87" s="6" t="e">
        <f t="shared" ref="H87:L87" ca="1" si="106">IF(GT(B87,0),B$83, "")</f>
        <v>#NAME?</v>
      </c>
      <c r="I87" s="6" t="e">
        <f t="shared" ca="1" si="106"/>
        <v>#NAME?</v>
      </c>
      <c r="J87" s="6" t="e">
        <f t="shared" ca="1" si="106"/>
        <v>#NAME?</v>
      </c>
      <c r="K87" s="6" t="e">
        <f t="shared" ca="1" si="106"/>
        <v>#NAME?</v>
      </c>
      <c r="L87" s="6" t="e">
        <f t="shared" ca="1" si="106"/>
        <v>#NAME?</v>
      </c>
      <c r="M87" s="7"/>
      <c r="N87" s="7" t="e">
        <f t="shared" ref="N87:R87" ca="1" si="107">IF((LEN(H87)&gt;0), CONCATENATE("SelectHeroSkill(source, ", H87, ");"), "")</f>
        <v>#NAME?</v>
      </c>
      <c r="O87" s="7" t="e">
        <f t="shared" ca="1" si="107"/>
        <v>#NAME?</v>
      </c>
      <c r="P87" s="7" t="e">
        <f t="shared" ca="1" si="107"/>
        <v>#NAME?</v>
      </c>
      <c r="Q87" s="7" t="e">
        <f t="shared" ca="1" si="107"/>
        <v>#NAME?</v>
      </c>
      <c r="R87" s="7" t="e">
        <f t="shared" ca="1" si="107"/>
        <v>#NAME?</v>
      </c>
    </row>
    <row r="88" spans="1:18" ht="12.75" customHeight="1" x14ac:dyDescent="0.2">
      <c r="A88" s="5">
        <v>5</v>
      </c>
      <c r="B88" s="5">
        <v>3</v>
      </c>
      <c r="C88" s="5">
        <v>3</v>
      </c>
      <c r="D88" s="5">
        <v>3</v>
      </c>
      <c r="E88" s="5">
        <v>3</v>
      </c>
      <c r="F88" s="5">
        <v>3</v>
      </c>
      <c r="G88" s="6">
        <f t="shared" si="99"/>
        <v>15</v>
      </c>
      <c r="H88" s="6" t="e">
        <f t="shared" ref="H88:L88" ca="1" si="108">IF(GT(B88,0),B$83, "")</f>
        <v>#NAME?</v>
      </c>
      <c r="I88" s="6" t="e">
        <f t="shared" ca="1" si="108"/>
        <v>#NAME?</v>
      </c>
      <c r="J88" s="6" t="e">
        <f t="shared" ca="1" si="108"/>
        <v>#NAME?</v>
      </c>
      <c r="K88" s="6" t="e">
        <f t="shared" ca="1" si="108"/>
        <v>#NAME?</v>
      </c>
      <c r="L88" s="6" t="e">
        <f t="shared" ca="1" si="108"/>
        <v>#NAME?</v>
      </c>
      <c r="M88" s="7"/>
      <c r="N88" s="7" t="e">
        <f t="shared" ref="N88:R88" ca="1" si="109">IF((LEN(H88)&gt;0), CONCATENATE("SelectHeroSkill(source, ", H88, ");"), "")</f>
        <v>#NAME?</v>
      </c>
      <c r="O88" s="7" t="e">
        <f t="shared" ca="1" si="109"/>
        <v>#NAME?</v>
      </c>
      <c r="P88" s="7" t="e">
        <f t="shared" ca="1" si="109"/>
        <v>#NAME?</v>
      </c>
      <c r="Q88" s="7" t="e">
        <f t="shared" ca="1" si="109"/>
        <v>#NAME?</v>
      </c>
      <c r="R88" s="7" t="e">
        <f t="shared" ca="1" si="109"/>
        <v>#NAME?</v>
      </c>
    </row>
    <row r="89" spans="1:18" ht="12.75" customHeight="1" x14ac:dyDescent="0.2">
      <c r="A89" s="7"/>
      <c r="B89" s="7"/>
      <c r="C89" s="7"/>
      <c r="D89" s="7"/>
      <c r="E89" s="7"/>
      <c r="F89" s="7"/>
      <c r="G89" s="7"/>
      <c r="H89" s="7"/>
      <c r="I89" s="7"/>
      <c r="J89" s="7"/>
      <c r="K89" s="7"/>
      <c r="L89" s="7"/>
      <c r="M89" s="7"/>
      <c r="N89" s="7"/>
      <c r="O89" s="7"/>
      <c r="P89" s="7"/>
      <c r="Q89" s="7"/>
      <c r="R89" s="7"/>
    </row>
    <row r="90" spans="1:18" ht="12.75" customHeight="1" x14ac:dyDescent="0.2">
      <c r="A90" s="7"/>
      <c r="B90" s="7"/>
      <c r="C90" s="7"/>
      <c r="D90" s="7"/>
      <c r="E90" s="7"/>
      <c r="F90" s="7"/>
      <c r="G90" s="7"/>
      <c r="H90" s="7"/>
      <c r="I90" s="7"/>
      <c r="J90" s="7"/>
      <c r="K90" s="7"/>
      <c r="L90" s="7"/>
      <c r="M90" s="7"/>
      <c r="N90" s="7"/>
      <c r="O90" s="7"/>
      <c r="P90" s="7"/>
      <c r="Q90" s="7"/>
      <c r="R90" s="7"/>
    </row>
    <row r="91" spans="1:18" ht="12.75" customHeight="1" x14ac:dyDescent="0.2">
      <c r="A91" s="3" t="str">
        <f>玩家技能!A71</f>
        <v>异教徒</v>
      </c>
      <c r="B91" s="3" t="str">
        <f>玩家技能!B71</f>
        <v>暗言字：痛</v>
      </c>
      <c r="C91" s="3" t="str">
        <f>玩家技能!B72</f>
        <v>精髓榨取</v>
      </c>
      <c r="D91" s="3" t="str">
        <f>玩家技能!B73</f>
        <v>精神鞭笞</v>
      </c>
      <c r="E91" s="3" t="str">
        <f>玩家技能!B74</f>
        <v>暗言字：死</v>
      </c>
      <c r="F91" s="3" t="str">
        <f>玩家技能!B75</f>
        <v>暗言字：惧</v>
      </c>
      <c r="G91" s="4"/>
      <c r="H91" s="4"/>
      <c r="I91" s="4"/>
      <c r="J91" s="4"/>
      <c r="K91" s="4"/>
      <c r="L91" s="4"/>
      <c r="M91" s="4"/>
      <c r="N91" s="4"/>
      <c r="O91" s="4"/>
      <c r="P91" s="4"/>
      <c r="Q91" s="4"/>
      <c r="R91" s="4"/>
    </row>
    <row r="92" spans="1:18" ht="12.75" customHeight="1" x14ac:dyDescent="0.2">
      <c r="A92" s="4"/>
      <c r="B92" s="4" t="s">
        <v>892</v>
      </c>
      <c r="C92" s="4" t="s">
        <v>893</v>
      </c>
      <c r="D92" s="4" t="s">
        <v>894</v>
      </c>
      <c r="E92" s="4" t="s">
        <v>895</v>
      </c>
      <c r="F92" s="4" t="s">
        <v>896</v>
      </c>
      <c r="G92" s="4"/>
      <c r="H92" s="4"/>
      <c r="I92" s="4"/>
      <c r="J92" s="4"/>
      <c r="K92" s="4"/>
      <c r="L92" s="4"/>
      <c r="M92" s="4"/>
      <c r="N92" s="4"/>
      <c r="O92" s="4"/>
      <c r="P92" s="4"/>
      <c r="Q92" s="4"/>
      <c r="R92" s="4"/>
    </row>
    <row r="93" spans="1:18" ht="12.75" customHeight="1" x14ac:dyDescent="0.2">
      <c r="A93" s="5">
        <v>1</v>
      </c>
      <c r="B93" s="5">
        <v>1</v>
      </c>
      <c r="C93" s="5">
        <v>1</v>
      </c>
      <c r="D93" s="5">
        <v>1</v>
      </c>
      <c r="E93" s="5">
        <v>0</v>
      </c>
      <c r="F93" s="5">
        <v>0</v>
      </c>
      <c r="G93" s="6">
        <f t="shared" ref="G93:G97" si="110">SUM(B93:F93)</f>
        <v>3</v>
      </c>
      <c r="H93" s="6" t="e">
        <f t="shared" ref="H93:L93" ca="1" si="111">IF(GT(B93,0),B$92, "")</f>
        <v>#NAME?</v>
      </c>
      <c r="I93" s="6" t="e">
        <f t="shared" ca="1" si="111"/>
        <v>#NAME?</v>
      </c>
      <c r="J93" s="6" t="e">
        <f t="shared" ca="1" si="111"/>
        <v>#NAME?</v>
      </c>
      <c r="K93" s="7" t="e">
        <f t="shared" ca="1" si="111"/>
        <v>#NAME?</v>
      </c>
      <c r="L93" s="7" t="e">
        <f t="shared" ca="1" si="111"/>
        <v>#NAME?</v>
      </c>
      <c r="M93" s="7"/>
      <c r="N93" s="7" t="e">
        <f t="shared" ref="N93:R93" ca="1" si="112">IF((LEN(H93)&gt;0), CONCATENATE("SelectHeroSkill(source, ", H93, ");"), "")</f>
        <v>#NAME?</v>
      </c>
      <c r="O93" s="7" t="e">
        <f t="shared" ca="1" si="112"/>
        <v>#NAME?</v>
      </c>
      <c r="P93" s="7" t="e">
        <f t="shared" ca="1" si="112"/>
        <v>#NAME?</v>
      </c>
      <c r="Q93" s="7" t="e">
        <f t="shared" ca="1" si="112"/>
        <v>#NAME?</v>
      </c>
      <c r="R93" s="7" t="e">
        <f t="shared" ca="1" si="112"/>
        <v>#NAME?</v>
      </c>
    </row>
    <row r="94" spans="1:18" ht="12.75" customHeight="1" x14ac:dyDescent="0.2">
      <c r="A94" s="5">
        <v>2</v>
      </c>
      <c r="B94" s="5">
        <v>2</v>
      </c>
      <c r="C94" s="5">
        <v>1</v>
      </c>
      <c r="D94" s="5">
        <v>1</v>
      </c>
      <c r="E94" s="5">
        <v>1</v>
      </c>
      <c r="F94" s="5">
        <v>1</v>
      </c>
      <c r="G94" s="6">
        <f t="shared" si="110"/>
        <v>6</v>
      </c>
      <c r="H94" s="6" t="e">
        <f t="shared" ref="H94:L94" ca="1" si="113">IF(GT(B94,0),B$92, "")</f>
        <v>#NAME?</v>
      </c>
      <c r="I94" s="6" t="e">
        <f t="shared" ca="1" si="113"/>
        <v>#NAME?</v>
      </c>
      <c r="J94" s="6" t="e">
        <f t="shared" ca="1" si="113"/>
        <v>#NAME?</v>
      </c>
      <c r="K94" s="6" t="e">
        <f t="shared" ca="1" si="113"/>
        <v>#NAME?</v>
      </c>
      <c r="L94" s="6" t="e">
        <f t="shared" ca="1" si="113"/>
        <v>#NAME?</v>
      </c>
      <c r="M94" s="7"/>
      <c r="N94" s="7" t="e">
        <f t="shared" ref="N94:R94" ca="1" si="114">IF((LEN(H94)&gt;0), CONCATENATE("SelectHeroSkill(source, ", H94, ");"), "")</f>
        <v>#NAME?</v>
      </c>
      <c r="O94" s="7" t="e">
        <f t="shared" ca="1" si="114"/>
        <v>#NAME?</v>
      </c>
      <c r="P94" s="7" t="e">
        <f t="shared" ca="1" si="114"/>
        <v>#NAME?</v>
      </c>
      <c r="Q94" s="7" t="e">
        <f t="shared" ca="1" si="114"/>
        <v>#NAME?</v>
      </c>
      <c r="R94" s="7" t="e">
        <f t="shared" ca="1" si="114"/>
        <v>#NAME?</v>
      </c>
    </row>
    <row r="95" spans="1:18" ht="12.75" customHeight="1" x14ac:dyDescent="0.2">
      <c r="A95" s="5">
        <v>3</v>
      </c>
      <c r="B95" s="5">
        <v>3</v>
      </c>
      <c r="C95" s="5">
        <v>1</v>
      </c>
      <c r="D95" s="5">
        <v>2</v>
      </c>
      <c r="E95" s="5">
        <v>2</v>
      </c>
      <c r="F95" s="5">
        <v>1</v>
      </c>
      <c r="G95" s="6">
        <f t="shared" si="110"/>
        <v>9</v>
      </c>
      <c r="H95" s="6" t="e">
        <f t="shared" ref="H95:L95" ca="1" si="115">IF(GT(B95,0),B$92, "")</f>
        <v>#NAME?</v>
      </c>
      <c r="I95" s="6" t="e">
        <f t="shared" ca="1" si="115"/>
        <v>#NAME?</v>
      </c>
      <c r="J95" s="6" t="e">
        <f t="shared" ca="1" si="115"/>
        <v>#NAME?</v>
      </c>
      <c r="K95" s="6" t="e">
        <f t="shared" ca="1" si="115"/>
        <v>#NAME?</v>
      </c>
      <c r="L95" s="6" t="e">
        <f t="shared" ca="1" si="115"/>
        <v>#NAME?</v>
      </c>
      <c r="M95" s="7"/>
      <c r="N95" s="7" t="e">
        <f t="shared" ref="N95:R95" ca="1" si="116">IF((LEN(H95)&gt;0), CONCATENATE("SelectHeroSkill(source, ", H95, ");"), "")</f>
        <v>#NAME?</v>
      </c>
      <c r="O95" s="7" t="e">
        <f t="shared" ca="1" si="116"/>
        <v>#NAME?</v>
      </c>
      <c r="P95" s="7" t="e">
        <f t="shared" ca="1" si="116"/>
        <v>#NAME?</v>
      </c>
      <c r="Q95" s="7" t="e">
        <f t="shared" ca="1" si="116"/>
        <v>#NAME?</v>
      </c>
      <c r="R95" s="7" t="e">
        <f t="shared" ca="1" si="116"/>
        <v>#NAME?</v>
      </c>
    </row>
    <row r="96" spans="1:18" ht="12.75" customHeight="1" x14ac:dyDescent="0.2">
      <c r="A96" s="5">
        <v>4</v>
      </c>
      <c r="B96" s="5">
        <v>3</v>
      </c>
      <c r="C96" s="5">
        <v>2</v>
      </c>
      <c r="D96" s="5">
        <v>3</v>
      </c>
      <c r="E96" s="5">
        <v>2</v>
      </c>
      <c r="F96" s="5">
        <v>2</v>
      </c>
      <c r="G96" s="6">
        <f t="shared" si="110"/>
        <v>12</v>
      </c>
      <c r="H96" s="6" t="e">
        <f t="shared" ref="H96:L96" ca="1" si="117">IF(GT(B96,0),B$92, "")</f>
        <v>#NAME?</v>
      </c>
      <c r="I96" s="6" t="e">
        <f t="shared" ca="1" si="117"/>
        <v>#NAME?</v>
      </c>
      <c r="J96" s="6" t="e">
        <f t="shared" ca="1" si="117"/>
        <v>#NAME?</v>
      </c>
      <c r="K96" s="6" t="e">
        <f t="shared" ca="1" si="117"/>
        <v>#NAME?</v>
      </c>
      <c r="L96" s="6" t="e">
        <f t="shared" ca="1" si="117"/>
        <v>#NAME?</v>
      </c>
      <c r="M96" s="7"/>
      <c r="N96" s="7" t="e">
        <f t="shared" ref="N96:R96" ca="1" si="118">IF((LEN(H96)&gt;0), CONCATENATE("SelectHeroSkill(source, ", H96, ");"), "")</f>
        <v>#NAME?</v>
      </c>
      <c r="O96" s="7" t="e">
        <f t="shared" ca="1" si="118"/>
        <v>#NAME?</v>
      </c>
      <c r="P96" s="7" t="e">
        <f t="shared" ca="1" si="118"/>
        <v>#NAME?</v>
      </c>
      <c r="Q96" s="7" t="e">
        <f t="shared" ca="1" si="118"/>
        <v>#NAME?</v>
      </c>
      <c r="R96" s="7" t="e">
        <f t="shared" ca="1" si="118"/>
        <v>#NAME?</v>
      </c>
    </row>
    <row r="97" spans="1:18" ht="12.75" customHeight="1" x14ac:dyDescent="0.2">
      <c r="A97" s="5">
        <v>5</v>
      </c>
      <c r="B97" s="5">
        <v>3</v>
      </c>
      <c r="C97" s="5">
        <v>3</v>
      </c>
      <c r="D97" s="5">
        <v>3</v>
      </c>
      <c r="E97" s="5">
        <v>3</v>
      </c>
      <c r="F97" s="5">
        <v>3</v>
      </c>
      <c r="G97" s="6">
        <f t="shared" si="110"/>
        <v>15</v>
      </c>
      <c r="H97" s="6" t="e">
        <f t="shared" ref="H97:L97" ca="1" si="119">IF(GT(B97,0),B$92, "")</f>
        <v>#NAME?</v>
      </c>
      <c r="I97" s="6" t="e">
        <f t="shared" ca="1" si="119"/>
        <v>#NAME?</v>
      </c>
      <c r="J97" s="6" t="e">
        <f t="shared" ca="1" si="119"/>
        <v>#NAME?</v>
      </c>
      <c r="K97" s="6" t="e">
        <f t="shared" ca="1" si="119"/>
        <v>#NAME?</v>
      </c>
      <c r="L97" s="6" t="e">
        <f t="shared" ca="1" si="119"/>
        <v>#NAME?</v>
      </c>
      <c r="M97" s="7"/>
      <c r="N97" s="7" t="e">
        <f t="shared" ref="N97:R97" ca="1" si="120">IF((LEN(H97)&gt;0), CONCATENATE("SelectHeroSkill(source, ", H97, ");"), "")</f>
        <v>#NAME?</v>
      </c>
      <c r="O97" s="7" t="e">
        <f t="shared" ca="1" si="120"/>
        <v>#NAME?</v>
      </c>
      <c r="P97" s="7" t="e">
        <f t="shared" ca="1" si="120"/>
        <v>#NAME?</v>
      </c>
      <c r="Q97" s="7" t="e">
        <f t="shared" ca="1" si="120"/>
        <v>#NAME?</v>
      </c>
      <c r="R97" s="7" t="e">
        <f t="shared" ca="1" si="120"/>
        <v>#NAME?</v>
      </c>
    </row>
    <row r="98" spans="1:18" ht="12.75" customHeight="1" x14ac:dyDescent="0.2">
      <c r="A98" s="7"/>
      <c r="B98" s="7"/>
      <c r="C98" s="7"/>
      <c r="D98" s="7"/>
      <c r="E98" s="7"/>
      <c r="F98" s="7"/>
      <c r="G98" s="7"/>
      <c r="H98" s="7"/>
      <c r="I98" s="7"/>
      <c r="J98" s="7"/>
      <c r="K98" s="7"/>
      <c r="L98" s="7"/>
      <c r="M98" s="7"/>
      <c r="N98" s="7"/>
      <c r="O98" s="7"/>
      <c r="P98" s="7"/>
      <c r="Q98" s="7"/>
      <c r="R98" s="7"/>
    </row>
    <row r="99" spans="1:18" ht="12.75" customHeight="1" x14ac:dyDescent="0.2">
      <c r="A99" s="7"/>
      <c r="B99" s="7"/>
      <c r="C99" s="7"/>
      <c r="D99" s="7"/>
      <c r="E99" s="7"/>
      <c r="F99" s="7"/>
      <c r="G99" s="7"/>
      <c r="H99" s="7"/>
      <c r="I99" s="7"/>
      <c r="J99" s="7"/>
      <c r="K99" s="7"/>
      <c r="L99" s="7"/>
      <c r="M99" s="7"/>
      <c r="N99" s="7"/>
      <c r="O99" s="7"/>
      <c r="P99" s="7"/>
      <c r="Q99" s="7"/>
      <c r="R99" s="7"/>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25"/>
  <sheetViews>
    <sheetView workbookViewId="0">
      <selection activeCell="E12" sqref="E12"/>
    </sheetView>
  </sheetViews>
  <sheetFormatPr defaultColWidth="17.28515625" defaultRowHeight="16.5" x14ac:dyDescent="0.35"/>
  <cols>
    <col min="1" max="2" width="6" style="16" customWidth="1"/>
    <col min="3" max="3" width="20.140625" style="16" customWidth="1"/>
    <col min="4" max="4" width="16.28515625" style="16" customWidth="1"/>
    <col min="5" max="5" width="22.5703125" style="16" customWidth="1"/>
    <col min="6" max="6" width="20" style="16" customWidth="1"/>
    <col min="7" max="7" width="15.140625" style="16" customWidth="1"/>
    <col min="8" max="8" width="8.140625" style="16" customWidth="1"/>
    <col min="9" max="9" width="52.42578125" style="16" customWidth="1"/>
    <col min="10" max="10" width="11" style="16" customWidth="1"/>
    <col min="11" max="12" width="15.28515625" style="16" customWidth="1"/>
    <col min="13" max="16384" width="17.28515625" style="16"/>
  </cols>
  <sheetData>
    <row r="1" spans="1:12" x14ac:dyDescent="0.35">
      <c r="A1" s="77" t="s">
        <v>116</v>
      </c>
      <c r="B1" s="23"/>
      <c r="C1" s="23"/>
      <c r="D1" s="23"/>
      <c r="E1" s="23"/>
      <c r="F1" s="23"/>
      <c r="G1" s="23"/>
      <c r="H1" s="23"/>
      <c r="I1" s="23"/>
      <c r="J1" s="23"/>
      <c r="K1" s="70"/>
      <c r="L1" s="70"/>
    </row>
    <row r="2" spans="1:12" x14ac:dyDescent="0.35">
      <c r="A2" s="77" t="s">
        <v>118</v>
      </c>
      <c r="B2" s="23"/>
      <c r="C2" s="23"/>
      <c r="D2" s="23"/>
      <c r="E2" s="23"/>
      <c r="F2" s="23"/>
      <c r="G2" s="23"/>
      <c r="H2" s="23"/>
      <c r="I2" s="23"/>
      <c r="J2" s="23"/>
      <c r="K2" s="70"/>
      <c r="L2" s="70"/>
    </row>
    <row r="3" spans="1:12" x14ac:dyDescent="0.35">
      <c r="A3" s="70"/>
      <c r="B3" s="70"/>
      <c r="C3" s="70"/>
      <c r="D3" s="70"/>
      <c r="E3" s="70"/>
      <c r="F3" s="70"/>
      <c r="G3" s="70"/>
      <c r="H3" s="70"/>
      <c r="I3" s="70"/>
      <c r="J3" s="70"/>
      <c r="K3" s="70"/>
      <c r="L3" s="70"/>
    </row>
    <row r="4" spans="1:12" x14ac:dyDescent="0.35">
      <c r="A4" s="78"/>
      <c r="B4" s="53" t="s">
        <v>147</v>
      </c>
      <c r="C4" s="78"/>
      <c r="D4" s="78"/>
      <c r="E4" s="78"/>
      <c r="F4" s="78"/>
      <c r="G4" s="78"/>
      <c r="H4" s="78"/>
      <c r="I4" s="79" t="s">
        <v>149</v>
      </c>
      <c r="J4" s="80" t="s">
        <v>184</v>
      </c>
      <c r="K4" s="81" t="s">
        <v>187</v>
      </c>
      <c r="L4" s="78"/>
    </row>
    <row r="5" spans="1:12" x14ac:dyDescent="0.35">
      <c r="A5" s="82" t="s">
        <v>429</v>
      </c>
      <c r="B5" s="53">
        <v>1</v>
      </c>
      <c r="C5" s="78" t="s">
        <v>599</v>
      </c>
      <c r="D5" s="78" t="s">
        <v>601</v>
      </c>
      <c r="E5" s="78" t="s">
        <v>602</v>
      </c>
      <c r="F5" s="78" t="s">
        <v>604</v>
      </c>
      <c r="G5" s="78"/>
      <c r="H5" s="78"/>
      <c r="I5" s="83" t="s">
        <v>605</v>
      </c>
      <c r="J5" s="84"/>
      <c r="K5" s="81"/>
      <c r="L5" s="78"/>
    </row>
    <row r="6" spans="1:12" x14ac:dyDescent="0.35">
      <c r="A6" s="23"/>
      <c r="B6" s="53">
        <v>2</v>
      </c>
      <c r="C6" s="78" t="s">
        <v>666</v>
      </c>
      <c r="D6" s="78" t="s">
        <v>601</v>
      </c>
      <c r="E6" s="78" t="s">
        <v>602</v>
      </c>
      <c r="F6" s="78" t="s">
        <v>604</v>
      </c>
      <c r="G6" s="78" t="s">
        <v>669</v>
      </c>
      <c r="H6" s="78"/>
      <c r="I6" s="19"/>
      <c r="J6" s="19"/>
      <c r="K6" s="81"/>
      <c r="L6" s="78"/>
    </row>
    <row r="7" spans="1:12" x14ac:dyDescent="0.35">
      <c r="A7" s="23"/>
      <c r="B7" s="53">
        <v>3</v>
      </c>
      <c r="C7" s="78" t="s">
        <v>676</v>
      </c>
      <c r="D7" s="78" t="s">
        <v>677</v>
      </c>
      <c r="E7" s="78" t="s">
        <v>601</v>
      </c>
      <c r="F7" s="78" t="s">
        <v>679</v>
      </c>
      <c r="G7" s="78"/>
      <c r="H7" s="78"/>
      <c r="I7" s="19"/>
      <c r="J7" s="19"/>
      <c r="K7" s="81"/>
      <c r="L7" s="78"/>
    </row>
    <row r="8" spans="1:12" x14ac:dyDescent="0.35">
      <c r="A8" s="23"/>
      <c r="B8" s="53">
        <v>4</v>
      </c>
      <c r="C8" s="78" t="s">
        <v>686</v>
      </c>
      <c r="D8" s="78" t="s">
        <v>688</v>
      </c>
      <c r="E8" s="78" t="s">
        <v>602</v>
      </c>
      <c r="F8" s="78" t="s">
        <v>601</v>
      </c>
      <c r="G8" s="78" t="s">
        <v>669</v>
      </c>
      <c r="H8" s="78" t="s">
        <v>691</v>
      </c>
      <c r="I8" s="19"/>
      <c r="J8" s="19"/>
      <c r="K8" s="81"/>
      <c r="L8" s="78"/>
    </row>
    <row r="9" spans="1:12" x14ac:dyDescent="0.35">
      <c r="A9" s="23"/>
      <c r="B9" s="53">
        <v>5</v>
      </c>
      <c r="C9" s="78" t="s">
        <v>694</v>
      </c>
      <c r="D9" s="78" t="s">
        <v>691</v>
      </c>
      <c r="E9" s="78" t="s">
        <v>688</v>
      </c>
      <c r="F9" s="78"/>
      <c r="G9" s="78"/>
      <c r="H9" s="78"/>
      <c r="I9" s="19"/>
      <c r="J9" s="19"/>
      <c r="K9" s="81"/>
      <c r="L9" s="78"/>
    </row>
    <row r="10" spans="1:12" x14ac:dyDescent="0.35">
      <c r="A10" s="23"/>
      <c r="B10" s="53">
        <v>6</v>
      </c>
      <c r="C10" s="78" t="s">
        <v>699</v>
      </c>
      <c r="D10" s="78" t="s">
        <v>700</v>
      </c>
      <c r="E10" s="78" t="s">
        <v>702</v>
      </c>
      <c r="F10" s="78"/>
      <c r="G10" s="78"/>
      <c r="H10" s="78"/>
      <c r="I10" s="19"/>
      <c r="J10" s="19"/>
      <c r="K10" s="81"/>
      <c r="L10" s="78"/>
    </row>
    <row r="11" spans="1:12" x14ac:dyDescent="0.35">
      <c r="A11" s="82" t="s">
        <v>713</v>
      </c>
      <c r="B11" s="53"/>
      <c r="C11" s="78" t="s">
        <v>599</v>
      </c>
      <c r="D11" s="78" t="s">
        <v>723</v>
      </c>
      <c r="E11" s="78" t="s">
        <v>725</v>
      </c>
      <c r="F11" s="78" t="s">
        <v>727</v>
      </c>
      <c r="G11" s="78"/>
      <c r="H11" s="78"/>
      <c r="I11" s="79"/>
      <c r="J11" s="80"/>
      <c r="K11" s="81"/>
      <c r="L11" s="78"/>
    </row>
    <row r="12" spans="1:12" x14ac:dyDescent="0.35">
      <c r="A12" s="23"/>
      <c r="B12" s="53"/>
      <c r="C12" s="78" t="s">
        <v>666</v>
      </c>
      <c r="D12" s="78" t="s">
        <v>723</v>
      </c>
      <c r="E12" s="78" t="s">
        <v>725</v>
      </c>
      <c r="F12" s="78" t="s">
        <v>739</v>
      </c>
      <c r="G12" s="78"/>
      <c r="H12" s="78"/>
      <c r="I12" s="79"/>
      <c r="J12" s="80"/>
      <c r="K12" s="81"/>
      <c r="L12" s="78"/>
    </row>
    <row r="13" spans="1:12" x14ac:dyDescent="0.35">
      <c r="A13" s="23"/>
      <c r="B13" s="53"/>
      <c r="C13" s="78" t="s">
        <v>676</v>
      </c>
      <c r="D13" s="78" t="s">
        <v>746</v>
      </c>
      <c r="E13" s="78" t="s">
        <v>748</v>
      </c>
      <c r="F13" s="78"/>
      <c r="G13" s="78"/>
      <c r="H13" s="78"/>
      <c r="I13" s="79"/>
      <c r="J13" s="80"/>
      <c r="K13" s="81"/>
      <c r="L13" s="78"/>
    </row>
    <row r="14" spans="1:12" x14ac:dyDescent="0.35">
      <c r="A14" s="23"/>
      <c r="B14" s="53"/>
      <c r="C14" s="78" t="s">
        <v>686</v>
      </c>
      <c r="D14" s="78" t="s">
        <v>746</v>
      </c>
      <c r="E14" s="78" t="s">
        <v>755</v>
      </c>
      <c r="F14" s="78" t="s">
        <v>756</v>
      </c>
      <c r="G14" s="78" t="s">
        <v>758</v>
      </c>
      <c r="H14" s="78" t="s">
        <v>760</v>
      </c>
      <c r="I14" s="79"/>
      <c r="J14" s="80"/>
      <c r="K14" s="81"/>
      <c r="L14" s="78"/>
    </row>
    <row r="15" spans="1:12" x14ac:dyDescent="0.35">
      <c r="A15" s="23"/>
      <c r="B15" s="53"/>
      <c r="C15" s="78" t="s">
        <v>694</v>
      </c>
      <c r="D15" s="78" t="s">
        <v>760</v>
      </c>
      <c r="E15" s="78" t="s">
        <v>746</v>
      </c>
      <c r="F15" s="78"/>
      <c r="G15" s="78"/>
      <c r="H15" s="78"/>
      <c r="I15" s="79"/>
      <c r="J15" s="80"/>
      <c r="K15" s="81"/>
      <c r="L15" s="78"/>
    </row>
    <row r="16" spans="1:12" x14ac:dyDescent="0.35">
      <c r="A16" s="23"/>
      <c r="B16" s="53"/>
      <c r="C16" s="78" t="s">
        <v>699</v>
      </c>
      <c r="D16" s="78" t="s">
        <v>768</v>
      </c>
      <c r="E16" s="78"/>
      <c r="F16" s="78"/>
      <c r="G16" s="78"/>
      <c r="H16" s="78"/>
      <c r="I16" s="79"/>
      <c r="J16" s="80"/>
      <c r="K16" s="81"/>
      <c r="L16" s="78"/>
    </row>
    <row r="17" spans="1:12" x14ac:dyDescent="0.35">
      <c r="A17" s="82" t="s">
        <v>770</v>
      </c>
      <c r="B17" s="53"/>
      <c r="C17" s="78" t="s">
        <v>775</v>
      </c>
      <c r="D17" s="78" t="s">
        <v>776</v>
      </c>
      <c r="E17" s="78" t="s">
        <v>777</v>
      </c>
      <c r="F17" s="78"/>
      <c r="G17" s="78"/>
      <c r="H17" s="78"/>
      <c r="I17" s="79"/>
      <c r="J17" s="80"/>
      <c r="K17" s="81"/>
      <c r="L17" s="78"/>
    </row>
    <row r="18" spans="1:12" x14ac:dyDescent="0.35">
      <c r="A18" s="23"/>
      <c r="B18" s="53"/>
      <c r="C18" s="78" t="s">
        <v>780</v>
      </c>
      <c r="D18" s="78" t="s">
        <v>172</v>
      </c>
      <c r="E18" s="78" t="s">
        <v>776</v>
      </c>
      <c r="F18" s="78" t="s">
        <v>688</v>
      </c>
      <c r="G18" s="78" t="s">
        <v>777</v>
      </c>
      <c r="H18" s="78"/>
      <c r="I18" s="79"/>
      <c r="J18" s="80"/>
      <c r="K18" s="81"/>
      <c r="L18" s="78"/>
    </row>
    <row r="19" spans="1:12" x14ac:dyDescent="0.35">
      <c r="A19" s="23"/>
      <c r="B19" s="53"/>
      <c r="C19" s="78" t="s">
        <v>785</v>
      </c>
      <c r="D19" s="78" t="s">
        <v>787</v>
      </c>
      <c r="E19" s="78" t="s">
        <v>776</v>
      </c>
      <c r="F19" s="78" t="s">
        <v>688</v>
      </c>
      <c r="G19" s="78" t="s">
        <v>172</v>
      </c>
      <c r="H19" s="78" t="s">
        <v>776</v>
      </c>
      <c r="I19" s="79"/>
      <c r="J19" s="80"/>
      <c r="K19" s="81"/>
      <c r="L19" s="78"/>
    </row>
    <row r="20" spans="1:12" x14ac:dyDescent="0.35">
      <c r="A20" s="23"/>
      <c r="B20" s="53"/>
      <c r="C20" s="85" t="s">
        <v>792</v>
      </c>
      <c r="D20" s="78" t="s">
        <v>787</v>
      </c>
      <c r="E20" s="78" t="s">
        <v>776</v>
      </c>
      <c r="F20" s="78" t="s">
        <v>688</v>
      </c>
      <c r="G20" s="78" t="s">
        <v>172</v>
      </c>
      <c r="H20" s="78" t="s">
        <v>776</v>
      </c>
      <c r="I20" s="79"/>
      <c r="J20" s="80"/>
      <c r="K20" s="81"/>
      <c r="L20" s="78"/>
    </row>
    <row r="21" spans="1:12" x14ac:dyDescent="0.35">
      <c r="A21" s="82" t="s">
        <v>805</v>
      </c>
      <c r="B21" s="53"/>
      <c r="C21" s="78" t="s">
        <v>775</v>
      </c>
      <c r="D21" s="78" t="s">
        <v>806</v>
      </c>
      <c r="E21" s="78" t="s">
        <v>807</v>
      </c>
      <c r="F21" s="78" t="s">
        <v>94</v>
      </c>
      <c r="G21" s="78"/>
      <c r="H21" s="78"/>
      <c r="I21" s="79"/>
      <c r="J21" s="80"/>
      <c r="K21" s="81"/>
      <c r="L21" s="78"/>
    </row>
    <row r="22" spans="1:12" x14ac:dyDescent="0.35">
      <c r="A22" s="23"/>
      <c r="B22" s="53"/>
      <c r="C22" s="85" t="s">
        <v>808</v>
      </c>
      <c r="D22" s="78" t="s">
        <v>809</v>
      </c>
      <c r="E22" s="78" t="s">
        <v>810</v>
      </c>
      <c r="F22" s="78" t="s">
        <v>811</v>
      </c>
      <c r="G22" s="78"/>
      <c r="H22" s="78"/>
      <c r="I22" s="79"/>
      <c r="J22" s="80"/>
      <c r="K22" s="81"/>
      <c r="L22" s="78"/>
    </row>
    <row r="23" spans="1:12" x14ac:dyDescent="0.35">
      <c r="A23" s="23"/>
      <c r="B23" s="53"/>
      <c r="C23" s="78" t="s">
        <v>785</v>
      </c>
      <c r="D23" s="78" t="s">
        <v>812</v>
      </c>
      <c r="E23" s="78" t="s">
        <v>813</v>
      </c>
      <c r="F23" s="78" t="s">
        <v>814</v>
      </c>
      <c r="G23" s="78"/>
      <c r="H23" s="78"/>
      <c r="I23" s="79"/>
      <c r="J23" s="80"/>
      <c r="K23" s="81"/>
      <c r="L23" s="78"/>
    </row>
    <row r="24" spans="1:12" x14ac:dyDescent="0.35">
      <c r="A24" s="23"/>
      <c r="B24" s="53"/>
      <c r="C24" s="78" t="s">
        <v>817</v>
      </c>
      <c r="D24" s="78" t="s">
        <v>809</v>
      </c>
      <c r="E24" s="78" t="s">
        <v>818</v>
      </c>
      <c r="F24" s="78" t="s">
        <v>819</v>
      </c>
      <c r="G24" s="78" t="s">
        <v>104</v>
      </c>
      <c r="H24" s="78"/>
      <c r="I24" s="79"/>
      <c r="J24" s="80"/>
      <c r="K24" s="81"/>
      <c r="L24" s="78"/>
    </row>
    <row r="25" spans="1:12" x14ac:dyDescent="0.35">
      <c r="A25" s="78"/>
      <c r="B25" s="53"/>
      <c r="C25" s="78"/>
      <c r="D25" s="78"/>
      <c r="E25" s="78"/>
      <c r="F25" s="78"/>
      <c r="G25" s="78"/>
      <c r="H25" s="78"/>
      <c r="I25" s="79"/>
      <c r="J25" s="80"/>
      <c r="K25" s="81"/>
      <c r="L25" s="78"/>
    </row>
  </sheetData>
  <mergeCells count="8">
    <mergeCell ref="A11:A16"/>
    <mergeCell ref="A17:A20"/>
    <mergeCell ref="A21:A24"/>
    <mergeCell ref="A1:J1"/>
    <mergeCell ref="A2:J2"/>
    <mergeCell ref="A5:A10"/>
    <mergeCell ref="I5:I10"/>
    <mergeCell ref="J5:J10"/>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4"/>
  <sheetViews>
    <sheetView workbookViewId="0">
      <selection activeCell="D28" sqref="D28"/>
    </sheetView>
  </sheetViews>
  <sheetFormatPr defaultColWidth="17.28515625" defaultRowHeight="16.5" x14ac:dyDescent="0.35"/>
  <cols>
    <col min="1" max="1" width="17.140625" style="16" customWidth="1"/>
    <col min="2" max="2" width="27.140625" style="16" customWidth="1"/>
    <col min="3" max="7" width="17.140625" style="16" customWidth="1"/>
    <col min="8" max="8" width="40" style="16" customWidth="1"/>
    <col min="9" max="9" width="39.28515625" style="16" customWidth="1"/>
    <col min="10" max="10" width="21.85546875" style="16" customWidth="1"/>
    <col min="11" max="12" width="17.140625" style="16" customWidth="1"/>
    <col min="13" max="13" width="21" style="16" customWidth="1"/>
    <col min="14" max="16384" width="17.28515625" style="16"/>
  </cols>
  <sheetData>
    <row r="1" spans="1:8" x14ac:dyDescent="0.35">
      <c r="A1" s="16" t="str">
        <f>玩家技能!A2</f>
        <v>血精灵防御者</v>
      </c>
    </row>
    <row r="2" spans="1:8" x14ac:dyDescent="0.35">
      <c r="A2" s="16" t="str">
        <f>玩家技能!A14</f>
        <v>利爪德鲁依</v>
      </c>
    </row>
    <row r="3" spans="1:8" x14ac:dyDescent="0.35">
      <c r="A3" s="16" t="str">
        <f>玩家技能!A20</f>
        <v>丛林守护者</v>
      </c>
    </row>
    <row r="4" spans="1:8" x14ac:dyDescent="0.35">
      <c r="A4" s="16" t="str">
        <f>玩家技能!A26</f>
        <v>圣骑士</v>
      </c>
    </row>
    <row r="5" spans="1:8" x14ac:dyDescent="0.35">
      <c r="A5" s="16" t="str">
        <f>玩家技能!A32</f>
        <v>牧师</v>
      </c>
    </row>
    <row r="6" spans="1:8" x14ac:dyDescent="0.35">
      <c r="A6" s="16" t="str">
        <f>玩家技能!A38</f>
        <v>黑暗猎手</v>
      </c>
    </row>
    <row r="7" spans="1:8" x14ac:dyDescent="0.35">
      <c r="A7" s="16" t="str">
        <f>玩家技能!A47</f>
        <v>剑圣</v>
      </c>
    </row>
    <row r="8" spans="1:8" x14ac:dyDescent="0.35">
      <c r="A8" s="16" t="str">
        <f>玩家技能!A53</f>
        <v>寒冰法师</v>
      </c>
    </row>
    <row r="9" spans="1:8" x14ac:dyDescent="0.35">
      <c r="A9" s="16" t="str">
        <f>玩家技能!A59</f>
        <v>地缚者</v>
      </c>
      <c r="B9" s="16" t="s">
        <v>222</v>
      </c>
      <c r="C9" s="16" t="s">
        <v>223</v>
      </c>
      <c r="D9" s="16" t="s">
        <v>224</v>
      </c>
      <c r="E9" s="16" t="s">
        <v>225</v>
      </c>
      <c r="F9" s="16" t="s">
        <v>226</v>
      </c>
      <c r="G9" s="16" t="s">
        <v>227</v>
      </c>
      <c r="H9" s="16" t="s">
        <v>228</v>
      </c>
    </row>
    <row r="10" spans="1:8" x14ac:dyDescent="0.35">
      <c r="B10" s="16" t="s">
        <v>229</v>
      </c>
      <c r="D10" s="16" t="s">
        <v>230</v>
      </c>
      <c r="E10" s="16" t="s">
        <v>231</v>
      </c>
      <c r="F10" s="16" t="s">
        <v>231</v>
      </c>
      <c r="G10" s="16" t="s">
        <v>232</v>
      </c>
      <c r="H10" s="16" t="s">
        <v>233</v>
      </c>
    </row>
    <row r="11" spans="1:8" x14ac:dyDescent="0.35">
      <c r="A11" s="16" t="str">
        <f>玩家技能!A65</f>
        <v>流浪剑客</v>
      </c>
    </row>
    <row r="12" spans="1:8" x14ac:dyDescent="0.35">
      <c r="A12" s="16" t="str">
        <f>玩家技能!A71</f>
        <v>异教徒</v>
      </c>
    </row>
    <row r="13" spans="1:8" x14ac:dyDescent="0.35">
      <c r="A13" s="16" t="str">
        <f>玩家技能!A77</f>
        <v>天灾领主</v>
      </c>
      <c r="B13" s="16" t="s">
        <v>247</v>
      </c>
      <c r="C13" s="16" t="s">
        <v>248</v>
      </c>
    </row>
    <row r="14" spans="1:8" x14ac:dyDescent="0.35">
      <c r="B14" s="16" t="s">
        <v>249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G39"/>
  <sheetViews>
    <sheetView workbookViewId="0">
      <pane ySplit="1" topLeftCell="A2" activePane="bottomLeft" state="frozen"/>
      <selection pane="bottomLeft" activeCell="B3" sqref="B3"/>
    </sheetView>
  </sheetViews>
  <sheetFormatPr defaultColWidth="17.28515625" defaultRowHeight="15.75" customHeight="1" x14ac:dyDescent="0.2"/>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x14ac:dyDescent="0.2">
      <c r="A1" s="1" t="s">
        <v>351</v>
      </c>
      <c r="B1" s="1" t="s">
        <v>352</v>
      </c>
      <c r="C1" s="2" t="s">
        <v>353</v>
      </c>
      <c r="D1" s="2" t="s">
        <v>354</v>
      </c>
      <c r="E1" s="2" t="s">
        <v>356</v>
      </c>
      <c r="F1" s="2" t="s">
        <v>358</v>
      </c>
      <c r="G1" s="2" t="s">
        <v>359</v>
      </c>
    </row>
    <row r="2" spans="1:7" ht="16.5" customHeight="1" x14ac:dyDescent="0.2">
      <c r="A2" s="8">
        <v>41216</v>
      </c>
      <c r="B2" s="1" t="s">
        <v>388</v>
      </c>
      <c r="C2" s="2"/>
      <c r="D2" s="2"/>
      <c r="E2" s="2" t="s">
        <v>390</v>
      </c>
      <c r="F2" s="2"/>
      <c r="G2" s="2" t="s">
        <v>392</v>
      </c>
    </row>
    <row r="3" spans="1:7" ht="16.5" customHeight="1" x14ac:dyDescent="0.2">
      <c r="A3" s="1"/>
      <c r="B3" s="1"/>
      <c r="C3" s="2"/>
      <c r="D3" s="2"/>
      <c r="E3" s="2" t="s">
        <v>396</v>
      </c>
      <c r="F3" s="2"/>
      <c r="G3" s="2" t="s">
        <v>398</v>
      </c>
    </row>
    <row r="4" spans="1:7" ht="49.5" customHeight="1" x14ac:dyDescent="0.2">
      <c r="A4" s="1"/>
      <c r="B4" s="1"/>
      <c r="C4" s="2"/>
      <c r="D4" s="2"/>
      <c r="E4" s="2" t="s">
        <v>403</v>
      </c>
      <c r="F4" s="2"/>
      <c r="G4" s="2" t="s">
        <v>398</v>
      </c>
    </row>
    <row r="5" spans="1:7" ht="16.5" customHeight="1" x14ac:dyDescent="0.2">
      <c r="A5" s="1"/>
      <c r="B5" s="1"/>
      <c r="C5" s="2"/>
      <c r="D5" s="2"/>
      <c r="E5" s="2" t="s">
        <v>407</v>
      </c>
      <c r="F5" s="2"/>
      <c r="G5" s="2" t="s">
        <v>392</v>
      </c>
    </row>
    <row r="6" spans="1:7" ht="86.25" customHeight="1" x14ac:dyDescent="0.2">
      <c r="A6" s="8">
        <v>41217</v>
      </c>
      <c r="B6" s="1" t="s">
        <v>410</v>
      </c>
      <c r="C6" s="2"/>
      <c r="D6" s="2"/>
      <c r="E6" s="2" t="s">
        <v>412</v>
      </c>
      <c r="F6" s="2" t="s">
        <v>415</v>
      </c>
      <c r="G6" s="2"/>
    </row>
    <row r="7" spans="1:7" ht="49.5" customHeight="1" x14ac:dyDescent="0.2">
      <c r="A7" s="1"/>
      <c r="B7" s="1"/>
      <c r="C7" s="2"/>
      <c r="D7" s="2"/>
      <c r="E7" s="9" t="s">
        <v>420</v>
      </c>
      <c r="F7" s="2" t="s">
        <v>426</v>
      </c>
      <c r="G7" s="2" t="s">
        <v>398</v>
      </c>
    </row>
    <row r="8" spans="1:7" ht="16.5" customHeight="1" x14ac:dyDescent="0.2">
      <c r="A8" s="1"/>
      <c r="B8" s="1"/>
      <c r="C8" s="2"/>
      <c r="D8" s="2"/>
      <c r="E8" s="2" t="s">
        <v>427</v>
      </c>
      <c r="F8" s="2" t="s">
        <v>428</v>
      </c>
      <c r="G8" s="10" t="s">
        <v>392</v>
      </c>
    </row>
    <row r="9" spans="1:7" ht="16.5" customHeight="1" x14ac:dyDescent="0.2">
      <c r="A9" s="1"/>
      <c r="B9" s="1"/>
      <c r="C9" s="2"/>
      <c r="D9" s="2"/>
      <c r="E9" s="2" t="s">
        <v>435</v>
      </c>
      <c r="F9" s="2" t="s">
        <v>436</v>
      </c>
      <c r="G9" s="2" t="s">
        <v>392</v>
      </c>
    </row>
    <row r="10" spans="1:7" ht="49.5" customHeight="1" x14ac:dyDescent="0.2">
      <c r="A10" s="1"/>
      <c r="B10" s="1"/>
      <c r="C10" s="2"/>
      <c r="D10" s="2"/>
      <c r="E10" s="2" t="s">
        <v>437</v>
      </c>
      <c r="F10" s="2" t="s">
        <v>438</v>
      </c>
      <c r="G10" s="2" t="s">
        <v>398</v>
      </c>
    </row>
    <row r="11" spans="1:7" ht="16.5" customHeight="1" x14ac:dyDescent="0.2">
      <c r="A11" s="8">
        <v>41219</v>
      </c>
      <c r="B11" s="1" t="s">
        <v>410</v>
      </c>
      <c r="C11" s="2"/>
      <c r="D11" s="2"/>
      <c r="E11" s="2" t="s">
        <v>439</v>
      </c>
      <c r="F11" s="2"/>
      <c r="G11" s="11" t="s">
        <v>392</v>
      </c>
    </row>
    <row r="12" spans="1:7" ht="14.25" customHeight="1" x14ac:dyDescent="0.2">
      <c r="A12" s="1"/>
      <c r="B12" s="1"/>
      <c r="C12" s="2"/>
      <c r="D12" s="2"/>
      <c r="E12" s="2"/>
      <c r="F12" s="2"/>
      <c r="G12" s="2"/>
    </row>
    <row r="13" spans="1:7" ht="14.25" customHeight="1" x14ac:dyDescent="0.2">
      <c r="A13" s="8">
        <v>41619</v>
      </c>
      <c r="B13" s="1" t="s">
        <v>410</v>
      </c>
      <c r="C13" s="2"/>
      <c r="D13" s="2"/>
      <c r="E13" s="2" t="s">
        <v>587</v>
      </c>
      <c r="F13" s="2"/>
      <c r="G13" s="2"/>
    </row>
    <row r="14" spans="1:7" ht="14.25" customHeight="1" x14ac:dyDescent="0.2">
      <c r="A14" s="1"/>
      <c r="B14" s="1" t="s">
        <v>410</v>
      </c>
      <c r="C14" s="2"/>
      <c r="D14" s="2"/>
      <c r="E14" s="2" t="s">
        <v>588</v>
      </c>
      <c r="F14" s="2"/>
      <c r="G14" s="11"/>
    </row>
    <row r="15" spans="1:7" ht="14.25" customHeight="1" x14ac:dyDescent="0.2">
      <c r="A15" s="1"/>
      <c r="B15" s="1" t="s">
        <v>410</v>
      </c>
      <c r="C15" s="2"/>
      <c r="D15" s="2"/>
      <c r="E15" s="2" t="s">
        <v>589</v>
      </c>
      <c r="F15" s="2"/>
      <c r="G15" s="11"/>
    </row>
    <row r="16" spans="1:7" ht="14.25" customHeight="1" x14ac:dyDescent="0.2">
      <c r="A16" s="1"/>
      <c r="B16" s="1" t="s">
        <v>410</v>
      </c>
      <c r="C16" s="2"/>
      <c r="D16" s="2"/>
      <c r="E16" s="2" t="s">
        <v>590</v>
      </c>
      <c r="F16" s="2"/>
      <c r="G16" s="11"/>
    </row>
    <row r="17" spans="1:7" ht="14.25" customHeight="1" x14ac:dyDescent="0.2">
      <c r="A17" s="8">
        <v>41620</v>
      </c>
      <c r="B17" s="1"/>
      <c r="C17" s="2" t="s">
        <v>591</v>
      </c>
      <c r="D17" s="2" t="s">
        <v>592</v>
      </c>
      <c r="E17" s="2" t="s">
        <v>593</v>
      </c>
      <c r="F17" s="2"/>
      <c r="G17" s="11"/>
    </row>
    <row r="18" spans="1:7" ht="14.25" customHeight="1" x14ac:dyDescent="0.2">
      <c r="A18" s="1"/>
      <c r="B18" s="1"/>
      <c r="C18" s="2"/>
      <c r="D18" s="2" t="s">
        <v>21</v>
      </c>
      <c r="E18" s="2" t="s">
        <v>594</v>
      </c>
      <c r="F18" s="2"/>
      <c r="G18" s="11"/>
    </row>
    <row r="19" spans="1:7" ht="14.25" customHeight="1" x14ac:dyDescent="0.2">
      <c r="A19" s="1"/>
      <c r="B19" s="1"/>
      <c r="C19" s="2"/>
      <c r="D19" s="2" t="s">
        <v>21</v>
      </c>
      <c r="E19" s="2" t="s">
        <v>595</v>
      </c>
      <c r="F19" s="2"/>
      <c r="G19" s="11"/>
    </row>
    <row r="20" spans="1:7" ht="14.25" customHeight="1" x14ac:dyDescent="0.2">
      <c r="A20" s="2"/>
      <c r="B20" s="2"/>
      <c r="C20" s="2" t="s">
        <v>591</v>
      </c>
      <c r="D20" s="2" t="s">
        <v>21</v>
      </c>
      <c r="E20" s="2" t="s">
        <v>596</v>
      </c>
      <c r="F20" s="2"/>
      <c r="G20" s="11"/>
    </row>
    <row r="21" spans="1:7" ht="14.25" customHeight="1" x14ac:dyDescent="0.2">
      <c r="A21" s="2"/>
      <c r="B21" s="2"/>
      <c r="C21" s="2" t="s">
        <v>591</v>
      </c>
      <c r="D21" s="2" t="s">
        <v>21</v>
      </c>
      <c r="E21" s="2" t="s">
        <v>597</v>
      </c>
      <c r="F21" s="2"/>
      <c r="G21" s="11"/>
    </row>
    <row r="22" spans="1:7" ht="14.25" customHeight="1" x14ac:dyDescent="0.2">
      <c r="A22" s="2"/>
      <c r="B22" s="2"/>
      <c r="C22" s="2"/>
      <c r="D22" s="2" t="s">
        <v>21</v>
      </c>
      <c r="E22" s="2" t="s">
        <v>598</v>
      </c>
      <c r="F22" s="2"/>
      <c r="G22" s="11"/>
    </row>
    <row r="23" spans="1:7" ht="14.25" customHeight="1" x14ac:dyDescent="0.2">
      <c r="A23" s="2"/>
      <c r="B23" s="2"/>
      <c r="C23" s="2"/>
      <c r="D23" s="2" t="s">
        <v>21</v>
      </c>
      <c r="E23" s="2" t="s">
        <v>600</v>
      </c>
      <c r="F23" s="2"/>
      <c r="G23" s="11"/>
    </row>
    <row r="24" spans="1:7" ht="14.25" customHeight="1" x14ac:dyDescent="0.2">
      <c r="A24" s="2"/>
      <c r="B24" s="2"/>
      <c r="C24" s="2"/>
      <c r="D24" s="2"/>
      <c r="E24" s="12" t="s">
        <v>603</v>
      </c>
      <c r="F24" s="2"/>
      <c r="G24" s="2"/>
    </row>
    <row r="25" spans="1:7" ht="14.25" customHeight="1" x14ac:dyDescent="0.2">
      <c r="A25" s="2" t="s">
        <v>683</v>
      </c>
      <c r="B25" s="2" t="s">
        <v>410</v>
      </c>
      <c r="C25" s="2"/>
      <c r="D25" s="2" t="s">
        <v>684</v>
      </c>
      <c r="E25" s="13" t="s">
        <v>687</v>
      </c>
      <c r="F25" s="2"/>
      <c r="G25" s="11"/>
    </row>
    <row r="26" spans="1:7" ht="14.25" customHeight="1" x14ac:dyDescent="0.2">
      <c r="A26" s="2"/>
      <c r="B26" s="2"/>
      <c r="C26" s="2"/>
      <c r="D26" s="2" t="s">
        <v>592</v>
      </c>
      <c r="E26" s="2" t="s">
        <v>709</v>
      </c>
      <c r="F26" s="2"/>
      <c r="G26" s="11"/>
    </row>
    <row r="27" spans="1:7" ht="14.25" customHeight="1" x14ac:dyDescent="0.2">
      <c r="A27" s="2"/>
      <c r="B27" s="2"/>
      <c r="C27" s="2"/>
      <c r="D27" s="2"/>
      <c r="E27" s="2" t="s">
        <v>712</v>
      </c>
      <c r="F27" s="2"/>
      <c r="G27" s="11"/>
    </row>
    <row r="28" spans="1:7" ht="14.25" customHeight="1" x14ac:dyDescent="0.2">
      <c r="A28" s="2"/>
      <c r="B28" s="2"/>
      <c r="C28" s="2"/>
      <c r="D28" s="2" t="s">
        <v>75</v>
      </c>
      <c r="E28" s="2" t="s">
        <v>717</v>
      </c>
      <c r="F28" s="2"/>
      <c r="G28" s="11"/>
    </row>
    <row r="29" spans="1:7" ht="14.25" customHeight="1" x14ac:dyDescent="0.2">
      <c r="A29" s="2"/>
      <c r="B29" s="2"/>
      <c r="C29" s="2"/>
      <c r="D29" s="2" t="s">
        <v>21</v>
      </c>
      <c r="E29" s="2" t="s">
        <v>719</v>
      </c>
      <c r="F29" s="2"/>
      <c r="G29" s="11"/>
    </row>
    <row r="30" spans="1:7" ht="14.25" customHeight="1" x14ac:dyDescent="0.2">
      <c r="A30" s="2"/>
      <c r="B30" s="2"/>
      <c r="C30" s="2"/>
      <c r="D30" s="2" t="s">
        <v>21</v>
      </c>
      <c r="E30" s="2" t="s">
        <v>724</v>
      </c>
      <c r="F30" s="2"/>
      <c r="G30" s="11"/>
    </row>
    <row r="31" spans="1:7" ht="14.25" customHeight="1" x14ac:dyDescent="0.2">
      <c r="A31" s="2"/>
      <c r="B31" s="2"/>
      <c r="C31" s="2"/>
      <c r="D31" s="2" t="s">
        <v>75</v>
      </c>
      <c r="E31" s="2" t="s">
        <v>728</v>
      </c>
      <c r="F31" s="2"/>
      <c r="G31" s="2"/>
    </row>
    <row r="32" spans="1:7" ht="14.25" customHeight="1" x14ac:dyDescent="0.2">
      <c r="A32" s="2"/>
      <c r="B32" s="2"/>
      <c r="C32" s="2"/>
      <c r="D32" s="2" t="s">
        <v>732</v>
      </c>
      <c r="E32" s="2" t="s">
        <v>733</v>
      </c>
      <c r="F32" s="2"/>
      <c r="G32" s="11"/>
    </row>
    <row r="33" spans="1:7" ht="14.25" customHeight="1" x14ac:dyDescent="0.2">
      <c r="A33" s="2"/>
      <c r="B33" s="2"/>
      <c r="C33" s="2"/>
      <c r="D33" s="2"/>
      <c r="E33" s="2" t="s">
        <v>736</v>
      </c>
      <c r="F33" s="2"/>
      <c r="G33" s="2"/>
    </row>
    <row r="34" spans="1:7" ht="14.25" customHeight="1" x14ac:dyDescent="0.2">
      <c r="A34" s="2"/>
      <c r="B34" s="2"/>
      <c r="C34" s="2"/>
      <c r="D34" s="2"/>
      <c r="E34" s="2" t="s">
        <v>740</v>
      </c>
      <c r="F34" s="2"/>
      <c r="G34" s="11"/>
    </row>
    <row r="35" spans="1:7" ht="14.25" customHeight="1" x14ac:dyDescent="0.2">
      <c r="A35" s="2"/>
      <c r="B35" s="2"/>
      <c r="C35" s="2"/>
      <c r="D35" s="2"/>
      <c r="E35" s="2" t="s">
        <v>743</v>
      </c>
      <c r="F35" s="2"/>
      <c r="G35" s="11"/>
    </row>
    <row r="36" spans="1:7" ht="14.25" customHeight="1" x14ac:dyDescent="0.2">
      <c r="A36" s="2"/>
      <c r="B36" s="2"/>
      <c r="C36" s="2"/>
      <c r="D36" s="2"/>
      <c r="E36" s="2" t="s">
        <v>747</v>
      </c>
      <c r="F36" s="2"/>
      <c r="G36" s="2"/>
    </row>
    <row r="37" spans="1:7" ht="14.25" customHeight="1" x14ac:dyDescent="0.2">
      <c r="A37" s="2"/>
      <c r="B37" s="2"/>
      <c r="C37" s="2"/>
      <c r="D37" s="2"/>
      <c r="E37" s="2" t="s">
        <v>750</v>
      </c>
      <c r="F37" s="2"/>
      <c r="G37" s="2"/>
    </row>
    <row r="38" spans="1:7" ht="14.25" customHeight="1" x14ac:dyDescent="0.2">
      <c r="A38" s="2"/>
      <c r="B38" s="2"/>
      <c r="C38" s="2"/>
      <c r="D38" s="2"/>
      <c r="E38" s="2" t="s">
        <v>752</v>
      </c>
      <c r="F38" s="2"/>
      <c r="G38" s="2"/>
    </row>
    <row r="39" spans="1:7" ht="14.25" customHeight="1" x14ac:dyDescent="0.2">
      <c r="A39" s="2"/>
      <c r="B39" s="2"/>
      <c r="C39" s="2"/>
      <c r="D39" s="2"/>
      <c r="E39" s="2"/>
      <c r="F39" s="2"/>
      <c r="G39" s="2"/>
    </row>
  </sheetData>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玩家技能</vt:lpstr>
      <vt:lpstr>BOSS技能</vt:lpstr>
      <vt:lpstr>小怪技能</vt:lpstr>
      <vt:lpstr>职业汇总</vt:lpstr>
      <vt:lpstr>升级加点</vt:lpstr>
      <vt:lpstr>场景模拟</vt:lpstr>
      <vt:lpstr>技能优先级</vt:lpstr>
      <vt:lpstr>预更新说明</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2015-10-10T18:19:52Z</dcterms:modified>
</cp:coreProperties>
</file>