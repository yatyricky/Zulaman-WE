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71027"/>
</workbook>
</file>

<file path=xl/calcChain.xml><?xml version="1.0" encoding="utf-8"?>
<calcChain xmlns="http://schemas.openxmlformats.org/spreadsheetml/2006/main">
  <c r="W44" i="3" l="1"/>
  <c r="V44" i="3"/>
  <c r="W41" i="3"/>
  <c r="V41" i="3"/>
  <c r="W40" i="3"/>
  <c r="V40" i="3"/>
  <c r="W39" i="3"/>
  <c r="V39" i="3"/>
  <c r="V28" i="3"/>
  <c r="V27" i="3"/>
  <c r="V26" i="3"/>
  <c r="V25" i="3"/>
  <c r="V24" i="3"/>
  <c r="V23" i="3"/>
  <c r="V22" i="3"/>
  <c r="R2" i="1"/>
  <c r="G159" i="10" l="1"/>
  <c r="G158" i="10"/>
  <c r="F159" i="10"/>
  <c r="F158" i="10"/>
  <c r="E159" i="10"/>
  <c r="E158" i="10"/>
  <c r="D159" i="10"/>
  <c r="D158" i="10"/>
  <c r="C159" i="10"/>
  <c r="C158" i="10"/>
  <c r="B159" i="10"/>
  <c r="B158" i="10"/>
  <c r="G157" i="10"/>
  <c r="F157" i="10"/>
  <c r="E157" i="10"/>
  <c r="D157" i="10"/>
  <c r="C157" i="10"/>
  <c r="B157" i="10"/>
  <c r="G156" i="10"/>
  <c r="F156" i="10"/>
  <c r="E156" i="10"/>
  <c r="D156" i="10"/>
  <c r="C156" i="10"/>
  <c r="B156" i="10"/>
  <c r="G155" i="10"/>
  <c r="F155" i="10"/>
  <c r="E155" i="10"/>
  <c r="D155" i="10"/>
  <c r="C155" i="10"/>
  <c r="B155" i="10"/>
  <c r="G154" i="10"/>
  <c r="F154" i="10"/>
  <c r="E154" i="10"/>
  <c r="D154" i="10"/>
  <c r="C154" i="10"/>
  <c r="B154" i="10"/>
  <c r="G153" i="10"/>
  <c r="F153" i="10"/>
  <c r="E153" i="10"/>
  <c r="D153" i="10"/>
  <c r="C153" i="10"/>
  <c r="B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AB7" i="3"/>
  <c r="AB30" i="3"/>
  <c r="AB4" i="3"/>
  <c r="AB20" i="3"/>
  <c r="AB10" i="3"/>
  <c r="AB9" i="3"/>
  <c r="AB32" i="3"/>
  <c r="AB18" i="3"/>
  <c r="AA4" i="3"/>
  <c r="AA20" i="3"/>
  <c r="AA10" i="3"/>
  <c r="AA38" i="3"/>
  <c r="AA17" i="3"/>
  <c r="AA43" i="3"/>
  <c r="AA29" i="3"/>
  <c r="AA19" i="3"/>
  <c r="AB3" i="3"/>
  <c r="AB16" i="3"/>
  <c r="AB21" i="3"/>
  <c r="AA16" i="3"/>
  <c r="AA13" i="3"/>
  <c r="AA11" i="3"/>
  <c r="AB11" i="3"/>
  <c r="AB34" i="3"/>
  <c r="AB8" i="3"/>
  <c r="AB31" i="3"/>
  <c r="AB29" i="3"/>
  <c r="AB13" i="3"/>
  <c r="AB36" i="3"/>
  <c r="AB33" i="3"/>
  <c r="AA8" i="3"/>
  <c r="AA31" i="3"/>
  <c r="AA7" i="3"/>
  <c r="AA5" i="3"/>
  <c r="AA21" i="3"/>
  <c r="AA6" i="3"/>
  <c r="AA33" i="3"/>
  <c r="AA34" i="3"/>
  <c r="AB19" i="3"/>
  <c r="AB42" i="3"/>
  <c r="AB6" i="3"/>
  <c r="AA42" i="3"/>
  <c r="AA36" i="3"/>
  <c r="Z13" i="3"/>
  <c r="AB15" i="3"/>
  <c r="AB38" i="3"/>
  <c r="AB12" i="3"/>
  <c r="AB35" i="3"/>
  <c r="AB37" i="3"/>
  <c r="AB17" i="3"/>
  <c r="AB43" i="3"/>
  <c r="AB2" i="3"/>
  <c r="AA12" i="3"/>
  <c r="AA35" i="3"/>
  <c r="AA15" i="3"/>
  <c r="AA9" i="3"/>
  <c r="AA32" i="3"/>
  <c r="AA14" i="3"/>
  <c r="AA37" i="3"/>
  <c r="AA2" i="3"/>
  <c r="AB14" i="3"/>
  <c r="AB5" i="3"/>
  <c r="AA3" i="3"/>
  <c r="AA30" i="3"/>
  <c r="AA18" i="3"/>
  <c r="D49" i="11"/>
  <c r="F48" i="11"/>
  <c r="F49" i="11"/>
  <c r="E48" i="11"/>
  <c r="F50" i="11"/>
  <c r="D50" i="11"/>
  <c r="D48" i="11"/>
  <c r="E50" i="11"/>
  <c r="E49" i="11"/>
  <c r="K158" i="10" l="1"/>
  <c r="K159" i="10"/>
  <c r="K156" i="10"/>
  <c r="K155" i="10"/>
  <c r="K154" i="10"/>
  <c r="K153" i="10"/>
  <c r="P49" i="11"/>
  <c r="P48" i="11"/>
  <c r="P50"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7"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0" i="11"/>
  <c r="P21" i="11"/>
  <c r="P18" i="11"/>
  <c r="P24" i="11"/>
  <c r="P9" i="11"/>
  <c r="P13" i="11"/>
  <c r="P25" i="11"/>
  <c r="P3" i="11"/>
  <c r="P26" i="11"/>
  <c r="P17" i="11"/>
  <c r="P23" i="11"/>
  <c r="P30" i="11"/>
  <c r="P11" i="11"/>
  <c r="P42" i="11"/>
  <c r="P14" i="11"/>
  <c r="P20" i="11"/>
  <c r="P37" i="11"/>
  <c r="P41" i="11"/>
  <c r="P6" i="11"/>
  <c r="P4" i="11"/>
  <c r="P35" i="11"/>
  <c r="P29" i="11"/>
  <c r="P32" i="11"/>
  <c r="P12" i="11"/>
  <c r="P5" i="11"/>
  <c r="P27" i="11"/>
  <c r="P16" i="11"/>
  <c r="P2" i="11"/>
  <c r="P19" i="11"/>
  <c r="P7" i="11"/>
  <c r="P34" i="11"/>
  <c r="P38" i="11"/>
  <c r="P36" i="11"/>
  <c r="P8" i="11"/>
  <c r="P28" i="11"/>
  <c r="P31" i="11"/>
  <c r="P15" i="11"/>
  <c r="P22" i="11"/>
  <c r="P33" i="11"/>
  <c r="D46" i="11"/>
  <c r="E47" i="11"/>
  <c r="E40" i="11"/>
  <c r="E46" i="11"/>
  <c r="D40" i="11"/>
  <c r="E43" i="11"/>
  <c r="D51" i="11"/>
  <c r="F43" i="11"/>
  <c r="F51" i="11"/>
  <c r="F45" i="11"/>
  <c r="F46" i="11"/>
  <c r="E51" i="11"/>
  <c r="D39" i="11"/>
  <c r="E39" i="11"/>
  <c r="D43" i="11"/>
  <c r="F47" i="11"/>
  <c r="E44" i="11"/>
  <c r="E45" i="11"/>
  <c r="F39" i="11"/>
  <c r="F44" i="11"/>
  <c r="F40" i="11"/>
  <c r="D47" i="11"/>
  <c r="D45" i="11"/>
  <c r="D44" i="1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268" i="1"/>
  <c r="R383" i="1"/>
  <c r="R180" i="1"/>
  <c r="R35" i="1"/>
  <c r="R167" i="1"/>
  <c r="R290" i="1"/>
  <c r="R406" i="1"/>
  <c r="R131" i="1"/>
  <c r="R365" i="1"/>
  <c r="R129" i="1"/>
  <c r="R362" i="1"/>
  <c r="R106" i="1"/>
  <c r="R336" i="1"/>
  <c r="R43" i="1"/>
  <c r="R52" i="1"/>
  <c r="R413" i="1"/>
  <c r="R299" i="1"/>
  <c r="R314" i="1"/>
  <c r="R304" i="1"/>
  <c r="R414" i="1"/>
  <c r="R239" i="1"/>
  <c r="R354" i="1"/>
  <c r="R99" i="1"/>
  <c r="R6" i="1"/>
  <c r="R143" i="1"/>
  <c r="R263" i="1"/>
  <c r="R372" i="1"/>
  <c r="R74" i="1"/>
  <c r="R312" i="1"/>
  <c r="R71" i="1"/>
  <c r="R300" i="1"/>
  <c r="R50" i="1"/>
  <c r="R278" i="1"/>
  <c r="R371" i="1"/>
  <c r="R407" i="1"/>
  <c r="R150" i="1"/>
  <c r="R408" i="1"/>
  <c r="R327" i="1"/>
  <c r="R306" i="1"/>
  <c r="R70" i="1"/>
  <c r="R391" i="1"/>
  <c r="R208" i="1"/>
  <c r="R321" i="1"/>
  <c r="R8" i="1"/>
  <c r="R385" i="1"/>
  <c r="R114" i="1"/>
  <c r="R234" i="1"/>
  <c r="R348" i="1"/>
  <c r="R20" i="1"/>
  <c r="R254" i="1"/>
  <c r="R14" i="1"/>
  <c r="R242" i="1"/>
  <c r="R392" i="1"/>
  <c r="R221" i="1"/>
  <c r="R188" i="1"/>
  <c r="R179" i="1"/>
  <c r="R64" i="1"/>
  <c r="R426" i="1"/>
  <c r="R415" i="1"/>
  <c r="R158" i="1"/>
  <c r="Z9" i="3"/>
  <c r="Z29" i="3"/>
  <c r="Z15" i="3"/>
  <c r="Z31" i="3"/>
  <c r="Z18" i="3"/>
  <c r="Z3" i="3"/>
  <c r="Z19" i="3"/>
  <c r="Z8" i="3"/>
  <c r="R146" i="1"/>
  <c r="R264" i="1"/>
  <c r="R379" i="1"/>
  <c r="R216" i="1"/>
  <c r="R57" i="1"/>
  <c r="R173" i="1"/>
  <c r="R289" i="1"/>
  <c r="R135" i="1"/>
  <c r="R136" i="1"/>
  <c r="R116" i="1"/>
  <c r="R124" i="1"/>
  <c r="R58" i="1"/>
  <c r="R107" i="1"/>
  <c r="R390" i="1"/>
  <c r="R95" i="1"/>
  <c r="R412" i="1"/>
  <c r="R201" i="1"/>
  <c r="R194" i="1"/>
  <c r="R186" i="1"/>
  <c r="R36" i="1"/>
  <c r="R121" i="1"/>
  <c r="R235" i="1"/>
  <c r="R350" i="1"/>
  <c r="R108" i="1"/>
  <c r="R28" i="1"/>
  <c r="R142" i="1"/>
  <c r="R262" i="1"/>
  <c r="R422" i="1"/>
  <c r="R85" i="1"/>
  <c r="R419" i="1"/>
  <c r="R78" i="1"/>
  <c r="R393" i="1"/>
  <c r="R66" i="1"/>
  <c r="R333" i="1"/>
  <c r="R275" i="1"/>
  <c r="R297" i="1"/>
  <c r="R174" i="1"/>
  <c r="R200" i="1"/>
  <c r="R427" i="1"/>
  <c r="R421" i="1"/>
  <c r="R157" i="1"/>
  <c r="R93" i="1"/>
  <c r="R207" i="1"/>
  <c r="R326" i="1"/>
  <c r="R22" i="1"/>
  <c r="R428" i="1"/>
  <c r="R110" i="1"/>
  <c r="R233" i="1"/>
  <c r="R369" i="1"/>
  <c r="R45" i="1"/>
  <c r="R357" i="1"/>
  <c r="R38" i="1"/>
  <c r="R340" i="1"/>
  <c r="R23" i="1"/>
  <c r="R210" i="1"/>
  <c r="R255" i="1"/>
  <c r="R81" i="1"/>
  <c r="R79" i="1"/>
  <c r="R165" i="1"/>
  <c r="R29" i="1"/>
  <c r="Z20" i="3"/>
  <c r="Z35" i="3"/>
  <c r="Z21" i="3"/>
  <c r="Z7" i="3"/>
  <c r="Z2" i="3"/>
  <c r="Z14" i="3"/>
  <c r="Z4" i="3"/>
  <c r="R34" i="1"/>
  <c r="R152" i="1"/>
  <c r="R269" i="1"/>
  <c r="R405" i="1"/>
  <c r="R232" i="1"/>
  <c r="R56" i="1"/>
  <c r="R172" i="1"/>
  <c r="R249" i="1"/>
  <c r="R363" i="1"/>
  <c r="R246" i="1"/>
  <c r="R342" i="1"/>
  <c r="R225" i="1"/>
  <c r="R319" i="1"/>
  <c r="R101" i="1"/>
  <c r="R100" i="1"/>
  <c r="R65" i="1"/>
  <c r="R433" i="1"/>
  <c r="R307" i="1"/>
  <c r="R397" i="1"/>
  <c r="R153" i="1"/>
  <c r="R7" i="1"/>
  <c r="R117" i="1"/>
  <c r="R240" i="1"/>
  <c r="R377" i="1"/>
  <c r="R159" i="1"/>
  <c r="R27" i="1"/>
  <c r="R138" i="1"/>
  <c r="R193" i="1"/>
  <c r="R261" i="1"/>
  <c r="R187" i="1"/>
  <c r="R241" i="1"/>
  <c r="R164" i="1"/>
  <c r="R195" i="1"/>
  <c r="R42" i="1"/>
  <c r="R21" i="1"/>
  <c r="R59" i="1"/>
  <c r="R434" i="1"/>
  <c r="R334" i="1"/>
  <c r="R420" i="1"/>
  <c r="R209" i="1"/>
  <c r="R44" i="1"/>
  <c r="R347" i="1"/>
  <c r="R88" i="1"/>
  <c r="R203" i="1"/>
  <c r="R343" i="1"/>
  <c r="R80" i="1"/>
  <c r="R435" i="1"/>
  <c r="R115" i="1"/>
  <c r="R137" i="1"/>
  <c r="R122" i="1"/>
  <c r="R128" i="1"/>
  <c r="R87" i="1"/>
  <c r="R102" i="1"/>
  <c r="R63" i="1"/>
  <c r="R202" i="1"/>
  <c r="R293" i="1"/>
  <c r="R318" i="1"/>
  <c r="R189" i="1"/>
  <c r="R282" i="1"/>
  <c r="R329" i="1"/>
  <c r="Z6" i="3"/>
  <c r="Z33" i="3"/>
  <c r="Z30" i="3"/>
  <c r="Z17" i="3"/>
  <c r="Z32" i="3"/>
  <c r="Z37" i="3"/>
  <c r="Z5" i="3"/>
  <c r="R384" i="1"/>
  <c r="R171" i="1"/>
  <c r="R30" i="1"/>
  <c r="R151" i="1"/>
  <c r="R285" i="1"/>
  <c r="R401" i="1"/>
  <c r="R248" i="1"/>
  <c r="R370" i="1"/>
  <c r="R16" i="1"/>
  <c r="R361" i="1"/>
  <c r="R13" i="1"/>
  <c r="R341" i="1"/>
  <c r="R399" i="1"/>
  <c r="R335" i="1"/>
  <c r="R386" i="1"/>
  <c r="R277" i="1"/>
  <c r="R298" i="1"/>
  <c r="R86" i="1"/>
  <c r="R9" i="1"/>
  <c r="R49" i="1"/>
  <c r="R356" i="1"/>
  <c r="R94" i="1"/>
  <c r="R123" i="1"/>
  <c r="R257" i="1"/>
  <c r="R376" i="1"/>
  <c r="R166" i="1"/>
  <c r="R311" i="1"/>
  <c r="R313" i="1"/>
  <c r="R305" i="1"/>
  <c r="R291" i="1"/>
  <c r="R283" i="1"/>
  <c r="R227" i="1"/>
  <c r="R276" i="1"/>
  <c r="R271" i="1"/>
  <c r="R215" i="1"/>
  <c r="R178" i="1"/>
  <c r="R320" i="1"/>
  <c r="R196" i="1"/>
  <c r="R284" i="1"/>
  <c r="R398" i="1"/>
  <c r="R325" i="1"/>
  <c r="R15" i="1"/>
  <c r="R355" i="1"/>
  <c r="R92" i="1"/>
  <c r="R228" i="1"/>
  <c r="R349" i="1"/>
  <c r="R72" i="1"/>
  <c r="R253" i="1"/>
  <c r="R144" i="1"/>
  <c r="R247" i="1"/>
  <c r="R130" i="1"/>
  <c r="R226" i="1"/>
  <c r="R51" i="1"/>
  <c r="R214" i="1"/>
  <c r="R378" i="1"/>
  <c r="R270" i="1"/>
  <c r="R429" i="1"/>
  <c r="R182" i="1"/>
  <c r="R160" i="1"/>
  <c r="Z38" i="3"/>
  <c r="Z16" i="3"/>
  <c r="Z42" i="3"/>
  <c r="Z34" i="3"/>
  <c r="Z43" i="3"/>
  <c r="Z36" i="3"/>
  <c r="Z11" i="3"/>
  <c r="Z10" i="3"/>
  <c r="J52" i="5"/>
  <c r="L69" i="5"/>
  <c r="K59" i="5"/>
  <c r="L97" i="5"/>
  <c r="J3" i="5"/>
  <c r="J58" i="5"/>
  <c r="K69" i="5"/>
  <c r="J51" i="5"/>
  <c r="J34" i="5"/>
  <c r="J12" i="5"/>
  <c r="K22" i="5"/>
  <c r="K86" i="5"/>
  <c r="L68" i="5"/>
  <c r="H22" i="5"/>
  <c r="L5" i="5"/>
  <c r="H87" i="5"/>
  <c r="L88" i="5"/>
  <c r="L85" i="5"/>
  <c r="H60" i="5"/>
  <c r="H34" i="5"/>
  <c r="H41" i="5"/>
  <c r="J50" i="5"/>
  <c r="H93" i="5"/>
  <c r="L7" i="5"/>
  <c r="L87" i="5"/>
  <c r="H30" i="5"/>
  <c r="H25" i="5"/>
  <c r="I85" i="5"/>
  <c r="L78" i="5"/>
  <c r="J16" i="5"/>
  <c r="L34" i="5"/>
  <c r="I41" i="5"/>
  <c r="L42" i="5"/>
  <c r="K15" i="5"/>
  <c r="J85" i="5"/>
  <c r="J59" i="5"/>
  <c r="L57" i="5"/>
  <c r="L6" i="5"/>
  <c r="H7" i="5"/>
  <c r="J31" i="5"/>
  <c r="H79" i="5"/>
  <c r="J15" i="5"/>
  <c r="K68" i="5"/>
  <c r="J96" i="5"/>
  <c r="H67" i="5"/>
  <c r="H97" i="5"/>
  <c r="P40" i="11"/>
  <c r="L25" i="5"/>
  <c r="K6" i="5"/>
  <c r="H4" i="5"/>
  <c r="H85" i="5"/>
  <c r="I96" i="5"/>
  <c r="J22" i="5"/>
  <c r="L24" i="5"/>
  <c r="H76" i="5"/>
  <c r="L30" i="5"/>
  <c r="K93" i="5"/>
  <c r="H12" i="5"/>
  <c r="J66" i="5"/>
  <c r="H39" i="5"/>
  <c r="K23" i="5"/>
  <c r="L41" i="5"/>
  <c r="H61" i="5"/>
  <c r="L22" i="5"/>
  <c r="K7" i="5"/>
  <c r="L51" i="5"/>
  <c r="H84" i="5"/>
  <c r="J57" i="5"/>
  <c r="J61" i="5"/>
  <c r="L76" i="5"/>
  <c r="I49" i="5"/>
  <c r="K97" i="5"/>
  <c r="I87" i="5"/>
  <c r="I86" i="5"/>
  <c r="K52" i="5"/>
  <c r="J30" i="5"/>
  <c r="K79" i="5"/>
  <c r="I58" i="5"/>
  <c r="K25" i="5"/>
  <c r="L3" i="5"/>
  <c r="L70" i="5"/>
  <c r="H69" i="5"/>
  <c r="K87" i="5"/>
  <c r="J39" i="5"/>
  <c r="L31" i="5"/>
  <c r="I31" i="5"/>
  <c r="J23" i="5"/>
  <c r="H15" i="5"/>
  <c r="H68" i="5"/>
  <c r="H95" i="5"/>
  <c r="J40" i="5"/>
  <c r="K95" i="5"/>
  <c r="J60" i="5"/>
  <c r="I16" i="5"/>
  <c r="J13" i="5"/>
  <c r="I14" i="5"/>
  <c r="I24" i="5"/>
  <c r="I69" i="5"/>
  <c r="I79" i="5"/>
  <c r="I40" i="5"/>
  <c r="L32" i="5"/>
  <c r="L86" i="5"/>
  <c r="I78" i="5"/>
  <c r="L21" i="5"/>
  <c r="L13" i="5"/>
  <c r="H96" i="5"/>
  <c r="H14" i="5"/>
  <c r="H40" i="5"/>
  <c r="P44" i="11"/>
  <c r="I48" i="5"/>
  <c r="L58" i="5"/>
  <c r="J94" i="5"/>
  <c r="K43" i="5"/>
  <c r="L77" i="5"/>
  <c r="I68" i="5"/>
  <c r="L61" i="5"/>
  <c r="H23" i="5"/>
  <c r="K60" i="5"/>
  <c r="J95" i="5"/>
  <c r="J33" i="5"/>
  <c r="J41" i="5"/>
  <c r="J70" i="5"/>
  <c r="K75" i="5"/>
  <c r="K70" i="5"/>
  <c r="J21" i="5"/>
  <c r="K94" i="5"/>
  <c r="L33" i="5"/>
  <c r="L79" i="5"/>
  <c r="L94" i="5"/>
  <c r="I95" i="5"/>
  <c r="J67" i="5"/>
  <c r="I76" i="5"/>
  <c r="I57" i="5"/>
  <c r="K33" i="5"/>
  <c r="P47" i="11"/>
  <c r="L59" i="5"/>
  <c r="K78" i="5"/>
  <c r="J7" i="5"/>
  <c r="L66" i="5"/>
  <c r="H31" i="5"/>
  <c r="I67" i="5"/>
  <c r="L60" i="5"/>
  <c r="L84" i="5"/>
  <c r="H59" i="5"/>
  <c r="H3" i="5"/>
  <c r="I3" i="5"/>
  <c r="K30" i="5"/>
  <c r="K96" i="5"/>
  <c r="L75" i="5"/>
  <c r="K31" i="5"/>
  <c r="L40" i="5"/>
  <c r="K40" i="5"/>
  <c r="H75" i="5"/>
  <c r="I21" i="5"/>
  <c r="J93" i="5"/>
  <c r="I77" i="5"/>
  <c r="I5" i="5"/>
  <c r="I93" i="5"/>
  <c r="J87" i="5"/>
  <c r="K49" i="5"/>
  <c r="K16" i="5"/>
  <c r="L48" i="5"/>
  <c r="J32" i="5"/>
  <c r="H70" i="5"/>
  <c r="H48" i="5"/>
  <c r="K24" i="5"/>
  <c r="K32" i="5"/>
  <c r="I84" i="5"/>
  <c r="L50" i="5"/>
  <c r="I88" i="5"/>
  <c r="I66" i="5"/>
  <c r="L49" i="5"/>
  <c r="I43" i="5"/>
  <c r="I97" i="5"/>
  <c r="I59" i="5"/>
  <c r="J25" i="5"/>
  <c r="H57" i="5"/>
  <c r="I15" i="5"/>
  <c r="J84" i="5"/>
  <c r="L43" i="5"/>
  <c r="P51" i="11"/>
  <c r="K41" i="5"/>
  <c r="K12" i="5"/>
  <c r="K42" i="5"/>
  <c r="L52" i="5"/>
  <c r="H33" i="5"/>
  <c r="L67" i="5"/>
  <c r="H66" i="5"/>
  <c r="I22" i="5"/>
  <c r="K13" i="5"/>
  <c r="J88" i="5"/>
  <c r="H13" i="5"/>
  <c r="I61" i="5"/>
  <c r="L15" i="5"/>
  <c r="J79" i="5"/>
  <c r="I33" i="5"/>
  <c r="I12" i="5"/>
  <c r="H77" i="5"/>
  <c r="I32" i="5"/>
  <c r="I23" i="5"/>
  <c r="K39" i="5"/>
  <c r="J69" i="5"/>
  <c r="L16" i="5"/>
  <c r="K67" i="5"/>
  <c r="J4" i="5"/>
  <c r="P43" i="11"/>
  <c r="K14" i="5"/>
  <c r="J78" i="5"/>
  <c r="J97" i="5"/>
  <c r="I51" i="5"/>
  <c r="I4" i="5"/>
  <c r="H32" i="5"/>
  <c r="H5" i="5"/>
  <c r="L96" i="5"/>
  <c r="J14" i="5"/>
  <c r="H78" i="5"/>
  <c r="L14" i="5"/>
  <c r="I50" i="5"/>
  <c r="J86" i="5"/>
  <c r="L23" i="5"/>
  <c r="L95" i="5"/>
  <c r="I13" i="5"/>
  <c r="K85" i="5"/>
  <c r="K50" i="5"/>
  <c r="K48" i="5"/>
  <c r="I60" i="5"/>
  <c r="H86" i="5"/>
  <c r="J76" i="5"/>
  <c r="I34" i="5"/>
  <c r="H43" i="5"/>
  <c r="K61" i="5"/>
  <c r="P45" i="11"/>
  <c r="H52" i="5"/>
  <c r="K51" i="5"/>
  <c r="H50" i="5"/>
  <c r="J42" i="5"/>
  <c r="I75" i="5"/>
  <c r="P39" i="11"/>
  <c r="J5" i="5"/>
  <c r="L39" i="5"/>
  <c r="H42" i="5"/>
  <c r="J6" i="5"/>
  <c r="P46" i="11"/>
  <c r="K4" i="5"/>
  <c r="K57" i="5"/>
  <c r="L93" i="5"/>
  <c r="H51" i="5"/>
  <c r="I39" i="5"/>
  <c r="I7" i="5"/>
  <c r="J77" i="5"/>
  <c r="K3" i="5"/>
  <c r="H88" i="5"/>
  <c r="I25" i="5"/>
  <c r="L12" i="5"/>
  <c r="H6" i="5"/>
  <c r="K58" i="5"/>
  <c r="K5" i="5"/>
  <c r="K77" i="5"/>
  <c r="K84" i="5"/>
  <c r="L4" i="5"/>
  <c r="I42" i="5"/>
  <c r="I70" i="5"/>
  <c r="I52" i="5"/>
  <c r="H24" i="5"/>
  <c r="J68" i="5"/>
  <c r="K88" i="5"/>
  <c r="J24" i="5"/>
  <c r="H58" i="5"/>
  <c r="K66" i="5"/>
  <c r="H49" i="5"/>
  <c r="K34" i="5"/>
  <c r="J75" i="5"/>
  <c r="I30" i="5"/>
  <c r="H94" i="5"/>
  <c r="J43" i="5"/>
  <c r="J48" i="5"/>
  <c r="J49" i="5"/>
  <c r="H16" i="5"/>
  <c r="K21" i="5"/>
  <c r="H21" i="5"/>
  <c r="I6" i="5"/>
  <c r="K76" i="5"/>
  <c r="I94" i="5"/>
  <c r="Q77" i="5" l="1"/>
  <c r="N48" i="5"/>
  <c r="O49" i="5"/>
  <c r="O94" i="5"/>
  <c r="Q5" i="5"/>
  <c r="N70" i="5"/>
  <c r="R76" i="5"/>
  <c r="N66" i="5"/>
  <c r="Q58" i="5"/>
  <c r="P32" i="5"/>
  <c r="P61" i="5"/>
  <c r="O16" i="5"/>
  <c r="N6" i="5"/>
  <c r="R48" i="5"/>
  <c r="P57" i="5"/>
  <c r="Q76" i="5"/>
  <c r="R12" i="5"/>
  <c r="Q16" i="5"/>
  <c r="N84" i="5"/>
  <c r="R67" i="5"/>
  <c r="O25" i="5"/>
  <c r="Q49" i="5"/>
  <c r="R51" i="5"/>
  <c r="P60" i="5"/>
  <c r="N88" i="5"/>
  <c r="P87" i="5"/>
  <c r="Q7" i="5"/>
  <c r="O6" i="5"/>
  <c r="Q3" i="5"/>
  <c r="O93" i="5"/>
  <c r="R22" i="5"/>
  <c r="N33" i="5"/>
  <c r="P77" i="5"/>
  <c r="O5" i="5"/>
  <c r="N61" i="5"/>
  <c r="Q95" i="5"/>
  <c r="O7" i="5"/>
  <c r="O77" i="5"/>
  <c r="R41" i="5"/>
  <c r="N21" i="5"/>
  <c r="O39" i="5"/>
  <c r="P93" i="5"/>
  <c r="Q23" i="5"/>
  <c r="R52" i="5"/>
  <c r="N51" i="5"/>
  <c r="O21" i="5"/>
  <c r="N39" i="5"/>
  <c r="P40" i="5"/>
  <c r="R93" i="5"/>
  <c r="N75" i="5"/>
  <c r="P66" i="5"/>
  <c r="Q21" i="5"/>
  <c r="Q57" i="5"/>
  <c r="Q40" i="5"/>
  <c r="N12" i="5"/>
  <c r="Q42" i="5"/>
  <c r="Q4" i="5"/>
  <c r="R40" i="5"/>
  <c r="Q93" i="5"/>
  <c r="N95" i="5"/>
  <c r="Q31" i="5"/>
  <c r="R30" i="5"/>
  <c r="N16" i="5"/>
  <c r="P6" i="5"/>
  <c r="R75" i="5"/>
  <c r="N76" i="5"/>
  <c r="N68" i="5"/>
  <c r="N42" i="5"/>
  <c r="Q96" i="5"/>
  <c r="R24" i="5"/>
  <c r="Q12" i="5"/>
  <c r="R39" i="5"/>
  <c r="Q30" i="5"/>
  <c r="P22" i="5"/>
  <c r="P49" i="5"/>
  <c r="P5" i="5"/>
  <c r="O3" i="5"/>
  <c r="O96" i="5"/>
  <c r="N15" i="5"/>
  <c r="N3" i="5"/>
  <c r="N85" i="5"/>
  <c r="Q41" i="5"/>
  <c r="O75" i="5"/>
  <c r="N59" i="5"/>
  <c r="N4" i="5"/>
  <c r="P48" i="5"/>
  <c r="P42" i="5"/>
  <c r="R84" i="5"/>
  <c r="Q6" i="5"/>
  <c r="P23" i="5"/>
  <c r="N50" i="5"/>
  <c r="R60" i="5"/>
  <c r="R25" i="5"/>
  <c r="Q51" i="5"/>
  <c r="O67" i="5"/>
  <c r="P43" i="5"/>
  <c r="N52" i="5"/>
  <c r="N31" i="5"/>
  <c r="N97" i="5"/>
  <c r="O31" i="5"/>
  <c r="R66" i="5"/>
  <c r="N67" i="5"/>
  <c r="R43" i="5"/>
  <c r="Q61" i="5"/>
  <c r="P7" i="5"/>
  <c r="P96" i="5"/>
  <c r="N94" i="5"/>
  <c r="N43" i="5"/>
  <c r="Q78" i="5"/>
  <c r="Q68" i="5"/>
  <c r="R31" i="5"/>
  <c r="O30" i="5"/>
  <c r="O34" i="5"/>
  <c r="R59" i="5"/>
  <c r="P15" i="5"/>
  <c r="P84" i="5"/>
  <c r="P76" i="5"/>
  <c r="N79" i="5"/>
  <c r="P39" i="5"/>
  <c r="N86" i="5"/>
  <c r="Q33" i="5"/>
  <c r="P31" i="5"/>
  <c r="P75" i="5"/>
  <c r="O60" i="5"/>
  <c r="O57" i="5"/>
  <c r="N7" i="5"/>
  <c r="O15" i="5"/>
  <c r="Q48" i="5"/>
  <c r="O76" i="5"/>
  <c r="R6" i="5"/>
  <c r="Q87" i="5"/>
  <c r="Q50" i="5"/>
  <c r="P67" i="5"/>
  <c r="R57" i="5"/>
  <c r="Q34" i="5"/>
  <c r="Q85" i="5"/>
  <c r="O95" i="5"/>
  <c r="P59" i="5"/>
  <c r="N57" i="5"/>
  <c r="O13" i="5"/>
  <c r="R94" i="5"/>
  <c r="P85" i="5"/>
  <c r="N69" i="5"/>
  <c r="R95" i="5"/>
  <c r="R79" i="5"/>
  <c r="Q15" i="5"/>
  <c r="N49" i="5"/>
  <c r="R23" i="5"/>
  <c r="R33" i="5"/>
  <c r="R42" i="5"/>
  <c r="P25" i="5"/>
  <c r="P86" i="5"/>
  <c r="Q94" i="5"/>
  <c r="O41" i="5"/>
  <c r="R70" i="5"/>
  <c r="O50" i="5"/>
  <c r="P21" i="5"/>
  <c r="R34" i="5"/>
  <c r="P16" i="5"/>
  <c r="O59" i="5"/>
  <c r="R14" i="5"/>
  <c r="Q70" i="5"/>
  <c r="R78" i="5"/>
  <c r="R3" i="5"/>
  <c r="N78" i="5"/>
  <c r="Q75" i="5"/>
  <c r="O85" i="5"/>
  <c r="Q66" i="5"/>
  <c r="P14" i="5"/>
  <c r="P70" i="5"/>
  <c r="N25" i="5"/>
  <c r="O97" i="5"/>
  <c r="R96" i="5"/>
  <c r="P41" i="5"/>
  <c r="N30" i="5"/>
  <c r="Q25" i="5"/>
  <c r="N5" i="5"/>
  <c r="P33" i="5"/>
  <c r="R87" i="5"/>
  <c r="N58" i="5"/>
  <c r="N32" i="5"/>
  <c r="P95" i="5"/>
  <c r="R7" i="5"/>
  <c r="O43" i="5"/>
  <c r="O4" i="5"/>
  <c r="Q60" i="5"/>
  <c r="N93" i="5"/>
  <c r="P24" i="5"/>
  <c r="O51" i="5"/>
  <c r="N23" i="5"/>
  <c r="P50" i="5"/>
  <c r="O58" i="5"/>
  <c r="P97" i="5"/>
  <c r="R61" i="5"/>
  <c r="N41" i="5"/>
  <c r="Q88" i="5"/>
  <c r="P78" i="5"/>
  <c r="O68" i="5"/>
  <c r="N34" i="5"/>
  <c r="R49" i="5"/>
  <c r="Q14" i="5"/>
  <c r="R77" i="5"/>
  <c r="N60" i="5"/>
  <c r="Q79" i="5"/>
  <c r="Q43" i="5"/>
  <c r="R85" i="5"/>
  <c r="P68" i="5"/>
  <c r="P4" i="5"/>
  <c r="P94" i="5"/>
  <c r="R88" i="5"/>
  <c r="O66" i="5"/>
  <c r="Q67" i="5"/>
  <c r="R58" i="5"/>
  <c r="N87" i="5"/>
  <c r="P30" i="5"/>
  <c r="R16" i="5"/>
  <c r="O48" i="5"/>
  <c r="R5" i="5"/>
  <c r="N24" i="5"/>
  <c r="P69" i="5"/>
  <c r="N40" i="5"/>
  <c r="N22" i="5"/>
  <c r="Q52" i="5"/>
  <c r="Q39" i="5"/>
  <c r="N14" i="5"/>
  <c r="R68" i="5"/>
  <c r="O88" i="5"/>
  <c r="O23" i="5"/>
  <c r="N96" i="5"/>
  <c r="Q86" i="5"/>
  <c r="O52" i="5"/>
  <c r="O32" i="5"/>
  <c r="R13" i="5"/>
  <c r="Q22" i="5"/>
  <c r="O86" i="5"/>
  <c r="N77" i="5"/>
  <c r="R21" i="5"/>
  <c r="P12" i="5"/>
  <c r="R50" i="5"/>
  <c r="O12" i="5"/>
  <c r="O78" i="5"/>
  <c r="P34" i="5"/>
  <c r="O70" i="5"/>
  <c r="O33" i="5"/>
  <c r="R86" i="5"/>
  <c r="P51" i="5"/>
  <c r="O87" i="5"/>
  <c r="P79" i="5"/>
  <c r="R32" i="5"/>
  <c r="Q69" i="5"/>
  <c r="O42" i="5"/>
  <c r="R15" i="5"/>
  <c r="O40" i="5"/>
  <c r="P58" i="5"/>
  <c r="O84" i="5"/>
  <c r="O61" i="5"/>
  <c r="O79" i="5"/>
  <c r="P3" i="5"/>
  <c r="R4" i="5"/>
  <c r="N13" i="5"/>
  <c r="O69" i="5"/>
  <c r="R97" i="5"/>
  <c r="Q32" i="5"/>
  <c r="P88" i="5"/>
  <c r="O24" i="5"/>
  <c r="Q59" i="5"/>
  <c r="Q97" i="5"/>
  <c r="Q13" i="5"/>
  <c r="O14" i="5"/>
  <c r="R69" i="5"/>
  <c r="Q84" i="5"/>
  <c r="O22" i="5"/>
  <c r="P13" i="5"/>
  <c r="P52" i="5"/>
  <c r="Q24"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<sst xmlns="http://schemas.openxmlformats.org/spreadsheetml/2006/main" count="3022" uniqueCount="1732">
  <si>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</si>
  <si>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</si>
  <si>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</si>
  <si>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</si>
  <si>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</si>
  <si>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</si>
  <si>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</si>
  <si>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</si>
  <si>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</si>
  <si>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</si>
  <si>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</si>
  <si>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</si>
  <si>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</si>
  <si>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</si>
  <si>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</si>
  <si>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</si>
  <si>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</si>
  <si>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</si>
  <si>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</si>
  <si>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</si>
  <si>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</si>
  <si>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</si>
  <si>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</si>
  <si>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</si>
  <si>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</si>
  <si>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</si>
  <si>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</si>
  <si>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</si>
  <si>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</si>
  <si>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</si>
  <si>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</si>
  <si>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</si>
  <si>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</si>
  <si>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</si>
  <si>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</si>
  <si>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</si>
  <si>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</si>
  <si>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</si>
  <si>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</si>
  <si>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</si>
  <si>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</si>
  <si>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</si>
  <si>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</si>
  <si>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</si>
  <si>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</si>
  <si>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</si>
  <si>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</si>
  <si>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</si>
  <si>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</si>
  <si>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</si>
  <si>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</si>
  <si>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</si>
  <si>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</si>
  <si>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</si>
  <si>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</si>
  <si>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</si>
  <si>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</si>
  <si>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</si>
  <si>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</si>
  <si>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</si>
  <si>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</si>
  <si>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</si>
  <si>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</si>
  <si>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</si>
  <si>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</si>
  <si>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</si>
  <si>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</si>
  <si>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</si>
  <si>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</si>
  <si>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</si>
  <si>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</si>
  <si>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</si>
  <si>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</si>
  <si>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</si>
  <si>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</si>
  <si>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</si>
  <si>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</si>
  <si>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</si>
  <si>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</si>
  <si>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</si>
  <si>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</si>
  <si>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</si>
  <si>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</si>
  <si>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</si>
  <si>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</si>
  <si>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</si>
  <si>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</si>
  <si>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</si>
  <si>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</si>
  <si>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</si>
  <si>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</si>
  <si>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</si>
  <si>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</si>
  <si>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</si>
  <si>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</si>
  <si>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</si>
  <si>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</si>
  <si>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</si>
  <si>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</si>
  <si>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</si>
  <si>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</si>
  <si>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</si>
  <si>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</si>
  <si>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</si>
  <si>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</si>
  <si>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</si>
  <si>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</si>
  <si>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</si>
  <si>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</si>
  <si>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</si>
  <si>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</si>
  <si>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</si>
  <si>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</si>
  <si>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</si>
  <si>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</si>
  <si>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</si>
  <si>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</si>
  <si>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</si>
  <si>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</si>
  <si>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</si>
  <si>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</si>
  <si>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</si>
  <si>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</si>
  <si>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</si>
  <si>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</si>
  <si>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</si>
  <si>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</si>
  <si>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</si>
  <si>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</si>
  <si>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</si>
  <si>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</si>
  <si>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</si>
  <si>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</si>
  <si>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</si>
  <si>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</si>
  <si>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</si>
  <si>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</si>
  <si>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</si>
  <si>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</si>
  <si>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</si>
  <si>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</si>
  <si>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</si>
  <si>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</si>
  <si>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</si>
  <si>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</si>
  <si>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</si>
  <si>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</si>
  <si>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</si>
  <si>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</si>
  <si>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</si>
  <si>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</si>
  <si>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</si>
  <si>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</si>
  <si>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</si>
  <si>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</si>
  <si>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</si>
  <si>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</si>
  <si>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</si>
  <si>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</si>
  <si>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</si>
  <si>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</si>
  <si>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</si>
  <si>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</si>
  <si>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</si>
  <si>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</si>
  <si>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</si>
  <si>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</si>
  <si>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</si>
  <si>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</si>
  <si>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</si>
  <si>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</si>
  <si>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</si>
  <si>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</si>
  <si>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</si>
  <si>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</si>
  <si>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</si>
  <si>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</si>
  <si>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</si>
  <si>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</si>
  <si>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</si>
  <si>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</si>
  <si>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</si>
  <si>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</si>
  <si>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</si>
  <si>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</si>
  <si>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</si>
  <si>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</si>
  <si>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</si>
  <si>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</si>
  <si>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</si>
  <si>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</si>
  <si>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</si>
  <si>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</si>
  <si>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</si>
  <si>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</si>
  <si>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</si>
  <si>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</si>
  <si>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</si>
  <si>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</si>
  <si>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</si>
  <si>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</si>
  <si>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</si>
  <si>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</si>
  <si>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</si>
  <si>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</si>
  <si>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</si>
  <si>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</si>
  <si>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</si>
  <si>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</si>
  <si>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</si>
  <si>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</si>
  <si>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</si>
  <si>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</si>
  <si>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</si>
  <si>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</si>
  <si>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</si>
  <si>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</si>
  <si>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</si>
  <si>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</si>
  <si>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</si>
  <si>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</si>
  <si>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</si>
  <si>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</si>
  <si>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</si>
  <si>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</si>
  <si>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</si>
  <si>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</si>
  <si>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</si>
  <si>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</si>
  <si>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</si>
  <si>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</si>
  <si>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</si>
  <si>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</si>
  <si>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</si>
  <si>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</si>
  <si>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</si>
  <si>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</si>
  <si>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</si>
  <si>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</si>
  <si>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</si>
  <si>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</si>
  <si>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</si>
  <si>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</si>
  <si>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</si>
  <si>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</si>
  <si>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</si>
  <si>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</si>
  <si>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</si>
  <si>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</si>
  <si>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</si>
  <si>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</si>
  <si>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</si>
  <si>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</si>
  <si>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</si>
  <si>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</si>
  <si>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</si>
  <si>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</si>
  <si>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</si>
  <si>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</si>
  <si>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</si>
  <si>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</si>
  <si>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</si>
  <si>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</si>
  <si>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</si>
  <si>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</si>
  <si>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</si>
  <si>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</si>
  <si>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</si>
  <si>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</si>
  <si>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</si>
  <si>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</si>
  <si>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</si>
  <si>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</si>
  <si>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</si>
  <si>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</si>
  <si>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</si>
  <si>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</si>
  <si>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</si>
  <si>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</si>
  <si>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</si>
  <si>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</si>
  <si>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</si>
  <si>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</si>
  <si>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</si>
  <si>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</si>
  <si>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</si>
  <si>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</si>
  <si>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</si>
  <si>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</si>
  <si>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</si>
  <si>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</si>
  <si>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</si>
  <si>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</si>
  <si>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</si>
  <si>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</si>
  <si>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</si>
  <si>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</si>
  <si>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</si>
  <si>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</si>
  <si>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</si>
  <si>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</si>
  <si>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</si>
  <si>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</si>
  <si>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</si>
  <si>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</si>
  <si>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</si>
  <si>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</si>
  <si>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</si>
  <si>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</si>
  <si>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</si>
  <si>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</si>
  <si>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</si>
  <si>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</si>
  <si>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</si>
  <si>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</si>
  <si>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</si>
  <si>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</si>
  <si>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</si>
  <si>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</si>
  <si>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</si>
  <si>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</si>
  <si>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</si>
  <si>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</si>
  <si>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</si>
  <si>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</si>
  <si>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</si>
  <si>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</si>
  <si>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</si>
  <si>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</si>
  <si>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</si>
  <si>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</si>
  <si>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</si>
  <si>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</si>
  <si>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</si>
  <si>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</si>
  <si>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</si>
  <si>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</si>
  <si>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</si>
  <si>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</si>
  <si>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</si>
  <si>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</si>
  <si>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</si>
  <si>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</si>
  <si>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</si>
  <si>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</si>
  <si>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</si>
  <si>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</si>
  <si>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</si>
  <si>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</si>
  <si>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</si>
  <si>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</si>
  <si>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</si>
  <si>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</si>
  <si>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</si>
  <si>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</si>
  <si>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</si>
  <si>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</si>
  <si>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</si>
  <si>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</si>
  <si>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</si>
  <si>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</si>
  <si>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</si>
  <si>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</si>
  <si>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</si>
  <si>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</si>
  <si>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</si>
  <si>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</si>
  <si>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</si>
  <si>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</si>
  <si>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</si>
  <si>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</si>
  <si>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</si>
  <si>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</si>
  <si>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</si>
  <si>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</si>
  <si>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</si>
  <si>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</si>
  <si>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</si>
  <si>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</si>
  <si>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</si>
  <si>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</si>
  <si>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</si>
  <si>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</si>
  <si>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</si>
  <si>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</si>
  <si>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</si>
  <si>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</si>
  <si>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</si>
  <si>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</si>
  <si>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</si>
  <si>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</si>
  <si>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</si>
  <si>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</si>
  <si>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</si>
  <si>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</si>
  <si>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</si>
  <si>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</si>
  <si>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</si>
  <si>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</si>
  <si>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</si>
  <si>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</si>
  <si>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</si>
  <si>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</si>
  <si>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</si>
  <si>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</si>
  <si>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</si>
  <si>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</si>
  <si>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</si>
  <si>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</si>
  <si>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</si>
  <si>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</si>
  <si>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</si>
  <si>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</si>
  <si>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</si>
  <si>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</si>
  <si>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</si>
  <si>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</si>
  <si>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</si>
  <si>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</si>
  <si>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</si>
  <si>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</si>
  <si>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</si>
  <si>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</si>
  <si>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</si>
  <si>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</si>
  <si>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</si>
  <si>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</si>
  <si>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</si>
  <si>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</si>
  <si>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</si>
  <si>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</si>
  <si>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</si>
  <si>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</si>
  <si>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</si>
  <si>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</si>
  <si>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</si>
  <si>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</si>
  <si>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</si>
  <si>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</si>
  <si>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</si>
  <si>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</si>
  <si>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</si>
  <si>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</si>
  <si>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</si>
  <si>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</si>
  <si>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</si>
  <si>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</si>
  <si>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</si>
  <si>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</si>
  <si>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</si>
  <si>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</si>
  <si>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</si>
  <si>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</si>
  <si>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</si>
  <si>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</si>
  <si>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</si>
  <si>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</si>
  <si>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</si>
  <si>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</si>
  <si>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</si>
  <si>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</si>
  <si>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</si>
  <si>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</si>
  <si>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</si>
  <si>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</si>
  <si>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</si>
  <si>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</si>
  <si>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</si>
  <si>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</si>
  <si>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</si>
  <si>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</si>
  <si>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</si>
  <si>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</si>
  <si>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</si>
  <si>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</si>
  <si>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</si>
  <si>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</si>
  <si>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</si>
  <si>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</si>
  <si>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</si>
  <si>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</si>
  <si>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</si>
  <si>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</si>
  <si>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</si>
  <si>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</si>
  <si>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</si>
  <si>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</si>
  <si>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</si>
  <si>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</si>
  <si>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</si>
  <si>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</si>
  <si>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</si>
  <si>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</si>
  <si>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</si>
  <si>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</si>
  <si>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</si>
  <si>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</si>
  <si>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</si>
  <si>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</si>
  <si>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</si>
  <si>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</si>
  <si>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</si>
  <si>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</si>
  <si>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</si>
  <si>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</si>
  <si>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</si>
  <si>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</si>
  <si>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</si>
  <si>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</si>
  <si>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</si>
  <si>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</si>
  <si>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</si>
  <si>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</si>
  <si>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</si>
  <si>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</si>
  <si>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</si>
  <si>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</si>
  <si>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</si>
  <si>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</si>
  <si>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</si>
  <si>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</si>
  <si>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</si>
  <si>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</si>
  <si>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</si>
  <si>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</si>
  <si>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</si>
  <si>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</si>
  <si>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</si>
  <si>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</si>
  <si>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</si>
  <si>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</si>
  <si>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</si>
  <si>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</si>
  <si>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</si>
  <si>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</si>
  <si>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</si>
  <si>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</si>
  <si>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</si>
  <si>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</si>
  <si>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</si>
  <si>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</si>
  <si>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</si>
  <si>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</si>
  <si>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</si>
  <si>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</si>
  <si>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</si>
  <si>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</si>
  <si>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</si>
  <si>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</si>
  <si>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</si>
  <si>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</si>
  <si>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</si>
  <si>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</si>
  <si>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</si>
  <si>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</si>
  <si>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</si>
  <si>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</si>
  <si>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</si>
  <si>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</si>
  <si>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</si>
  <si>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</si>
  <si>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</si>
  <si>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</si>
  <si>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</si>
  <si>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</si>
  <si>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</si>
  <si>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</si>
  <si>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</si>
  <si>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</si>
  <si>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</si>
  <si>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</si>
  <si>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</si>
  <si>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</si>
  <si>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</si>
  <si>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</si>
  <si>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</si>
  <si>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</si>
  <si>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</si>
  <si>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</si>
  <si>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</si>
  <si>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</si>
  <si>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</si>
  <si>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</si>
  <si>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</si>
  <si>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</si>
  <si>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</si>
  <si>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</si>
  <si>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</si>
  <si>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</si>
  <si>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</si>
  <si>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</si>
  <si>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</si>
  <si>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</si>
  <si>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</si>
  <si>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</si>
  <si>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</si>
  <si>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</si>
  <si>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</si>
  <si>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</si>
  <si>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</si>
  <si>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</si>
  <si>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</si>
  <si>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</si>
  <si>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</si>
  <si>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</si>
  <si>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</si>
  <si>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</si>
  <si>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</si>
  <si>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</si>
  <si>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</si>
  <si>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</si>
  <si>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</si>
  <si>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</si>
  <si>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</si>
  <si>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</si>
  <si>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</si>
  <si>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</si>
  <si>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</si>
  <si>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</si>
  <si>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</si>
  <si>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</si>
  <si>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</si>
  <si>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</si>
  <si>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</si>
  <si>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</si>
  <si>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</si>
  <si>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</si>
  <si>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</si>
  <si>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</si>
  <si>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</si>
  <si>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</si>
  <si>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</si>
  <si>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</si>
  <si>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</si>
  <si>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</si>
  <si>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</si>
  <si>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</si>
  <si>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</si>
  <si>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</si>
  <si>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</si>
  <si>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</si>
  <si>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</si>
  <si>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</si>
  <si>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</si>
  <si>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</si>
  <si>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</si>
  <si>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</si>
  <si>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</si>
  <si>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</si>
  <si>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</si>
  <si>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</si>
  <si>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</si>
  <si>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</si>
  <si>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</si>
  <si>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</si>
  <si>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</si>
  <si>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</si>
  <si>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</si>
  <si>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</si>
  <si>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</si>
  <si>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</si>
  <si>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</si>
  <si>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</si>
  <si>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</si>
  <si>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</si>
  <si>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</si>
  <si>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</si>
  <si>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</si>
  <si>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</si>
  <si>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</si>
  <si>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</si>
  <si>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</si>
  <si>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</si>
  <si>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</si>
  <si>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</si>
  <si>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</si>
  <si>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</si>
  <si>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</si>
  <si>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</si>
  <si>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</si>
  <si>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</si>
  <si>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</si>
  <si>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</si>
  <si>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</si>
  <si>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</si>
  <si>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</si>
  <si>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</si>
  <si>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</si>
  <si>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</si>
  <si>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</si>
  <si>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</si>
  <si>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</si>
  <si>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</si>
  <si>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</si>
  <si>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</si>
  <si>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</si>
  <si>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</si>
  <si>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</si>
  <si>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</si>
  <si>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</si>
  <si>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</si>
  <si>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</si>
  <si>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</si>
  <si>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</si>
  <si>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</si>
  <si>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</si>
  <si>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</si>
  <si>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</si>
  <si>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</si>
  <si>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</si>
  <si>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</si>
  <si>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</si>
  <si>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</si>
  <si>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</si>
  <si>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</si>
  <si>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</si>
  <si>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</si>
  <si>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</si>
  <si>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</si>
  <si>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</si>
  <si>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</si>
  <si>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</si>
  <si>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</si>
  <si>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</si>
  <si>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</si>
  <si>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</si>
  <si>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</si>
  <si>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</si>
  <si>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</si>
  <si>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</si>
  <si>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</si>
  <si>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</si>
  <si>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</si>
  <si>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</si>
  <si>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</si>
  <si>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</si>
  <si>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</si>
  <si>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</si>
  <si>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</si>
  <si>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</si>
  <si>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</si>
  <si>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</si>
  <si>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</si>
  <si>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</si>
  <si>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</si>
  <si>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</si>
  <si>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</si>
  <si>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</si>
  <si>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</si>
  <si>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</si>
  <si>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</si>
  <si>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</si>
  <si>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</si>
  <si>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</si>
  <si>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</si>
  <si>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</si>
  <si>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</si>
  <si>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</si>
  <si>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</si>
  <si>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</si>
  <si>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</si>
  <si>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</si>
  <si>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</si>
  <si>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</si>
  <si>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</si>
  <si>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</si>
  <si>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</si>
  <si>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</si>
  <si>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</si>
  <si>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</si>
  <si>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</si>
  <si>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</si>
  <si>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</si>
  <si>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</si>
  <si>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</si>
  <si>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</si>
  <si>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</si>
  <si>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</si>
  <si>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</si>
  <si>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</si>
  <si>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</si>
  <si>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</si>
  <si>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</si>
  <si>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</si>
  <si>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</si>
  <si>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</si>
  <si>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</si>
  <si>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</si>
  <si>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</si>
  <si>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</si>
  <si>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</si>
  <si>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</si>
  <si>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</si>
  <si>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</si>
  <si>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</si>
  <si>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</si>
  <si>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</si>
  <si>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</si>
  <si>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</si>
  <si>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</si>
  <si>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</si>
  <si>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</si>
  <si>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</si>
  <si>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</si>
  <si>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</si>
  <si>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</si>
  <si>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</si>
  <si>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</si>
  <si>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</si>
  <si>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</si>
  <si>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</si>
  <si>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</si>
  <si>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</si>
  <si>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</si>
  <si>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</si>
  <si>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</si>
  <si>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</si>
  <si>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</si>
  <si>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</si>
  <si>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</si>
  <si>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</si>
  <si>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</si>
  <si>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</si>
  <si>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</si>
  <si>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</si>
  <si>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</si>
  <si>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</si>
  <si>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</si>
  <si>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</si>
  <si>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</si>
  <si>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</si>
  <si>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</si>
  <si>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</si>
  <si>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</si>
  <si>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</si>
  <si>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</si>
  <si>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</si>
  <si>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</si>
  <si>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</si>
  <si>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</si>
  <si>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</si>
  <si>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</si>
  <si>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</si>
  <si>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</si>
  <si>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</si>
  <si>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</si>
  <si>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</si>
  <si>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</si>
  <si>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</si>
  <si>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</si>
  <si>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</si>
  <si>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</si>
  <si>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</si>
  <si>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</si>
  <si>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</si>
  <si>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</si>
  <si>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</si>
  <si>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</si>
  <si>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</si>
  <si>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</si>
  <si>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</si>
  <si>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</si>
  <si>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</si>
  <si>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</si>
  <si>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</si>
  <si>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</si>
  <si>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</si>
  <si>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</si>
  <si>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</si>
  <si>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</si>
  <si>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</si>
  <si>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</si>
  <si>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</si>
  <si>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</si>
  <si>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</si>
  <si>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</si>
  <si>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</si>
  <si>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</si>
  <si>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</si>
  <si>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</si>
  <si>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</si>
  <si>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</si>
  <si>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</si>
  <si>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</si>
  <si>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</si>
  <si>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</si>
  <si>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</si>
  <si>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</si>
  <si>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</si>
  <si>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</si>
  <si>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</si>
  <si>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</si>
  <si>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</si>
  <si>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</si>
  <si>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</si>
  <si>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</si>
  <si>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</si>
  <si>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</si>
  <si>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</si>
  <si>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</si>
  <si>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</si>
  <si>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</si>
  <si>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</si>
  <si>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</si>
  <si>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</si>
  <si>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</si>
  <si>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</si>
  <si>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</si>
  <si>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</si>
  <si>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</si>
  <si>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</si>
  <si>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</si>
  <si>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</si>
  <si>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</si>
  <si>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</si>
  <si>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</si>
  <si>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</si>
  <si>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</si>
  <si>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</si>
  <si>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</si>
  <si>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</si>
  <si>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</si>
  <si>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</si>
  <si>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</si>
  <si>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</si>
  <si>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</si>
  <si>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</si>
  <si>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</si>
  <si>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</si>
  <si>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</si>
  <si>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</si>
  <si>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</si>
  <si>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</si>
  <si>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</si>
  <si>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</si>
  <si>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</si>
  <si>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</si>
  <si>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</si>
  <si>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</si>
  <si>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</si>
  <si>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</si>
  <si>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</si>
  <si>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</si>
  <si>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</si>
  <si>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</si>
  <si>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</si>
  <si>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</si>
  <si>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</si>
  <si>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</si>
  <si>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</si>
  <si>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</si>
  <si>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</si>
  <si>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</si>
  <si>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</si>
  <si>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</si>
  <si>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</si>
  <si>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</si>
  <si>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</si>
  <si>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</si>
  <si>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</si>
  <si>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</si>
  <si>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</si>
  <si>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</si>
  <si>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</si>
  <si>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</si>
  <si>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</si>
  <si>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</si>
  <si>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</si>
  <si>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</si>
  <si>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</si>
  <si>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</si>
  <si>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</si>
  <si>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</si>
  <si>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</si>
  <si>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</si>
  <si>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</si>
  <si>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</si>
  <si>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</si>
  <si>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</si>
  <si>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</si>
  <si>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</si>
  <si>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</si>
  <si>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</si>
  <si>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</si>
  <si>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</si>
  <si>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</si>
  <si>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</si>
  <si>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</si>
  <si>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</si>
  <si>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</si>
  <si>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</si>
  <si>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</si>
  <si>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</si>
  <si>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</si>
  <si>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</si>
  <si>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</si>
  <si>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</si>
  <si>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</si>
  <si>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</si>
  <si>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</si>
  <si>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</si>
  <si>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</si>
  <si>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</si>
  <si>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</si>
  <si>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</si>
  <si>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</si>
  <si>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</si>
  <si>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</si>
  <si>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</si>
  <si>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</si>
  <si>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</si>
  <si>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</si>
  <si>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</si>
  <si>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</si>
  <si>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</si>
  <si>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</si>
  <si>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</si>
  <si>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</si>
  <si>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</si>
  <si>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</si>
  <si>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</si>
  <si>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</si>
  <si>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</si>
  <si>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</si>
  <si>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</si>
  <si>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</si>
  <si>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</si>
  <si>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</si>
  <si>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</si>
  <si>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</si>
  <si>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</si>
  <si>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</si>
  <si>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</si>
  <si>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</si>
  <si>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</si>
  <si>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</si>
  <si>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</si>
  <si>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</si>
  <si>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</si>
  <si>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</si>
  <si>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</si>
  <si>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</si>
  <si>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</si>
  <si>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</si>
  <si>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</si>
  <si>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</si>
  <si>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</si>
  <si>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</si>
  <si>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</si>
  <si>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</si>
  <si>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</si>
  <si>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</si>
  <si>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</si>
  <si>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</si>
  <si>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</si>
  <si>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</si>
  <si>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</si>
  <si>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</si>
  <si>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</si>
  <si>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</si>
  <si>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</si>
  <si>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</si>
  <si>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</si>
  <si>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</si>
  <si>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</si>
  <si>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</si>
  <si>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</si>
  <si>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</si>
  <si>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</si>
  <si>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</si>
  <si>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</si>
  <si>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</si>
  <si>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</si>
  <si>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</si>
  <si>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</si>
  <si>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</si>
  <si>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</si>
  <si>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</si>
  <si>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</si>
  <si>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</si>
  <si>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</si>
  <si>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</si>
  <si>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</si>
  <si>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</si>
  <si>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</si>
  <si>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</si>
  <si>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</si>
  <si>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</si>
  <si>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</si>
  <si>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</si>
  <si>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</si>
  <si>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</si>
  <si>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</si>
  <si>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</si>
  <si>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</si>
  <si>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</si>
  <si>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</si>
  <si>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</si>
  <si>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</si>
  <si>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</si>
  <si>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</si>
  <si>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</si>
  <si>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</si>
  <si>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</si>
  <si>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</si>
  <si>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</si>
  <si>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</si>
  <si>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</si>
  <si>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</si>
  <si>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</si>
  <si>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</si>
  <si>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</si>
  <si>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</si>
  <si>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</si>
  <si>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</si>
  <si>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</si>
  <si>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</si>
  <si>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</si>
  <si>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</si>
  <si>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</si>
  <si>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</si>
  <si>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</si>
  <si>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</si>
  <si>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</si>
  <si>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</si>
  <si>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</si>
  <si>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</si>
  <si>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</si>
  <si>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</si>
  <si>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</si>
  <si>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</si>
  <si>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</si>
  <si>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</si>
  <si>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</si>
  <si>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</si>
  <si>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</si>
  <si>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</si>
  <si>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</si>
  <si>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</si>
  <si>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</si>
  <si>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</si>
  <si>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</si>
  <si>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</si>
  <si>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</si>
  <si>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</si>
  <si>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</si>
  <si>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</si>
  <si>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</si>
  <si>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</si>
  <si>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</si>
  <si>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</si>
  <si>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</si>
  <si>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</si>
  <si>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</si>
  <si>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</si>
  <si>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</si>
  <si>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</si>
  <si>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</si>
  <si>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</si>
  <si>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</si>
  <si>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</si>
  <si>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</si>
  <si>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</si>
  <si>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</si>
  <si>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</si>
  <si>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</si>
  <si>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</si>
  <si>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</si>
  <si>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</si>
  <si>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</si>
  <si>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</si>
  <si>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</si>
  <si>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</si>
  <si>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</si>
  <si>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</si>
  <si>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</si>
  <si>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</si>
  <si>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</si>
  <si>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</si>
  <si>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</si>
  <si>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</si>
  <si>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</si>
  <si>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</si>
  <si>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</si>
  <si>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</si>
  <si>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</si>
  <si>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</si>
  <si>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</si>
  <si>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</si>
  <si>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</si>
  <si>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</si>
  <si>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</si>
  <si>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</si>
  <si>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</si>
  <si>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</si>
  <si>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</si>
  <si>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</si>
  <si>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</si>
  <si>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</si>
  <si>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</si>
  <si>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</si>
  <si>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</si>
  <si>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</si>
  <si>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</si>
  <si>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</si>
  <si>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</si>
  <si>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</si>
  <si>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</si>
  <si>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</si>
  <si>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</si>
  <si>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</si>
  <si>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</si>
  <si>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</si>
  <si>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</si>
  <si>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</si>
  <si>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</si>
  <si>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</si>
  <si>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</si>
  <si>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</si>
  <si>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</si>
  <si>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</si>
  <si>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</si>
  <si>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</si>
  <si>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</si>
  <si>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</si>
  <si>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</si>
  <si>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</si>
  <si>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</si>
  <si>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</si>
  <si>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</si>
  <si>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</si>
  <si>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</si>
  <si>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</si>
  <si>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</si>
  <si>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</si>
  <si>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</si>
  <si>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</si>
  <si>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</si>
  <si>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</si>
  <si>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</si>
  <si>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</si>
  <si>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</si>
  <si>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</si>
  <si>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</si>
  <si>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</si>
  <si>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</si>
  <si>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</si>
  <si>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</si>
  <si>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</si>
  <si>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</si>
  <si>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</si>
  <si>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</si>
  <si>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</si>
  <si>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</si>
  <si>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</si>
  <si>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</si>
  <si>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</si>
  <si>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</si>
  <si>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</si>
  <si>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</si>
  <si>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</si>
  <si>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</si>
  <si>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</si>
  <si>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</si>
  <si>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</si>
  <si>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</si>
  <si>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</si>
  <si>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</si>
  <si>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</si>
  <si>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</si>
  <si>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</si>
  <si>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</si>
  <si>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</si>
  <si>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</si>
  <si>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</si>
  <si>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</si>
  <si>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</si>
  <si>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</si>
  <si>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</si>
  <si>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</si>
  <si>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</si>
  <si>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</si>
  <si>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</si>
  <si>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</si>
  <si>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</si>
  <si>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</si>
  <si>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</si>
  <si>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</si>
  <si>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</si>
  <si>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</si>
  <si>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</si>
  <si>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</si>
  <si>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</si>
  <si>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</si>
  <si>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</si>
  <si>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</si>
  <si>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</si>
  <si>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</si>
  <si>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</si>
  <si>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</si>
  <si>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</si>
  <si>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</si>
  <si>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</si>
  <si>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</si>
  <si>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</si>
  <si>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</si>
  <si>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</si>
  <si>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</si>
  <si>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</si>
  <si>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</si>
  <si>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</si>
  <si>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</si>
  <si>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</si>
  <si>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</si>
  <si>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</si>
  <si>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</si>
  <si>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</si>
  <si>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</si>
  <si>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</si>
  <si>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</si>
  <si>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</si>
  <si>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</si>
  <si>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</si>
  <si>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</si>
  <si>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</si>
  <si>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</si>
  <si>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</si>
  <si>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</si>
  <si>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</si>
  <si>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</si>
  <si>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</si>
  <si>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</si>
  <si>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</si>
  <si>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</si>
  <si>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</si>
  <si>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</si>
  <si>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</si>
  <si>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</si>
  <si>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</si>
  <si>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</si>
  <si>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</si>
  <si>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</si>
  <si>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</si>
  <si>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</si>
  <si>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</si>
  <si>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</si>
  <si>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</si>
  <si>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</si>
  <si>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</si>
  <si>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</si>
  <si>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</si>
  <si>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</si>
  <si>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</si>
  <si>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</si>
  <si>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</si>
  <si>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</si>
  <si>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</si>
  <si>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</si>
  <si>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</si>
  <si>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</si>
  <si>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</si>
  <si>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</si>
  <si>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</si>
  <si>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</si>
  <si>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</si>
  <si>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</si>
  <si>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</si>
  <si>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</si>
  <si>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</si>
  <si>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</si>
  <si>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</si>
  <si>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</si>
  <si>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</si>
  <si>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</si>
  <si>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</si>
  <si>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</si>
  <si>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</si>
  <si>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</si>
  <si>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</si>
  <si>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</si>
  <si>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</si>
  <si>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</si>
  <si>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</si>
  <si>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</si>
  <si>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</si>
  <si>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</si>
  <si>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</si>
  <si>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</si>
  <si>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</si>
  <si>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</si>
  <si>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</si>
  <si>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</si>
  <si>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</si>
  <si>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</si>
  <si>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</si>
  <si>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</si>
  <si>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</si>
  <si>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</si>
  <si>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</si>
  <si>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</si>
  <si>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</si>
  <si>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</si>
  <si>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</si>
  <si>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</si>
  <si>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</si>
  <si>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</si>
  <si>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</si>
  <si>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</si>
  <si>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</si>
  <si>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</si>
  <si>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</si>
  <si>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</si>
  <si>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</si>
  <si>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</si>
  <si>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</si>
  <si>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</si>
  <si>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</si>
  <si>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</si>
  <si>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</si>
  <si>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</si>
  <si>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</si>
  <si>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</si>
  <si>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</si>
  <si>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</si>
  <si>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</si>
  <si>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</si>
  <si>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</si>
  <si>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</si>
  <si>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</si>
  <si>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</si>
  <si>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</si>
  <si>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</si>
  <si>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</si>
  <si>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</si>
  <si>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</si>
  <si>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</si>
  <si>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</si>
  <si>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</si>
  <si>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</si>
  <si>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</si>
  <si>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</si>
  <si>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</si>
  <si>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</si>
  <si>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</si>
  <si>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</si>
  <si>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</si>
  <si>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</si>
  <si>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</si>
  <si>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</si>
  <si>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</si>
  <si>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</si>
  <si>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</si>
  <si>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</si>
  <si>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</si>
  <si>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</si>
  <si>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</si>
  <si>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</si>
  <si>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</si>
  <si>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</si>
  <si>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</si>
  <si>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</si>
  <si>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</si>
  <si>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</si>
  <si>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</si>
  <si>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</si>
  <si>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</si>
  <si>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</si>
  <si>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</si>
  <si>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</si>
  <si>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</si>
  <si>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</si>
  <si>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</si>
  <si>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</si>
  <si>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</si>
  <si>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</si>
  <si>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</si>
  <si>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</si>
  <si>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</si>
  <si>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</si>
  <si>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</si>
  <si>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</si>
  <si>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</si>
  <si>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</si>
  <si>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</si>
  <si>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</si>
  <si>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</si>
  <si>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</si>
  <si>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</si>
  <si>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</si>
  <si>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</si>
  <si>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</si>
  <si>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</si>
  <si>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</si>
  <si>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</si>
  <si>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</si>
  <si>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</si>
  <si>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</si>
  <si>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</si>
  <si>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</si>
  <si>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</si>
  <si>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</si>
  <si>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</si>
  <si>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</si>
  <si>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</si>
  <si>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</si>
  <si>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</si>
  <si>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</si>
  <si>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</si>
  <si>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</si>
  <si>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</si>
  <si>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</si>
  <si>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</si>
  <si>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</si>
  <si>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</si>
  <si>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</si>
  <si>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</si>
  <si>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</si>
  <si>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</si>
  <si>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</si>
  <si>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</si>
  <si>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</si>
  <si>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</si>
  <si>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</si>
  <si>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</si>
  <si>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</si>
  <si>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</si>
  <si>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</si>
  <si>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</si>
  <si>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</si>
  <si>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</si>
  <si>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</si>
  <si>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</si>
  <si>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</si>
  <si>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</si>
  <si>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</si>
  <si>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</si>
  <si>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</si>
  <si>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</si>
  <si>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</si>
  <si>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</si>
  <si>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</si>
  <si>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</si>
  <si>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</si>
  <si>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</si>
  <si>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</si>
  <si>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</si>
  <si>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</si>
  <si>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</si>
  <si>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</si>
  <si>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</si>
  <si>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</si>
  <si>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</si>
  <si>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</si>
  <si>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</si>
  <si>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</si>
  <si>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</si>
  <si>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</si>
  <si>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</si>
  <si>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</si>
  <si>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</si>
  <si>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</si>
  <si>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</si>
  <si>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</si>
  <si>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</si>
  <si>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</si>
  <si>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</si>
  <si>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</si>
  <si>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</si>
  <si>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</si>
  <si>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</si>
  <si>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</si>
  <si>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</si>
  <si>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</si>
  <si>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</si>
  <si>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</si>
  <si>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</si>
  <si>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</si>
  <si>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</si>
  <si>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</si>
  <si>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</si>
  <si>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</si>
  <si>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</si>
  <si>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</si>
  <si>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</si>
  <si>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</si>
  <si>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</si>
  <si>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</si>
  <si>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</si>
  <si>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</si>
  <si>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</si>
  <si>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</si>
  <si>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</si>
  <si>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</si>
  <si>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</si>
  <si>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</si>
  <si>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</si>
  <si>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</si>
  <si>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</si>
  <si>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</si>
  <si>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</si>
  <si>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</si>
  <si>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</si>
  <si>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</si>
  <si>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</si>
  <si>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</si>
  <si>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</si>
  <si>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</si>
  <si>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</si>
  <si>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</si>
  <si>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</si>
  <si>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</si>
  <si>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</si>
  <si>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</si>
  <si>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</si>
  <si>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</si>
  <si>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</si>
  <si>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</si>
  <si>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</si>
  <si>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</si>
  <si>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</si>
  <si>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</si>
  <si>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</si>
  <si>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</si>
  <si>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</si>
  <si>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</si>
  <si>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</si>
  <si>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</si>
  <si>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</si>
  <si>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</si>
  <si>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</si>
  <si>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</si>
  <si>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</si>
  <si>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</si>
  <si>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</si>
  <si>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</si>
  <si>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</si>
  <si>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</si>
  <si>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</si>
  <si>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</si>
  <si>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</si>
  <si>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</si>
  <si>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</si>
  <si>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</si>
  <si>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</si>
  <si>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</si>
  <si>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</si>
  <si>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</si>
  <si>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</si>
  <si>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</si>
  <si>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</si>
  <si>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</si>
  <si>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</si>
  <si>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</si>
  <si>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</si>
  <si>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反噬光环(被动)</t>
  </si>
  <si>
    <t>Reflection Aura</t>
  </si>
  <si>
    <t>Mana Tap</t>
  </si>
  <si>
    <t>附近范围内所有友军可以反射一切法术。</t>
  </si>
  <si>
    <t>受影响的单位每次施放法术，会流失等值的所消耗法力值。</t>
  </si>
  <si>
    <t>龙巫妖</t>
  </si>
  <si>
    <t>Dracolich</t>
  </si>
  <si>
    <t>冰冻坟墓</t>
  </si>
  <si>
    <t>Frost Grave</t>
  </si>
  <si>
    <t>冰冻目标及目标附近所有单位，对冰冻的目标每秒造成200点法术伤害。</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</si>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</sst>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7">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tabSelected="1" zoomScaleNormal="100" workbookViewId="0">
      <pane xSplit="3" ySplit="1" topLeftCell="D2" activePane="bottomRight" state="frozenSplit"/>
      <selection pane="topRight" activeCell="D1" sqref="D1"/>
      <selection pane="bottomLeft" activeCell="A2" sqref="A2"/>
      <selection pane="bottomRight" activeCell="E233" sqref="E233"/>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50" customWidth="1"/>
    <col min="19" max="19" width="75.7109375" style="53" hidden="1" customWidth="1"/>
    <col min="20" max="16384" width="17.28515625" style="15"/>
  </cols>
  <sheetData>
    <row r="1" spans="1:19" s="45" customFormat="1" x14ac:dyDescent="0.35">
      <c r="A1" s="46" t="s">
        <v>0</v>
      </c>
      <c r="B1" s="50" t="s">
        <v>1</v>
      </c>
      <c r="C1" s="57" t="s">
        <v>110</v>
      </c>
      <c r="D1" s="57" t="s">
        <v>925</v>
      </c>
      <c r="E1" s="47" t="s">
        <v>2</v>
      </c>
      <c r="F1" s="47" t="s">
        <v>879</v>
      </c>
      <c r="G1" s="55" t="s">
        <v>880</v>
      </c>
      <c r="H1" s="54" t="s">
        <v>881</v>
      </c>
      <c r="I1" s="55" t="s">
        <v>882</v>
      </c>
      <c r="J1" s="54" t="s">
        <v>883</v>
      </c>
      <c r="K1" s="55" t="s">
        <v>884</v>
      </c>
      <c r="L1" s="54" t="s">
        <v>885</v>
      </c>
      <c r="M1" s="55" t="s">
        <v>5</v>
      </c>
      <c r="N1" s="149" t="s">
        <v>1723</v>
      </c>
      <c r="O1" s="47" t="s">
        <v>1725</v>
      </c>
      <c r="P1" s="46" t="s">
        <v>1724</v>
      </c>
      <c r="Q1" s="45" t="s">
        <v>7</v>
      </c>
      <c r="R1" s="151" t="s">
        <v>827</v>
      </c>
      <c r="S1" s="49" t="s">
        <v>973</v>
      </c>
    </row>
    <row r="2" spans="1:19" ht="33" x14ac:dyDescent="0.35">
      <c r="A2" s="153" t="s">
        <v>8</v>
      </c>
      <c r="B2" s="155" t="s">
        <v>9</v>
      </c>
      <c r="C2" s="156" t="s">
        <v>874</v>
      </c>
      <c r="D2" s="63" t="s">
        <v>926</v>
      </c>
      <c r="E2" s="64" t="s">
        <v>924</v>
      </c>
      <c r="F2" s="64"/>
      <c r="G2" s="64"/>
      <c r="H2" s="64"/>
      <c r="I2" s="64"/>
      <c r="J2" s="64"/>
      <c r="K2" s="64"/>
      <c r="L2" s="64"/>
      <c r="M2" s="64"/>
      <c r="N2" s="64" t="s">
        <v>1726</v>
      </c>
      <c r="O2" s="64" t="s">
        <v>1727</v>
      </c>
      <c r="P2" s="14"/>
      <c r="R2" s="150"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3"/>
      <c r="B3" s="155"/>
      <c r="C3" s="156"/>
      <c r="D3" s="61" t="s">
        <v>927</v>
      </c>
      <c r="E3" s="62" t="s">
        <v>10</v>
      </c>
      <c r="F3" s="62"/>
      <c r="G3" s="62"/>
      <c r="H3" s="62"/>
      <c r="I3" s="62"/>
      <c r="J3" s="62"/>
      <c r="K3" s="62">
        <v>30</v>
      </c>
      <c r="L3" s="62">
        <v>5</v>
      </c>
      <c r="M3" s="62">
        <v>7</v>
      </c>
      <c r="N3" s="62"/>
      <c r="O3" s="62"/>
      <c r="P3" s="14"/>
    </row>
    <row r="4" spans="1:19" x14ac:dyDescent="0.35">
      <c r="A4" s="153"/>
      <c r="B4" s="155"/>
      <c r="C4" s="156"/>
      <c r="D4" s="59" t="s">
        <v>928</v>
      </c>
      <c r="E4" s="60" t="s">
        <v>11</v>
      </c>
      <c r="F4" s="60"/>
      <c r="G4" s="60"/>
      <c r="H4" s="60"/>
      <c r="I4" s="60"/>
      <c r="J4" s="60"/>
      <c r="K4" s="60">
        <v>30</v>
      </c>
      <c r="L4" s="60">
        <v>5</v>
      </c>
      <c r="M4" s="60">
        <v>7</v>
      </c>
      <c r="N4" s="60"/>
      <c r="O4" s="60"/>
      <c r="P4" s="14"/>
    </row>
    <row r="5" spans="1:19" x14ac:dyDescent="0.35">
      <c r="A5" s="153"/>
      <c r="B5" s="155"/>
      <c r="C5" s="156"/>
      <c r="D5" s="61" t="s">
        <v>929</v>
      </c>
      <c r="E5" s="62" t="s">
        <v>12</v>
      </c>
      <c r="F5" s="62"/>
      <c r="G5" s="62"/>
      <c r="H5" s="62"/>
      <c r="I5" s="62"/>
      <c r="J5" s="62"/>
      <c r="K5" s="62">
        <v>30</v>
      </c>
      <c r="L5" s="62">
        <v>5</v>
      </c>
      <c r="M5" s="62">
        <v>7</v>
      </c>
      <c r="N5" s="62"/>
      <c r="O5" s="62"/>
      <c r="P5" s="14"/>
    </row>
    <row r="6" spans="1:19" ht="49.5" x14ac:dyDescent="0.35">
      <c r="A6" s="153"/>
      <c r="B6" s="155"/>
      <c r="C6" s="156"/>
      <c r="D6" s="59" t="s">
        <v>930</v>
      </c>
      <c r="E6" s="60" t="s">
        <v>933</v>
      </c>
      <c r="F6" s="60"/>
      <c r="G6" s="60"/>
      <c r="H6" s="60"/>
      <c r="I6" s="60"/>
      <c r="J6" s="60"/>
      <c r="K6" s="60"/>
      <c r="L6" s="60"/>
      <c r="M6" s="60"/>
      <c r="N6" s="60"/>
      <c r="O6" s="60"/>
      <c r="P6" s="14"/>
      <c r="R6" s="150"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3"/>
      <c r="B7" s="155"/>
      <c r="C7" s="156"/>
      <c r="D7" s="61" t="s">
        <v>931</v>
      </c>
      <c r="E7" s="62" t="s">
        <v>934</v>
      </c>
      <c r="F7" s="62"/>
      <c r="G7" s="62"/>
      <c r="H7" s="62"/>
      <c r="I7" s="62"/>
      <c r="J7" s="62"/>
      <c r="K7" s="62"/>
      <c r="L7" s="62"/>
      <c r="M7" s="62"/>
      <c r="N7" s="62"/>
      <c r="O7" s="62"/>
      <c r="P7" s="14"/>
      <c r="R7" s="150"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3"/>
      <c r="B8" s="155"/>
      <c r="C8" s="156"/>
      <c r="D8" s="59" t="s">
        <v>932</v>
      </c>
      <c r="E8" s="60" t="s">
        <v>935</v>
      </c>
      <c r="F8" s="60"/>
      <c r="G8" s="60"/>
      <c r="H8" s="60"/>
      <c r="I8" s="60"/>
      <c r="J8" s="60"/>
      <c r="K8" s="60"/>
      <c r="L8" s="60"/>
      <c r="M8" s="60"/>
      <c r="N8" s="60"/>
      <c r="O8" s="60"/>
      <c r="P8" s="14"/>
      <c r="R8" s="150"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4"/>
      <c r="B9" s="51" t="s">
        <v>21</v>
      </c>
      <c r="C9" s="65" t="s">
        <v>875</v>
      </c>
      <c r="D9" s="63" t="s">
        <v>926</v>
      </c>
      <c r="E9" s="64" t="s">
        <v>22</v>
      </c>
      <c r="F9" s="64"/>
      <c r="G9" s="64"/>
      <c r="H9" s="64"/>
      <c r="I9" s="64"/>
      <c r="J9" s="64"/>
      <c r="K9" s="64"/>
      <c r="L9" s="64"/>
      <c r="M9" s="64"/>
      <c r="N9" s="64"/>
      <c r="O9" s="64" t="s">
        <v>937</v>
      </c>
      <c r="P9" s="56"/>
      <c r="R9" s="150"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4"/>
      <c r="B10" s="51"/>
      <c r="C10" s="65"/>
      <c r="D10" s="61" t="s">
        <v>927</v>
      </c>
      <c r="E10" s="62" t="s">
        <v>23</v>
      </c>
      <c r="F10" s="62"/>
      <c r="G10" s="62"/>
      <c r="H10" s="62"/>
      <c r="I10" s="62"/>
      <c r="J10" s="62"/>
      <c r="K10" s="62"/>
      <c r="L10" s="62"/>
      <c r="M10" s="62"/>
      <c r="N10" s="62"/>
      <c r="O10" s="62"/>
      <c r="P10" s="70"/>
      <c r="R10" s="150"/>
      <c r="S10" s="53"/>
    </row>
    <row r="11" spans="1:19" s="16" customFormat="1" x14ac:dyDescent="0.35">
      <c r="A11" s="154"/>
      <c r="B11" s="51"/>
      <c r="C11" s="65"/>
      <c r="D11" s="59" t="s">
        <v>928</v>
      </c>
      <c r="E11" s="60" t="s">
        <v>24</v>
      </c>
      <c r="F11" s="60"/>
      <c r="G11" s="60"/>
      <c r="H11" s="60"/>
      <c r="I11" s="60"/>
      <c r="J11" s="60"/>
      <c r="K11" s="60"/>
      <c r="L11" s="60"/>
      <c r="M11" s="60"/>
      <c r="N11" s="60"/>
      <c r="O11" s="60"/>
      <c r="P11" s="70"/>
      <c r="R11" s="150"/>
      <c r="S11" s="53"/>
    </row>
    <row r="12" spans="1:19" s="16" customFormat="1" x14ac:dyDescent="0.35">
      <c r="A12" s="154"/>
      <c r="B12" s="51"/>
      <c r="C12" s="65"/>
      <c r="D12" s="61" t="s">
        <v>929</v>
      </c>
      <c r="E12" s="62" t="s">
        <v>25</v>
      </c>
      <c r="F12" s="62"/>
      <c r="G12" s="62"/>
      <c r="H12" s="62"/>
      <c r="I12" s="62"/>
      <c r="J12" s="62"/>
      <c r="K12" s="62"/>
      <c r="L12" s="62"/>
      <c r="M12" s="62"/>
      <c r="N12" s="62"/>
      <c r="O12" s="62"/>
      <c r="P12" s="70"/>
      <c r="R12" s="150"/>
      <c r="S12" s="53"/>
    </row>
    <row r="13" spans="1:19" s="16" customFormat="1" x14ac:dyDescent="0.35">
      <c r="A13" s="154"/>
      <c r="B13" s="51"/>
      <c r="C13" s="65"/>
      <c r="D13" s="59" t="s">
        <v>930</v>
      </c>
      <c r="E13" s="60"/>
      <c r="F13" s="60"/>
      <c r="G13" s="60"/>
      <c r="H13" s="60"/>
      <c r="I13" s="60"/>
      <c r="J13" s="60"/>
      <c r="K13" s="60"/>
      <c r="L13" s="60"/>
      <c r="M13" s="60"/>
      <c r="N13" s="60"/>
      <c r="O13" s="60"/>
      <c r="P13" s="70"/>
      <c r="R13" s="150" t="str">
        <f>uberTipCN(E13,G10:M10)</f>
        <v>|n|n</v>
      </c>
      <c r="S13" s="53"/>
    </row>
    <row r="14" spans="1:19" s="16" customFormat="1" x14ac:dyDescent="0.35">
      <c r="A14" s="154"/>
      <c r="B14" s="51"/>
      <c r="C14" s="65"/>
      <c r="D14" s="61" t="s">
        <v>931</v>
      </c>
      <c r="E14" s="62"/>
      <c r="F14" s="62"/>
      <c r="G14" s="62"/>
      <c r="H14" s="62"/>
      <c r="I14" s="62"/>
      <c r="J14" s="62"/>
      <c r="K14" s="62"/>
      <c r="L14" s="62"/>
      <c r="M14" s="62"/>
      <c r="N14" s="62"/>
      <c r="O14" s="62"/>
      <c r="P14" s="70"/>
      <c r="R14" s="150" t="str">
        <f>uberTipCN(E14,G11:M11)</f>
        <v>|n|n</v>
      </c>
      <c r="S14" s="53"/>
    </row>
    <row r="15" spans="1:19" s="16" customFormat="1" x14ac:dyDescent="0.35">
      <c r="A15" s="154"/>
      <c r="B15" s="51"/>
      <c r="C15" s="65"/>
      <c r="D15" s="59" t="s">
        <v>932</v>
      </c>
      <c r="E15" s="60"/>
      <c r="F15" s="60"/>
      <c r="G15" s="60"/>
      <c r="H15" s="60"/>
      <c r="I15" s="60"/>
      <c r="J15" s="60"/>
      <c r="K15" s="60"/>
      <c r="L15" s="60"/>
      <c r="M15" s="60"/>
      <c r="N15" s="60"/>
      <c r="O15" s="60"/>
      <c r="P15" s="70"/>
      <c r="R15" s="150" t="str">
        <f>uberTipCN(E15,G12:M12)</f>
        <v>|n|n</v>
      </c>
      <c r="S15" s="53"/>
    </row>
    <row r="16" spans="1:19" ht="49.5" x14ac:dyDescent="0.35">
      <c r="A16" s="154"/>
      <c r="B16" s="51" t="s">
        <v>27</v>
      </c>
      <c r="C16" s="65" t="s">
        <v>876</v>
      </c>
      <c r="D16" s="63" t="s">
        <v>926</v>
      </c>
      <c r="E16" s="64" t="s">
        <v>28</v>
      </c>
      <c r="F16" s="64" t="s">
        <v>974</v>
      </c>
      <c r="G16" s="64"/>
      <c r="H16" s="64"/>
      <c r="I16" s="64"/>
      <c r="J16" s="64"/>
      <c r="K16" s="64"/>
      <c r="L16" s="64"/>
      <c r="M16" s="64"/>
      <c r="N16" s="64"/>
      <c r="O16" s="64" t="s">
        <v>964</v>
      </c>
      <c r="P16" s="14"/>
      <c r="Q16" s="71"/>
      <c r="R16" s="150"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8"/>
    </row>
    <row r="17" spans="1:19" s="16" customFormat="1" x14ac:dyDescent="0.35">
      <c r="A17" s="154"/>
      <c r="B17" s="51"/>
      <c r="C17" s="65"/>
      <c r="D17" s="61" t="s">
        <v>927</v>
      </c>
      <c r="E17" s="62" t="s">
        <v>29</v>
      </c>
      <c r="F17" s="62" t="s">
        <v>975</v>
      </c>
      <c r="G17" s="62"/>
      <c r="H17" s="62"/>
      <c r="I17" s="62"/>
      <c r="J17" s="62"/>
      <c r="K17" s="62"/>
      <c r="L17" s="62"/>
      <c r="M17" s="62"/>
      <c r="N17" s="62"/>
      <c r="O17" s="62"/>
      <c r="P17" s="14"/>
      <c r="Q17" s="58"/>
      <c r="R17" s="150"/>
      <c r="S17" s="58"/>
    </row>
    <row r="18" spans="1:19" s="16" customFormat="1" x14ac:dyDescent="0.35">
      <c r="A18" s="154"/>
      <c r="B18" s="51"/>
      <c r="C18" s="65"/>
      <c r="D18" s="59" t="s">
        <v>928</v>
      </c>
      <c r="E18" s="60" t="s">
        <v>30</v>
      </c>
      <c r="F18" s="60" t="s">
        <v>976</v>
      </c>
      <c r="G18" s="60"/>
      <c r="H18" s="60"/>
      <c r="I18" s="60"/>
      <c r="J18" s="60"/>
      <c r="K18" s="60"/>
      <c r="L18" s="60"/>
      <c r="M18" s="60"/>
      <c r="N18" s="60"/>
      <c r="O18" s="60"/>
      <c r="P18" s="14"/>
      <c r="Q18" s="58"/>
      <c r="R18" s="150"/>
      <c r="S18" s="58"/>
    </row>
    <row r="19" spans="1:19" s="16" customFormat="1" x14ac:dyDescent="0.35">
      <c r="A19" s="154"/>
      <c r="B19" s="51"/>
      <c r="C19" s="65"/>
      <c r="D19" s="61" t="s">
        <v>929</v>
      </c>
      <c r="E19" s="62" t="s">
        <v>31</v>
      </c>
      <c r="F19" s="62" t="s">
        <v>977</v>
      </c>
      <c r="G19" s="62"/>
      <c r="H19" s="62"/>
      <c r="I19" s="62"/>
      <c r="J19" s="62"/>
      <c r="K19" s="62"/>
      <c r="L19" s="62"/>
      <c r="M19" s="62"/>
      <c r="N19" s="62"/>
      <c r="O19" s="62"/>
      <c r="P19" s="14"/>
      <c r="Q19" s="58"/>
      <c r="R19" s="150"/>
      <c r="S19" s="58"/>
    </row>
    <row r="20" spans="1:19" s="16" customFormat="1" x14ac:dyDescent="0.35">
      <c r="A20" s="154"/>
      <c r="B20" s="51"/>
      <c r="C20" s="65"/>
      <c r="D20" s="59" t="s">
        <v>930</v>
      </c>
      <c r="E20" s="60"/>
      <c r="F20" s="60"/>
      <c r="G20" s="60"/>
      <c r="H20" s="60"/>
      <c r="I20" s="60"/>
      <c r="J20" s="60"/>
      <c r="K20" s="60"/>
      <c r="L20" s="60"/>
      <c r="M20" s="60"/>
      <c r="N20" s="60"/>
      <c r="O20" s="60"/>
      <c r="P20" s="14"/>
      <c r="Q20" s="58"/>
      <c r="R20" s="150" t="str">
        <f>uberTipCN(E20,G17:M17)</f>
        <v>|n|n</v>
      </c>
      <c r="S20" s="58"/>
    </row>
    <row r="21" spans="1:19" s="16" customFormat="1" x14ac:dyDescent="0.35">
      <c r="A21" s="154"/>
      <c r="B21" s="51"/>
      <c r="C21" s="65"/>
      <c r="D21" s="61" t="s">
        <v>931</v>
      </c>
      <c r="E21" s="62"/>
      <c r="F21" s="62"/>
      <c r="G21" s="62"/>
      <c r="H21" s="62"/>
      <c r="I21" s="62"/>
      <c r="J21" s="62"/>
      <c r="K21" s="62"/>
      <c r="L21" s="62"/>
      <c r="M21" s="62"/>
      <c r="N21" s="62"/>
      <c r="O21" s="62"/>
      <c r="P21" s="14"/>
      <c r="Q21" s="58"/>
      <c r="R21" s="150" t="str">
        <f>uberTipCN(E21,G18:M18)</f>
        <v>|n|n</v>
      </c>
      <c r="S21" s="58"/>
    </row>
    <row r="22" spans="1:19" s="16" customFormat="1" x14ac:dyDescent="0.35">
      <c r="A22" s="154"/>
      <c r="B22" s="51"/>
      <c r="C22" s="65"/>
      <c r="D22" s="59" t="s">
        <v>932</v>
      </c>
      <c r="E22" s="60"/>
      <c r="F22" s="60"/>
      <c r="G22" s="60"/>
      <c r="H22" s="60"/>
      <c r="I22" s="60"/>
      <c r="J22" s="60"/>
      <c r="K22" s="60"/>
      <c r="L22" s="60"/>
      <c r="M22" s="60"/>
      <c r="N22" s="60"/>
      <c r="O22" s="60"/>
      <c r="P22" s="14"/>
      <c r="Q22" s="58"/>
      <c r="R22" s="150" t="str">
        <f>uberTipCN(E22,G19:M19)</f>
        <v>|n|n</v>
      </c>
      <c r="S22" s="58"/>
    </row>
    <row r="23" spans="1:19" ht="33" x14ac:dyDescent="0.35">
      <c r="A23" s="154"/>
      <c r="B23" s="51" t="s">
        <v>32</v>
      </c>
      <c r="C23" s="65" t="s">
        <v>877</v>
      </c>
      <c r="D23" s="63" t="s">
        <v>926</v>
      </c>
      <c r="E23" s="64" t="s">
        <v>33</v>
      </c>
      <c r="F23" s="64" t="s">
        <v>978</v>
      </c>
      <c r="G23" s="64"/>
      <c r="H23" s="64"/>
      <c r="I23" s="64"/>
      <c r="J23" s="64"/>
      <c r="K23" s="64"/>
      <c r="L23" s="64"/>
      <c r="M23" s="64"/>
      <c r="N23" s="64"/>
      <c r="O23" s="64" t="s">
        <v>938</v>
      </c>
      <c r="P23" s="14"/>
      <c r="R23" s="150"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4"/>
      <c r="B24" s="51"/>
      <c r="C24" s="65"/>
      <c r="D24" s="61" t="s">
        <v>927</v>
      </c>
      <c r="E24" s="62" t="s">
        <v>34</v>
      </c>
      <c r="F24" s="62"/>
      <c r="G24" s="62"/>
      <c r="H24" s="62"/>
      <c r="I24" s="62"/>
      <c r="J24" s="62"/>
      <c r="K24" s="62"/>
      <c r="L24" s="62"/>
      <c r="M24" s="62"/>
      <c r="N24" s="62"/>
      <c r="O24" s="62"/>
      <c r="P24" s="14"/>
      <c r="R24" s="150"/>
      <c r="S24" s="53"/>
    </row>
    <row r="25" spans="1:19" s="16" customFormat="1" x14ac:dyDescent="0.35">
      <c r="A25" s="154"/>
      <c r="B25" s="51"/>
      <c r="C25" s="65"/>
      <c r="D25" s="59" t="s">
        <v>928</v>
      </c>
      <c r="E25" s="60" t="s">
        <v>35</v>
      </c>
      <c r="F25" s="60"/>
      <c r="G25" s="60"/>
      <c r="H25" s="60"/>
      <c r="I25" s="60"/>
      <c r="J25" s="60"/>
      <c r="K25" s="60"/>
      <c r="L25" s="60"/>
      <c r="M25" s="60"/>
      <c r="N25" s="60"/>
      <c r="O25" s="60"/>
      <c r="P25" s="14"/>
      <c r="R25" s="150"/>
      <c r="S25" s="53"/>
    </row>
    <row r="26" spans="1:19" s="16" customFormat="1" x14ac:dyDescent="0.35">
      <c r="A26" s="154"/>
      <c r="B26" s="51"/>
      <c r="C26" s="65"/>
      <c r="D26" s="61" t="s">
        <v>929</v>
      </c>
      <c r="E26" s="62" t="s">
        <v>36</v>
      </c>
      <c r="F26" s="62"/>
      <c r="G26" s="62"/>
      <c r="H26" s="62"/>
      <c r="I26" s="62"/>
      <c r="J26" s="62"/>
      <c r="K26" s="62"/>
      <c r="L26" s="62"/>
      <c r="M26" s="62"/>
      <c r="N26" s="62"/>
      <c r="O26" s="62"/>
      <c r="P26" s="14"/>
      <c r="R26" s="150"/>
      <c r="S26" s="53"/>
    </row>
    <row r="27" spans="1:19" s="16" customFormat="1" x14ac:dyDescent="0.35">
      <c r="A27" s="154"/>
      <c r="B27" s="51"/>
      <c r="C27" s="65"/>
      <c r="D27" s="59" t="s">
        <v>930</v>
      </c>
      <c r="E27" s="60"/>
      <c r="F27" s="60"/>
      <c r="G27" s="60"/>
      <c r="H27" s="60"/>
      <c r="I27" s="60"/>
      <c r="J27" s="60"/>
      <c r="K27" s="60"/>
      <c r="L27" s="60"/>
      <c r="M27" s="60"/>
      <c r="N27" s="60"/>
      <c r="O27" s="60"/>
      <c r="P27" s="14"/>
      <c r="R27" s="150" t="str">
        <f>uberTipCN(E27,G24:M24)</f>
        <v>|n|n</v>
      </c>
      <c r="S27" s="53"/>
    </row>
    <row r="28" spans="1:19" s="16" customFormat="1" x14ac:dyDescent="0.35">
      <c r="A28" s="154"/>
      <c r="B28" s="51"/>
      <c r="C28" s="65"/>
      <c r="D28" s="61" t="s">
        <v>931</v>
      </c>
      <c r="E28" s="62"/>
      <c r="F28" s="62"/>
      <c r="G28" s="62"/>
      <c r="H28" s="62"/>
      <c r="I28" s="62"/>
      <c r="J28" s="62"/>
      <c r="K28" s="62"/>
      <c r="L28" s="62"/>
      <c r="M28" s="62"/>
      <c r="N28" s="62"/>
      <c r="O28" s="62"/>
      <c r="P28" s="14"/>
      <c r="R28" s="150" t="str">
        <f>uberTipCN(E28,G25:M25)</f>
        <v>|n|n</v>
      </c>
      <c r="S28" s="53"/>
    </row>
    <row r="29" spans="1:19" s="16" customFormat="1" x14ac:dyDescent="0.35">
      <c r="A29" s="154"/>
      <c r="B29" s="51"/>
      <c r="C29" s="65"/>
      <c r="D29" s="59" t="s">
        <v>932</v>
      </c>
      <c r="E29" s="60"/>
      <c r="F29" s="60"/>
      <c r="G29" s="60"/>
      <c r="H29" s="60"/>
      <c r="I29" s="60"/>
      <c r="J29" s="60"/>
      <c r="K29" s="60"/>
      <c r="L29" s="60"/>
      <c r="M29" s="60"/>
      <c r="N29" s="60"/>
      <c r="O29" s="60"/>
      <c r="P29" s="14"/>
      <c r="R29" s="150" t="str">
        <f>uberTipCN(E29,G26:M26)</f>
        <v>|n|n</v>
      </c>
      <c r="S29" s="53"/>
    </row>
    <row r="30" spans="1:19" ht="33" x14ac:dyDescent="0.35">
      <c r="A30" s="154"/>
      <c r="B30" s="51" t="s">
        <v>37</v>
      </c>
      <c r="C30" s="65" t="s">
        <v>878</v>
      </c>
      <c r="D30" s="63" t="s">
        <v>926</v>
      </c>
      <c r="E30" s="64" t="s">
        <v>38</v>
      </c>
      <c r="F30" s="64"/>
      <c r="G30" s="64"/>
      <c r="H30" s="64"/>
      <c r="I30" s="64"/>
      <c r="J30" s="64"/>
      <c r="K30" s="64"/>
      <c r="L30" s="64"/>
      <c r="M30" s="64"/>
      <c r="N30" s="64"/>
      <c r="O30" s="64" t="s">
        <v>939</v>
      </c>
      <c r="P30" s="14"/>
      <c r="R30" s="150" t="str">
        <f>researchUberTipCN(E30:E33,G31:M33)</f>
        <v>使血精灵防御者受到的所有伤害降低。|n|n|n|cffffcc00等级 1|r - 伤害降低35%。|n|cffffcc00等级 2|r - 伤害降低50%。|n|cffffcc00等级 3|r - 伤害降低65%。</v>
      </c>
    </row>
    <row r="31" spans="1:19" s="16" customFormat="1" x14ac:dyDescent="0.35">
      <c r="A31" s="154"/>
      <c r="B31" s="51"/>
      <c r="C31" s="65"/>
      <c r="D31" s="61" t="s">
        <v>927</v>
      </c>
      <c r="E31" s="62" t="s">
        <v>39</v>
      </c>
      <c r="F31" s="62"/>
      <c r="G31" s="62"/>
      <c r="H31" s="62"/>
      <c r="I31" s="62"/>
      <c r="J31" s="62"/>
      <c r="K31" s="62"/>
      <c r="L31" s="62"/>
      <c r="M31" s="62"/>
      <c r="N31" s="62"/>
      <c r="O31" s="62"/>
      <c r="P31" s="14"/>
      <c r="R31" s="150"/>
      <c r="S31" s="53"/>
    </row>
    <row r="32" spans="1:19" s="16" customFormat="1" x14ac:dyDescent="0.35">
      <c r="A32" s="154"/>
      <c r="B32" s="51"/>
      <c r="C32" s="65"/>
      <c r="D32" s="59" t="s">
        <v>928</v>
      </c>
      <c r="E32" s="60" t="s">
        <v>40</v>
      </c>
      <c r="F32" s="60"/>
      <c r="G32" s="60"/>
      <c r="H32" s="60"/>
      <c r="I32" s="60"/>
      <c r="J32" s="60"/>
      <c r="K32" s="60"/>
      <c r="L32" s="60"/>
      <c r="M32" s="60"/>
      <c r="N32" s="60"/>
      <c r="O32" s="60"/>
      <c r="P32" s="14"/>
      <c r="R32" s="150"/>
      <c r="S32" s="53"/>
    </row>
    <row r="33" spans="1:19" s="16" customFormat="1" x14ac:dyDescent="0.35">
      <c r="A33" s="154"/>
      <c r="B33" s="51"/>
      <c r="C33" s="65"/>
      <c r="D33" s="61" t="s">
        <v>929</v>
      </c>
      <c r="E33" s="62" t="s">
        <v>41</v>
      </c>
      <c r="F33" s="62"/>
      <c r="G33" s="62"/>
      <c r="H33" s="62"/>
      <c r="I33" s="62"/>
      <c r="J33" s="62"/>
      <c r="K33" s="62"/>
      <c r="L33" s="62"/>
      <c r="M33" s="62"/>
      <c r="N33" s="62"/>
      <c r="O33" s="62"/>
      <c r="P33" s="14"/>
      <c r="R33" s="150"/>
      <c r="S33" s="53"/>
    </row>
    <row r="34" spans="1:19" s="16" customFormat="1" x14ac:dyDescent="0.35">
      <c r="A34" s="154"/>
      <c r="B34" s="51"/>
      <c r="C34" s="65"/>
      <c r="D34" s="59" t="s">
        <v>930</v>
      </c>
      <c r="E34" s="60"/>
      <c r="F34" s="60"/>
      <c r="G34" s="60"/>
      <c r="H34" s="60"/>
      <c r="I34" s="60"/>
      <c r="J34" s="60"/>
      <c r="K34" s="60"/>
      <c r="L34" s="60"/>
      <c r="M34" s="60"/>
      <c r="N34" s="60"/>
      <c r="O34" s="60"/>
      <c r="P34" s="14"/>
      <c r="R34" s="150" t="str">
        <f>uberTipCN(E34,G31:M31)</f>
        <v>|n|n</v>
      </c>
      <c r="S34" s="53"/>
    </row>
    <row r="35" spans="1:19" s="16" customFormat="1" x14ac:dyDescent="0.35">
      <c r="A35" s="154"/>
      <c r="B35" s="51"/>
      <c r="C35" s="65"/>
      <c r="D35" s="61" t="s">
        <v>931</v>
      </c>
      <c r="E35" s="62"/>
      <c r="F35" s="62"/>
      <c r="G35" s="62"/>
      <c r="H35" s="62"/>
      <c r="I35" s="62"/>
      <c r="J35" s="62"/>
      <c r="K35" s="62"/>
      <c r="L35" s="62"/>
      <c r="M35" s="62"/>
      <c r="N35" s="62"/>
      <c r="O35" s="62"/>
      <c r="P35" s="14"/>
      <c r="R35" s="150" t="str">
        <f>uberTipCN(E35,G32:M32)</f>
        <v>|n|n</v>
      </c>
      <c r="S35" s="53"/>
    </row>
    <row r="36" spans="1:19" s="16" customFormat="1" x14ac:dyDescent="0.35">
      <c r="A36" s="154"/>
      <c r="B36" s="51"/>
      <c r="C36" s="65"/>
      <c r="D36" s="59" t="s">
        <v>932</v>
      </c>
      <c r="E36" s="60"/>
      <c r="F36" s="60"/>
      <c r="G36" s="60"/>
      <c r="H36" s="60"/>
      <c r="I36" s="60"/>
      <c r="J36" s="60"/>
      <c r="K36" s="60"/>
      <c r="L36" s="60"/>
      <c r="M36" s="60"/>
      <c r="N36" s="60"/>
      <c r="O36" s="60"/>
      <c r="P36" s="14"/>
      <c r="R36" s="150" t="str">
        <f>uberTipCN(E36,G33:M33)</f>
        <v>|n|n</v>
      </c>
      <c r="S36" s="53"/>
    </row>
    <row r="37" spans="1:19" x14ac:dyDescent="0.35">
      <c r="A37" s="154"/>
      <c r="B37" s="66" t="s">
        <v>42</v>
      </c>
      <c r="C37" s="67" t="s">
        <v>42</v>
      </c>
      <c r="D37" s="68"/>
      <c r="E37" s="69"/>
      <c r="F37" s="69"/>
      <c r="G37" s="69"/>
      <c r="H37" s="69"/>
      <c r="I37" s="69"/>
      <c r="J37" s="69"/>
      <c r="K37" s="69"/>
      <c r="L37" s="69"/>
      <c r="M37" s="69"/>
      <c r="N37" s="69"/>
      <c r="O37" s="69"/>
      <c r="P37" s="14"/>
    </row>
    <row r="38" spans="1:19" ht="33" x14ac:dyDescent="0.35">
      <c r="A38" s="161" t="s">
        <v>43</v>
      </c>
      <c r="B38" s="51" t="s">
        <v>44</v>
      </c>
      <c r="C38" s="72"/>
      <c r="D38" s="63" t="s">
        <v>926</v>
      </c>
      <c r="E38" s="64" t="s">
        <v>45</v>
      </c>
      <c r="F38" s="64"/>
      <c r="G38" s="64"/>
      <c r="H38" s="64"/>
      <c r="I38" s="64"/>
      <c r="J38" s="64"/>
      <c r="K38" s="64"/>
      <c r="L38" s="64"/>
      <c r="M38" s="64"/>
      <c r="N38" s="64"/>
      <c r="O38" s="64" t="s">
        <v>940</v>
      </c>
      <c r="P38" s="14"/>
      <c r="R38" s="150"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1"/>
      <c r="B39" s="72"/>
      <c r="C39" s="72"/>
      <c r="D39" s="61" t="s">
        <v>927</v>
      </c>
      <c r="E39" s="62" t="s">
        <v>46</v>
      </c>
      <c r="F39" s="62"/>
      <c r="G39" s="62"/>
      <c r="H39" s="62"/>
      <c r="I39" s="62"/>
      <c r="J39" s="62"/>
      <c r="K39" s="62"/>
      <c r="L39" s="62"/>
      <c r="M39" s="62"/>
      <c r="N39" s="62"/>
      <c r="O39" s="62"/>
      <c r="P39" s="14"/>
      <c r="R39" s="150"/>
      <c r="S39" s="53"/>
    </row>
    <row r="40" spans="1:19" s="16" customFormat="1" x14ac:dyDescent="0.35">
      <c r="A40" s="161"/>
      <c r="B40" s="72"/>
      <c r="C40" s="72"/>
      <c r="D40" s="59" t="s">
        <v>928</v>
      </c>
      <c r="E40" s="60" t="s">
        <v>47</v>
      </c>
      <c r="F40" s="60"/>
      <c r="G40" s="60"/>
      <c r="H40" s="60"/>
      <c r="I40" s="60"/>
      <c r="J40" s="60"/>
      <c r="K40" s="60"/>
      <c r="L40" s="60"/>
      <c r="M40" s="60"/>
      <c r="N40" s="60"/>
      <c r="O40" s="60"/>
      <c r="P40" s="14"/>
      <c r="R40" s="150"/>
      <c r="S40" s="53"/>
    </row>
    <row r="41" spans="1:19" s="16" customFormat="1" x14ac:dyDescent="0.35">
      <c r="A41" s="161"/>
      <c r="B41" s="72"/>
      <c r="C41" s="72"/>
      <c r="D41" s="61" t="s">
        <v>929</v>
      </c>
      <c r="E41" s="62" t="s">
        <v>48</v>
      </c>
      <c r="F41" s="62"/>
      <c r="G41" s="62"/>
      <c r="H41" s="62"/>
      <c r="I41" s="62"/>
      <c r="J41" s="62"/>
      <c r="K41" s="62"/>
      <c r="L41" s="62"/>
      <c r="M41" s="62"/>
      <c r="N41" s="62"/>
      <c r="O41" s="62"/>
      <c r="P41" s="14"/>
      <c r="R41" s="150"/>
      <c r="S41" s="53"/>
    </row>
    <row r="42" spans="1:19" s="16" customFormat="1" x14ac:dyDescent="0.35">
      <c r="A42" s="161"/>
      <c r="B42" s="72"/>
      <c r="C42" s="72"/>
      <c r="D42" s="59" t="s">
        <v>930</v>
      </c>
      <c r="E42" s="60"/>
      <c r="F42" s="60"/>
      <c r="G42" s="60"/>
      <c r="H42" s="60"/>
      <c r="I42" s="60"/>
      <c r="J42" s="60"/>
      <c r="K42" s="60"/>
      <c r="L42" s="60"/>
      <c r="M42" s="60"/>
      <c r="N42" s="60"/>
      <c r="O42" s="60"/>
      <c r="P42" s="14"/>
      <c r="R42" s="150" t="str">
        <f>uberTipCN(E42,G39:M39)</f>
        <v>|n|n</v>
      </c>
      <c r="S42" s="53"/>
    </row>
    <row r="43" spans="1:19" s="16" customFormat="1" x14ac:dyDescent="0.35">
      <c r="A43" s="161"/>
      <c r="B43" s="72"/>
      <c r="C43" s="72"/>
      <c r="D43" s="61" t="s">
        <v>931</v>
      </c>
      <c r="E43" s="62"/>
      <c r="F43" s="62"/>
      <c r="G43" s="62"/>
      <c r="H43" s="62"/>
      <c r="I43" s="62"/>
      <c r="J43" s="62"/>
      <c r="K43" s="62"/>
      <c r="L43" s="62"/>
      <c r="M43" s="62"/>
      <c r="N43" s="62"/>
      <c r="O43" s="62"/>
      <c r="P43" s="14"/>
      <c r="R43" s="150" t="str">
        <f>uberTipCN(E43,G40:M40)</f>
        <v>|n|n</v>
      </c>
      <c r="S43" s="53"/>
    </row>
    <row r="44" spans="1:19" s="16" customFormat="1" x14ac:dyDescent="0.35">
      <c r="A44" s="161"/>
      <c r="B44" s="72"/>
      <c r="C44" s="72"/>
      <c r="D44" s="59" t="s">
        <v>932</v>
      </c>
      <c r="E44" s="60"/>
      <c r="F44" s="60"/>
      <c r="G44" s="60"/>
      <c r="H44" s="60"/>
      <c r="I44" s="60"/>
      <c r="J44" s="60"/>
      <c r="K44" s="60"/>
      <c r="L44" s="60"/>
      <c r="M44" s="60"/>
      <c r="N44" s="60"/>
      <c r="O44" s="60"/>
      <c r="P44" s="14"/>
      <c r="R44" s="150" t="str">
        <f>uberTipCN(E44,G41:M41)</f>
        <v>|n|n</v>
      </c>
      <c r="S44" s="53"/>
    </row>
    <row r="45" spans="1:19" ht="49.5" x14ac:dyDescent="0.35">
      <c r="A45" s="159"/>
      <c r="B45" s="51" t="s">
        <v>49</v>
      </c>
      <c r="C45" s="65"/>
      <c r="D45" s="63" t="s">
        <v>926</v>
      </c>
      <c r="E45" s="64" t="s">
        <v>50</v>
      </c>
      <c r="F45" s="64"/>
      <c r="G45" s="64"/>
      <c r="H45" s="64"/>
      <c r="I45" s="64"/>
      <c r="J45" s="64"/>
      <c r="K45" s="64"/>
      <c r="L45" s="64"/>
      <c r="M45" s="64"/>
      <c r="N45" s="64"/>
      <c r="O45" s="64" t="s">
        <v>941</v>
      </c>
      <c r="P45" s="14"/>
      <c r="R45" s="150"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59"/>
      <c r="B46" s="51"/>
      <c r="C46" s="65"/>
      <c r="D46" s="61" t="s">
        <v>927</v>
      </c>
      <c r="E46" s="62" t="s">
        <v>51</v>
      </c>
      <c r="F46" s="62"/>
      <c r="G46" s="62"/>
      <c r="H46" s="62"/>
      <c r="I46" s="62"/>
      <c r="J46" s="62"/>
      <c r="K46" s="62"/>
      <c r="L46" s="62"/>
      <c r="M46" s="62"/>
      <c r="N46" s="62"/>
      <c r="O46" s="62"/>
      <c r="P46" s="14"/>
      <c r="R46" s="150"/>
      <c r="S46" s="53"/>
    </row>
    <row r="47" spans="1:19" s="16" customFormat="1" x14ac:dyDescent="0.35">
      <c r="A47" s="159"/>
      <c r="B47" s="51"/>
      <c r="C47" s="65"/>
      <c r="D47" s="59" t="s">
        <v>928</v>
      </c>
      <c r="E47" s="60" t="s">
        <v>52</v>
      </c>
      <c r="F47" s="60"/>
      <c r="G47" s="60"/>
      <c r="H47" s="60"/>
      <c r="I47" s="60"/>
      <c r="J47" s="60"/>
      <c r="K47" s="60"/>
      <c r="L47" s="60"/>
      <c r="M47" s="60"/>
      <c r="N47" s="60"/>
      <c r="O47" s="60"/>
      <c r="P47" s="14"/>
      <c r="R47" s="150"/>
      <c r="S47" s="53"/>
    </row>
    <row r="48" spans="1:19" s="16" customFormat="1" x14ac:dyDescent="0.35">
      <c r="A48" s="159"/>
      <c r="B48" s="51"/>
      <c r="C48" s="65"/>
      <c r="D48" s="61" t="s">
        <v>929</v>
      </c>
      <c r="E48" s="62" t="s">
        <v>53</v>
      </c>
      <c r="F48" s="62"/>
      <c r="G48" s="62"/>
      <c r="H48" s="62"/>
      <c r="I48" s="62"/>
      <c r="J48" s="62"/>
      <c r="K48" s="62"/>
      <c r="L48" s="62"/>
      <c r="M48" s="62"/>
      <c r="N48" s="62"/>
      <c r="O48" s="62"/>
      <c r="P48" s="14"/>
      <c r="R48" s="150"/>
      <c r="S48" s="53"/>
    </row>
    <row r="49" spans="1:19" s="16" customFormat="1" x14ac:dyDescent="0.35">
      <c r="A49" s="159"/>
      <c r="B49" s="51"/>
      <c r="C49" s="65"/>
      <c r="D49" s="59" t="s">
        <v>930</v>
      </c>
      <c r="E49" s="60"/>
      <c r="F49" s="60"/>
      <c r="G49" s="60"/>
      <c r="H49" s="60"/>
      <c r="I49" s="60"/>
      <c r="J49" s="60"/>
      <c r="K49" s="60"/>
      <c r="L49" s="60"/>
      <c r="M49" s="60"/>
      <c r="N49" s="60"/>
      <c r="O49" s="60"/>
      <c r="P49" s="14"/>
      <c r="R49" s="150" t="str">
        <f>uberTipCN(E49,G46:M46)</f>
        <v>|n|n</v>
      </c>
      <c r="S49" s="53"/>
    </row>
    <row r="50" spans="1:19" s="16" customFormat="1" x14ac:dyDescent="0.35">
      <c r="A50" s="159"/>
      <c r="B50" s="51"/>
      <c r="C50" s="65"/>
      <c r="D50" s="61" t="s">
        <v>931</v>
      </c>
      <c r="E50" s="62"/>
      <c r="F50" s="62"/>
      <c r="G50" s="62"/>
      <c r="H50" s="62"/>
      <c r="I50" s="62"/>
      <c r="J50" s="62"/>
      <c r="K50" s="62"/>
      <c r="L50" s="62"/>
      <c r="M50" s="62"/>
      <c r="N50" s="62"/>
      <c r="O50" s="62"/>
      <c r="P50" s="14"/>
      <c r="R50" s="150" t="str">
        <f>uberTipCN(E50,G47:M47)</f>
        <v>|n|n</v>
      </c>
      <c r="S50" s="53"/>
    </row>
    <row r="51" spans="1:19" s="16" customFormat="1" x14ac:dyDescent="0.35">
      <c r="A51" s="159"/>
      <c r="B51" s="51"/>
      <c r="C51" s="65"/>
      <c r="D51" s="59" t="s">
        <v>932</v>
      </c>
      <c r="E51" s="60"/>
      <c r="F51" s="60"/>
      <c r="G51" s="60"/>
      <c r="H51" s="60"/>
      <c r="I51" s="60"/>
      <c r="J51" s="60"/>
      <c r="K51" s="60"/>
      <c r="L51" s="60"/>
      <c r="M51" s="60"/>
      <c r="N51" s="60"/>
      <c r="O51" s="60"/>
      <c r="P51" s="14"/>
      <c r="R51" s="150" t="str">
        <f>uberTipCN(E51,G48:M48)</f>
        <v>|n|n</v>
      </c>
      <c r="S51" s="53"/>
    </row>
    <row r="52" spans="1:19" x14ac:dyDescent="0.35">
      <c r="A52" s="159"/>
      <c r="B52" s="51" t="s">
        <v>54</v>
      </c>
      <c r="C52" s="65"/>
      <c r="D52" s="63" t="s">
        <v>926</v>
      </c>
      <c r="E52" s="64" t="s">
        <v>55</v>
      </c>
      <c r="F52" s="64"/>
      <c r="G52" s="64"/>
      <c r="H52" s="64"/>
      <c r="I52" s="64"/>
      <c r="J52" s="64"/>
      <c r="K52" s="64"/>
      <c r="L52" s="64"/>
      <c r="M52" s="64"/>
      <c r="N52" s="64"/>
      <c r="O52" s="64" t="s">
        <v>942</v>
      </c>
      <c r="P52" s="14"/>
      <c r="R52" s="150"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59"/>
      <c r="B53" s="51"/>
      <c r="C53" s="65"/>
      <c r="D53" s="61" t="s">
        <v>927</v>
      </c>
      <c r="E53" s="62" t="s">
        <v>56</v>
      </c>
      <c r="F53" s="62"/>
      <c r="G53" s="62"/>
      <c r="H53" s="62"/>
      <c r="I53" s="62"/>
      <c r="J53" s="62"/>
      <c r="K53" s="62"/>
      <c r="L53" s="62"/>
      <c r="M53" s="62"/>
      <c r="N53" s="62"/>
      <c r="O53" s="62"/>
      <c r="P53" s="14"/>
      <c r="R53" s="150"/>
      <c r="S53" s="53"/>
    </row>
    <row r="54" spans="1:19" s="16" customFormat="1" x14ac:dyDescent="0.35">
      <c r="A54" s="159"/>
      <c r="B54" s="51"/>
      <c r="C54" s="65"/>
      <c r="D54" s="59" t="s">
        <v>928</v>
      </c>
      <c r="E54" s="60" t="s">
        <v>57</v>
      </c>
      <c r="F54" s="60"/>
      <c r="G54" s="60"/>
      <c r="H54" s="60"/>
      <c r="I54" s="60"/>
      <c r="J54" s="60"/>
      <c r="K54" s="60"/>
      <c r="L54" s="60"/>
      <c r="M54" s="60"/>
      <c r="N54" s="60"/>
      <c r="O54" s="60"/>
      <c r="P54" s="14"/>
      <c r="R54" s="150"/>
      <c r="S54" s="53"/>
    </row>
    <row r="55" spans="1:19" s="16" customFormat="1" x14ac:dyDescent="0.35">
      <c r="A55" s="159"/>
      <c r="B55" s="51"/>
      <c r="C55" s="65"/>
      <c r="D55" s="61" t="s">
        <v>929</v>
      </c>
      <c r="E55" s="62" t="s">
        <v>58</v>
      </c>
      <c r="F55" s="62"/>
      <c r="G55" s="62"/>
      <c r="H55" s="62"/>
      <c r="I55" s="62"/>
      <c r="J55" s="62"/>
      <c r="K55" s="62"/>
      <c r="L55" s="62"/>
      <c r="M55" s="62"/>
      <c r="N55" s="62"/>
      <c r="O55" s="62"/>
      <c r="P55" s="14"/>
      <c r="R55" s="150"/>
      <c r="S55" s="53"/>
    </row>
    <row r="56" spans="1:19" s="16" customFormat="1" x14ac:dyDescent="0.35">
      <c r="A56" s="159"/>
      <c r="B56" s="51"/>
      <c r="C56" s="65"/>
      <c r="D56" s="59" t="s">
        <v>930</v>
      </c>
      <c r="E56" s="60"/>
      <c r="F56" s="60"/>
      <c r="G56" s="60"/>
      <c r="H56" s="60"/>
      <c r="I56" s="60"/>
      <c r="J56" s="60"/>
      <c r="K56" s="60"/>
      <c r="L56" s="60"/>
      <c r="M56" s="60"/>
      <c r="N56" s="60"/>
      <c r="O56" s="60"/>
      <c r="P56" s="14"/>
      <c r="R56" s="150" t="str">
        <f>uberTipCN(E56,G53:M53)</f>
        <v>|n|n</v>
      </c>
      <c r="S56" s="53"/>
    </row>
    <row r="57" spans="1:19" s="16" customFormat="1" x14ac:dyDescent="0.35">
      <c r="A57" s="159"/>
      <c r="B57" s="51"/>
      <c r="C57" s="65"/>
      <c r="D57" s="61" t="s">
        <v>931</v>
      </c>
      <c r="E57" s="62"/>
      <c r="F57" s="62"/>
      <c r="G57" s="62"/>
      <c r="H57" s="62"/>
      <c r="I57" s="62"/>
      <c r="J57" s="62"/>
      <c r="K57" s="62"/>
      <c r="L57" s="62"/>
      <c r="M57" s="62"/>
      <c r="N57" s="62"/>
      <c r="O57" s="62"/>
      <c r="P57" s="14"/>
      <c r="R57" s="150" t="str">
        <f>uberTipCN(E57,G54:M54)</f>
        <v>|n|n</v>
      </c>
      <c r="S57" s="53"/>
    </row>
    <row r="58" spans="1:19" s="16" customFormat="1" x14ac:dyDescent="0.35">
      <c r="A58" s="159"/>
      <c r="B58" s="51"/>
      <c r="C58" s="65"/>
      <c r="D58" s="59" t="s">
        <v>932</v>
      </c>
      <c r="E58" s="60"/>
      <c r="F58" s="60"/>
      <c r="G58" s="60"/>
      <c r="H58" s="60"/>
      <c r="I58" s="60"/>
      <c r="J58" s="60"/>
      <c r="K58" s="60"/>
      <c r="L58" s="60"/>
      <c r="M58" s="60"/>
      <c r="N58" s="60"/>
      <c r="O58" s="60"/>
      <c r="P58" s="14"/>
      <c r="R58" s="150" t="str">
        <f>uberTipCN(E58,G55:M55)</f>
        <v>|n|n</v>
      </c>
      <c r="S58" s="53"/>
    </row>
    <row r="59" spans="1:19" ht="49.5" x14ac:dyDescent="0.35">
      <c r="A59" s="159"/>
      <c r="B59" s="51" t="s">
        <v>59</v>
      </c>
      <c r="C59" s="65"/>
      <c r="D59" s="63" t="s">
        <v>926</v>
      </c>
      <c r="E59" s="64" t="s">
        <v>60</v>
      </c>
      <c r="F59" s="64"/>
      <c r="G59" s="64"/>
      <c r="H59" s="64"/>
      <c r="I59" s="64"/>
      <c r="J59" s="64"/>
      <c r="K59" s="64"/>
      <c r="L59" s="64"/>
      <c r="M59" s="64"/>
      <c r="N59" s="64"/>
      <c r="O59" s="64" t="s">
        <v>943</v>
      </c>
      <c r="P59" s="14"/>
      <c r="R59" s="150"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59"/>
      <c r="B60" s="51"/>
      <c r="C60" s="65"/>
      <c r="D60" s="61" t="s">
        <v>927</v>
      </c>
      <c r="E60" s="62" t="s">
        <v>61</v>
      </c>
      <c r="F60" s="62"/>
      <c r="G60" s="62"/>
      <c r="H60" s="62"/>
      <c r="I60" s="62"/>
      <c r="J60" s="62"/>
      <c r="K60" s="62"/>
      <c r="L60" s="62"/>
      <c r="M60" s="62"/>
      <c r="N60" s="62"/>
      <c r="O60" s="62"/>
      <c r="P60" s="14"/>
      <c r="R60" s="150"/>
      <c r="S60" s="53"/>
    </row>
    <row r="61" spans="1:19" s="16" customFormat="1" x14ac:dyDescent="0.35">
      <c r="A61" s="159"/>
      <c r="B61" s="51"/>
      <c r="C61" s="65"/>
      <c r="D61" s="59" t="s">
        <v>928</v>
      </c>
      <c r="E61" s="60" t="s">
        <v>62</v>
      </c>
      <c r="F61" s="60"/>
      <c r="G61" s="60"/>
      <c r="H61" s="60"/>
      <c r="I61" s="60"/>
      <c r="J61" s="60"/>
      <c r="K61" s="60"/>
      <c r="L61" s="60"/>
      <c r="M61" s="60"/>
      <c r="N61" s="60"/>
      <c r="O61" s="60"/>
      <c r="P61" s="14"/>
      <c r="R61" s="150"/>
      <c r="S61" s="53"/>
    </row>
    <row r="62" spans="1:19" s="16" customFormat="1" x14ac:dyDescent="0.35">
      <c r="A62" s="159"/>
      <c r="B62" s="51"/>
      <c r="C62" s="65"/>
      <c r="D62" s="61" t="s">
        <v>929</v>
      </c>
      <c r="E62" s="62" t="s">
        <v>64</v>
      </c>
      <c r="F62" s="62"/>
      <c r="G62" s="62"/>
      <c r="H62" s="62"/>
      <c r="I62" s="62"/>
      <c r="J62" s="62"/>
      <c r="K62" s="62"/>
      <c r="L62" s="62"/>
      <c r="M62" s="62"/>
      <c r="N62" s="62"/>
      <c r="O62" s="62"/>
      <c r="P62" s="14"/>
      <c r="R62" s="150"/>
      <c r="S62" s="53"/>
    </row>
    <row r="63" spans="1:19" s="16" customFormat="1" x14ac:dyDescent="0.35">
      <c r="A63" s="159"/>
      <c r="B63" s="51"/>
      <c r="C63" s="65"/>
      <c r="D63" s="59" t="s">
        <v>930</v>
      </c>
      <c r="E63" s="60"/>
      <c r="F63" s="60"/>
      <c r="G63" s="60"/>
      <c r="H63" s="60"/>
      <c r="I63" s="60"/>
      <c r="J63" s="60"/>
      <c r="K63" s="60"/>
      <c r="L63" s="60"/>
      <c r="M63" s="60"/>
      <c r="N63" s="60"/>
      <c r="O63" s="60"/>
      <c r="P63" s="14"/>
      <c r="R63" s="150" t="str">
        <f>uberTipCN(E63,G60:M60)</f>
        <v>|n|n</v>
      </c>
      <c r="S63" s="53"/>
    </row>
    <row r="64" spans="1:19" s="16" customFormat="1" x14ac:dyDescent="0.35">
      <c r="A64" s="159"/>
      <c r="B64" s="51"/>
      <c r="C64" s="65"/>
      <c r="D64" s="61" t="s">
        <v>931</v>
      </c>
      <c r="E64" s="62"/>
      <c r="F64" s="62"/>
      <c r="G64" s="62"/>
      <c r="H64" s="62"/>
      <c r="I64" s="62"/>
      <c r="J64" s="62"/>
      <c r="K64" s="62"/>
      <c r="L64" s="62"/>
      <c r="M64" s="62"/>
      <c r="N64" s="62"/>
      <c r="O64" s="62"/>
      <c r="P64" s="14"/>
      <c r="R64" s="150" t="str">
        <f>uberTipCN(E64,G61:M61)</f>
        <v>|n|n</v>
      </c>
      <c r="S64" s="53"/>
    </row>
    <row r="65" spans="1:19" s="16" customFormat="1" x14ac:dyDescent="0.35">
      <c r="A65" s="159"/>
      <c r="B65" s="51"/>
      <c r="C65" s="65"/>
      <c r="D65" s="59" t="s">
        <v>932</v>
      </c>
      <c r="E65" s="60"/>
      <c r="F65" s="60"/>
      <c r="G65" s="60"/>
      <c r="H65" s="60"/>
      <c r="I65" s="60"/>
      <c r="J65" s="60"/>
      <c r="K65" s="60"/>
      <c r="L65" s="60"/>
      <c r="M65" s="60"/>
      <c r="N65" s="60"/>
      <c r="O65" s="60"/>
      <c r="P65" s="14"/>
      <c r="R65" s="150" t="str">
        <f>uberTipCN(E65,G62:M62)</f>
        <v>|n|n</v>
      </c>
      <c r="S65" s="53"/>
    </row>
    <row r="66" spans="1:19" x14ac:dyDescent="0.35">
      <c r="A66" s="159"/>
      <c r="B66" s="51" t="s">
        <v>65</v>
      </c>
      <c r="C66" s="65"/>
      <c r="D66" s="63" t="s">
        <v>926</v>
      </c>
      <c r="E66" s="64" t="s">
        <v>66</v>
      </c>
      <c r="F66" s="64"/>
      <c r="G66" s="64"/>
      <c r="H66" s="64"/>
      <c r="I66" s="64"/>
      <c r="J66" s="64"/>
      <c r="K66" s="64"/>
      <c r="L66" s="64"/>
      <c r="M66" s="64"/>
      <c r="N66" s="64"/>
      <c r="O66" s="64" t="s">
        <v>944</v>
      </c>
      <c r="P66" s="14"/>
      <c r="R66" s="150"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59"/>
      <c r="B67" s="51"/>
      <c r="C67" s="65"/>
      <c r="D67" s="61" t="s">
        <v>927</v>
      </c>
      <c r="E67" s="62" t="s">
        <v>67</v>
      </c>
      <c r="F67" s="62"/>
      <c r="G67" s="62"/>
      <c r="H67" s="62"/>
      <c r="I67" s="62"/>
      <c r="J67" s="62"/>
      <c r="K67" s="62"/>
      <c r="L67" s="62"/>
      <c r="M67" s="62"/>
      <c r="N67" s="62"/>
      <c r="O67" s="62"/>
      <c r="P67" s="14"/>
      <c r="R67" s="150"/>
      <c r="S67" s="53"/>
    </row>
    <row r="68" spans="1:19" s="16" customFormat="1" x14ac:dyDescent="0.35">
      <c r="A68" s="159"/>
      <c r="B68" s="51"/>
      <c r="C68" s="65"/>
      <c r="D68" s="59" t="s">
        <v>928</v>
      </c>
      <c r="E68" s="60" t="s">
        <v>68</v>
      </c>
      <c r="F68" s="60"/>
      <c r="G68" s="60"/>
      <c r="H68" s="60"/>
      <c r="I68" s="60"/>
      <c r="J68" s="60"/>
      <c r="K68" s="60"/>
      <c r="L68" s="60"/>
      <c r="M68" s="60"/>
      <c r="N68" s="60"/>
      <c r="O68" s="60"/>
      <c r="P68" s="14"/>
      <c r="R68" s="150"/>
      <c r="S68" s="53"/>
    </row>
    <row r="69" spans="1:19" s="16" customFormat="1" x14ac:dyDescent="0.35">
      <c r="A69" s="159"/>
      <c r="B69" s="51"/>
      <c r="C69" s="65"/>
      <c r="D69" s="61" t="s">
        <v>929</v>
      </c>
      <c r="E69" s="62" t="s">
        <v>69</v>
      </c>
      <c r="F69" s="62"/>
      <c r="G69" s="62"/>
      <c r="H69" s="62"/>
      <c r="I69" s="62"/>
      <c r="J69" s="62"/>
      <c r="K69" s="62"/>
      <c r="L69" s="62"/>
      <c r="M69" s="62"/>
      <c r="N69" s="62"/>
      <c r="O69" s="62"/>
      <c r="P69" s="14"/>
      <c r="R69" s="150"/>
      <c r="S69" s="53"/>
    </row>
    <row r="70" spans="1:19" s="16" customFormat="1" x14ac:dyDescent="0.35">
      <c r="A70" s="159"/>
      <c r="B70" s="51"/>
      <c r="C70" s="65"/>
      <c r="D70" s="59" t="s">
        <v>930</v>
      </c>
      <c r="E70" s="60"/>
      <c r="F70" s="60"/>
      <c r="G70" s="60"/>
      <c r="H70" s="60"/>
      <c r="I70" s="60"/>
      <c r="J70" s="60"/>
      <c r="K70" s="60"/>
      <c r="L70" s="60"/>
      <c r="M70" s="60"/>
      <c r="N70" s="60"/>
      <c r="O70" s="60"/>
      <c r="P70" s="14"/>
      <c r="R70" s="150" t="str">
        <f>uberTipCN(E70,G67:M67)</f>
        <v>|n|n</v>
      </c>
      <c r="S70" s="53"/>
    </row>
    <row r="71" spans="1:19" s="16" customFormat="1" x14ac:dyDescent="0.35">
      <c r="A71" s="159"/>
      <c r="B71" s="51"/>
      <c r="C71" s="65"/>
      <c r="D71" s="61" t="s">
        <v>931</v>
      </c>
      <c r="E71" s="62"/>
      <c r="F71" s="62"/>
      <c r="G71" s="62"/>
      <c r="H71" s="62"/>
      <c r="I71" s="62"/>
      <c r="J71" s="62"/>
      <c r="K71" s="62"/>
      <c r="L71" s="62"/>
      <c r="M71" s="62"/>
      <c r="N71" s="62"/>
      <c r="O71" s="62"/>
      <c r="P71" s="14"/>
      <c r="R71" s="150" t="str">
        <f>uberTipCN(E71,G68:M68)</f>
        <v>|n|n</v>
      </c>
      <c r="S71" s="53"/>
    </row>
    <row r="72" spans="1:19" s="16" customFormat="1" x14ac:dyDescent="0.35">
      <c r="A72" s="159"/>
      <c r="B72" s="51"/>
      <c r="C72" s="65"/>
      <c r="D72" s="59" t="s">
        <v>932</v>
      </c>
      <c r="E72" s="60"/>
      <c r="F72" s="60"/>
      <c r="G72" s="60"/>
      <c r="H72" s="60"/>
      <c r="I72" s="60"/>
      <c r="J72" s="60"/>
      <c r="K72" s="60"/>
      <c r="L72" s="60"/>
      <c r="M72" s="60"/>
      <c r="N72" s="60"/>
      <c r="O72" s="60"/>
      <c r="P72" s="14"/>
      <c r="R72" s="150" t="str">
        <f>uberTipCN(E72,G69:M69)</f>
        <v>|n|n</v>
      </c>
      <c r="S72" s="53"/>
    </row>
    <row r="73" spans="1:19" x14ac:dyDescent="0.35">
      <c r="A73" s="159"/>
      <c r="B73" s="66" t="s">
        <v>42</v>
      </c>
      <c r="C73" s="67"/>
      <c r="D73" s="68"/>
      <c r="E73" s="69"/>
      <c r="F73" s="69"/>
      <c r="G73" s="69"/>
      <c r="H73" s="69"/>
      <c r="I73" s="69"/>
      <c r="J73" s="69"/>
      <c r="K73" s="69"/>
      <c r="L73" s="69"/>
      <c r="M73" s="69"/>
      <c r="N73" s="69"/>
      <c r="O73" s="69"/>
      <c r="P73" s="14"/>
    </row>
    <row r="74" spans="1:19" ht="33" x14ac:dyDescent="0.35">
      <c r="A74" s="163" t="s">
        <v>78</v>
      </c>
      <c r="B74" s="51" t="s">
        <v>79</v>
      </c>
      <c r="C74" s="72"/>
      <c r="D74" s="63" t="s">
        <v>926</v>
      </c>
      <c r="E74" s="64" t="s">
        <v>80</v>
      </c>
      <c r="F74" s="64" t="s">
        <v>985</v>
      </c>
      <c r="G74" s="64"/>
      <c r="H74" s="64"/>
      <c r="I74" s="64"/>
      <c r="J74" s="64"/>
      <c r="K74" s="64"/>
      <c r="L74" s="64"/>
      <c r="M74" s="64"/>
      <c r="N74" s="64"/>
      <c r="O74" s="64" t="s">
        <v>945</v>
      </c>
      <c r="P74" s="56"/>
      <c r="R74" s="150"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3"/>
      <c r="B75" s="72"/>
      <c r="C75" s="72"/>
      <c r="D75" s="61" t="s">
        <v>927</v>
      </c>
      <c r="E75" s="62" t="s">
        <v>81</v>
      </c>
      <c r="F75" s="62" t="s">
        <v>986</v>
      </c>
      <c r="G75" s="62"/>
      <c r="H75" s="62"/>
      <c r="I75" s="62"/>
      <c r="J75" s="62"/>
      <c r="K75" s="62"/>
      <c r="L75" s="62"/>
      <c r="M75" s="62"/>
      <c r="N75" s="62"/>
      <c r="O75" s="62"/>
      <c r="P75" s="14"/>
      <c r="R75" s="150"/>
      <c r="S75" s="53"/>
    </row>
    <row r="76" spans="1:19" s="16" customFormat="1" x14ac:dyDescent="0.35">
      <c r="A76" s="163"/>
      <c r="B76" s="72"/>
      <c r="C76" s="72"/>
      <c r="D76" s="59" t="s">
        <v>928</v>
      </c>
      <c r="E76" s="60" t="s">
        <v>82</v>
      </c>
      <c r="F76" s="60" t="s">
        <v>987</v>
      </c>
      <c r="G76" s="60"/>
      <c r="H76" s="60"/>
      <c r="I76" s="60"/>
      <c r="J76" s="60"/>
      <c r="K76" s="60"/>
      <c r="L76" s="60"/>
      <c r="M76" s="60"/>
      <c r="N76" s="60"/>
      <c r="O76" s="60"/>
      <c r="P76" s="14"/>
      <c r="R76" s="150"/>
      <c r="S76" s="53"/>
    </row>
    <row r="77" spans="1:19" s="16" customFormat="1" x14ac:dyDescent="0.35">
      <c r="A77" s="163"/>
      <c r="B77" s="72"/>
      <c r="C77" s="72"/>
      <c r="D77" s="61" t="s">
        <v>929</v>
      </c>
      <c r="E77" s="62" t="s">
        <v>83</v>
      </c>
      <c r="F77" s="62" t="s">
        <v>988</v>
      </c>
      <c r="G77" s="62"/>
      <c r="H77" s="62"/>
      <c r="I77" s="62"/>
      <c r="J77" s="62"/>
      <c r="K77" s="62"/>
      <c r="L77" s="62"/>
      <c r="M77" s="62"/>
      <c r="N77" s="62"/>
      <c r="O77" s="62"/>
      <c r="P77" s="14"/>
      <c r="R77" s="150"/>
      <c r="S77" s="53"/>
    </row>
    <row r="78" spans="1:19" s="16" customFormat="1" x14ac:dyDescent="0.35">
      <c r="A78" s="163"/>
      <c r="B78" s="72"/>
      <c r="C78" s="72"/>
      <c r="D78" s="59" t="s">
        <v>930</v>
      </c>
      <c r="E78" s="60"/>
      <c r="F78" s="60"/>
      <c r="G78" s="60"/>
      <c r="H78" s="60"/>
      <c r="I78" s="60"/>
      <c r="J78" s="60"/>
      <c r="K78" s="60"/>
      <c r="L78" s="60"/>
      <c r="M78" s="60"/>
      <c r="N78" s="60"/>
      <c r="O78" s="60"/>
      <c r="P78" s="14"/>
      <c r="R78" s="150" t="str">
        <f>uberTipCN(E78,G75:M75)</f>
        <v>|n|n</v>
      </c>
      <c r="S78" s="53"/>
    </row>
    <row r="79" spans="1:19" s="16" customFormat="1" x14ac:dyDescent="0.35">
      <c r="A79" s="163"/>
      <c r="B79" s="72"/>
      <c r="C79" s="72"/>
      <c r="D79" s="61" t="s">
        <v>931</v>
      </c>
      <c r="E79" s="62"/>
      <c r="F79" s="62"/>
      <c r="G79" s="62"/>
      <c r="H79" s="62"/>
      <c r="I79" s="62"/>
      <c r="J79" s="62"/>
      <c r="K79" s="62"/>
      <c r="L79" s="62"/>
      <c r="M79" s="62"/>
      <c r="N79" s="62"/>
      <c r="O79" s="62"/>
      <c r="P79" s="14"/>
      <c r="R79" s="150" t="str">
        <f>uberTipCN(E79,G76:M76)</f>
        <v>|n|n</v>
      </c>
      <c r="S79" s="53"/>
    </row>
    <row r="80" spans="1:19" s="16" customFormat="1" x14ac:dyDescent="0.35">
      <c r="A80" s="163"/>
      <c r="B80" s="72"/>
      <c r="C80" s="72"/>
      <c r="D80" s="59" t="s">
        <v>932</v>
      </c>
      <c r="E80" s="60"/>
      <c r="F80" s="60"/>
      <c r="G80" s="60"/>
      <c r="H80" s="60"/>
      <c r="I80" s="60"/>
      <c r="J80" s="60"/>
      <c r="K80" s="60"/>
      <c r="L80" s="60"/>
      <c r="M80" s="60"/>
      <c r="N80" s="60"/>
      <c r="O80" s="60"/>
      <c r="P80" s="14"/>
      <c r="R80" s="150" t="str">
        <f>uberTipCN(E80,G77:M77)</f>
        <v>|n|n</v>
      </c>
      <c r="S80" s="53"/>
    </row>
    <row r="81" spans="1:19" ht="49.5" x14ac:dyDescent="0.35">
      <c r="A81" s="154"/>
      <c r="B81" s="51" t="s">
        <v>84</v>
      </c>
      <c r="C81" s="65"/>
      <c r="D81" s="63" t="s">
        <v>926</v>
      </c>
      <c r="E81" s="64" t="s">
        <v>85</v>
      </c>
      <c r="F81" s="64" t="s">
        <v>979</v>
      </c>
      <c r="G81" s="64"/>
      <c r="H81" s="64"/>
      <c r="I81" s="64"/>
      <c r="J81" s="64"/>
      <c r="K81" s="64"/>
      <c r="L81" s="64"/>
      <c r="M81" s="64"/>
      <c r="N81" s="64"/>
      <c r="O81" s="64" t="s">
        <v>946</v>
      </c>
      <c r="P81" s="56"/>
      <c r="R81" s="150"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4"/>
      <c r="B82" s="51"/>
      <c r="C82" s="65"/>
      <c r="D82" s="61" t="s">
        <v>927</v>
      </c>
      <c r="E82" s="62" t="s">
        <v>86</v>
      </c>
      <c r="F82" s="62" t="s">
        <v>980</v>
      </c>
      <c r="G82" s="62"/>
      <c r="H82" s="62"/>
      <c r="I82" s="62"/>
      <c r="J82" s="62"/>
      <c r="K82" s="62"/>
      <c r="L82" s="62"/>
      <c r="M82" s="62"/>
      <c r="N82" s="62"/>
      <c r="O82" s="62"/>
      <c r="P82" s="14"/>
      <c r="R82" s="150"/>
      <c r="S82" s="53"/>
    </row>
    <row r="83" spans="1:19" s="16" customFormat="1" x14ac:dyDescent="0.35">
      <c r="A83" s="154"/>
      <c r="B83" s="51"/>
      <c r="C83" s="65"/>
      <c r="D83" s="59" t="s">
        <v>928</v>
      </c>
      <c r="E83" s="60" t="s">
        <v>87</v>
      </c>
      <c r="F83" s="60" t="s">
        <v>982</v>
      </c>
      <c r="G83" s="60"/>
      <c r="H83" s="60"/>
      <c r="I83" s="60"/>
      <c r="J83" s="60"/>
      <c r="K83" s="60"/>
      <c r="L83" s="60"/>
      <c r="M83" s="60"/>
      <c r="N83" s="60"/>
      <c r="O83" s="60"/>
      <c r="P83" s="14"/>
      <c r="R83" s="150"/>
      <c r="S83" s="53"/>
    </row>
    <row r="84" spans="1:19" s="16" customFormat="1" ht="33" x14ac:dyDescent="0.35">
      <c r="A84" s="154"/>
      <c r="B84" s="51"/>
      <c r="C84" s="65"/>
      <c r="D84" s="61" t="s">
        <v>929</v>
      </c>
      <c r="E84" s="62" t="s">
        <v>88</v>
      </c>
      <c r="F84" s="62" t="s">
        <v>983</v>
      </c>
      <c r="G84" s="62"/>
      <c r="H84" s="62"/>
      <c r="I84" s="62"/>
      <c r="J84" s="62"/>
      <c r="K84" s="62"/>
      <c r="L84" s="62"/>
      <c r="M84" s="62"/>
      <c r="N84" s="62"/>
      <c r="O84" s="62"/>
      <c r="P84" s="14"/>
      <c r="R84" s="150"/>
      <c r="S84" s="53"/>
    </row>
    <row r="85" spans="1:19" s="16" customFormat="1" x14ac:dyDescent="0.35">
      <c r="A85" s="154"/>
      <c r="B85" s="51"/>
      <c r="C85" s="65"/>
      <c r="D85" s="59" t="s">
        <v>930</v>
      </c>
      <c r="E85" s="60"/>
      <c r="F85" s="60"/>
      <c r="G85" s="60"/>
      <c r="H85" s="60"/>
      <c r="I85" s="60"/>
      <c r="J85" s="60"/>
      <c r="K85" s="60"/>
      <c r="L85" s="60"/>
      <c r="M85" s="60"/>
      <c r="N85" s="60"/>
      <c r="O85" s="60"/>
      <c r="P85" s="14"/>
      <c r="R85" s="150" t="str">
        <f>uberTipCN(E85,G82:M82)</f>
        <v>|n|n</v>
      </c>
      <c r="S85" s="53"/>
    </row>
    <row r="86" spans="1:19" s="16" customFormat="1" x14ac:dyDescent="0.35">
      <c r="A86" s="154"/>
      <c r="B86" s="51"/>
      <c r="C86" s="65"/>
      <c r="D86" s="61" t="s">
        <v>931</v>
      </c>
      <c r="E86" s="62"/>
      <c r="F86" s="62"/>
      <c r="G86" s="62"/>
      <c r="H86" s="62"/>
      <c r="I86" s="62"/>
      <c r="J86" s="62"/>
      <c r="K86" s="62"/>
      <c r="L86" s="62"/>
      <c r="M86" s="62"/>
      <c r="N86" s="62"/>
      <c r="O86" s="62"/>
      <c r="P86" s="14"/>
      <c r="R86" s="150" t="str">
        <f>uberTipCN(E86,G83:M83)</f>
        <v>|n|n</v>
      </c>
      <c r="S86" s="53"/>
    </row>
    <row r="87" spans="1:19" s="16" customFormat="1" x14ac:dyDescent="0.35">
      <c r="A87" s="154"/>
      <c r="B87" s="51"/>
      <c r="C87" s="65"/>
      <c r="D87" s="59" t="s">
        <v>932</v>
      </c>
      <c r="E87" s="60"/>
      <c r="F87" s="60"/>
      <c r="G87" s="60"/>
      <c r="H87" s="60"/>
      <c r="I87" s="60"/>
      <c r="J87" s="60"/>
      <c r="K87" s="60"/>
      <c r="L87" s="60"/>
      <c r="M87" s="60"/>
      <c r="N87" s="60"/>
      <c r="O87" s="60"/>
      <c r="P87" s="14"/>
      <c r="R87" s="150" t="str">
        <f>uberTipCN(E87,G84:M84)</f>
        <v>|n|n</v>
      </c>
      <c r="S87" s="53"/>
    </row>
    <row r="88" spans="1:19" ht="49.5" x14ac:dyDescent="0.35">
      <c r="A88" s="154"/>
      <c r="B88" s="51" t="s">
        <v>89</v>
      </c>
      <c r="C88" s="65"/>
      <c r="D88" s="63" t="s">
        <v>926</v>
      </c>
      <c r="E88" s="64" t="s">
        <v>90</v>
      </c>
      <c r="F88" s="64"/>
      <c r="G88" s="64"/>
      <c r="H88" s="64"/>
      <c r="I88" s="64"/>
      <c r="J88" s="64"/>
      <c r="K88" s="64"/>
      <c r="L88" s="64"/>
      <c r="M88" s="64"/>
      <c r="N88" s="64"/>
      <c r="O88" s="64" t="s">
        <v>947</v>
      </c>
      <c r="P88" s="56"/>
      <c r="R88" s="150"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4"/>
      <c r="B89" s="51"/>
      <c r="C89" s="65"/>
      <c r="D89" s="61" t="s">
        <v>927</v>
      </c>
      <c r="E89" s="62" t="s">
        <v>91</v>
      </c>
      <c r="F89" s="62"/>
      <c r="G89" s="62"/>
      <c r="H89" s="62"/>
      <c r="I89" s="62"/>
      <c r="J89" s="62"/>
      <c r="K89" s="62"/>
      <c r="L89" s="62"/>
      <c r="M89" s="62"/>
      <c r="N89" s="62"/>
      <c r="O89" s="62"/>
      <c r="P89" s="14"/>
      <c r="R89" s="150"/>
      <c r="S89" s="53"/>
    </row>
    <row r="90" spans="1:19" s="16" customFormat="1" ht="33" x14ac:dyDescent="0.35">
      <c r="A90" s="154"/>
      <c r="B90" s="51"/>
      <c r="C90" s="65"/>
      <c r="D90" s="59" t="s">
        <v>928</v>
      </c>
      <c r="E90" s="60" t="s">
        <v>92</v>
      </c>
      <c r="F90" s="60" t="s">
        <v>981</v>
      </c>
      <c r="G90" s="60"/>
      <c r="H90" s="60"/>
      <c r="I90" s="60"/>
      <c r="J90" s="60"/>
      <c r="K90" s="60"/>
      <c r="L90" s="60"/>
      <c r="M90" s="60"/>
      <c r="N90" s="60"/>
      <c r="O90" s="60"/>
      <c r="P90" s="14"/>
      <c r="R90" s="150"/>
      <c r="S90" s="53"/>
    </row>
    <row r="91" spans="1:19" s="16" customFormat="1" ht="33" x14ac:dyDescent="0.35">
      <c r="A91" s="154"/>
      <c r="B91" s="51"/>
      <c r="C91" s="65"/>
      <c r="D91" s="61" t="s">
        <v>929</v>
      </c>
      <c r="E91" s="62" t="s">
        <v>93</v>
      </c>
      <c r="F91" s="62"/>
      <c r="G91" s="62"/>
      <c r="H91" s="62"/>
      <c r="I91" s="62"/>
      <c r="J91" s="62"/>
      <c r="K91" s="62"/>
      <c r="L91" s="62"/>
      <c r="M91" s="62"/>
      <c r="N91" s="62"/>
      <c r="O91" s="62"/>
      <c r="P91" s="14"/>
      <c r="R91" s="150"/>
      <c r="S91" s="53"/>
    </row>
    <row r="92" spans="1:19" s="16" customFormat="1" x14ac:dyDescent="0.35">
      <c r="A92" s="154"/>
      <c r="B92" s="51"/>
      <c r="C92" s="65"/>
      <c r="D92" s="59" t="s">
        <v>930</v>
      </c>
      <c r="E92" s="60"/>
      <c r="F92" s="60"/>
      <c r="G92" s="60"/>
      <c r="H92" s="60"/>
      <c r="I92" s="60"/>
      <c r="J92" s="60"/>
      <c r="K92" s="60"/>
      <c r="L92" s="60"/>
      <c r="M92" s="60"/>
      <c r="N92" s="60"/>
      <c r="O92" s="60"/>
      <c r="P92" s="14"/>
      <c r="R92" s="150" t="str">
        <f>uberTipCN(E92,G89:M89)</f>
        <v>|n|n</v>
      </c>
      <c r="S92" s="53"/>
    </row>
    <row r="93" spans="1:19" s="16" customFormat="1" x14ac:dyDescent="0.35">
      <c r="A93" s="154"/>
      <c r="B93" s="51"/>
      <c r="C93" s="65"/>
      <c r="D93" s="61" t="s">
        <v>931</v>
      </c>
      <c r="E93" s="62"/>
      <c r="F93" s="62"/>
      <c r="G93" s="62"/>
      <c r="H93" s="62"/>
      <c r="I93" s="62"/>
      <c r="J93" s="62"/>
      <c r="K93" s="62"/>
      <c r="L93" s="62"/>
      <c r="M93" s="62"/>
      <c r="N93" s="62"/>
      <c r="O93" s="62"/>
      <c r="P93" s="14"/>
      <c r="R93" s="150" t="str">
        <f>uberTipCN(E93,G90:M90)</f>
        <v>|n|n</v>
      </c>
      <c r="S93" s="53"/>
    </row>
    <row r="94" spans="1:19" s="16" customFormat="1" x14ac:dyDescent="0.35">
      <c r="A94" s="154"/>
      <c r="B94" s="51"/>
      <c r="C94" s="65"/>
      <c r="D94" s="59" t="s">
        <v>932</v>
      </c>
      <c r="E94" s="60"/>
      <c r="F94" s="60"/>
      <c r="G94" s="60"/>
      <c r="H94" s="60"/>
      <c r="I94" s="60"/>
      <c r="J94" s="60"/>
      <c r="K94" s="60"/>
      <c r="L94" s="60"/>
      <c r="M94" s="60"/>
      <c r="N94" s="60"/>
      <c r="O94" s="60"/>
      <c r="P94" s="14"/>
      <c r="R94" s="150" t="str">
        <f>uberTipCN(E94,G91:M91)</f>
        <v>|n|n</v>
      </c>
      <c r="S94" s="53"/>
    </row>
    <row r="95" spans="1:19" ht="33" x14ac:dyDescent="0.35">
      <c r="A95" s="154"/>
      <c r="B95" s="51" t="s">
        <v>94</v>
      </c>
      <c r="C95" s="65"/>
      <c r="D95" s="63" t="s">
        <v>926</v>
      </c>
      <c r="E95" s="64" t="s">
        <v>95</v>
      </c>
      <c r="F95" s="64" t="s">
        <v>984</v>
      </c>
      <c r="G95" s="64"/>
      <c r="H95" s="64"/>
      <c r="I95" s="64"/>
      <c r="J95" s="64"/>
      <c r="K95" s="64"/>
      <c r="L95" s="64"/>
      <c r="M95" s="64"/>
      <c r="N95" s="64"/>
      <c r="O95" s="64" t="s">
        <v>948</v>
      </c>
      <c r="P95" s="14"/>
      <c r="R95" s="150"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4"/>
      <c r="B96" s="51"/>
      <c r="C96" s="65"/>
      <c r="D96" s="61" t="s">
        <v>927</v>
      </c>
      <c r="E96" s="62" t="s">
        <v>96</v>
      </c>
      <c r="F96" s="62" t="s">
        <v>989</v>
      </c>
      <c r="G96" s="62"/>
      <c r="H96" s="62"/>
      <c r="I96" s="62"/>
      <c r="J96" s="62"/>
      <c r="K96" s="62"/>
      <c r="L96" s="62"/>
      <c r="M96" s="62"/>
      <c r="N96" s="62"/>
      <c r="O96" s="62"/>
      <c r="P96" s="14"/>
      <c r="R96" s="150"/>
      <c r="S96" s="53"/>
    </row>
    <row r="97" spans="1:19" s="16" customFormat="1" x14ac:dyDescent="0.35">
      <c r="A97" s="154"/>
      <c r="B97" s="51"/>
      <c r="C97" s="65"/>
      <c r="D97" s="59" t="s">
        <v>928</v>
      </c>
      <c r="E97" s="60" t="s">
        <v>97</v>
      </c>
      <c r="F97" s="60" t="s">
        <v>990</v>
      </c>
      <c r="G97" s="60"/>
      <c r="H97" s="60"/>
      <c r="I97" s="60"/>
      <c r="J97" s="60"/>
      <c r="K97" s="60"/>
      <c r="L97" s="60"/>
      <c r="M97" s="60"/>
      <c r="N97" s="60"/>
      <c r="O97" s="60"/>
      <c r="P97" s="14"/>
      <c r="R97" s="150"/>
      <c r="S97" s="53"/>
    </row>
    <row r="98" spans="1:19" s="16" customFormat="1" ht="33" x14ac:dyDescent="0.35">
      <c r="A98" s="154"/>
      <c r="B98" s="51"/>
      <c r="C98" s="65"/>
      <c r="D98" s="61" t="s">
        <v>929</v>
      </c>
      <c r="E98" s="62" t="s">
        <v>98</v>
      </c>
      <c r="F98" s="62" t="s">
        <v>991</v>
      </c>
      <c r="G98" s="62"/>
      <c r="H98" s="62"/>
      <c r="I98" s="62"/>
      <c r="J98" s="62"/>
      <c r="K98" s="62"/>
      <c r="L98" s="62"/>
      <c r="M98" s="62"/>
      <c r="N98" s="62"/>
      <c r="O98" s="62"/>
      <c r="P98" s="14"/>
      <c r="R98" s="150"/>
      <c r="S98" s="53"/>
    </row>
    <row r="99" spans="1:19" s="16" customFormat="1" x14ac:dyDescent="0.35">
      <c r="A99" s="154"/>
      <c r="B99" s="51"/>
      <c r="C99" s="65"/>
      <c r="D99" s="59" t="s">
        <v>930</v>
      </c>
      <c r="E99" s="60"/>
      <c r="F99" s="60"/>
      <c r="G99" s="60"/>
      <c r="H99" s="60"/>
      <c r="I99" s="60"/>
      <c r="J99" s="60"/>
      <c r="K99" s="60"/>
      <c r="L99" s="60"/>
      <c r="M99" s="60"/>
      <c r="N99" s="60"/>
      <c r="O99" s="60"/>
      <c r="P99" s="14"/>
      <c r="R99" s="150" t="str">
        <f>uberTipCN(E99,G96:M96)</f>
        <v>|n|n</v>
      </c>
      <c r="S99" s="53"/>
    </row>
    <row r="100" spans="1:19" s="16" customFormat="1" x14ac:dyDescent="0.35">
      <c r="A100" s="154"/>
      <c r="B100" s="51"/>
      <c r="C100" s="65"/>
      <c r="D100" s="61" t="s">
        <v>931</v>
      </c>
      <c r="E100" s="62"/>
      <c r="F100" s="62"/>
      <c r="G100" s="62"/>
      <c r="H100" s="62"/>
      <c r="I100" s="62"/>
      <c r="J100" s="62"/>
      <c r="K100" s="62"/>
      <c r="L100" s="62"/>
      <c r="M100" s="62"/>
      <c r="N100" s="62"/>
      <c r="O100" s="62"/>
      <c r="P100" s="14"/>
      <c r="R100" s="150" t="str">
        <f>uberTipCN(E100,G97:M97)</f>
        <v>|n|n</v>
      </c>
      <c r="S100" s="53"/>
    </row>
    <row r="101" spans="1:19" s="16" customFormat="1" x14ac:dyDescent="0.35">
      <c r="A101" s="154"/>
      <c r="B101" s="51"/>
      <c r="C101" s="65"/>
      <c r="D101" s="59" t="s">
        <v>932</v>
      </c>
      <c r="E101" s="60"/>
      <c r="F101" s="60"/>
      <c r="G101" s="60"/>
      <c r="H101" s="60"/>
      <c r="I101" s="60"/>
      <c r="J101" s="60"/>
      <c r="K101" s="60"/>
      <c r="L101" s="60"/>
      <c r="M101" s="60"/>
      <c r="N101" s="60"/>
      <c r="O101" s="60"/>
      <c r="P101" s="14"/>
      <c r="R101" s="150" t="str">
        <f>uberTipCN(E101,G98:M98)</f>
        <v>|n|n</v>
      </c>
      <c r="S101" s="53"/>
    </row>
    <row r="102" spans="1:19" ht="49.5" x14ac:dyDescent="0.35">
      <c r="A102" s="154"/>
      <c r="B102" s="51" t="s">
        <v>99</v>
      </c>
      <c r="C102" s="65"/>
      <c r="D102" s="63" t="s">
        <v>926</v>
      </c>
      <c r="E102" s="64" t="s">
        <v>100</v>
      </c>
      <c r="F102" s="64"/>
      <c r="G102" s="64"/>
      <c r="H102" s="64"/>
      <c r="I102" s="64"/>
      <c r="J102" s="64"/>
      <c r="K102" s="64"/>
      <c r="L102" s="64"/>
      <c r="M102" s="64"/>
      <c r="N102" s="64"/>
      <c r="O102" s="64"/>
      <c r="P102" s="56"/>
      <c r="R102" s="150"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4"/>
      <c r="B103" s="51"/>
      <c r="C103" s="65"/>
      <c r="D103" s="61" t="s">
        <v>927</v>
      </c>
      <c r="E103" s="62" t="s">
        <v>101</v>
      </c>
      <c r="F103" s="62"/>
      <c r="G103" s="62"/>
      <c r="H103" s="62"/>
      <c r="I103" s="62"/>
      <c r="J103" s="62"/>
      <c r="K103" s="62"/>
      <c r="L103" s="62"/>
      <c r="M103" s="62"/>
      <c r="N103" s="62"/>
      <c r="O103" s="62"/>
      <c r="P103" s="14"/>
      <c r="R103" s="150"/>
      <c r="S103" s="53"/>
    </row>
    <row r="104" spans="1:19" s="16" customFormat="1" x14ac:dyDescent="0.35">
      <c r="A104" s="154"/>
      <c r="B104" s="51"/>
      <c r="C104" s="65"/>
      <c r="D104" s="59" t="s">
        <v>928</v>
      </c>
      <c r="E104" s="60" t="s">
        <v>102</v>
      </c>
      <c r="F104" s="60"/>
      <c r="G104" s="60"/>
      <c r="H104" s="60"/>
      <c r="I104" s="60"/>
      <c r="J104" s="60"/>
      <c r="K104" s="60"/>
      <c r="L104" s="60"/>
      <c r="M104" s="60"/>
      <c r="N104" s="60"/>
      <c r="O104" s="60"/>
      <c r="P104" s="14"/>
      <c r="R104" s="150"/>
      <c r="S104" s="53"/>
    </row>
    <row r="105" spans="1:19" s="16" customFormat="1" x14ac:dyDescent="0.35">
      <c r="A105" s="154"/>
      <c r="B105" s="51"/>
      <c r="C105" s="65"/>
      <c r="D105" s="61" t="s">
        <v>929</v>
      </c>
      <c r="E105" s="62" t="s">
        <v>104</v>
      </c>
      <c r="F105" s="62"/>
      <c r="G105" s="62"/>
      <c r="H105" s="62"/>
      <c r="I105" s="62"/>
      <c r="J105" s="62"/>
      <c r="K105" s="62"/>
      <c r="L105" s="62"/>
      <c r="M105" s="62"/>
      <c r="N105" s="62"/>
      <c r="O105" s="62"/>
      <c r="P105" s="14"/>
      <c r="R105" s="150"/>
      <c r="S105" s="53"/>
    </row>
    <row r="106" spans="1:19" s="16" customFormat="1" x14ac:dyDescent="0.35">
      <c r="A106" s="154"/>
      <c r="B106" s="51"/>
      <c r="C106" s="65"/>
      <c r="D106" s="59" t="s">
        <v>930</v>
      </c>
      <c r="E106" s="60"/>
      <c r="F106" s="60"/>
      <c r="G106" s="60"/>
      <c r="H106" s="60"/>
      <c r="I106" s="60"/>
      <c r="J106" s="60"/>
      <c r="K106" s="60"/>
      <c r="L106" s="60"/>
      <c r="M106" s="60"/>
      <c r="N106" s="60"/>
      <c r="O106" s="60"/>
      <c r="P106" s="14"/>
      <c r="R106" s="150" t="str">
        <f>uberTipCN(E106,G103:M103)</f>
        <v>|n|n</v>
      </c>
      <c r="S106" s="53"/>
    </row>
    <row r="107" spans="1:19" s="16" customFormat="1" x14ac:dyDescent="0.35">
      <c r="A107" s="154"/>
      <c r="B107" s="51"/>
      <c r="C107" s="65"/>
      <c r="D107" s="61" t="s">
        <v>931</v>
      </c>
      <c r="E107" s="62"/>
      <c r="F107" s="62"/>
      <c r="G107" s="62"/>
      <c r="H107" s="62"/>
      <c r="I107" s="62"/>
      <c r="J107" s="62"/>
      <c r="K107" s="62"/>
      <c r="L107" s="62"/>
      <c r="M107" s="62"/>
      <c r="N107" s="62"/>
      <c r="O107" s="62"/>
      <c r="P107" s="14"/>
      <c r="R107" s="150" t="str">
        <f>uberTipCN(E107,G104:M104)</f>
        <v>|n|n</v>
      </c>
      <c r="S107" s="53"/>
    </row>
    <row r="108" spans="1:19" s="16" customFormat="1" x14ac:dyDescent="0.35">
      <c r="A108" s="154"/>
      <c r="B108" s="51"/>
      <c r="C108" s="65"/>
      <c r="D108" s="59" t="s">
        <v>932</v>
      </c>
      <c r="E108" s="60"/>
      <c r="F108" s="60"/>
      <c r="G108" s="60"/>
      <c r="H108" s="60"/>
      <c r="I108" s="60"/>
      <c r="J108" s="60"/>
      <c r="K108" s="60"/>
      <c r="L108" s="60"/>
      <c r="M108" s="60"/>
      <c r="N108" s="60"/>
      <c r="O108" s="60"/>
      <c r="P108" s="14"/>
      <c r="R108" s="150" t="str">
        <f>uberTipCN(E108,G105:M105)</f>
        <v>|n|n</v>
      </c>
      <c r="S108" s="53"/>
    </row>
    <row r="109" spans="1:19" x14ac:dyDescent="0.35">
      <c r="A109" s="154"/>
      <c r="B109" s="66" t="s">
        <v>42</v>
      </c>
      <c r="C109" s="67"/>
      <c r="D109" s="68"/>
      <c r="E109" s="69"/>
      <c r="F109" s="69"/>
      <c r="G109" s="69"/>
      <c r="H109" s="69"/>
      <c r="I109" s="69"/>
      <c r="J109" s="69"/>
      <c r="K109" s="69"/>
      <c r="L109" s="69"/>
      <c r="M109" s="69"/>
      <c r="N109" s="69"/>
      <c r="O109" s="69"/>
      <c r="P109" s="14"/>
    </row>
    <row r="110" spans="1:19" ht="49.5" x14ac:dyDescent="0.35">
      <c r="A110" s="162" t="s">
        <v>109</v>
      </c>
      <c r="B110" s="51" t="s">
        <v>150</v>
      </c>
      <c r="C110" s="72"/>
      <c r="D110" s="63" t="s">
        <v>926</v>
      </c>
      <c r="E110" s="64" t="s">
        <v>151</v>
      </c>
      <c r="F110" s="64"/>
      <c r="G110" s="64"/>
      <c r="H110" s="64"/>
      <c r="I110" s="64"/>
      <c r="J110" s="64"/>
      <c r="K110" s="64"/>
      <c r="L110" s="64"/>
      <c r="M110" s="64"/>
      <c r="N110" s="64"/>
      <c r="O110" s="64" t="s">
        <v>949</v>
      </c>
      <c r="P110" s="14"/>
      <c r="R110" s="150"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2"/>
      <c r="B111" s="72"/>
      <c r="C111" s="72"/>
      <c r="D111" s="61" t="s">
        <v>927</v>
      </c>
      <c r="E111" s="62" t="s">
        <v>152</v>
      </c>
      <c r="F111" s="62"/>
      <c r="G111" s="62"/>
      <c r="H111" s="62"/>
      <c r="I111" s="62"/>
      <c r="J111" s="62"/>
      <c r="K111" s="62"/>
      <c r="L111" s="62"/>
      <c r="M111" s="62"/>
      <c r="N111" s="62"/>
      <c r="O111" s="62"/>
      <c r="P111" s="14"/>
      <c r="R111" s="150"/>
      <c r="S111" s="53"/>
    </row>
    <row r="112" spans="1:19" s="16" customFormat="1" x14ac:dyDescent="0.35">
      <c r="A112" s="162"/>
      <c r="B112" s="72"/>
      <c r="C112" s="72"/>
      <c r="D112" s="59" t="s">
        <v>928</v>
      </c>
      <c r="E112" s="60" t="s">
        <v>153</v>
      </c>
      <c r="F112" s="60"/>
      <c r="G112" s="60"/>
      <c r="H112" s="60"/>
      <c r="I112" s="60"/>
      <c r="J112" s="60"/>
      <c r="K112" s="60"/>
      <c r="L112" s="60"/>
      <c r="M112" s="60"/>
      <c r="N112" s="60"/>
      <c r="O112" s="60"/>
      <c r="P112" s="14"/>
      <c r="R112" s="150"/>
      <c r="S112" s="53"/>
    </row>
    <row r="113" spans="1:19" s="16" customFormat="1" x14ac:dyDescent="0.35">
      <c r="A113" s="162"/>
      <c r="B113" s="72"/>
      <c r="C113" s="72"/>
      <c r="D113" s="61" t="s">
        <v>929</v>
      </c>
      <c r="E113" s="62" t="s">
        <v>156</v>
      </c>
      <c r="F113" s="62"/>
      <c r="G113" s="62"/>
      <c r="H113" s="62"/>
      <c r="I113" s="62"/>
      <c r="J113" s="62"/>
      <c r="K113" s="62"/>
      <c r="L113" s="62"/>
      <c r="M113" s="62"/>
      <c r="N113" s="62"/>
      <c r="O113" s="62"/>
      <c r="P113" s="14"/>
      <c r="R113" s="150"/>
      <c r="S113" s="53"/>
    </row>
    <row r="114" spans="1:19" s="16" customFormat="1" x14ac:dyDescent="0.35">
      <c r="A114" s="162"/>
      <c r="B114" s="72"/>
      <c r="C114" s="72"/>
      <c r="D114" s="59" t="s">
        <v>930</v>
      </c>
      <c r="E114" s="60"/>
      <c r="F114" s="60"/>
      <c r="G114" s="60"/>
      <c r="H114" s="60"/>
      <c r="I114" s="60"/>
      <c r="J114" s="60"/>
      <c r="K114" s="60"/>
      <c r="L114" s="60"/>
      <c r="M114" s="60"/>
      <c r="N114" s="60"/>
      <c r="O114" s="60"/>
      <c r="P114" s="14"/>
      <c r="R114" s="150" t="str">
        <f>uberTipCN(E114,G111:M111)</f>
        <v>|n|n</v>
      </c>
      <c r="S114" s="53"/>
    </row>
    <row r="115" spans="1:19" s="16" customFormat="1" x14ac:dyDescent="0.35">
      <c r="A115" s="162"/>
      <c r="B115" s="72"/>
      <c r="C115" s="72"/>
      <c r="D115" s="61" t="s">
        <v>931</v>
      </c>
      <c r="E115" s="62"/>
      <c r="F115" s="62"/>
      <c r="G115" s="62"/>
      <c r="H115" s="62"/>
      <c r="I115" s="62"/>
      <c r="J115" s="62"/>
      <c r="K115" s="62"/>
      <c r="L115" s="62"/>
      <c r="M115" s="62"/>
      <c r="N115" s="62"/>
      <c r="O115" s="62"/>
      <c r="P115" s="14"/>
      <c r="R115" s="150" t="str">
        <f>uberTipCN(E115,G112:M112)</f>
        <v>|n|n</v>
      </c>
      <c r="S115" s="53"/>
    </row>
    <row r="116" spans="1:19" s="16" customFormat="1" x14ac:dyDescent="0.35">
      <c r="A116" s="162"/>
      <c r="B116" s="72"/>
      <c r="C116" s="72"/>
      <c r="D116" s="59" t="s">
        <v>932</v>
      </c>
      <c r="E116" s="60"/>
      <c r="F116" s="60"/>
      <c r="G116" s="60"/>
      <c r="H116" s="60"/>
      <c r="I116" s="60"/>
      <c r="J116" s="60"/>
      <c r="K116" s="60"/>
      <c r="L116" s="60"/>
      <c r="M116" s="60"/>
      <c r="N116" s="60"/>
      <c r="O116" s="60"/>
      <c r="P116" s="14"/>
      <c r="R116" s="150" t="str">
        <f>uberTipCN(E116,G113:M113)</f>
        <v>|n|n</v>
      </c>
      <c r="S116" s="53"/>
    </row>
    <row r="117" spans="1:19" ht="33" x14ac:dyDescent="0.35">
      <c r="A117" s="159"/>
      <c r="B117" s="51" t="s">
        <v>157</v>
      </c>
      <c r="C117" s="65"/>
      <c r="D117" s="63" t="s">
        <v>926</v>
      </c>
      <c r="E117" s="64" t="s">
        <v>158</v>
      </c>
      <c r="F117" s="64"/>
      <c r="G117" s="64"/>
      <c r="H117" s="64"/>
      <c r="I117" s="64"/>
      <c r="J117" s="64"/>
      <c r="K117" s="64"/>
      <c r="L117" s="64"/>
      <c r="M117" s="64"/>
      <c r="N117" s="64"/>
      <c r="O117" s="64" t="s">
        <v>963</v>
      </c>
      <c r="P117" s="14"/>
      <c r="R117" s="150"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59"/>
      <c r="B118" s="51"/>
      <c r="C118" s="65"/>
      <c r="D118" s="61" t="s">
        <v>927</v>
      </c>
      <c r="E118" s="62" t="s">
        <v>159</v>
      </c>
      <c r="F118" s="62"/>
      <c r="G118" s="62"/>
      <c r="H118" s="62"/>
      <c r="I118" s="62"/>
      <c r="J118" s="62"/>
      <c r="K118" s="62"/>
      <c r="L118" s="62"/>
      <c r="M118" s="62"/>
      <c r="N118" s="62"/>
      <c r="O118" s="62"/>
      <c r="P118" s="14"/>
      <c r="R118" s="150"/>
      <c r="S118" s="53"/>
    </row>
    <row r="119" spans="1:19" s="16" customFormat="1" x14ac:dyDescent="0.35">
      <c r="A119" s="159"/>
      <c r="B119" s="51"/>
      <c r="C119" s="65"/>
      <c r="D119" s="59" t="s">
        <v>928</v>
      </c>
      <c r="E119" s="60" t="s">
        <v>160</v>
      </c>
      <c r="F119" s="60"/>
      <c r="G119" s="60"/>
      <c r="H119" s="60"/>
      <c r="I119" s="60"/>
      <c r="J119" s="60"/>
      <c r="K119" s="60"/>
      <c r="L119" s="60"/>
      <c r="M119" s="60"/>
      <c r="N119" s="60"/>
      <c r="O119" s="60"/>
      <c r="P119" s="14"/>
      <c r="R119" s="150"/>
      <c r="S119" s="53"/>
    </row>
    <row r="120" spans="1:19" s="16" customFormat="1" ht="49.5" x14ac:dyDescent="0.35">
      <c r="A120" s="159"/>
      <c r="B120" s="51"/>
      <c r="C120" s="65"/>
      <c r="D120" s="61" t="s">
        <v>929</v>
      </c>
      <c r="E120" s="62" t="s">
        <v>161</v>
      </c>
      <c r="F120" s="62"/>
      <c r="G120" s="62"/>
      <c r="H120" s="62"/>
      <c r="I120" s="62"/>
      <c r="J120" s="62"/>
      <c r="K120" s="62"/>
      <c r="L120" s="62"/>
      <c r="M120" s="62"/>
      <c r="N120" s="62"/>
      <c r="O120" s="62"/>
      <c r="P120" s="14"/>
      <c r="R120" s="150"/>
      <c r="S120" s="53"/>
    </row>
    <row r="121" spans="1:19" s="16" customFormat="1" x14ac:dyDescent="0.35">
      <c r="A121" s="159"/>
      <c r="B121" s="51"/>
      <c r="C121" s="65"/>
      <c r="D121" s="59" t="s">
        <v>930</v>
      </c>
      <c r="E121" s="60"/>
      <c r="F121" s="60"/>
      <c r="G121" s="60"/>
      <c r="H121" s="60"/>
      <c r="I121" s="60"/>
      <c r="J121" s="60"/>
      <c r="K121" s="60"/>
      <c r="L121" s="60"/>
      <c r="M121" s="60"/>
      <c r="N121" s="60"/>
      <c r="O121" s="60"/>
      <c r="P121" s="14"/>
      <c r="R121" s="150" t="str">
        <f>uberTipCN(E121,G118:M118)</f>
        <v>|n|n</v>
      </c>
      <c r="S121" s="53"/>
    </row>
    <row r="122" spans="1:19" s="16" customFormat="1" x14ac:dyDescent="0.35">
      <c r="A122" s="159"/>
      <c r="B122" s="51"/>
      <c r="C122" s="65"/>
      <c r="D122" s="61" t="s">
        <v>931</v>
      </c>
      <c r="E122" s="62"/>
      <c r="F122" s="62"/>
      <c r="G122" s="62"/>
      <c r="H122" s="62"/>
      <c r="I122" s="62"/>
      <c r="J122" s="62"/>
      <c r="K122" s="62"/>
      <c r="L122" s="62"/>
      <c r="M122" s="62"/>
      <c r="N122" s="62"/>
      <c r="O122" s="62"/>
      <c r="P122" s="14"/>
      <c r="R122" s="150" t="str">
        <f>uberTipCN(E122,G119:M119)</f>
        <v>|n|n</v>
      </c>
      <c r="S122" s="53"/>
    </row>
    <row r="123" spans="1:19" s="16" customFormat="1" x14ac:dyDescent="0.35">
      <c r="A123" s="159"/>
      <c r="B123" s="51"/>
      <c r="C123" s="65"/>
      <c r="D123" s="59" t="s">
        <v>932</v>
      </c>
      <c r="E123" s="60"/>
      <c r="F123" s="60"/>
      <c r="G123" s="60"/>
      <c r="H123" s="60"/>
      <c r="I123" s="60"/>
      <c r="J123" s="60"/>
      <c r="K123" s="60"/>
      <c r="L123" s="60"/>
      <c r="M123" s="60"/>
      <c r="N123" s="60"/>
      <c r="O123" s="60"/>
      <c r="P123" s="14"/>
      <c r="R123" s="150" t="str">
        <f>uberTipCN(E123,G120:M120)</f>
        <v>|n|n</v>
      </c>
      <c r="S123" s="53"/>
    </row>
    <row r="124" spans="1:19" ht="33" x14ac:dyDescent="0.35">
      <c r="A124" s="159"/>
      <c r="B124" s="51" t="s">
        <v>162</v>
      </c>
      <c r="C124" s="65"/>
      <c r="D124" s="63" t="s">
        <v>926</v>
      </c>
      <c r="E124" s="64" t="s">
        <v>163</v>
      </c>
      <c r="F124" s="64"/>
      <c r="G124" s="64"/>
      <c r="H124" s="64"/>
      <c r="I124" s="64"/>
      <c r="J124" s="64"/>
      <c r="K124" s="64"/>
      <c r="L124" s="64"/>
      <c r="M124" s="64"/>
      <c r="N124" s="64"/>
      <c r="O124" s="64" t="s">
        <v>950</v>
      </c>
      <c r="P124" s="14"/>
      <c r="R124" s="150"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59"/>
      <c r="B125" s="51"/>
      <c r="C125" s="65"/>
      <c r="D125" s="61" t="s">
        <v>927</v>
      </c>
      <c r="E125" s="62" t="s">
        <v>164</v>
      </c>
      <c r="F125" s="62"/>
      <c r="G125" s="62"/>
      <c r="H125" s="62"/>
      <c r="I125" s="62"/>
      <c r="J125" s="62"/>
      <c r="K125" s="62"/>
      <c r="L125" s="62"/>
      <c r="M125" s="62"/>
      <c r="N125" s="62"/>
      <c r="O125" s="62"/>
      <c r="P125" s="14"/>
      <c r="R125" s="150"/>
      <c r="S125" s="53"/>
    </row>
    <row r="126" spans="1:19" s="16" customFormat="1" x14ac:dyDescent="0.35">
      <c r="A126" s="159"/>
      <c r="B126" s="51"/>
      <c r="C126" s="65"/>
      <c r="D126" s="59" t="s">
        <v>928</v>
      </c>
      <c r="E126" s="60" t="s">
        <v>165</v>
      </c>
      <c r="F126" s="60"/>
      <c r="G126" s="60"/>
      <c r="H126" s="60"/>
      <c r="I126" s="60"/>
      <c r="J126" s="60"/>
      <c r="K126" s="60"/>
      <c r="L126" s="60"/>
      <c r="M126" s="60"/>
      <c r="N126" s="60"/>
      <c r="O126" s="60"/>
      <c r="P126" s="14"/>
      <c r="R126" s="150"/>
      <c r="S126" s="53"/>
    </row>
    <row r="127" spans="1:19" s="16" customFormat="1" ht="49.5" x14ac:dyDescent="0.35">
      <c r="A127" s="159"/>
      <c r="B127" s="51"/>
      <c r="C127" s="65"/>
      <c r="D127" s="61" t="s">
        <v>929</v>
      </c>
      <c r="E127" s="62" t="s">
        <v>166</v>
      </c>
      <c r="F127" s="62"/>
      <c r="G127" s="62"/>
      <c r="H127" s="62"/>
      <c r="I127" s="62"/>
      <c r="J127" s="62"/>
      <c r="K127" s="62"/>
      <c r="L127" s="62"/>
      <c r="M127" s="62"/>
      <c r="N127" s="62"/>
      <c r="O127" s="62"/>
      <c r="P127" s="14"/>
      <c r="R127" s="150"/>
      <c r="S127" s="53"/>
    </row>
    <row r="128" spans="1:19" s="16" customFormat="1" x14ac:dyDescent="0.35">
      <c r="A128" s="159"/>
      <c r="B128" s="51"/>
      <c r="C128" s="65"/>
      <c r="D128" s="59" t="s">
        <v>930</v>
      </c>
      <c r="E128" s="60"/>
      <c r="F128" s="60"/>
      <c r="G128" s="60"/>
      <c r="H128" s="60"/>
      <c r="I128" s="60"/>
      <c r="J128" s="60"/>
      <c r="K128" s="60"/>
      <c r="L128" s="60"/>
      <c r="M128" s="60"/>
      <c r="N128" s="60"/>
      <c r="O128" s="60"/>
      <c r="P128" s="14"/>
      <c r="R128" s="150" t="str">
        <f>uberTipCN(E128,G125:M125)</f>
        <v>|n|n</v>
      </c>
      <c r="S128" s="53"/>
    </row>
    <row r="129" spans="1:19" s="16" customFormat="1" x14ac:dyDescent="0.35">
      <c r="A129" s="159"/>
      <c r="B129" s="51"/>
      <c r="C129" s="65"/>
      <c r="D129" s="61" t="s">
        <v>931</v>
      </c>
      <c r="E129" s="62"/>
      <c r="F129" s="62"/>
      <c r="G129" s="62"/>
      <c r="H129" s="62"/>
      <c r="I129" s="62"/>
      <c r="J129" s="62"/>
      <c r="K129" s="62"/>
      <c r="L129" s="62"/>
      <c r="M129" s="62"/>
      <c r="N129" s="62"/>
      <c r="O129" s="62"/>
      <c r="P129" s="14"/>
      <c r="R129" s="150" t="str">
        <f>uberTipCN(E129,G126:M126)</f>
        <v>|n|n</v>
      </c>
      <c r="S129" s="53"/>
    </row>
    <row r="130" spans="1:19" s="16" customFormat="1" x14ac:dyDescent="0.35">
      <c r="A130" s="159"/>
      <c r="B130" s="51"/>
      <c r="C130" s="65"/>
      <c r="D130" s="59" t="s">
        <v>932</v>
      </c>
      <c r="E130" s="60"/>
      <c r="F130" s="60"/>
      <c r="G130" s="60"/>
      <c r="H130" s="60"/>
      <c r="I130" s="60"/>
      <c r="J130" s="60"/>
      <c r="K130" s="60"/>
      <c r="L130" s="60"/>
      <c r="M130" s="60"/>
      <c r="N130" s="60"/>
      <c r="O130" s="60"/>
      <c r="P130" s="14"/>
      <c r="R130" s="150" t="str">
        <f>uberTipCN(E130,G127:M127)</f>
        <v>|n|n</v>
      </c>
      <c r="S130" s="53"/>
    </row>
    <row r="131" spans="1:19" x14ac:dyDescent="0.35">
      <c r="A131" s="159"/>
      <c r="B131" s="51" t="s">
        <v>167</v>
      </c>
      <c r="C131" s="65"/>
      <c r="D131" s="63" t="s">
        <v>926</v>
      </c>
      <c r="E131" s="64" t="s">
        <v>168</v>
      </c>
      <c r="F131" s="64"/>
      <c r="G131" s="64"/>
      <c r="H131" s="64"/>
      <c r="I131" s="64"/>
      <c r="J131" s="64"/>
      <c r="K131" s="64"/>
      <c r="L131" s="64"/>
      <c r="M131" s="64"/>
      <c r="N131" s="64"/>
      <c r="O131" s="64" t="s">
        <v>951</v>
      </c>
      <c r="P131" s="14"/>
      <c r="R131" s="150"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59"/>
      <c r="B132" s="51"/>
      <c r="C132" s="65"/>
      <c r="D132" s="61" t="s">
        <v>927</v>
      </c>
      <c r="E132" s="62" t="s">
        <v>169</v>
      </c>
      <c r="F132" s="62"/>
      <c r="G132" s="62"/>
      <c r="H132" s="62"/>
      <c r="I132" s="62"/>
      <c r="J132" s="62"/>
      <c r="K132" s="62"/>
      <c r="L132" s="62"/>
      <c r="M132" s="62"/>
      <c r="N132" s="62"/>
      <c r="O132" s="62"/>
      <c r="P132" s="14"/>
      <c r="R132" s="150"/>
      <c r="S132" s="53"/>
    </row>
    <row r="133" spans="1:19" s="16" customFormat="1" x14ac:dyDescent="0.35">
      <c r="A133" s="159"/>
      <c r="B133" s="51"/>
      <c r="C133" s="65"/>
      <c r="D133" s="59" t="s">
        <v>928</v>
      </c>
      <c r="E133" s="60" t="s">
        <v>172</v>
      </c>
      <c r="F133" s="60"/>
      <c r="G133" s="60"/>
      <c r="H133" s="60"/>
      <c r="I133" s="60"/>
      <c r="J133" s="60"/>
      <c r="K133" s="60"/>
      <c r="L133" s="60"/>
      <c r="M133" s="60"/>
      <c r="N133" s="60"/>
      <c r="O133" s="60"/>
      <c r="P133" s="14"/>
      <c r="R133" s="150"/>
      <c r="S133" s="53"/>
    </row>
    <row r="134" spans="1:19" s="16" customFormat="1" x14ac:dyDescent="0.35">
      <c r="A134" s="159"/>
      <c r="B134" s="51"/>
      <c r="C134" s="65"/>
      <c r="D134" s="61" t="s">
        <v>929</v>
      </c>
      <c r="E134" s="62" t="s">
        <v>173</v>
      </c>
      <c r="F134" s="62"/>
      <c r="G134" s="62"/>
      <c r="H134" s="62"/>
      <c r="I134" s="62"/>
      <c r="J134" s="62"/>
      <c r="K134" s="62"/>
      <c r="L134" s="62"/>
      <c r="M134" s="62"/>
      <c r="N134" s="62"/>
      <c r="O134" s="62"/>
      <c r="P134" s="14"/>
      <c r="R134" s="150"/>
      <c r="S134" s="53"/>
    </row>
    <row r="135" spans="1:19" s="16" customFormat="1" x14ac:dyDescent="0.35">
      <c r="A135" s="159"/>
      <c r="B135" s="51"/>
      <c r="C135" s="65"/>
      <c r="D135" s="59" t="s">
        <v>930</v>
      </c>
      <c r="E135" s="60"/>
      <c r="F135" s="60"/>
      <c r="G135" s="60"/>
      <c r="H135" s="60"/>
      <c r="I135" s="60"/>
      <c r="J135" s="60"/>
      <c r="K135" s="60"/>
      <c r="L135" s="60"/>
      <c r="M135" s="60"/>
      <c r="N135" s="60"/>
      <c r="O135" s="60"/>
      <c r="P135" s="14"/>
      <c r="R135" s="150" t="str">
        <f>uberTipCN(E135,G132:M132)</f>
        <v>|n|n</v>
      </c>
      <c r="S135" s="53"/>
    </row>
    <row r="136" spans="1:19" s="16" customFormat="1" x14ac:dyDescent="0.35">
      <c r="A136" s="159"/>
      <c r="B136" s="51"/>
      <c r="C136" s="65"/>
      <c r="D136" s="61" t="s">
        <v>931</v>
      </c>
      <c r="E136" s="62"/>
      <c r="F136" s="62"/>
      <c r="G136" s="62"/>
      <c r="H136" s="62"/>
      <c r="I136" s="62"/>
      <c r="J136" s="62"/>
      <c r="K136" s="62"/>
      <c r="L136" s="62"/>
      <c r="M136" s="62"/>
      <c r="N136" s="62"/>
      <c r="O136" s="62"/>
      <c r="P136" s="14"/>
      <c r="R136" s="150" t="str">
        <f>uberTipCN(E136,G133:M133)</f>
        <v>|n|n</v>
      </c>
      <c r="S136" s="53"/>
    </row>
    <row r="137" spans="1:19" s="16" customFormat="1" x14ac:dyDescent="0.35">
      <c r="A137" s="159"/>
      <c r="B137" s="51"/>
      <c r="C137" s="65"/>
      <c r="D137" s="59" t="s">
        <v>932</v>
      </c>
      <c r="E137" s="60"/>
      <c r="F137" s="60"/>
      <c r="G137" s="60"/>
      <c r="H137" s="60"/>
      <c r="I137" s="60"/>
      <c r="J137" s="60"/>
      <c r="K137" s="60"/>
      <c r="L137" s="60"/>
      <c r="M137" s="60"/>
      <c r="N137" s="60"/>
      <c r="O137" s="60"/>
      <c r="P137" s="14"/>
      <c r="R137" s="150" t="str">
        <f>uberTipCN(E137,G134:M134)</f>
        <v>|n|n</v>
      </c>
      <c r="S137" s="53"/>
    </row>
    <row r="138" spans="1:19" ht="49.5" x14ac:dyDescent="0.35">
      <c r="A138" s="159"/>
      <c r="B138" s="51" t="s">
        <v>174</v>
      </c>
      <c r="C138" s="65"/>
      <c r="D138" s="63" t="s">
        <v>926</v>
      </c>
      <c r="E138" s="64" t="s">
        <v>175</v>
      </c>
      <c r="F138" s="64"/>
      <c r="G138" s="64"/>
      <c r="H138" s="64"/>
      <c r="I138" s="64"/>
      <c r="J138" s="64"/>
      <c r="K138" s="64"/>
      <c r="L138" s="64"/>
      <c r="M138" s="64"/>
      <c r="N138" s="64"/>
      <c r="O138" s="64" t="s">
        <v>952</v>
      </c>
      <c r="P138" s="14"/>
      <c r="R138" s="150"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59"/>
      <c r="B139" s="51"/>
      <c r="C139" s="65"/>
      <c r="D139" s="61" t="s">
        <v>927</v>
      </c>
      <c r="E139" s="62" t="s">
        <v>176</v>
      </c>
      <c r="F139" s="62"/>
      <c r="G139" s="62"/>
      <c r="H139" s="62"/>
      <c r="I139" s="62"/>
      <c r="J139" s="62"/>
      <c r="K139" s="62"/>
      <c r="L139" s="62"/>
      <c r="M139" s="62"/>
      <c r="N139" s="62"/>
      <c r="O139" s="62"/>
      <c r="P139" s="14"/>
      <c r="R139" s="150"/>
      <c r="S139" s="53"/>
    </row>
    <row r="140" spans="1:19" s="16" customFormat="1" x14ac:dyDescent="0.35">
      <c r="A140" s="159"/>
      <c r="B140" s="51"/>
      <c r="C140" s="65"/>
      <c r="D140" s="59" t="s">
        <v>928</v>
      </c>
      <c r="E140" s="60" t="s">
        <v>177</v>
      </c>
      <c r="F140" s="60"/>
      <c r="G140" s="60"/>
      <c r="H140" s="60"/>
      <c r="I140" s="60"/>
      <c r="J140" s="60"/>
      <c r="K140" s="60"/>
      <c r="L140" s="60"/>
      <c r="M140" s="60"/>
      <c r="N140" s="60"/>
      <c r="O140" s="60"/>
      <c r="P140" s="14"/>
      <c r="R140" s="150"/>
      <c r="S140" s="53"/>
    </row>
    <row r="141" spans="1:19" s="16" customFormat="1" x14ac:dyDescent="0.35">
      <c r="A141" s="159"/>
      <c r="B141" s="51"/>
      <c r="C141" s="65"/>
      <c r="D141" s="61" t="s">
        <v>929</v>
      </c>
      <c r="E141" s="62" t="s">
        <v>178</v>
      </c>
      <c r="F141" s="62"/>
      <c r="G141" s="62"/>
      <c r="H141" s="62"/>
      <c r="I141" s="62"/>
      <c r="J141" s="62"/>
      <c r="K141" s="62"/>
      <c r="L141" s="62"/>
      <c r="M141" s="62"/>
      <c r="N141" s="62"/>
      <c r="O141" s="62"/>
      <c r="P141" s="14"/>
      <c r="R141" s="150"/>
      <c r="S141" s="53"/>
    </row>
    <row r="142" spans="1:19" s="16" customFormat="1" x14ac:dyDescent="0.35">
      <c r="A142" s="159"/>
      <c r="B142" s="51"/>
      <c r="C142" s="65"/>
      <c r="D142" s="59" t="s">
        <v>930</v>
      </c>
      <c r="E142" s="60"/>
      <c r="F142" s="60"/>
      <c r="G142" s="60"/>
      <c r="H142" s="60"/>
      <c r="I142" s="60"/>
      <c r="J142" s="60"/>
      <c r="K142" s="60"/>
      <c r="L142" s="60"/>
      <c r="M142" s="60"/>
      <c r="N142" s="60"/>
      <c r="O142" s="60"/>
      <c r="P142" s="14"/>
      <c r="R142" s="150" t="str">
        <f>uberTipCN(E142,G139:M139)</f>
        <v>|n|n</v>
      </c>
      <c r="S142" s="53"/>
    </row>
    <row r="143" spans="1:19" s="16" customFormat="1" x14ac:dyDescent="0.35">
      <c r="A143" s="159"/>
      <c r="B143" s="51"/>
      <c r="C143" s="65"/>
      <c r="D143" s="61" t="s">
        <v>931</v>
      </c>
      <c r="E143" s="62"/>
      <c r="F143" s="62"/>
      <c r="G143" s="62"/>
      <c r="H143" s="62"/>
      <c r="I143" s="62"/>
      <c r="J143" s="62"/>
      <c r="K143" s="62"/>
      <c r="L143" s="62"/>
      <c r="M143" s="62"/>
      <c r="N143" s="62"/>
      <c r="O143" s="62"/>
      <c r="P143" s="14"/>
      <c r="R143" s="150" t="str">
        <f>uberTipCN(E143,G140:M140)</f>
        <v>|n|n</v>
      </c>
      <c r="S143" s="53"/>
    </row>
    <row r="144" spans="1:19" s="16" customFormat="1" x14ac:dyDescent="0.35">
      <c r="A144" s="159"/>
      <c r="B144" s="51"/>
      <c r="C144" s="65"/>
      <c r="D144" s="59" t="s">
        <v>932</v>
      </c>
      <c r="E144" s="60"/>
      <c r="F144" s="60"/>
      <c r="G144" s="60"/>
      <c r="H144" s="60"/>
      <c r="I144" s="60"/>
      <c r="J144" s="60"/>
      <c r="K144" s="60"/>
      <c r="L144" s="60"/>
      <c r="M144" s="60"/>
      <c r="N144" s="60"/>
      <c r="O144" s="60"/>
      <c r="P144" s="14"/>
      <c r="R144" s="150" t="str">
        <f>uberTipCN(E144,G141:M141)</f>
        <v>|n|n</v>
      </c>
      <c r="S144" s="53"/>
    </row>
    <row r="145" spans="1:19" x14ac:dyDescent="0.35">
      <c r="A145" s="159"/>
      <c r="B145" s="66" t="s">
        <v>42</v>
      </c>
      <c r="C145" s="67"/>
      <c r="D145" s="68"/>
      <c r="E145" s="69"/>
      <c r="F145" s="69"/>
      <c r="G145" s="69"/>
      <c r="H145" s="69"/>
      <c r="I145" s="69"/>
      <c r="J145" s="69"/>
      <c r="K145" s="69"/>
      <c r="L145" s="69"/>
      <c r="M145" s="69"/>
      <c r="N145" s="69"/>
      <c r="O145" s="69" t="s">
        <v>180</v>
      </c>
      <c r="P145" s="14"/>
    </row>
    <row r="146" spans="1:19" ht="33" x14ac:dyDescent="0.35">
      <c r="A146" s="165" t="s">
        <v>181</v>
      </c>
      <c r="B146" s="51" t="s">
        <v>183</v>
      </c>
      <c r="C146" s="72"/>
      <c r="D146" s="63" t="s">
        <v>926</v>
      </c>
      <c r="E146" s="64" t="s">
        <v>184</v>
      </c>
      <c r="F146" s="64"/>
      <c r="G146" s="64"/>
      <c r="H146" s="64"/>
      <c r="I146" s="64"/>
      <c r="J146" s="64"/>
      <c r="K146" s="64"/>
      <c r="L146" s="64"/>
      <c r="M146" s="64"/>
      <c r="N146" s="64"/>
      <c r="O146" s="64" t="s">
        <v>953</v>
      </c>
      <c r="P146" s="56"/>
      <c r="R146" s="150"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5"/>
      <c r="B147" s="72"/>
      <c r="C147" s="72"/>
      <c r="D147" s="61" t="s">
        <v>927</v>
      </c>
      <c r="E147" s="62" t="s">
        <v>185</v>
      </c>
      <c r="F147" s="62"/>
      <c r="G147" s="62"/>
      <c r="H147" s="62"/>
      <c r="I147" s="62"/>
      <c r="J147" s="62"/>
      <c r="K147" s="62"/>
      <c r="L147" s="62"/>
      <c r="M147" s="62"/>
      <c r="N147" s="62"/>
      <c r="O147" s="62"/>
      <c r="P147" s="14"/>
      <c r="R147" s="150"/>
      <c r="S147" s="53"/>
    </row>
    <row r="148" spans="1:19" s="16" customFormat="1" x14ac:dyDescent="0.35">
      <c r="A148" s="165"/>
      <c r="B148" s="72"/>
      <c r="C148" s="72"/>
      <c r="D148" s="59" t="s">
        <v>928</v>
      </c>
      <c r="E148" s="60" t="s">
        <v>186</v>
      </c>
      <c r="F148" s="60"/>
      <c r="G148" s="60"/>
      <c r="H148" s="60"/>
      <c r="I148" s="60"/>
      <c r="J148" s="60"/>
      <c r="K148" s="60"/>
      <c r="L148" s="60"/>
      <c r="M148" s="60"/>
      <c r="N148" s="60"/>
      <c r="O148" s="60"/>
      <c r="P148" s="14"/>
      <c r="R148" s="150"/>
      <c r="S148" s="53"/>
    </row>
    <row r="149" spans="1:19" s="16" customFormat="1" x14ac:dyDescent="0.35">
      <c r="A149" s="165"/>
      <c r="B149" s="72"/>
      <c r="C149" s="72"/>
      <c r="D149" s="61" t="s">
        <v>929</v>
      </c>
      <c r="E149" s="62" t="s">
        <v>187</v>
      </c>
      <c r="F149" s="62"/>
      <c r="G149" s="62"/>
      <c r="H149" s="62"/>
      <c r="I149" s="62"/>
      <c r="J149" s="62"/>
      <c r="K149" s="62"/>
      <c r="L149" s="62"/>
      <c r="M149" s="62"/>
      <c r="N149" s="62"/>
      <c r="O149" s="62"/>
      <c r="P149" s="14"/>
      <c r="R149" s="150"/>
      <c r="S149" s="53"/>
    </row>
    <row r="150" spans="1:19" s="16" customFormat="1" x14ac:dyDescent="0.35">
      <c r="A150" s="165"/>
      <c r="B150" s="72"/>
      <c r="C150" s="72"/>
      <c r="D150" s="59" t="s">
        <v>930</v>
      </c>
      <c r="E150" s="60"/>
      <c r="F150" s="60"/>
      <c r="G150" s="60"/>
      <c r="H150" s="60"/>
      <c r="I150" s="60"/>
      <c r="J150" s="60"/>
      <c r="K150" s="60"/>
      <c r="L150" s="60"/>
      <c r="M150" s="60"/>
      <c r="N150" s="60"/>
      <c r="O150" s="60"/>
      <c r="P150" s="14"/>
      <c r="R150" s="150" t="str">
        <f>uberTipCN(E150,G147:M147)</f>
        <v>|n|n</v>
      </c>
      <c r="S150" s="53"/>
    </row>
    <row r="151" spans="1:19" s="16" customFormat="1" x14ac:dyDescent="0.35">
      <c r="A151" s="165"/>
      <c r="B151" s="72"/>
      <c r="C151" s="72"/>
      <c r="D151" s="61" t="s">
        <v>931</v>
      </c>
      <c r="E151" s="62"/>
      <c r="F151" s="62"/>
      <c r="G151" s="62"/>
      <c r="H151" s="62"/>
      <c r="I151" s="62"/>
      <c r="J151" s="62"/>
      <c r="K151" s="62"/>
      <c r="L151" s="62"/>
      <c r="M151" s="62"/>
      <c r="N151" s="62"/>
      <c r="O151" s="62"/>
      <c r="P151" s="14"/>
      <c r="R151" s="150" t="str">
        <f>uberTipCN(E151,G148:M148)</f>
        <v>|n|n</v>
      </c>
      <c r="S151" s="53"/>
    </row>
    <row r="152" spans="1:19" s="16" customFormat="1" x14ac:dyDescent="0.35">
      <c r="A152" s="165"/>
      <c r="B152" s="72"/>
      <c r="C152" s="72"/>
      <c r="D152" s="59" t="s">
        <v>932</v>
      </c>
      <c r="E152" s="60"/>
      <c r="F152" s="60"/>
      <c r="G152" s="60"/>
      <c r="H152" s="60"/>
      <c r="I152" s="60"/>
      <c r="J152" s="60"/>
      <c r="K152" s="60"/>
      <c r="L152" s="60"/>
      <c r="M152" s="60"/>
      <c r="N152" s="60"/>
      <c r="O152" s="60"/>
      <c r="P152" s="14"/>
      <c r="R152" s="150" t="str">
        <f>uberTipCN(E152,G149:M149)</f>
        <v>|n|n</v>
      </c>
      <c r="S152" s="53"/>
    </row>
    <row r="153" spans="1:19" ht="33" x14ac:dyDescent="0.35">
      <c r="A153" s="154"/>
      <c r="B153" s="51" t="s">
        <v>188</v>
      </c>
      <c r="C153" s="65"/>
      <c r="D153" s="63" t="s">
        <v>926</v>
      </c>
      <c r="E153" s="64" t="s">
        <v>189</v>
      </c>
      <c r="F153" s="64"/>
      <c r="G153" s="64"/>
      <c r="H153" s="64"/>
      <c r="I153" s="64"/>
      <c r="J153" s="64"/>
      <c r="K153" s="64"/>
      <c r="L153" s="64"/>
      <c r="M153" s="64"/>
      <c r="N153" s="64"/>
      <c r="O153" s="64" t="s">
        <v>193</v>
      </c>
      <c r="P153" s="14"/>
      <c r="R153" s="150"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4"/>
      <c r="B154" s="51"/>
      <c r="C154" s="65"/>
      <c r="D154" s="61" t="s">
        <v>927</v>
      </c>
      <c r="E154" s="62" t="s">
        <v>190</v>
      </c>
      <c r="F154" s="62"/>
      <c r="G154" s="62"/>
      <c r="H154" s="62"/>
      <c r="I154" s="62"/>
      <c r="J154" s="62"/>
      <c r="K154" s="62"/>
      <c r="L154" s="62"/>
      <c r="M154" s="62"/>
      <c r="N154" s="62"/>
      <c r="O154" s="62"/>
      <c r="P154" s="14"/>
      <c r="R154" s="150"/>
      <c r="S154" s="53"/>
    </row>
    <row r="155" spans="1:19" s="16" customFormat="1" x14ac:dyDescent="0.35">
      <c r="A155" s="154"/>
      <c r="B155" s="51"/>
      <c r="C155" s="65"/>
      <c r="D155" s="59" t="s">
        <v>928</v>
      </c>
      <c r="E155" s="60" t="s">
        <v>191</v>
      </c>
      <c r="F155" s="60"/>
      <c r="G155" s="60"/>
      <c r="H155" s="60"/>
      <c r="I155" s="60"/>
      <c r="J155" s="60"/>
      <c r="K155" s="60"/>
      <c r="L155" s="60"/>
      <c r="M155" s="60"/>
      <c r="N155" s="60"/>
      <c r="O155" s="60"/>
      <c r="P155" s="14"/>
      <c r="R155" s="150"/>
      <c r="S155" s="53"/>
    </row>
    <row r="156" spans="1:19" s="16" customFormat="1" x14ac:dyDescent="0.35">
      <c r="A156" s="154"/>
      <c r="B156" s="51"/>
      <c r="C156" s="65"/>
      <c r="D156" s="61" t="s">
        <v>929</v>
      </c>
      <c r="E156" s="62" t="s">
        <v>192</v>
      </c>
      <c r="F156" s="62"/>
      <c r="G156" s="62"/>
      <c r="H156" s="62"/>
      <c r="I156" s="62"/>
      <c r="J156" s="62"/>
      <c r="K156" s="62"/>
      <c r="L156" s="62"/>
      <c r="M156" s="62"/>
      <c r="N156" s="62"/>
      <c r="O156" s="62"/>
      <c r="P156" s="14"/>
      <c r="R156" s="150"/>
      <c r="S156" s="53"/>
    </row>
    <row r="157" spans="1:19" s="16" customFormat="1" x14ac:dyDescent="0.35">
      <c r="A157" s="154"/>
      <c r="B157" s="51"/>
      <c r="C157" s="65"/>
      <c r="D157" s="59" t="s">
        <v>930</v>
      </c>
      <c r="E157" s="60"/>
      <c r="F157" s="60"/>
      <c r="G157" s="60"/>
      <c r="H157" s="60"/>
      <c r="I157" s="60"/>
      <c r="J157" s="60"/>
      <c r="K157" s="60"/>
      <c r="L157" s="60"/>
      <c r="M157" s="60"/>
      <c r="N157" s="60"/>
      <c r="O157" s="60"/>
      <c r="P157" s="14"/>
      <c r="R157" s="150" t="str">
        <f>uberTipCN(E157,G154:M154)</f>
        <v>|n|n</v>
      </c>
      <c r="S157" s="53"/>
    </row>
    <row r="158" spans="1:19" s="16" customFormat="1" x14ac:dyDescent="0.35">
      <c r="A158" s="154"/>
      <c r="B158" s="51"/>
      <c r="C158" s="65"/>
      <c r="D158" s="61" t="s">
        <v>931</v>
      </c>
      <c r="E158" s="62"/>
      <c r="F158" s="62"/>
      <c r="G158" s="62"/>
      <c r="H158" s="62"/>
      <c r="I158" s="62"/>
      <c r="J158" s="62"/>
      <c r="K158" s="62"/>
      <c r="L158" s="62"/>
      <c r="M158" s="62"/>
      <c r="N158" s="62"/>
      <c r="O158" s="62"/>
      <c r="P158" s="14"/>
      <c r="R158" s="150" t="str">
        <f>uberTipCN(E158,G155:M155)</f>
        <v>|n|n</v>
      </c>
      <c r="S158" s="53"/>
    </row>
    <row r="159" spans="1:19" s="16" customFormat="1" x14ac:dyDescent="0.35">
      <c r="A159" s="154"/>
      <c r="B159" s="51"/>
      <c r="C159" s="65"/>
      <c r="D159" s="59" t="s">
        <v>932</v>
      </c>
      <c r="E159" s="60"/>
      <c r="F159" s="60"/>
      <c r="G159" s="60"/>
      <c r="H159" s="60"/>
      <c r="I159" s="60"/>
      <c r="J159" s="60"/>
      <c r="K159" s="60"/>
      <c r="L159" s="60"/>
      <c r="M159" s="60"/>
      <c r="N159" s="60"/>
      <c r="O159" s="60"/>
      <c r="P159" s="14"/>
      <c r="R159" s="150" t="str">
        <f>uberTipCN(E159,G156:M156)</f>
        <v>|n|n</v>
      </c>
      <c r="S159" s="53"/>
    </row>
    <row r="160" spans="1:19" ht="33" x14ac:dyDescent="0.35">
      <c r="A160" s="154"/>
      <c r="B160" s="51" t="s">
        <v>194</v>
      </c>
      <c r="C160" s="65"/>
      <c r="D160" s="63" t="s">
        <v>926</v>
      </c>
      <c r="E160" s="64" t="s">
        <v>195</v>
      </c>
      <c r="F160" s="64"/>
      <c r="G160" s="64"/>
      <c r="H160" s="64"/>
      <c r="I160" s="64"/>
      <c r="J160" s="64"/>
      <c r="K160" s="64"/>
      <c r="L160" s="64"/>
      <c r="M160" s="64"/>
      <c r="N160" s="64"/>
      <c r="O160" s="64" t="s">
        <v>936</v>
      </c>
      <c r="P160" s="14"/>
      <c r="R160" s="150"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4"/>
      <c r="B161" s="51"/>
      <c r="C161" s="65"/>
      <c r="D161" s="61" t="s">
        <v>927</v>
      </c>
      <c r="E161" s="62" t="s">
        <v>196</v>
      </c>
      <c r="F161" s="62"/>
      <c r="G161" s="62"/>
      <c r="H161" s="62"/>
      <c r="I161" s="62"/>
      <c r="J161" s="62"/>
      <c r="K161" s="62"/>
      <c r="L161" s="62"/>
      <c r="M161" s="62"/>
      <c r="N161" s="62"/>
      <c r="O161" s="62"/>
      <c r="P161" s="14"/>
      <c r="R161" s="150"/>
      <c r="S161" s="53"/>
    </row>
    <row r="162" spans="1:19" s="16" customFormat="1" ht="33" x14ac:dyDescent="0.35">
      <c r="A162" s="154"/>
      <c r="B162" s="51"/>
      <c r="C162" s="65"/>
      <c r="D162" s="59" t="s">
        <v>928</v>
      </c>
      <c r="E162" s="60" t="s">
        <v>197</v>
      </c>
      <c r="F162" s="60"/>
      <c r="G162" s="60"/>
      <c r="H162" s="60"/>
      <c r="I162" s="60"/>
      <c r="J162" s="60"/>
      <c r="K162" s="60"/>
      <c r="L162" s="60"/>
      <c r="M162" s="60"/>
      <c r="N162" s="60"/>
      <c r="O162" s="60"/>
      <c r="P162" s="14"/>
      <c r="R162" s="150"/>
      <c r="S162" s="53"/>
    </row>
    <row r="163" spans="1:19" s="16" customFormat="1" ht="33" x14ac:dyDescent="0.35">
      <c r="A163" s="154"/>
      <c r="B163" s="51"/>
      <c r="C163" s="65"/>
      <c r="D163" s="61" t="s">
        <v>929</v>
      </c>
      <c r="E163" s="62" t="s">
        <v>198</v>
      </c>
      <c r="F163" s="62"/>
      <c r="G163" s="62"/>
      <c r="H163" s="62"/>
      <c r="I163" s="62"/>
      <c r="J163" s="62"/>
      <c r="K163" s="62"/>
      <c r="L163" s="62"/>
      <c r="M163" s="62"/>
      <c r="N163" s="62"/>
      <c r="O163" s="62"/>
      <c r="P163" s="14"/>
      <c r="R163" s="150"/>
      <c r="S163" s="53"/>
    </row>
    <row r="164" spans="1:19" s="16" customFormat="1" x14ac:dyDescent="0.35">
      <c r="A164" s="154"/>
      <c r="B164" s="51"/>
      <c r="C164" s="65"/>
      <c r="D164" s="59" t="s">
        <v>930</v>
      </c>
      <c r="E164" s="60"/>
      <c r="F164" s="60"/>
      <c r="G164" s="60"/>
      <c r="H164" s="60"/>
      <c r="I164" s="60"/>
      <c r="J164" s="60"/>
      <c r="K164" s="60"/>
      <c r="L164" s="60"/>
      <c r="M164" s="60"/>
      <c r="N164" s="60"/>
      <c r="O164" s="60"/>
      <c r="P164" s="14"/>
      <c r="R164" s="150" t="str">
        <f>uberTipCN(E164,G161:M161)</f>
        <v>|n|n</v>
      </c>
      <c r="S164" s="53"/>
    </row>
    <row r="165" spans="1:19" s="16" customFormat="1" x14ac:dyDescent="0.35">
      <c r="A165" s="154"/>
      <c r="B165" s="51"/>
      <c r="C165" s="65"/>
      <c r="D165" s="61" t="s">
        <v>931</v>
      </c>
      <c r="E165" s="62"/>
      <c r="F165" s="62"/>
      <c r="G165" s="62"/>
      <c r="H165" s="62"/>
      <c r="I165" s="62"/>
      <c r="J165" s="62"/>
      <c r="K165" s="62"/>
      <c r="L165" s="62"/>
      <c r="M165" s="62"/>
      <c r="N165" s="62"/>
      <c r="O165" s="62"/>
      <c r="P165" s="14"/>
      <c r="R165" s="150" t="str">
        <f>uberTipCN(E165,G162:M162)</f>
        <v>|n|n</v>
      </c>
      <c r="S165" s="53"/>
    </row>
    <row r="166" spans="1:19" s="16" customFormat="1" x14ac:dyDescent="0.35">
      <c r="A166" s="154"/>
      <c r="B166" s="51"/>
      <c r="C166" s="65"/>
      <c r="D166" s="59" t="s">
        <v>932</v>
      </c>
      <c r="E166" s="60"/>
      <c r="F166" s="60"/>
      <c r="G166" s="60"/>
      <c r="H166" s="60"/>
      <c r="I166" s="60"/>
      <c r="J166" s="60"/>
      <c r="K166" s="60"/>
      <c r="L166" s="60"/>
      <c r="M166" s="60"/>
      <c r="N166" s="60"/>
      <c r="O166" s="60"/>
      <c r="P166" s="14"/>
      <c r="R166" s="150" t="str">
        <f>uberTipCN(E166,G163:M163)</f>
        <v>|n|n</v>
      </c>
      <c r="S166" s="53"/>
    </row>
    <row r="167" spans="1:19" ht="33" x14ac:dyDescent="0.35">
      <c r="A167" s="154"/>
      <c r="B167" s="51" t="s">
        <v>199</v>
      </c>
      <c r="C167" s="65"/>
      <c r="D167" s="63" t="s">
        <v>926</v>
      </c>
      <c r="E167" s="64" t="s">
        <v>200</v>
      </c>
      <c r="F167" s="64"/>
      <c r="G167" s="64"/>
      <c r="H167" s="64"/>
      <c r="I167" s="64"/>
      <c r="J167" s="64"/>
      <c r="K167" s="64"/>
      <c r="L167" s="64"/>
      <c r="M167" s="64"/>
      <c r="N167" s="64"/>
      <c r="O167" s="64" t="s">
        <v>954</v>
      </c>
      <c r="P167" s="14"/>
      <c r="R167" s="150"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4"/>
      <c r="B168" s="51"/>
      <c r="C168" s="65"/>
      <c r="D168" s="61" t="s">
        <v>927</v>
      </c>
      <c r="E168" s="62" t="s">
        <v>201</v>
      </c>
      <c r="F168" s="62"/>
      <c r="G168" s="62"/>
      <c r="H168" s="62"/>
      <c r="I168" s="62"/>
      <c r="J168" s="62"/>
      <c r="K168" s="62"/>
      <c r="L168" s="62"/>
      <c r="M168" s="62"/>
      <c r="N168" s="62"/>
      <c r="O168" s="62"/>
      <c r="P168" s="14"/>
      <c r="R168" s="150"/>
      <c r="S168" s="53"/>
    </row>
    <row r="169" spans="1:19" s="16" customFormat="1" x14ac:dyDescent="0.35">
      <c r="A169" s="154"/>
      <c r="B169" s="51"/>
      <c r="C169" s="65"/>
      <c r="D169" s="59" t="s">
        <v>928</v>
      </c>
      <c r="E169" s="60" t="s">
        <v>202</v>
      </c>
      <c r="F169" s="60"/>
      <c r="G169" s="60"/>
      <c r="H169" s="60"/>
      <c r="I169" s="60"/>
      <c r="J169" s="60"/>
      <c r="K169" s="60"/>
      <c r="L169" s="60"/>
      <c r="M169" s="60"/>
      <c r="N169" s="60"/>
      <c r="O169" s="60"/>
      <c r="P169" s="14"/>
      <c r="R169" s="150"/>
      <c r="S169" s="53"/>
    </row>
    <row r="170" spans="1:19" s="16" customFormat="1" x14ac:dyDescent="0.35">
      <c r="A170" s="154"/>
      <c r="B170" s="51"/>
      <c r="C170" s="65"/>
      <c r="D170" s="61" t="s">
        <v>929</v>
      </c>
      <c r="E170" s="62" t="s">
        <v>203</v>
      </c>
      <c r="F170" s="62"/>
      <c r="G170" s="62"/>
      <c r="H170" s="62"/>
      <c r="I170" s="62"/>
      <c r="J170" s="62"/>
      <c r="K170" s="62"/>
      <c r="L170" s="62"/>
      <c r="M170" s="62"/>
      <c r="N170" s="62"/>
      <c r="O170" s="62"/>
      <c r="P170" s="14"/>
      <c r="R170" s="150"/>
      <c r="S170" s="53"/>
    </row>
    <row r="171" spans="1:19" s="16" customFormat="1" x14ac:dyDescent="0.35">
      <c r="A171" s="154"/>
      <c r="B171" s="51"/>
      <c r="C171" s="65"/>
      <c r="D171" s="59" t="s">
        <v>930</v>
      </c>
      <c r="E171" s="60"/>
      <c r="F171" s="60"/>
      <c r="G171" s="60"/>
      <c r="H171" s="60"/>
      <c r="I171" s="60"/>
      <c r="J171" s="60"/>
      <c r="K171" s="60"/>
      <c r="L171" s="60"/>
      <c r="M171" s="60"/>
      <c r="N171" s="60"/>
      <c r="O171" s="60"/>
      <c r="P171" s="14"/>
      <c r="R171" s="150" t="str">
        <f>uberTipCN(E171,G168:M168)</f>
        <v>|n|n</v>
      </c>
      <c r="S171" s="53"/>
    </row>
    <row r="172" spans="1:19" s="16" customFormat="1" x14ac:dyDescent="0.35">
      <c r="A172" s="154"/>
      <c r="B172" s="51"/>
      <c r="C172" s="65"/>
      <c r="D172" s="61" t="s">
        <v>931</v>
      </c>
      <c r="E172" s="62"/>
      <c r="F172" s="62"/>
      <c r="G172" s="62"/>
      <c r="H172" s="62"/>
      <c r="I172" s="62"/>
      <c r="J172" s="62"/>
      <c r="K172" s="62"/>
      <c r="L172" s="62"/>
      <c r="M172" s="62"/>
      <c r="N172" s="62"/>
      <c r="O172" s="62"/>
      <c r="P172" s="14"/>
      <c r="R172" s="150" t="str">
        <f>uberTipCN(E172,G169:M169)</f>
        <v>|n|n</v>
      </c>
      <c r="S172" s="53"/>
    </row>
    <row r="173" spans="1:19" s="16" customFormat="1" x14ac:dyDescent="0.35">
      <c r="A173" s="154"/>
      <c r="B173" s="51"/>
      <c r="C173" s="65"/>
      <c r="D173" s="59" t="s">
        <v>932</v>
      </c>
      <c r="E173" s="60"/>
      <c r="F173" s="60"/>
      <c r="G173" s="60"/>
      <c r="H173" s="60"/>
      <c r="I173" s="60"/>
      <c r="J173" s="60"/>
      <c r="K173" s="60"/>
      <c r="L173" s="60"/>
      <c r="M173" s="60"/>
      <c r="N173" s="60"/>
      <c r="O173" s="60"/>
      <c r="P173" s="14"/>
      <c r="R173" s="150" t="str">
        <f>uberTipCN(E173,G170:M170)</f>
        <v>|n|n</v>
      </c>
      <c r="S173" s="53"/>
    </row>
    <row r="174" spans="1:19" x14ac:dyDescent="0.35">
      <c r="A174" s="154"/>
      <c r="B174" s="51" t="s">
        <v>207</v>
      </c>
      <c r="C174" s="65"/>
      <c r="D174" s="63" t="s">
        <v>926</v>
      </c>
      <c r="E174" s="64" t="s">
        <v>906</v>
      </c>
      <c r="F174" s="64"/>
      <c r="G174" s="64"/>
      <c r="H174" s="64"/>
      <c r="I174" s="64"/>
      <c r="J174" s="64"/>
      <c r="K174" s="64"/>
      <c r="L174" s="64"/>
      <c r="M174" s="64"/>
      <c r="N174" s="64"/>
      <c r="O174" s="64" t="s">
        <v>943</v>
      </c>
      <c r="P174" s="14"/>
      <c r="R174" s="150" t="str">
        <f>researchUberTipCN(E174:E177,G175:M177)</f>
        <v>进攻驱散，防守驱散。|n|n|n|cffffcc00等级 1|r - 进攻驱散，防守驱散|n|cffffcc00等级 2|r - 自身急速15%，3秒|n|cffffcc00等级 3|r - 自身急速30%，3秒</v>
      </c>
    </row>
    <row r="175" spans="1:19" s="16" customFormat="1" x14ac:dyDescent="0.35">
      <c r="A175" s="154"/>
      <c r="B175" s="51"/>
      <c r="C175" s="65"/>
      <c r="D175" s="61" t="s">
        <v>927</v>
      </c>
      <c r="E175" s="62" t="s">
        <v>210</v>
      </c>
      <c r="F175" s="62"/>
      <c r="G175" s="62"/>
      <c r="H175" s="62"/>
      <c r="I175" s="62"/>
      <c r="J175" s="62"/>
      <c r="K175" s="62"/>
      <c r="L175" s="62"/>
      <c r="M175" s="62"/>
      <c r="N175" s="62"/>
      <c r="O175" s="62"/>
      <c r="P175" s="14"/>
      <c r="R175" s="150"/>
      <c r="S175" s="53"/>
    </row>
    <row r="176" spans="1:19" s="16" customFormat="1" x14ac:dyDescent="0.35">
      <c r="A176" s="154"/>
      <c r="B176" s="51"/>
      <c r="C176" s="65"/>
      <c r="D176" s="59" t="s">
        <v>928</v>
      </c>
      <c r="E176" s="60" t="s">
        <v>886</v>
      </c>
      <c r="F176" s="60"/>
      <c r="G176" s="60"/>
      <c r="H176" s="60"/>
      <c r="I176" s="60"/>
      <c r="J176" s="60"/>
      <c r="K176" s="60"/>
      <c r="L176" s="60"/>
      <c r="M176" s="60"/>
      <c r="N176" s="60"/>
      <c r="O176" s="60"/>
      <c r="P176" s="14"/>
      <c r="R176" s="150"/>
      <c r="S176" s="53"/>
    </row>
    <row r="177" spans="1:19" s="16" customFormat="1" x14ac:dyDescent="0.35">
      <c r="A177" s="154"/>
      <c r="B177" s="51"/>
      <c r="C177" s="65"/>
      <c r="D177" s="61" t="s">
        <v>929</v>
      </c>
      <c r="E177" s="62" t="s">
        <v>887</v>
      </c>
      <c r="F177" s="62"/>
      <c r="G177" s="62"/>
      <c r="H177" s="62"/>
      <c r="I177" s="62"/>
      <c r="J177" s="62"/>
      <c r="K177" s="62"/>
      <c r="L177" s="62"/>
      <c r="M177" s="62"/>
      <c r="N177" s="62"/>
      <c r="O177" s="62"/>
      <c r="P177" s="14"/>
      <c r="R177" s="150"/>
      <c r="S177" s="53"/>
    </row>
    <row r="178" spans="1:19" s="16" customFormat="1" x14ac:dyDescent="0.35">
      <c r="A178" s="154"/>
      <c r="B178" s="51"/>
      <c r="C178" s="65"/>
      <c r="D178" s="59" t="s">
        <v>930</v>
      </c>
      <c r="E178" s="60"/>
      <c r="F178" s="60"/>
      <c r="G178" s="60"/>
      <c r="H178" s="60"/>
      <c r="I178" s="60"/>
      <c r="J178" s="60"/>
      <c r="K178" s="60"/>
      <c r="L178" s="60"/>
      <c r="M178" s="60"/>
      <c r="N178" s="60"/>
      <c r="O178" s="60"/>
      <c r="P178" s="14"/>
      <c r="R178" s="150" t="str">
        <f>uberTipCN(E178,G175:M175)</f>
        <v>|n|n</v>
      </c>
      <c r="S178" s="53"/>
    </row>
    <row r="179" spans="1:19" s="16" customFormat="1" x14ac:dyDescent="0.35">
      <c r="A179" s="154"/>
      <c r="B179" s="51"/>
      <c r="C179" s="65"/>
      <c r="D179" s="61" t="s">
        <v>931</v>
      </c>
      <c r="E179" s="62"/>
      <c r="F179" s="62"/>
      <c r="G179" s="62"/>
      <c r="H179" s="62"/>
      <c r="I179" s="62"/>
      <c r="J179" s="62"/>
      <c r="K179" s="62"/>
      <c r="L179" s="62"/>
      <c r="M179" s="62"/>
      <c r="N179" s="62"/>
      <c r="O179" s="62"/>
      <c r="P179" s="14"/>
      <c r="R179" s="150" t="str">
        <f>uberTipCN(E179,G176:M176)</f>
        <v>|n|n</v>
      </c>
      <c r="S179" s="53"/>
    </row>
    <row r="180" spans="1:19" s="16" customFormat="1" x14ac:dyDescent="0.35">
      <c r="A180" s="154"/>
      <c r="B180" s="51"/>
      <c r="C180" s="65"/>
      <c r="D180" s="59" t="s">
        <v>932</v>
      </c>
      <c r="E180" s="60"/>
      <c r="F180" s="60"/>
      <c r="G180" s="60"/>
      <c r="H180" s="60"/>
      <c r="I180" s="60"/>
      <c r="J180" s="60"/>
      <c r="K180" s="60"/>
      <c r="L180" s="60"/>
      <c r="M180" s="60"/>
      <c r="N180" s="60"/>
      <c r="O180" s="60"/>
      <c r="P180" s="14"/>
      <c r="R180" s="150" t="str">
        <f>uberTipCN(E180,G177:M177)</f>
        <v>|n|n</v>
      </c>
      <c r="S180" s="53"/>
    </row>
    <row r="181" spans="1:19" x14ac:dyDescent="0.35">
      <c r="A181" s="154"/>
      <c r="B181" s="66" t="s">
        <v>42</v>
      </c>
      <c r="C181" s="67"/>
      <c r="D181" s="68"/>
      <c r="E181" s="69"/>
      <c r="F181" s="69"/>
      <c r="G181" s="69"/>
      <c r="H181" s="69"/>
      <c r="I181" s="69"/>
      <c r="J181" s="69"/>
      <c r="K181" s="69"/>
      <c r="L181" s="69"/>
      <c r="M181" s="69"/>
      <c r="N181" s="69"/>
      <c r="O181" s="69"/>
      <c r="P181" s="14"/>
    </row>
    <row r="182" spans="1:19" x14ac:dyDescent="0.35">
      <c r="A182" s="164" t="s">
        <v>215</v>
      </c>
      <c r="B182" s="51" t="s">
        <v>228</v>
      </c>
      <c r="C182" s="72"/>
      <c r="D182" s="63" t="s">
        <v>926</v>
      </c>
      <c r="E182" s="64" t="s">
        <v>229</v>
      </c>
      <c r="F182" s="64"/>
      <c r="G182" s="64"/>
      <c r="H182" s="64"/>
      <c r="I182" s="64"/>
      <c r="J182" s="64"/>
      <c r="K182" s="64"/>
      <c r="L182" s="64"/>
      <c r="M182" s="64"/>
      <c r="N182" s="64"/>
      <c r="O182" s="64" t="s">
        <v>232</v>
      </c>
      <c r="P182" s="14"/>
      <c r="R182" s="150"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4"/>
      <c r="B183" s="72"/>
      <c r="C183" s="72"/>
      <c r="D183" s="61" t="s">
        <v>927</v>
      </c>
      <c r="E183" s="62"/>
      <c r="F183" s="62"/>
      <c r="G183" s="62"/>
      <c r="H183" s="62"/>
      <c r="I183" s="62"/>
      <c r="J183" s="62"/>
      <c r="K183" s="62"/>
      <c r="L183" s="62"/>
      <c r="M183" s="62"/>
      <c r="N183" s="62"/>
      <c r="O183" s="62"/>
      <c r="P183" s="14"/>
      <c r="R183" s="150"/>
      <c r="S183" s="53"/>
    </row>
    <row r="184" spans="1:19" s="16" customFormat="1" x14ac:dyDescent="0.35">
      <c r="A184" s="164"/>
      <c r="B184" s="72"/>
      <c r="C184" s="72"/>
      <c r="D184" s="59" t="s">
        <v>928</v>
      </c>
      <c r="E184" s="60" t="s">
        <v>230</v>
      </c>
      <c r="F184" s="60"/>
      <c r="G184" s="60"/>
      <c r="H184" s="60"/>
      <c r="I184" s="60"/>
      <c r="J184" s="60"/>
      <c r="K184" s="60"/>
      <c r="L184" s="60"/>
      <c r="M184" s="60"/>
      <c r="N184" s="60"/>
      <c r="O184" s="60"/>
      <c r="P184" s="14"/>
      <c r="R184" s="150"/>
      <c r="S184" s="53"/>
    </row>
    <row r="185" spans="1:19" s="16" customFormat="1" x14ac:dyDescent="0.35">
      <c r="A185" s="164"/>
      <c r="B185" s="72"/>
      <c r="C185" s="72"/>
      <c r="D185" s="61" t="s">
        <v>929</v>
      </c>
      <c r="E185" s="62" t="s">
        <v>231</v>
      </c>
      <c r="F185" s="62"/>
      <c r="G185" s="62"/>
      <c r="H185" s="62"/>
      <c r="I185" s="62"/>
      <c r="J185" s="62"/>
      <c r="K185" s="62"/>
      <c r="L185" s="62"/>
      <c r="M185" s="62"/>
      <c r="N185" s="62"/>
      <c r="O185" s="62"/>
      <c r="P185" s="14"/>
      <c r="R185" s="150"/>
      <c r="S185" s="53"/>
    </row>
    <row r="186" spans="1:19" s="16" customFormat="1" x14ac:dyDescent="0.35">
      <c r="A186" s="164"/>
      <c r="B186" s="72"/>
      <c r="C186" s="72"/>
      <c r="D186" s="59" t="s">
        <v>930</v>
      </c>
      <c r="E186" s="60"/>
      <c r="F186" s="60"/>
      <c r="G186" s="60"/>
      <c r="H186" s="60"/>
      <c r="I186" s="60"/>
      <c r="J186" s="60"/>
      <c r="K186" s="60"/>
      <c r="L186" s="60"/>
      <c r="M186" s="60"/>
      <c r="N186" s="60"/>
      <c r="O186" s="60"/>
      <c r="P186" s="14"/>
      <c r="R186" s="150" t="str">
        <f>uberTipCN(E186,G183:M183)</f>
        <v>|n|n</v>
      </c>
      <c r="S186" s="53"/>
    </row>
    <row r="187" spans="1:19" s="16" customFormat="1" x14ac:dyDescent="0.35">
      <c r="A187" s="164"/>
      <c r="B187" s="72"/>
      <c r="C187" s="72"/>
      <c r="D187" s="61" t="s">
        <v>931</v>
      </c>
      <c r="E187" s="62"/>
      <c r="F187" s="62"/>
      <c r="G187" s="62"/>
      <c r="H187" s="62"/>
      <c r="I187" s="62"/>
      <c r="J187" s="62"/>
      <c r="K187" s="62"/>
      <c r="L187" s="62"/>
      <c r="M187" s="62"/>
      <c r="N187" s="62"/>
      <c r="O187" s="62"/>
      <c r="P187" s="14"/>
      <c r="R187" s="150" t="str">
        <f>uberTipCN(E187,G184:M184)</f>
        <v>|n|n</v>
      </c>
      <c r="S187" s="53"/>
    </row>
    <row r="188" spans="1:19" s="16" customFormat="1" x14ac:dyDescent="0.35">
      <c r="A188" s="164"/>
      <c r="B188" s="72"/>
      <c r="C188" s="72"/>
      <c r="D188" s="59" t="s">
        <v>932</v>
      </c>
      <c r="E188" s="60"/>
      <c r="F188" s="60"/>
      <c r="G188" s="60"/>
      <c r="H188" s="60"/>
      <c r="I188" s="60"/>
      <c r="J188" s="60"/>
      <c r="K188" s="60"/>
      <c r="L188" s="60"/>
      <c r="M188" s="60"/>
      <c r="N188" s="60"/>
      <c r="O188" s="60"/>
      <c r="P188" s="14"/>
      <c r="R188" s="150" t="str">
        <f>uberTipCN(E188,G185:M185)</f>
        <v>|n|n</v>
      </c>
      <c r="S188" s="53"/>
    </row>
    <row r="189" spans="1:19" x14ac:dyDescent="0.35">
      <c r="A189" s="154"/>
      <c r="B189" s="51" t="s">
        <v>233</v>
      </c>
      <c r="C189" s="65"/>
      <c r="D189" s="63" t="s">
        <v>926</v>
      </c>
      <c r="E189" s="64" t="s">
        <v>234</v>
      </c>
      <c r="F189" s="64"/>
      <c r="G189" s="64"/>
      <c r="H189" s="64"/>
      <c r="I189" s="64"/>
      <c r="J189" s="64"/>
      <c r="K189" s="64"/>
      <c r="L189" s="64"/>
      <c r="M189" s="64"/>
      <c r="N189" s="64"/>
      <c r="O189" s="64" t="s">
        <v>238</v>
      </c>
      <c r="P189" s="14"/>
      <c r="R189" s="150"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4"/>
      <c r="B190" s="51"/>
      <c r="C190" s="65"/>
      <c r="D190" s="61" t="s">
        <v>927</v>
      </c>
      <c r="E190" s="62" t="s">
        <v>235</v>
      </c>
      <c r="F190" s="62"/>
      <c r="G190" s="62"/>
      <c r="H190" s="62"/>
      <c r="I190" s="62"/>
      <c r="J190" s="62"/>
      <c r="K190" s="62"/>
      <c r="L190" s="62"/>
      <c r="M190" s="62"/>
      <c r="N190" s="62"/>
      <c r="O190" s="62"/>
      <c r="P190" s="14"/>
      <c r="R190" s="150"/>
      <c r="S190" s="53"/>
    </row>
    <row r="191" spans="1:19" s="16" customFormat="1" x14ac:dyDescent="0.35">
      <c r="A191" s="154"/>
      <c r="B191" s="51"/>
      <c r="C191" s="65"/>
      <c r="D191" s="59" t="s">
        <v>928</v>
      </c>
      <c r="E191" s="60" t="s">
        <v>236</v>
      </c>
      <c r="F191" s="60"/>
      <c r="G191" s="60"/>
      <c r="H191" s="60"/>
      <c r="I191" s="60"/>
      <c r="J191" s="60"/>
      <c r="K191" s="60"/>
      <c r="L191" s="60"/>
      <c r="M191" s="60"/>
      <c r="N191" s="60"/>
      <c r="O191" s="60"/>
      <c r="P191" s="14"/>
      <c r="R191" s="150"/>
      <c r="S191" s="53"/>
    </row>
    <row r="192" spans="1:19" s="16" customFormat="1" x14ac:dyDescent="0.35">
      <c r="A192" s="154"/>
      <c r="B192" s="51"/>
      <c r="C192" s="65"/>
      <c r="D192" s="61" t="s">
        <v>929</v>
      </c>
      <c r="E192" s="62" t="s">
        <v>237</v>
      </c>
      <c r="F192" s="62"/>
      <c r="G192" s="62"/>
      <c r="H192" s="62"/>
      <c r="I192" s="62"/>
      <c r="J192" s="62"/>
      <c r="K192" s="62"/>
      <c r="L192" s="62"/>
      <c r="M192" s="62"/>
      <c r="N192" s="62"/>
      <c r="O192" s="62"/>
      <c r="P192" s="14"/>
      <c r="R192" s="150"/>
      <c r="S192" s="53"/>
    </row>
    <row r="193" spans="1:19" s="16" customFormat="1" x14ac:dyDescent="0.35">
      <c r="A193" s="154"/>
      <c r="B193" s="51"/>
      <c r="C193" s="65"/>
      <c r="D193" s="59" t="s">
        <v>930</v>
      </c>
      <c r="E193" s="60"/>
      <c r="F193" s="60"/>
      <c r="G193" s="60"/>
      <c r="H193" s="60"/>
      <c r="I193" s="60"/>
      <c r="J193" s="60"/>
      <c r="K193" s="60"/>
      <c r="L193" s="60"/>
      <c r="M193" s="60"/>
      <c r="N193" s="60"/>
      <c r="O193" s="60"/>
      <c r="P193" s="14"/>
      <c r="R193" s="150" t="str">
        <f>uberTipCN(E193,G190:M190)</f>
        <v>|n|n</v>
      </c>
      <c r="S193" s="53"/>
    </row>
    <row r="194" spans="1:19" s="16" customFormat="1" x14ac:dyDescent="0.35">
      <c r="A194" s="154"/>
      <c r="B194" s="51"/>
      <c r="C194" s="65"/>
      <c r="D194" s="61" t="s">
        <v>931</v>
      </c>
      <c r="E194" s="62"/>
      <c r="F194" s="62"/>
      <c r="G194" s="62"/>
      <c r="H194" s="62"/>
      <c r="I194" s="62"/>
      <c r="J194" s="62"/>
      <c r="K194" s="62"/>
      <c r="L194" s="62"/>
      <c r="M194" s="62"/>
      <c r="N194" s="62"/>
      <c r="O194" s="62"/>
      <c r="P194" s="14"/>
      <c r="R194" s="150" t="str">
        <f>uberTipCN(E194,G191:M191)</f>
        <v>|n|n</v>
      </c>
      <c r="S194" s="53"/>
    </row>
    <row r="195" spans="1:19" s="16" customFormat="1" x14ac:dyDescent="0.35">
      <c r="A195" s="154"/>
      <c r="B195" s="51"/>
      <c r="C195" s="65"/>
      <c r="D195" s="59" t="s">
        <v>932</v>
      </c>
      <c r="E195" s="60"/>
      <c r="F195" s="60"/>
      <c r="G195" s="60"/>
      <c r="H195" s="60"/>
      <c r="I195" s="60"/>
      <c r="J195" s="60"/>
      <c r="K195" s="60"/>
      <c r="L195" s="60"/>
      <c r="M195" s="60"/>
      <c r="N195" s="60"/>
      <c r="O195" s="60"/>
      <c r="P195" s="14"/>
      <c r="R195" s="150" t="str">
        <f>uberTipCN(E195,G192:M192)</f>
        <v>|n|n</v>
      </c>
      <c r="S195" s="53"/>
    </row>
    <row r="196" spans="1:19" ht="49.5" x14ac:dyDescent="0.35">
      <c r="A196" s="154"/>
      <c r="B196" s="51" t="s">
        <v>239</v>
      </c>
      <c r="C196" s="65"/>
      <c r="D196" s="63" t="s">
        <v>926</v>
      </c>
      <c r="E196" s="64" t="s">
        <v>240</v>
      </c>
      <c r="F196" s="64"/>
      <c r="G196" s="64"/>
      <c r="H196" s="64"/>
      <c r="I196" s="64"/>
      <c r="J196" s="64"/>
      <c r="K196" s="64"/>
      <c r="L196" s="64"/>
      <c r="M196" s="64"/>
      <c r="N196" s="64"/>
      <c r="O196" s="64" t="s">
        <v>193</v>
      </c>
      <c r="P196" s="14"/>
      <c r="R196" s="150"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4"/>
      <c r="B197" s="51"/>
      <c r="C197" s="65"/>
      <c r="D197" s="61" t="s">
        <v>927</v>
      </c>
      <c r="E197" s="62" t="s">
        <v>907</v>
      </c>
      <c r="F197" s="62"/>
      <c r="G197" s="62"/>
      <c r="H197" s="62"/>
      <c r="I197" s="62"/>
      <c r="J197" s="62"/>
      <c r="K197" s="62"/>
      <c r="L197" s="62"/>
      <c r="M197" s="62"/>
      <c r="N197" s="62"/>
      <c r="O197" s="62"/>
      <c r="P197" s="14"/>
      <c r="R197" s="150"/>
      <c r="S197" s="53"/>
    </row>
    <row r="198" spans="1:19" s="16" customFormat="1" x14ac:dyDescent="0.35">
      <c r="A198" s="154"/>
      <c r="B198" s="51"/>
      <c r="C198" s="65"/>
      <c r="D198" s="59" t="s">
        <v>928</v>
      </c>
      <c r="E198" s="60" t="s">
        <v>908</v>
      </c>
      <c r="F198" s="60"/>
      <c r="G198" s="60"/>
      <c r="H198" s="60"/>
      <c r="I198" s="60"/>
      <c r="J198" s="60"/>
      <c r="K198" s="60"/>
      <c r="L198" s="60"/>
      <c r="M198" s="60"/>
      <c r="N198" s="60"/>
      <c r="O198" s="60"/>
      <c r="P198" s="14"/>
      <c r="R198" s="150"/>
      <c r="S198" s="53"/>
    </row>
    <row r="199" spans="1:19" s="16" customFormat="1" x14ac:dyDescent="0.35">
      <c r="A199" s="154"/>
      <c r="B199" s="51"/>
      <c r="C199" s="65"/>
      <c r="D199" s="61" t="s">
        <v>929</v>
      </c>
      <c r="E199" s="62" t="s">
        <v>909</v>
      </c>
      <c r="F199" s="62"/>
      <c r="G199" s="62"/>
      <c r="H199" s="62"/>
      <c r="I199" s="62"/>
      <c r="J199" s="62"/>
      <c r="K199" s="62"/>
      <c r="L199" s="62"/>
      <c r="M199" s="62"/>
      <c r="N199" s="62"/>
      <c r="O199" s="62"/>
      <c r="P199" s="14"/>
      <c r="R199" s="150"/>
      <c r="S199" s="53"/>
    </row>
    <row r="200" spans="1:19" s="16" customFormat="1" x14ac:dyDescent="0.35">
      <c r="A200" s="154"/>
      <c r="B200" s="51"/>
      <c r="C200" s="65"/>
      <c r="D200" s="59" t="s">
        <v>930</v>
      </c>
      <c r="E200" s="60"/>
      <c r="F200" s="60"/>
      <c r="G200" s="60"/>
      <c r="H200" s="60"/>
      <c r="I200" s="60"/>
      <c r="J200" s="60"/>
      <c r="K200" s="60"/>
      <c r="L200" s="60"/>
      <c r="M200" s="60"/>
      <c r="N200" s="60"/>
      <c r="O200" s="60"/>
      <c r="P200" s="14"/>
      <c r="R200" s="150" t="str">
        <f>uberTipCN(E200,G197:M197)</f>
        <v>|n|n</v>
      </c>
      <c r="S200" s="53"/>
    </row>
    <row r="201" spans="1:19" s="16" customFormat="1" x14ac:dyDescent="0.35">
      <c r="A201" s="154"/>
      <c r="B201" s="51"/>
      <c r="C201" s="65"/>
      <c r="D201" s="61" t="s">
        <v>931</v>
      </c>
      <c r="E201" s="62"/>
      <c r="F201" s="62"/>
      <c r="G201" s="62"/>
      <c r="H201" s="62"/>
      <c r="I201" s="62"/>
      <c r="J201" s="62"/>
      <c r="K201" s="62"/>
      <c r="L201" s="62"/>
      <c r="M201" s="62"/>
      <c r="N201" s="62"/>
      <c r="O201" s="62"/>
      <c r="P201" s="14"/>
      <c r="R201" s="150" t="str">
        <f>uberTipCN(E201,G198:M198)</f>
        <v>|n|n</v>
      </c>
      <c r="S201" s="53"/>
    </row>
    <row r="202" spans="1:19" s="16" customFormat="1" x14ac:dyDescent="0.35">
      <c r="A202" s="154"/>
      <c r="B202" s="51"/>
      <c r="C202" s="65"/>
      <c r="D202" s="59" t="s">
        <v>932</v>
      </c>
      <c r="E202" s="60"/>
      <c r="F202" s="60"/>
      <c r="G202" s="60"/>
      <c r="H202" s="60"/>
      <c r="I202" s="60"/>
      <c r="J202" s="60"/>
      <c r="K202" s="60"/>
      <c r="L202" s="60"/>
      <c r="M202" s="60"/>
      <c r="N202" s="60"/>
      <c r="O202" s="60"/>
      <c r="P202" s="14"/>
      <c r="R202" s="150" t="str">
        <f>uberTipCN(E202,G199:M199)</f>
        <v>|n|n</v>
      </c>
      <c r="S202" s="53"/>
    </row>
    <row r="203" spans="1:19" ht="49.5" x14ac:dyDescent="0.35">
      <c r="A203" s="154"/>
      <c r="B203" s="51" t="s">
        <v>244</v>
      </c>
      <c r="C203" s="65"/>
      <c r="D203" s="63" t="s">
        <v>926</v>
      </c>
      <c r="E203" s="64" t="s">
        <v>888</v>
      </c>
      <c r="F203" s="64"/>
      <c r="G203" s="64"/>
      <c r="H203" s="64"/>
      <c r="I203" s="64"/>
      <c r="J203" s="64"/>
      <c r="K203" s="64"/>
      <c r="L203" s="64"/>
      <c r="M203" s="64"/>
      <c r="N203" s="64"/>
      <c r="O203" s="64" t="s">
        <v>965</v>
      </c>
      <c r="P203" s="14"/>
      <c r="R203" s="150"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4"/>
      <c r="B204" s="51"/>
      <c r="C204" s="65"/>
      <c r="D204" s="61" t="s">
        <v>927</v>
      </c>
      <c r="E204" s="62" t="s">
        <v>245</v>
      </c>
      <c r="F204" s="62"/>
      <c r="G204" s="62"/>
      <c r="H204" s="62"/>
      <c r="I204" s="62"/>
      <c r="J204" s="62"/>
      <c r="K204" s="62"/>
      <c r="L204" s="62"/>
      <c r="M204" s="62"/>
      <c r="N204" s="62"/>
      <c r="O204" s="62"/>
      <c r="P204" s="14"/>
      <c r="R204" s="150"/>
      <c r="S204" s="53"/>
    </row>
    <row r="205" spans="1:19" s="16" customFormat="1" ht="49.5" x14ac:dyDescent="0.35">
      <c r="A205" s="154"/>
      <c r="B205" s="51"/>
      <c r="C205" s="65"/>
      <c r="D205" s="59" t="s">
        <v>928</v>
      </c>
      <c r="E205" s="60" t="s">
        <v>889</v>
      </c>
      <c r="F205" s="60"/>
      <c r="G205" s="60"/>
      <c r="H205" s="60"/>
      <c r="I205" s="60"/>
      <c r="J205" s="60"/>
      <c r="K205" s="60"/>
      <c r="L205" s="60"/>
      <c r="M205" s="60"/>
      <c r="N205" s="60"/>
      <c r="O205" s="60"/>
      <c r="P205" s="14"/>
      <c r="R205" s="150"/>
      <c r="S205" s="53"/>
    </row>
    <row r="206" spans="1:19" s="16" customFormat="1" x14ac:dyDescent="0.35">
      <c r="A206" s="154"/>
      <c r="B206" s="51"/>
      <c r="C206" s="65"/>
      <c r="D206" s="61" t="s">
        <v>929</v>
      </c>
      <c r="E206" s="62" t="s">
        <v>246</v>
      </c>
      <c r="F206" s="62"/>
      <c r="G206" s="62"/>
      <c r="H206" s="62"/>
      <c r="I206" s="62"/>
      <c r="J206" s="62"/>
      <c r="K206" s="62"/>
      <c r="L206" s="62"/>
      <c r="M206" s="62"/>
      <c r="N206" s="62"/>
      <c r="O206" s="62"/>
      <c r="P206" s="14"/>
      <c r="R206" s="150"/>
      <c r="S206" s="53"/>
    </row>
    <row r="207" spans="1:19" s="16" customFormat="1" x14ac:dyDescent="0.35">
      <c r="A207" s="154"/>
      <c r="B207" s="51"/>
      <c r="C207" s="65"/>
      <c r="D207" s="59" t="s">
        <v>930</v>
      </c>
      <c r="E207" s="60"/>
      <c r="F207" s="60"/>
      <c r="G207" s="60"/>
      <c r="H207" s="60"/>
      <c r="I207" s="60"/>
      <c r="J207" s="60"/>
      <c r="K207" s="60"/>
      <c r="L207" s="60"/>
      <c r="M207" s="60"/>
      <c r="N207" s="60"/>
      <c r="O207" s="60"/>
      <c r="P207" s="14"/>
      <c r="R207" s="150" t="str">
        <f>uberTipCN(E207,G204:M204)</f>
        <v>|n|n</v>
      </c>
      <c r="S207" s="53"/>
    </row>
    <row r="208" spans="1:19" s="16" customFormat="1" x14ac:dyDescent="0.35">
      <c r="A208" s="154"/>
      <c r="B208" s="51"/>
      <c r="C208" s="65"/>
      <c r="D208" s="61" t="s">
        <v>931</v>
      </c>
      <c r="E208" s="62"/>
      <c r="F208" s="62"/>
      <c r="G208" s="62"/>
      <c r="H208" s="62"/>
      <c r="I208" s="62"/>
      <c r="J208" s="62"/>
      <c r="K208" s="62"/>
      <c r="L208" s="62"/>
      <c r="M208" s="62"/>
      <c r="N208" s="62"/>
      <c r="O208" s="62"/>
      <c r="P208" s="14"/>
      <c r="R208" s="150" t="str">
        <f>uberTipCN(E208,G205:M205)</f>
        <v>|n|n</v>
      </c>
      <c r="S208" s="53"/>
    </row>
    <row r="209" spans="1:19" s="16" customFormat="1" x14ac:dyDescent="0.35">
      <c r="A209" s="154"/>
      <c r="B209" s="51"/>
      <c r="C209" s="65"/>
      <c r="D209" s="59" t="s">
        <v>932</v>
      </c>
      <c r="E209" s="60"/>
      <c r="F209" s="60"/>
      <c r="G209" s="60"/>
      <c r="H209" s="60"/>
      <c r="I209" s="60"/>
      <c r="J209" s="60"/>
      <c r="K209" s="60"/>
      <c r="L209" s="60"/>
      <c r="M209" s="60"/>
      <c r="N209" s="60"/>
      <c r="O209" s="60"/>
      <c r="P209" s="14"/>
      <c r="R209" s="150" t="str">
        <f>uberTipCN(E209,G206:M206)</f>
        <v>|n|n</v>
      </c>
      <c r="S209" s="53"/>
    </row>
    <row r="210" spans="1:19" x14ac:dyDescent="0.35">
      <c r="A210" s="154"/>
      <c r="B210" s="51" t="s">
        <v>247</v>
      </c>
      <c r="C210" s="65"/>
      <c r="D210" s="63" t="s">
        <v>926</v>
      </c>
      <c r="E210" s="64" t="s">
        <v>890</v>
      </c>
      <c r="F210" s="64"/>
      <c r="G210" s="64"/>
      <c r="H210" s="64"/>
      <c r="I210" s="64"/>
      <c r="J210" s="64"/>
      <c r="K210" s="64"/>
      <c r="L210" s="64"/>
      <c r="M210" s="64"/>
      <c r="N210" s="64"/>
      <c r="O210" s="64" t="s">
        <v>249</v>
      </c>
      <c r="P210" s="14"/>
      <c r="R210" s="150"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4"/>
      <c r="B211" s="51"/>
      <c r="C211" s="65"/>
      <c r="D211" s="61" t="s">
        <v>927</v>
      </c>
      <c r="E211" s="62" t="s">
        <v>248</v>
      </c>
      <c r="F211" s="62"/>
      <c r="G211" s="62"/>
      <c r="H211" s="62"/>
      <c r="I211" s="62"/>
      <c r="J211" s="62"/>
      <c r="K211" s="62"/>
      <c r="L211" s="62"/>
      <c r="M211" s="62"/>
      <c r="N211" s="62"/>
      <c r="O211" s="62"/>
      <c r="P211" s="14"/>
      <c r="R211" s="150"/>
      <c r="S211" s="53"/>
    </row>
    <row r="212" spans="1:19" s="16" customFormat="1" x14ac:dyDescent="0.35">
      <c r="A212" s="154"/>
      <c r="B212" s="51"/>
      <c r="C212" s="65"/>
      <c r="D212" s="59" t="s">
        <v>928</v>
      </c>
      <c r="E212" s="60" t="s">
        <v>891</v>
      </c>
      <c r="F212" s="60"/>
      <c r="G212" s="60"/>
      <c r="H212" s="60"/>
      <c r="I212" s="60"/>
      <c r="J212" s="60"/>
      <c r="K212" s="60"/>
      <c r="L212" s="60"/>
      <c r="M212" s="60"/>
      <c r="N212" s="60"/>
      <c r="O212" s="60"/>
      <c r="P212" s="14"/>
      <c r="R212" s="150"/>
      <c r="S212" s="53"/>
    </row>
    <row r="213" spans="1:19" s="16" customFormat="1" x14ac:dyDescent="0.35">
      <c r="A213" s="154"/>
      <c r="B213" s="51"/>
      <c r="C213" s="65"/>
      <c r="D213" s="61" t="s">
        <v>929</v>
      </c>
      <c r="E213" s="62" t="s">
        <v>892</v>
      </c>
      <c r="F213" s="62"/>
      <c r="G213" s="62"/>
      <c r="H213" s="62"/>
      <c r="I213" s="62"/>
      <c r="J213" s="62"/>
      <c r="K213" s="62"/>
      <c r="L213" s="62"/>
      <c r="M213" s="62"/>
      <c r="N213" s="62"/>
      <c r="O213" s="62"/>
      <c r="P213" s="14"/>
      <c r="R213" s="150"/>
      <c r="S213" s="53"/>
    </row>
    <row r="214" spans="1:19" s="16" customFormat="1" x14ac:dyDescent="0.35">
      <c r="A214" s="154"/>
      <c r="B214" s="51"/>
      <c r="C214" s="65"/>
      <c r="D214" s="59" t="s">
        <v>930</v>
      </c>
      <c r="E214" s="60"/>
      <c r="F214" s="60"/>
      <c r="G214" s="60"/>
      <c r="H214" s="60"/>
      <c r="I214" s="60"/>
      <c r="J214" s="60"/>
      <c r="K214" s="60"/>
      <c r="L214" s="60"/>
      <c r="M214" s="60"/>
      <c r="N214" s="60"/>
      <c r="O214" s="60"/>
      <c r="P214" s="14"/>
      <c r="R214" s="150" t="str">
        <f>uberTipCN(E214,G211:M211)</f>
        <v>|n|n</v>
      </c>
      <c r="S214" s="53"/>
    </row>
    <row r="215" spans="1:19" s="16" customFormat="1" x14ac:dyDescent="0.35">
      <c r="A215" s="154"/>
      <c r="B215" s="51"/>
      <c r="C215" s="65"/>
      <c r="D215" s="61" t="s">
        <v>931</v>
      </c>
      <c r="E215" s="62"/>
      <c r="F215" s="62"/>
      <c r="G215" s="62"/>
      <c r="H215" s="62"/>
      <c r="I215" s="62"/>
      <c r="J215" s="62"/>
      <c r="K215" s="62"/>
      <c r="L215" s="62"/>
      <c r="M215" s="62"/>
      <c r="N215" s="62"/>
      <c r="O215" s="62"/>
      <c r="P215" s="14"/>
      <c r="R215" s="150" t="str">
        <f>uberTipCN(E215,G212:M212)</f>
        <v>|n|n</v>
      </c>
      <c r="S215" s="53"/>
    </row>
    <row r="216" spans="1:19" s="16" customFormat="1" x14ac:dyDescent="0.35">
      <c r="A216" s="154"/>
      <c r="B216" s="51"/>
      <c r="C216" s="65"/>
      <c r="D216" s="59" t="s">
        <v>932</v>
      </c>
      <c r="E216" s="60"/>
      <c r="F216" s="60"/>
      <c r="G216" s="60"/>
      <c r="H216" s="60"/>
      <c r="I216" s="60"/>
      <c r="J216" s="60"/>
      <c r="K216" s="60"/>
      <c r="L216" s="60"/>
      <c r="M216" s="60"/>
      <c r="N216" s="60"/>
      <c r="O216" s="60"/>
      <c r="P216" s="14"/>
      <c r="R216" s="150" t="str">
        <f>uberTipCN(E216,G213:M213)</f>
        <v>|n|n</v>
      </c>
      <c r="S216" s="53"/>
    </row>
    <row r="217" spans="1:19" x14ac:dyDescent="0.35">
      <c r="A217" s="154"/>
      <c r="B217" s="66" t="s">
        <v>250</v>
      </c>
      <c r="C217" s="67"/>
      <c r="D217" s="68"/>
      <c r="E217" s="69" t="s">
        <v>251</v>
      </c>
      <c r="F217" s="69"/>
      <c r="G217" s="69"/>
      <c r="H217" s="69"/>
      <c r="I217" s="69"/>
      <c r="J217" s="69"/>
      <c r="K217" s="69"/>
      <c r="L217" s="69"/>
      <c r="M217" s="69"/>
      <c r="N217" s="69"/>
      <c r="O217" s="69" t="s">
        <v>254</v>
      </c>
      <c r="P217" s="14"/>
    </row>
    <row r="218" spans="1:19" x14ac:dyDescent="0.35">
      <c r="A218" s="17"/>
      <c r="B218" s="66" t="s">
        <v>264</v>
      </c>
      <c r="C218" s="67"/>
      <c r="D218" s="68"/>
      <c r="E218" s="69" t="s">
        <v>288</v>
      </c>
      <c r="F218" s="69"/>
      <c r="G218" s="69"/>
      <c r="H218" s="69"/>
      <c r="I218" s="69"/>
      <c r="J218" s="69"/>
      <c r="K218" s="69"/>
      <c r="L218" s="69"/>
      <c r="M218" s="69"/>
      <c r="N218" s="69"/>
      <c r="O218" s="69"/>
      <c r="P218" s="14"/>
    </row>
    <row r="219" spans="1:19" x14ac:dyDescent="0.35">
      <c r="A219" s="17"/>
      <c r="B219" s="66" t="s">
        <v>290</v>
      </c>
      <c r="C219" s="67"/>
      <c r="D219" s="68"/>
      <c r="E219" s="69" t="s">
        <v>893</v>
      </c>
      <c r="F219" s="69"/>
      <c r="G219" s="69"/>
      <c r="H219" s="69"/>
      <c r="I219" s="69"/>
      <c r="J219" s="69"/>
      <c r="K219" s="69"/>
      <c r="L219" s="69"/>
      <c r="M219" s="69"/>
      <c r="N219" s="69"/>
      <c r="O219" s="69"/>
      <c r="P219" s="14"/>
    </row>
    <row r="220" spans="1:19" x14ac:dyDescent="0.35">
      <c r="A220" s="17"/>
      <c r="B220" s="66" t="s">
        <v>291</v>
      </c>
      <c r="C220" s="67"/>
      <c r="D220" s="68"/>
      <c r="E220" s="69" t="s">
        <v>910</v>
      </c>
      <c r="F220" s="69"/>
      <c r="G220" s="69"/>
      <c r="H220" s="69"/>
      <c r="I220" s="69"/>
      <c r="J220" s="69"/>
      <c r="K220" s="69"/>
      <c r="L220" s="69"/>
      <c r="M220" s="69"/>
      <c r="N220" s="69"/>
      <c r="O220" s="69"/>
      <c r="P220" s="14"/>
    </row>
    <row r="221" spans="1:19" ht="33" x14ac:dyDescent="0.35">
      <c r="A221" s="167" t="s">
        <v>292</v>
      </c>
      <c r="B221" s="51" t="s">
        <v>316</v>
      </c>
      <c r="C221" s="72"/>
      <c r="D221" s="63" t="s">
        <v>926</v>
      </c>
      <c r="E221" s="64" t="s">
        <v>1728</v>
      </c>
      <c r="F221" s="64"/>
      <c r="G221" s="64"/>
      <c r="H221" s="64"/>
      <c r="I221" s="64"/>
      <c r="J221" s="64"/>
      <c r="K221" s="64"/>
      <c r="L221" s="64"/>
      <c r="M221" s="64"/>
      <c r="N221" s="64"/>
      <c r="O221" s="64" t="s">
        <v>966</v>
      </c>
      <c r="P221" s="14"/>
      <c r="R221" s="150"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7"/>
      <c r="B222" s="72"/>
      <c r="C222" s="72"/>
      <c r="D222" s="61" t="s">
        <v>927</v>
      </c>
      <c r="E222" s="62" t="s">
        <v>319</v>
      </c>
      <c r="F222" s="62"/>
      <c r="G222" s="62"/>
      <c r="H222" s="62"/>
      <c r="I222" s="62"/>
      <c r="J222" s="62"/>
      <c r="K222" s="62">
        <v>10</v>
      </c>
      <c r="L222" s="62"/>
      <c r="M222" s="62"/>
      <c r="N222" s="62"/>
      <c r="O222" s="62"/>
      <c r="P222" s="14"/>
      <c r="R222" s="150"/>
      <c r="S222" s="53"/>
    </row>
    <row r="223" spans="1:19" s="16" customFormat="1" x14ac:dyDescent="0.35">
      <c r="A223" s="167"/>
      <c r="B223" s="72"/>
      <c r="C223" s="72"/>
      <c r="D223" s="59" t="s">
        <v>928</v>
      </c>
      <c r="E223" s="60" t="s">
        <v>321</v>
      </c>
      <c r="F223" s="60"/>
      <c r="G223" s="60"/>
      <c r="H223" s="60"/>
      <c r="I223" s="60"/>
      <c r="J223" s="60"/>
      <c r="K223" s="60">
        <v>10</v>
      </c>
      <c r="L223" s="60"/>
      <c r="M223" s="60"/>
      <c r="N223" s="60"/>
      <c r="O223" s="60"/>
      <c r="P223" s="14"/>
      <c r="R223" s="150"/>
      <c r="S223" s="53"/>
    </row>
    <row r="224" spans="1:19" s="16" customFormat="1" ht="33" x14ac:dyDescent="0.35">
      <c r="A224" s="167"/>
      <c r="B224" s="72"/>
      <c r="C224" s="72"/>
      <c r="D224" s="61" t="s">
        <v>929</v>
      </c>
      <c r="E224" s="62" t="s">
        <v>322</v>
      </c>
      <c r="F224" s="62"/>
      <c r="G224" s="62"/>
      <c r="H224" s="62"/>
      <c r="I224" s="62"/>
      <c r="J224" s="62"/>
      <c r="K224" s="62">
        <v>10</v>
      </c>
      <c r="L224" s="62"/>
      <c r="M224" s="62"/>
      <c r="N224" s="62"/>
      <c r="O224" s="62"/>
      <c r="P224" s="14"/>
      <c r="R224" s="150"/>
      <c r="S224" s="53"/>
    </row>
    <row r="225" spans="1:19" s="16" customFormat="1" ht="33" x14ac:dyDescent="0.35">
      <c r="A225" s="167"/>
      <c r="B225" s="72"/>
      <c r="C225" s="72"/>
      <c r="D225" s="59" t="s">
        <v>930</v>
      </c>
      <c r="E225" s="60" t="s">
        <v>1729</v>
      </c>
      <c r="F225" s="60"/>
      <c r="G225" s="60"/>
      <c r="H225" s="60"/>
      <c r="I225" s="60"/>
      <c r="J225" s="60"/>
      <c r="K225" s="60"/>
      <c r="L225" s="60"/>
      <c r="M225" s="60"/>
      <c r="N225" s="60"/>
      <c r="O225" s="60"/>
      <c r="P225" s="14"/>
      <c r="R225" s="150" t="str">
        <f>uberTipCN(E225,G222:M222)</f>
        <v>激活英勇打击以后，每次攻击将消耗一定的法力值并造成50点额外的物理伤害，并且提高剑圣10%的攻击速度。|n|n|cff99ccff法力消耗:|r 10点|n</v>
      </c>
      <c r="S225" s="53"/>
    </row>
    <row r="226" spans="1:19" s="16" customFormat="1" ht="33" x14ac:dyDescent="0.35">
      <c r="A226" s="167"/>
      <c r="B226" s="72"/>
      <c r="C226" s="72"/>
      <c r="D226" s="61" t="s">
        <v>931</v>
      </c>
      <c r="E226" s="62" t="s">
        <v>1730</v>
      </c>
      <c r="F226" s="62"/>
      <c r="G226" s="62"/>
      <c r="H226" s="62"/>
      <c r="I226" s="62"/>
      <c r="J226" s="62"/>
      <c r="K226" s="62"/>
      <c r="L226" s="62"/>
      <c r="M226" s="62"/>
      <c r="N226" s="62"/>
      <c r="O226" s="62"/>
      <c r="P226" s="14"/>
      <c r="R226" s="150" t="str">
        <f>uberTipCN(E226,G223:M223)</f>
        <v>激活英勇打击以后，每次攻击将消耗一定的法力值并造成60点额外的物理伤害，并且提高剑圣13%的攻击速度。|n|n|cff99ccff法力消耗:|r 10点|n</v>
      </c>
      <c r="S226" s="53"/>
    </row>
    <row r="227" spans="1:19" s="16" customFormat="1" ht="49.5" x14ac:dyDescent="0.35">
      <c r="A227" s="167"/>
      <c r="B227" s="72"/>
      <c r="C227" s="72"/>
      <c r="D227" s="59" t="s">
        <v>932</v>
      </c>
      <c r="E227" s="60" t="s">
        <v>1731</v>
      </c>
      <c r="F227" s="60"/>
      <c r="G227" s="60"/>
      <c r="H227" s="60"/>
      <c r="I227" s="60"/>
      <c r="J227" s="60"/>
      <c r="K227" s="60"/>
      <c r="L227" s="60"/>
      <c r="M227" s="60"/>
      <c r="N227" s="60"/>
      <c r="O227" s="60"/>
      <c r="P227" s="14"/>
      <c r="R227" s="150" t="str">
        <f>uberTipCN(E227,G224:M224)</f>
        <v>激活英勇打击以后，每次攻击将消耗一定的法力值并造成70点额外的物理伤害，并且提高剑圣16%的攻击速度。|n同时，被动地提高剑圣10%的暴击几率。|n|n|cff99ccff法力消耗:|r 10点|n</v>
      </c>
      <c r="S227" s="53"/>
    </row>
    <row r="228" spans="1:19" ht="49.5" x14ac:dyDescent="0.35">
      <c r="A228" s="154"/>
      <c r="B228" s="51" t="s">
        <v>305</v>
      </c>
      <c r="C228" s="65"/>
      <c r="D228" s="63" t="s">
        <v>926</v>
      </c>
      <c r="E228" s="64" t="s">
        <v>911</v>
      </c>
      <c r="F228" s="64"/>
      <c r="G228" s="64"/>
      <c r="H228" s="64"/>
      <c r="I228" s="64"/>
      <c r="J228" s="64"/>
      <c r="K228" s="64"/>
      <c r="L228" s="64"/>
      <c r="M228" s="64"/>
      <c r="N228" s="64"/>
      <c r="O228" s="64" t="s">
        <v>967</v>
      </c>
      <c r="P228" s="56"/>
      <c r="R228" s="150"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4"/>
      <c r="B229" s="51"/>
      <c r="C229" s="65"/>
      <c r="D229" s="61" t="s">
        <v>927</v>
      </c>
      <c r="E229" s="62"/>
      <c r="F229" s="62"/>
      <c r="G229" s="62"/>
      <c r="H229" s="62"/>
      <c r="I229" s="62"/>
      <c r="J229" s="62"/>
      <c r="K229" s="62"/>
      <c r="L229" s="62"/>
      <c r="M229" s="62"/>
      <c r="N229" s="62"/>
      <c r="O229" s="62"/>
      <c r="P229" s="14"/>
      <c r="R229" s="150"/>
      <c r="S229" s="53"/>
    </row>
    <row r="230" spans="1:19" s="16" customFormat="1" x14ac:dyDescent="0.35">
      <c r="A230" s="154"/>
      <c r="B230" s="51"/>
      <c r="C230" s="65"/>
      <c r="D230" s="59" t="s">
        <v>928</v>
      </c>
      <c r="E230" s="60" t="s">
        <v>894</v>
      </c>
      <c r="F230" s="60"/>
      <c r="G230" s="60"/>
      <c r="H230" s="60"/>
      <c r="I230" s="60"/>
      <c r="J230" s="60"/>
      <c r="K230" s="60"/>
      <c r="L230" s="60"/>
      <c r="M230" s="60"/>
      <c r="N230" s="60"/>
      <c r="O230" s="60"/>
      <c r="P230" s="14"/>
      <c r="R230" s="150"/>
      <c r="S230" s="53"/>
    </row>
    <row r="231" spans="1:19" s="16" customFormat="1" x14ac:dyDescent="0.35">
      <c r="A231" s="154"/>
      <c r="B231" s="51"/>
      <c r="C231" s="65"/>
      <c r="D231" s="61" t="s">
        <v>929</v>
      </c>
      <c r="E231" s="62" t="s">
        <v>912</v>
      </c>
      <c r="F231" s="62"/>
      <c r="G231" s="62"/>
      <c r="H231" s="62"/>
      <c r="I231" s="62"/>
      <c r="J231" s="62"/>
      <c r="K231" s="62"/>
      <c r="L231" s="62"/>
      <c r="M231" s="62"/>
      <c r="N231" s="62"/>
      <c r="O231" s="62"/>
      <c r="P231" s="14"/>
      <c r="R231" s="150"/>
      <c r="S231" s="53"/>
    </row>
    <row r="232" spans="1:19" s="16" customFormat="1" x14ac:dyDescent="0.35">
      <c r="A232" s="154"/>
      <c r="B232" s="51"/>
      <c r="C232" s="65"/>
      <c r="D232" s="59" t="s">
        <v>930</v>
      </c>
      <c r="E232" s="60"/>
      <c r="F232" s="60"/>
      <c r="G232" s="60"/>
      <c r="H232" s="60"/>
      <c r="I232" s="60"/>
      <c r="J232" s="60"/>
      <c r="K232" s="60"/>
      <c r="L232" s="60"/>
      <c r="M232" s="60"/>
      <c r="N232" s="60"/>
      <c r="O232" s="60"/>
      <c r="P232" s="14"/>
      <c r="R232" s="150" t="str">
        <f>uberTipCN(E232,G229:M229)</f>
        <v>|n|n</v>
      </c>
      <c r="S232" s="53"/>
    </row>
    <row r="233" spans="1:19" s="16" customFormat="1" x14ac:dyDescent="0.35">
      <c r="A233" s="154"/>
      <c r="B233" s="51"/>
      <c r="C233" s="65"/>
      <c r="D233" s="61" t="s">
        <v>931</v>
      </c>
      <c r="E233" s="62"/>
      <c r="F233" s="62"/>
      <c r="G233" s="62"/>
      <c r="H233" s="62"/>
      <c r="I233" s="62"/>
      <c r="J233" s="62"/>
      <c r="K233" s="62"/>
      <c r="L233" s="62"/>
      <c r="M233" s="62"/>
      <c r="N233" s="62"/>
      <c r="O233" s="62"/>
      <c r="P233" s="14"/>
      <c r="R233" s="150" t="str">
        <f>uberTipCN(E233,G230:M230)</f>
        <v>|n|n</v>
      </c>
      <c r="S233" s="53"/>
    </row>
    <row r="234" spans="1:19" s="16" customFormat="1" x14ac:dyDescent="0.35">
      <c r="A234" s="154"/>
      <c r="B234" s="51"/>
      <c r="C234" s="65"/>
      <c r="D234" s="59" t="s">
        <v>932</v>
      </c>
      <c r="E234" s="60"/>
      <c r="F234" s="60"/>
      <c r="G234" s="60"/>
      <c r="H234" s="60"/>
      <c r="I234" s="60"/>
      <c r="J234" s="60"/>
      <c r="K234" s="60"/>
      <c r="L234" s="60"/>
      <c r="M234" s="60"/>
      <c r="N234" s="60"/>
      <c r="O234" s="60"/>
      <c r="P234" s="14"/>
      <c r="R234" s="150" t="str">
        <f>uberTipCN(E234,G231:M231)</f>
        <v>|n|n</v>
      </c>
      <c r="S234" s="53"/>
    </row>
    <row r="235" spans="1:19" x14ac:dyDescent="0.35">
      <c r="A235" s="154"/>
      <c r="B235" s="51" t="s">
        <v>330</v>
      </c>
      <c r="C235" s="65"/>
      <c r="D235" s="63" t="s">
        <v>926</v>
      </c>
      <c r="E235" s="64" t="s">
        <v>913</v>
      </c>
      <c r="F235" s="64"/>
      <c r="G235" s="64"/>
      <c r="H235" s="64"/>
      <c r="I235" s="64"/>
      <c r="J235" s="64"/>
      <c r="K235" s="64"/>
      <c r="L235" s="64"/>
      <c r="M235" s="64"/>
      <c r="N235" s="64"/>
      <c r="O235" s="64" t="s">
        <v>968</v>
      </c>
      <c r="P235" s="14"/>
      <c r="R235" s="150" t="str">
        <f>researchUberTipCN(E235:E238,G236:M238)</f>
        <v>压制DD AP*1。5，回蓝 X|n|n|n|cffffcc00等级 1|r - X=10|n|cffffcc00等级 2|r - X=15|n|cffffcc00等级 3|r - X=20，撕裂百分之百触发。</v>
      </c>
    </row>
    <row r="236" spans="1:19" s="16" customFormat="1" x14ac:dyDescent="0.35">
      <c r="A236" s="154"/>
      <c r="B236" s="51"/>
      <c r="C236" s="65"/>
      <c r="D236" s="61" t="s">
        <v>927</v>
      </c>
      <c r="E236" s="62" t="s">
        <v>333</v>
      </c>
      <c r="F236" s="62"/>
      <c r="G236" s="62"/>
      <c r="H236" s="62"/>
      <c r="I236" s="62"/>
      <c r="J236" s="62"/>
      <c r="K236" s="62"/>
      <c r="L236" s="62"/>
      <c r="M236" s="62"/>
      <c r="N236" s="62"/>
      <c r="O236" s="62"/>
      <c r="P236" s="14"/>
      <c r="R236" s="150"/>
      <c r="S236" s="53"/>
    </row>
    <row r="237" spans="1:19" s="16" customFormat="1" x14ac:dyDescent="0.35">
      <c r="A237" s="154"/>
      <c r="B237" s="51"/>
      <c r="C237" s="65"/>
      <c r="D237" s="59" t="s">
        <v>928</v>
      </c>
      <c r="E237" s="60" t="s">
        <v>335</v>
      </c>
      <c r="F237" s="60"/>
      <c r="G237" s="60"/>
      <c r="H237" s="60"/>
      <c r="I237" s="60"/>
      <c r="J237" s="60"/>
      <c r="K237" s="60"/>
      <c r="L237" s="60"/>
      <c r="M237" s="60"/>
      <c r="N237" s="60"/>
      <c r="O237" s="60"/>
      <c r="P237" s="14"/>
      <c r="R237" s="150"/>
      <c r="S237" s="53"/>
    </row>
    <row r="238" spans="1:19" s="16" customFormat="1" x14ac:dyDescent="0.35">
      <c r="A238" s="154"/>
      <c r="B238" s="51"/>
      <c r="C238" s="65"/>
      <c r="D238" s="61" t="s">
        <v>929</v>
      </c>
      <c r="E238" s="62" t="s">
        <v>914</v>
      </c>
      <c r="F238" s="62"/>
      <c r="G238" s="62"/>
      <c r="H238" s="62"/>
      <c r="I238" s="62"/>
      <c r="J238" s="62"/>
      <c r="K238" s="62"/>
      <c r="L238" s="62"/>
      <c r="M238" s="62"/>
      <c r="N238" s="62"/>
      <c r="O238" s="62"/>
      <c r="P238" s="14"/>
      <c r="R238" s="150"/>
      <c r="S238" s="53"/>
    </row>
    <row r="239" spans="1:19" s="16" customFormat="1" x14ac:dyDescent="0.35">
      <c r="A239" s="154"/>
      <c r="B239" s="51"/>
      <c r="C239" s="65"/>
      <c r="D239" s="59" t="s">
        <v>930</v>
      </c>
      <c r="E239" s="60"/>
      <c r="F239" s="60"/>
      <c r="G239" s="60"/>
      <c r="H239" s="60"/>
      <c r="I239" s="60"/>
      <c r="J239" s="60"/>
      <c r="K239" s="60"/>
      <c r="L239" s="60"/>
      <c r="M239" s="60"/>
      <c r="N239" s="60"/>
      <c r="O239" s="60"/>
      <c r="P239" s="14"/>
      <c r="R239" s="150" t="str">
        <f>uberTipCN(E239,G236:M236)</f>
        <v>|n|n</v>
      </c>
      <c r="S239" s="53"/>
    </row>
    <row r="240" spans="1:19" s="16" customFormat="1" x14ac:dyDescent="0.35">
      <c r="A240" s="154"/>
      <c r="B240" s="51"/>
      <c r="C240" s="65"/>
      <c r="D240" s="61" t="s">
        <v>931</v>
      </c>
      <c r="E240" s="62"/>
      <c r="F240" s="62"/>
      <c r="G240" s="62"/>
      <c r="H240" s="62"/>
      <c r="I240" s="62"/>
      <c r="J240" s="62"/>
      <c r="K240" s="62"/>
      <c r="L240" s="62"/>
      <c r="M240" s="62"/>
      <c r="N240" s="62"/>
      <c r="O240" s="62"/>
      <c r="P240" s="14"/>
      <c r="R240" s="150" t="str">
        <f>uberTipCN(E240,G237:M237)</f>
        <v>|n|n</v>
      </c>
      <c r="S240" s="53"/>
    </row>
    <row r="241" spans="1:19" s="16" customFormat="1" x14ac:dyDescent="0.35">
      <c r="A241" s="154"/>
      <c r="B241" s="51"/>
      <c r="C241" s="65"/>
      <c r="D241" s="59" t="s">
        <v>932</v>
      </c>
      <c r="E241" s="60"/>
      <c r="F241" s="60"/>
      <c r="G241" s="60"/>
      <c r="H241" s="60"/>
      <c r="I241" s="60"/>
      <c r="J241" s="60"/>
      <c r="K241" s="60"/>
      <c r="L241" s="60"/>
      <c r="M241" s="60"/>
      <c r="N241" s="60"/>
      <c r="O241" s="60"/>
      <c r="P241" s="14"/>
      <c r="R241" s="150" t="str">
        <f>uberTipCN(E241,G238:M238)</f>
        <v>|n|n</v>
      </c>
      <c r="S241" s="53"/>
    </row>
    <row r="242" spans="1:19" ht="33" x14ac:dyDescent="0.35">
      <c r="A242" s="154"/>
      <c r="B242" s="51" t="s">
        <v>336</v>
      </c>
      <c r="C242" s="65"/>
      <c r="D242" s="63" t="s">
        <v>926</v>
      </c>
      <c r="E242" s="64" t="s">
        <v>337</v>
      </c>
      <c r="F242" s="64"/>
      <c r="G242" s="64"/>
      <c r="H242" s="64"/>
      <c r="I242" s="64"/>
      <c r="J242" s="64"/>
      <c r="K242" s="64"/>
      <c r="L242" s="64"/>
      <c r="M242" s="64"/>
      <c r="N242" s="64"/>
      <c r="O242" s="64" t="s">
        <v>955</v>
      </c>
      <c r="P242" s="14"/>
      <c r="R242" s="150"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4"/>
      <c r="B243" s="51"/>
      <c r="C243" s="65"/>
      <c r="D243" s="61" t="s">
        <v>927</v>
      </c>
      <c r="E243" s="62" t="s">
        <v>338</v>
      </c>
      <c r="F243" s="62"/>
      <c r="G243" s="62"/>
      <c r="H243" s="62"/>
      <c r="I243" s="62"/>
      <c r="J243" s="62"/>
      <c r="K243" s="62"/>
      <c r="L243" s="62"/>
      <c r="M243" s="62"/>
      <c r="N243" s="62"/>
      <c r="O243" s="62"/>
      <c r="P243" s="14"/>
      <c r="R243" s="150"/>
      <c r="S243" s="53"/>
    </row>
    <row r="244" spans="1:19" s="16" customFormat="1" ht="33" x14ac:dyDescent="0.35">
      <c r="A244" s="154"/>
      <c r="B244" s="51"/>
      <c r="C244" s="65"/>
      <c r="D244" s="59" t="s">
        <v>928</v>
      </c>
      <c r="E244" s="60" t="s">
        <v>339</v>
      </c>
      <c r="F244" s="60"/>
      <c r="G244" s="60"/>
      <c r="H244" s="60"/>
      <c r="I244" s="60"/>
      <c r="J244" s="60"/>
      <c r="K244" s="60"/>
      <c r="L244" s="60"/>
      <c r="M244" s="60"/>
      <c r="N244" s="60"/>
      <c r="O244" s="60"/>
      <c r="P244" s="14"/>
      <c r="R244" s="150"/>
      <c r="S244" s="53"/>
    </row>
    <row r="245" spans="1:19" s="16" customFormat="1" ht="33" x14ac:dyDescent="0.35">
      <c r="A245" s="154"/>
      <c r="B245" s="51"/>
      <c r="C245" s="65"/>
      <c r="D245" s="61" t="s">
        <v>929</v>
      </c>
      <c r="E245" s="62" t="s">
        <v>340</v>
      </c>
      <c r="F245" s="62"/>
      <c r="G245" s="62"/>
      <c r="H245" s="62"/>
      <c r="I245" s="62"/>
      <c r="J245" s="62"/>
      <c r="K245" s="62"/>
      <c r="L245" s="62"/>
      <c r="M245" s="62"/>
      <c r="N245" s="62"/>
      <c r="O245" s="62"/>
      <c r="P245" s="14"/>
      <c r="R245" s="150"/>
      <c r="S245" s="53"/>
    </row>
    <row r="246" spans="1:19" s="16" customFormat="1" x14ac:dyDescent="0.35">
      <c r="A246" s="154"/>
      <c r="B246" s="51"/>
      <c r="C246" s="65"/>
      <c r="D246" s="59" t="s">
        <v>930</v>
      </c>
      <c r="E246" s="60"/>
      <c r="F246" s="60"/>
      <c r="G246" s="60"/>
      <c r="H246" s="60"/>
      <c r="I246" s="60"/>
      <c r="J246" s="60"/>
      <c r="K246" s="60"/>
      <c r="L246" s="60"/>
      <c r="M246" s="60"/>
      <c r="N246" s="60"/>
      <c r="O246" s="60"/>
      <c r="P246" s="14"/>
      <c r="R246" s="150" t="str">
        <f>uberTipCN(E246,G243:M243)</f>
        <v>|n|n</v>
      </c>
      <c r="S246" s="53"/>
    </row>
    <row r="247" spans="1:19" s="16" customFormat="1" x14ac:dyDescent="0.35">
      <c r="A247" s="154"/>
      <c r="B247" s="51"/>
      <c r="C247" s="65"/>
      <c r="D247" s="61" t="s">
        <v>931</v>
      </c>
      <c r="E247" s="62"/>
      <c r="F247" s="62"/>
      <c r="G247" s="62"/>
      <c r="H247" s="62"/>
      <c r="I247" s="62"/>
      <c r="J247" s="62"/>
      <c r="K247" s="62"/>
      <c r="L247" s="62"/>
      <c r="M247" s="62"/>
      <c r="N247" s="62"/>
      <c r="O247" s="62"/>
      <c r="P247" s="14"/>
      <c r="R247" s="150" t="str">
        <f>uberTipCN(E247,G244:M244)</f>
        <v>|n|n</v>
      </c>
      <c r="S247" s="53"/>
    </row>
    <row r="248" spans="1:19" s="16" customFormat="1" x14ac:dyDescent="0.35">
      <c r="A248" s="154"/>
      <c r="B248" s="51"/>
      <c r="C248" s="65"/>
      <c r="D248" s="59" t="s">
        <v>932</v>
      </c>
      <c r="E248" s="60"/>
      <c r="F248" s="60"/>
      <c r="G248" s="60"/>
      <c r="H248" s="60"/>
      <c r="I248" s="60"/>
      <c r="J248" s="60"/>
      <c r="K248" s="60"/>
      <c r="L248" s="60"/>
      <c r="M248" s="60"/>
      <c r="N248" s="60"/>
      <c r="O248" s="60"/>
      <c r="P248" s="14"/>
      <c r="R248" s="150" t="str">
        <f>uberTipCN(E248,G245:M245)</f>
        <v>|n|n</v>
      </c>
      <c r="S248" s="53"/>
    </row>
    <row r="249" spans="1:19" ht="115.5" x14ac:dyDescent="0.35">
      <c r="A249" s="154"/>
      <c r="B249" s="51" t="s">
        <v>341</v>
      </c>
      <c r="C249" s="65"/>
      <c r="D249" s="63" t="s">
        <v>926</v>
      </c>
      <c r="E249" s="64" t="s">
        <v>915</v>
      </c>
      <c r="F249" s="64"/>
      <c r="G249" s="64"/>
      <c r="H249" s="64"/>
      <c r="I249" s="64"/>
      <c r="J249" s="64"/>
      <c r="K249" s="64"/>
      <c r="L249" s="64"/>
      <c r="M249" s="64"/>
      <c r="N249" s="64"/>
      <c r="O249" s="64" t="s">
        <v>969</v>
      </c>
      <c r="P249" s="14"/>
      <c r="R249" s="150"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4"/>
      <c r="B250" s="51"/>
      <c r="C250" s="65"/>
      <c r="D250" s="61" t="s">
        <v>927</v>
      </c>
      <c r="E250" s="62" t="s">
        <v>895</v>
      </c>
      <c r="F250" s="62"/>
      <c r="G250" s="62"/>
      <c r="H250" s="62"/>
      <c r="I250" s="62"/>
      <c r="J250" s="62"/>
      <c r="K250" s="62"/>
      <c r="L250" s="62"/>
      <c r="M250" s="62"/>
      <c r="N250" s="62"/>
      <c r="O250" s="62"/>
      <c r="P250" s="14"/>
      <c r="R250" s="150"/>
      <c r="S250" s="53"/>
    </row>
    <row r="251" spans="1:19" s="16" customFormat="1" x14ac:dyDescent="0.35">
      <c r="A251" s="154"/>
      <c r="B251" s="51"/>
      <c r="C251" s="65"/>
      <c r="D251" s="59" t="s">
        <v>928</v>
      </c>
      <c r="E251" s="60" t="s">
        <v>916</v>
      </c>
      <c r="F251" s="60"/>
      <c r="G251" s="60"/>
      <c r="H251" s="60"/>
      <c r="I251" s="60"/>
      <c r="J251" s="60"/>
      <c r="K251" s="60"/>
      <c r="L251" s="60"/>
      <c r="M251" s="60"/>
      <c r="N251" s="60"/>
      <c r="O251" s="60"/>
      <c r="P251" s="14"/>
      <c r="R251" s="150"/>
      <c r="S251" s="53"/>
    </row>
    <row r="252" spans="1:19" s="16" customFormat="1" x14ac:dyDescent="0.35">
      <c r="A252" s="154"/>
      <c r="B252" s="51"/>
      <c r="C252" s="65"/>
      <c r="D252" s="61" t="s">
        <v>929</v>
      </c>
      <c r="E252" s="62" t="s">
        <v>917</v>
      </c>
      <c r="F252" s="62"/>
      <c r="G252" s="62"/>
      <c r="H252" s="62"/>
      <c r="I252" s="62"/>
      <c r="J252" s="62"/>
      <c r="K252" s="62"/>
      <c r="L252" s="62"/>
      <c r="M252" s="62"/>
      <c r="N252" s="62"/>
      <c r="O252" s="62"/>
      <c r="P252" s="14"/>
      <c r="R252" s="150"/>
      <c r="S252" s="53"/>
    </row>
    <row r="253" spans="1:19" s="16" customFormat="1" x14ac:dyDescent="0.35">
      <c r="A253" s="154"/>
      <c r="B253" s="51"/>
      <c r="C253" s="65"/>
      <c r="D253" s="59" t="s">
        <v>930</v>
      </c>
      <c r="E253" s="60"/>
      <c r="F253" s="60"/>
      <c r="G253" s="60"/>
      <c r="H253" s="60"/>
      <c r="I253" s="60"/>
      <c r="J253" s="60"/>
      <c r="K253" s="60"/>
      <c r="L253" s="60"/>
      <c r="M253" s="60"/>
      <c r="N253" s="60"/>
      <c r="O253" s="60"/>
      <c r="P253" s="14"/>
      <c r="R253" s="150" t="str">
        <f>uberTipCN(E253,G250:M250)</f>
        <v>|n|n</v>
      </c>
      <c r="S253" s="53"/>
    </row>
    <row r="254" spans="1:19" s="16" customFormat="1" x14ac:dyDescent="0.35">
      <c r="A254" s="154"/>
      <c r="B254" s="51"/>
      <c r="C254" s="65"/>
      <c r="D254" s="61" t="s">
        <v>931</v>
      </c>
      <c r="E254" s="62"/>
      <c r="F254" s="62"/>
      <c r="G254" s="62"/>
      <c r="H254" s="62"/>
      <c r="I254" s="62"/>
      <c r="J254" s="62"/>
      <c r="K254" s="62"/>
      <c r="L254" s="62"/>
      <c r="M254" s="62"/>
      <c r="N254" s="62"/>
      <c r="O254" s="62"/>
      <c r="P254" s="14"/>
      <c r="R254" s="150" t="str">
        <f>uberTipCN(E254,G251:M251)</f>
        <v>|n|n</v>
      </c>
      <c r="S254" s="53"/>
    </row>
    <row r="255" spans="1:19" s="16" customFormat="1" x14ac:dyDescent="0.35">
      <c r="A255" s="154"/>
      <c r="B255" s="51"/>
      <c r="C255" s="65"/>
      <c r="D255" s="59" t="s">
        <v>932</v>
      </c>
      <c r="E255" s="60"/>
      <c r="F255" s="60"/>
      <c r="G255" s="60"/>
      <c r="H255" s="60"/>
      <c r="I255" s="60"/>
      <c r="J255" s="60"/>
      <c r="K255" s="60"/>
      <c r="L255" s="60"/>
      <c r="M255" s="60"/>
      <c r="N255" s="60"/>
      <c r="O255" s="60"/>
      <c r="P255" s="14"/>
      <c r="R255" s="150" t="str">
        <f>uberTipCN(E255,G252:M252)</f>
        <v>|n|n</v>
      </c>
      <c r="S255" s="53"/>
    </row>
    <row r="256" spans="1:19" x14ac:dyDescent="0.35">
      <c r="A256" s="154"/>
      <c r="B256" s="66" t="s">
        <v>42</v>
      </c>
      <c r="C256" s="67"/>
      <c r="D256" s="68"/>
      <c r="E256" s="69"/>
      <c r="F256" s="69"/>
      <c r="G256" s="69"/>
      <c r="H256" s="69"/>
      <c r="I256" s="69"/>
      <c r="J256" s="69"/>
      <c r="K256" s="69"/>
      <c r="L256" s="69"/>
      <c r="M256" s="69"/>
      <c r="N256" s="69"/>
      <c r="O256" s="69"/>
      <c r="P256" s="14"/>
    </row>
    <row r="257" spans="1:19" x14ac:dyDescent="0.35">
      <c r="A257" s="166" t="s">
        <v>343</v>
      </c>
      <c r="B257" s="51" t="s">
        <v>358</v>
      </c>
      <c r="C257" s="72"/>
      <c r="D257" s="63" t="s">
        <v>926</v>
      </c>
      <c r="E257" s="64" t="s">
        <v>359</v>
      </c>
      <c r="F257" s="64"/>
      <c r="G257" s="64"/>
      <c r="H257" s="64"/>
      <c r="I257" s="64"/>
      <c r="J257" s="64"/>
      <c r="K257" s="64"/>
      <c r="L257" s="64"/>
      <c r="M257" s="64"/>
      <c r="N257" s="64"/>
      <c r="O257" s="64" t="s">
        <v>258</v>
      </c>
      <c r="P257" s="14"/>
      <c r="R257" s="150"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6"/>
      <c r="B258" s="72"/>
      <c r="C258" s="72"/>
      <c r="D258" s="61" t="s">
        <v>927</v>
      </c>
      <c r="E258" s="62" t="s">
        <v>360</v>
      </c>
      <c r="F258" s="62"/>
      <c r="G258" s="62"/>
      <c r="H258" s="62"/>
      <c r="I258" s="62"/>
      <c r="J258" s="62"/>
      <c r="K258" s="62"/>
      <c r="L258" s="62"/>
      <c r="M258" s="62"/>
      <c r="N258" s="62"/>
      <c r="O258" s="62"/>
      <c r="P258" s="14"/>
      <c r="R258" s="150"/>
      <c r="S258" s="53"/>
    </row>
    <row r="259" spans="1:19" s="16" customFormat="1" x14ac:dyDescent="0.35">
      <c r="A259" s="166"/>
      <c r="B259" s="72"/>
      <c r="C259" s="72"/>
      <c r="D259" s="59" t="s">
        <v>928</v>
      </c>
      <c r="E259" s="60" t="s">
        <v>918</v>
      </c>
      <c r="F259" s="60"/>
      <c r="G259" s="60"/>
      <c r="H259" s="60"/>
      <c r="I259" s="60"/>
      <c r="J259" s="60"/>
      <c r="K259" s="60"/>
      <c r="L259" s="60"/>
      <c r="M259" s="60"/>
      <c r="N259" s="60"/>
      <c r="O259" s="60"/>
      <c r="P259" s="14"/>
      <c r="R259" s="150"/>
      <c r="S259" s="53"/>
    </row>
    <row r="260" spans="1:19" s="16" customFormat="1" x14ac:dyDescent="0.35">
      <c r="A260" s="166"/>
      <c r="B260" s="72"/>
      <c r="C260" s="72"/>
      <c r="D260" s="61" t="s">
        <v>929</v>
      </c>
      <c r="E260" s="62" t="s">
        <v>362</v>
      </c>
      <c r="F260" s="62"/>
      <c r="G260" s="62"/>
      <c r="H260" s="62"/>
      <c r="I260" s="62"/>
      <c r="J260" s="62"/>
      <c r="K260" s="62"/>
      <c r="L260" s="62"/>
      <c r="M260" s="62"/>
      <c r="N260" s="62"/>
      <c r="O260" s="62"/>
      <c r="P260" s="14"/>
      <c r="R260" s="150"/>
      <c r="S260" s="53"/>
    </row>
    <row r="261" spans="1:19" s="16" customFormat="1" x14ac:dyDescent="0.35">
      <c r="A261" s="166"/>
      <c r="B261" s="72"/>
      <c r="C261" s="72"/>
      <c r="D261" s="59" t="s">
        <v>930</v>
      </c>
      <c r="E261" s="60"/>
      <c r="F261" s="60"/>
      <c r="G261" s="60"/>
      <c r="H261" s="60"/>
      <c r="I261" s="60"/>
      <c r="J261" s="60"/>
      <c r="K261" s="60"/>
      <c r="L261" s="60"/>
      <c r="M261" s="60"/>
      <c r="N261" s="60"/>
      <c r="O261" s="60"/>
      <c r="P261" s="14"/>
      <c r="R261" s="150" t="str">
        <f>uberTipCN(E261,G258:M258)</f>
        <v>|n|n</v>
      </c>
      <c r="S261" s="53"/>
    </row>
    <row r="262" spans="1:19" s="16" customFormat="1" x14ac:dyDescent="0.35">
      <c r="A262" s="166"/>
      <c r="B262" s="72"/>
      <c r="C262" s="72"/>
      <c r="D262" s="61" t="s">
        <v>931</v>
      </c>
      <c r="E262" s="62"/>
      <c r="F262" s="62"/>
      <c r="G262" s="62"/>
      <c r="H262" s="62"/>
      <c r="I262" s="62"/>
      <c r="J262" s="62"/>
      <c r="K262" s="62"/>
      <c r="L262" s="62"/>
      <c r="M262" s="62"/>
      <c r="N262" s="62"/>
      <c r="O262" s="62"/>
      <c r="P262" s="14"/>
      <c r="R262" s="150" t="str">
        <f>uberTipCN(E262,G259:M259)</f>
        <v>|n|n</v>
      </c>
      <c r="S262" s="53"/>
    </row>
    <row r="263" spans="1:19" s="16" customFormat="1" x14ac:dyDescent="0.35">
      <c r="A263" s="166"/>
      <c r="B263" s="72"/>
      <c r="C263" s="72"/>
      <c r="D263" s="59" t="s">
        <v>932</v>
      </c>
      <c r="E263" s="60"/>
      <c r="F263" s="60"/>
      <c r="G263" s="60"/>
      <c r="H263" s="60"/>
      <c r="I263" s="60"/>
      <c r="J263" s="60"/>
      <c r="K263" s="60"/>
      <c r="L263" s="60"/>
      <c r="M263" s="60"/>
      <c r="N263" s="60"/>
      <c r="O263" s="60"/>
      <c r="P263" s="14"/>
      <c r="R263" s="150" t="str">
        <f>uberTipCN(E263,G260:M260)</f>
        <v>|n|n</v>
      </c>
      <c r="S263" s="53"/>
    </row>
    <row r="264" spans="1:19" x14ac:dyDescent="0.35">
      <c r="A264" s="159"/>
      <c r="B264" s="51" t="s">
        <v>364</v>
      </c>
      <c r="C264" s="65"/>
      <c r="D264" s="63" t="s">
        <v>926</v>
      </c>
      <c r="E264" s="64" t="s">
        <v>365</v>
      </c>
      <c r="F264" s="64"/>
      <c r="G264" s="64"/>
      <c r="H264" s="64"/>
      <c r="I264" s="64"/>
      <c r="J264" s="64"/>
      <c r="K264" s="64"/>
      <c r="L264" s="64"/>
      <c r="M264" s="64"/>
      <c r="N264" s="64"/>
      <c r="O264" s="64" t="s">
        <v>956</v>
      </c>
      <c r="P264" s="56"/>
      <c r="R264" s="150"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59"/>
      <c r="B265" s="51"/>
      <c r="C265" s="65"/>
      <c r="D265" s="61" t="s">
        <v>927</v>
      </c>
      <c r="E265" s="62" t="s">
        <v>367</v>
      </c>
      <c r="F265" s="62"/>
      <c r="G265" s="62"/>
      <c r="H265" s="62"/>
      <c r="I265" s="62"/>
      <c r="J265" s="62"/>
      <c r="K265" s="62"/>
      <c r="L265" s="62"/>
      <c r="M265" s="62"/>
      <c r="N265" s="62"/>
      <c r="O265" s="62"/>
      <c r="P265" s="14"/>
      <c r="R265" s="150"/>
      <c r="S265" s="53"/>
    </row>
    <row r="266" spans="1:19" s="16" customFormat="1" x14ac:dyDescent="0.35">
      <c r="A266" s="159"/>
      <c r="B266" s="51"/>
      <c r="C266" s="65"/>
      <c r="D266" s="59" t="s">
        <v>928</v>
      </c>
      <c r="E266" s="60" t="s">
        <v>370</v>
      </c>
      <c r="F266" s="60"/>
      <c r="G266" s="60"/>
      <c r="H266" s="60"/>
      <c r="I266" s="60"/>
      <c r="J266" s="60"/>
      <c r="K266" s="60"/>
      <c r="L266" s="60"/>
      <c r="M266" s="60"/>
      <c r="N266" s="60"/>
      <c r="O266" s="60"/>
      <c r="P266" s="14"/>
      <c r="R266" s="150"/>
      <c r="S266" s="53"/>
    </row>
    <row r="267" spans="1:19" s="16" customFormat="1" x14ac:dyDescent="0.35">
      <c r="A267" s="159"/>
      <c r="B267" s="51"/>
      <c r="C267" s="65"/>
      <c r="D267" s="61" t="s">
        <v>929</v>
      </c>
      <c r="E267" s="62" t="s">
        <v>372</v>
      </c>
      <c r="F267" s="62"/>
      <c r="G267" s="62"/>
      <c r="H267" s="62"/>
      <c r="I267" s="62"/>
      <c r="J267" s="62"/>
      <c r="K267" s="62"/>
      <c r="L267" s="62"/>
      <c r="M267" s="62"/>
      <c r="N267" s="62"/>
      <c r="O267" s="62"/>
      <c r="P267" s="14"/>
      <c r="R267" s="150"/>
      <c r="S267" s="53"/>
    </row>
    <row r="268" spans="1:19" s="16" customFormat="1" x14ac:dyDescent="0.35">
      <c r="A268" s="159"/>
      <c r="B268" s="51"/>
      <c r="C268" s="65"/>
      <c r="D268" s="59" t="s">
        <v>930</v>
      </c>
      <c r="E268" s="60"/>
      <c r="F268" s="60"/>
      <c r="G268" s="60"/>
      <c r="H268" s="60"/>
      <c r="I268" s="60"/>
      <c r="J268" s="60"/>
      <c r="K268" s="60"/>
      <c r="L268" s="60"/>
      <c r="M268" s="60"/>
      <c r="N268" s="60"/>
      <c r="O268" s="60"/>
      <c r="P268" s="14"/>
      <c r="R268" s="150" t="str">
        <f>uberTipCN(E268,G265:M265)</f>
        <v>|n|n</v>
      </c>
      <c r="S268" s="53"/>
    </row>
    <row r="269" spans="1:19" s="16" customFormat="1" x14ac:dyDescent="0.35">
      <c r="A269" s="159"/>
      <c r="B269" s="51"/>
      <c r="C269" s="65"/>
      <c r="D269" s="61" t="s">
        <v>931</v>
      </c>
      <c r="E269" s="62"/>
      <c r="F269" s="62"/>
      <c r="G269" s="62"/>
      <c r="H269" s="62"/>
      <c r="I269" s="62"/>
      <c r="J269" s="62"/>
      <c r="K269" s="62"/>
      <c r="L269" s="62"/>
      <c r="M269" s="62"/>
      <c r="N269" s="62"/>
      <c r="O269" s="62"/>
      <c r="P269" s="14"/>
      <c r="R269" s="150" t="str">
        <f>uberTipCN(E269,G266:M266)</f>
        <v>|n|n</v>
      </c>
      <c r="S269" s="53"/>
    </row>
    <row r="270" spans="1:19" s="16" customFormat="1" x14ac:dyDescent="0.35">
      <c r="A270" s="159"/>
      <c r="B270" s="51"/>
      <c r="C270" s="65"/>
      <c r="D270" s="59" t="s">
        <v>932</v>
      </c>
      <c r="E270" s="60"/>
      <c r="F270" s="60"/>
      <c r="G270" s="60"/>
      <c r="H270" s="60"/>
      <c r="I270" s="60"/>
      <c r="J270" s="60"/>
      <c r="K270" s="60"/>
      <c r="L270" s="60"/>
      <c r="M270" s="60"/>
      <c r="N270" s="60"/>
      <c r="O270" s="60"/>
      <c r="P270" s="14"/>
      <c r="R270" s="150" t="str">
        <f>uberTipCN(E270,G267:M267)</f>
        <v>|n|n</v>
      </c>
      <c r="S270" s="53"/>
    </row>
    <row r="271" spans="1:19" ht="33" x14ac:dyDescent="0.35">
      <c r="A271" s="159"/>
      <c r="B271" s="51" t="s">
        <v>376</v>
      </c>
      <c r="C271" s="65"/>
      <c r="D271" s="63" t="s">
        <v>926</v>
      </c>
      <c r="E271" s="64" t="s">
        <v>378</v>
      </c>
      <c r="F271" s="64"/>
      <c r="G271" s="64"/>
      <c r="H271" s="64"/>
      <c r="I271" s="64"/>
      <c r="J271" s="64"/>
      <c r="K271" s="64"/>
      <c r="L271" s="64"/>
      <c r="M271" s="64"/>
      <c r="N271" s="64"/>
      <c r="O271" s="64" t="s">
        <v>970</v>
      </c>
      <c r="P271" s="14"/>
      <c r="R271" s="150"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59"/>
      <c r="B272" s="51"/>
      <c r="C272" s="65"/>
      <c r="D272" s="61" t="s">
        <v>927</v>
      </c>
      <c r="E272" s="62" t="s">
        <v>379</v>
      </c>
      <c r="F272" s="62"/>
      <c r="G272" s="62"/>
      <c r="H272" s="62"/>
      <c r="I272" s="62"/>
      <c r="J272" s="62"/>
      <c r="K272" s="62"/>
      <c r="L272" s="62"/>
      <c r="M272" s="62"/>
      <c r="N272" s="62"/>
      <c r="O272" s="62"/>
      <c r="P272" s="14"/>
      <c r="R272" s="150"/>
      <c r="S272" s="53"/>
    </row>
    <row r="273" spans="1:19" s="16" customFormat="1" x14ac:dyDescent="0.35">
      <c r="A273" s="159"/>
      <c r="B273" s="51"/>
      <c r="C273" s="65"/>
      <c r="D273" s="59" t="s">
        <v>928</v>
      </c>
      <c r="E273" s="60" t="s">
        <v>382</v>
      </c>
      <c r="F273" s="60"/>
      <c r="G273" s="60"/>
      <c r="H273" s="60"/>
      <c r="I273" s="60"/>
      <c r="J273" s="60"/>
      <c r="K273" s="60"/>
      <c r="L273" s="60"/>
      <c r="M273" s="60"/>
      <c r="N273" s="60"/>
      <c r="O273" s="60"/>
      <c r="P273" s="14"/>
      <c r="R273" s="150"/>
      <c r="S273" s="53"/>
    </row>
    <row r="274" spans="1:19" s="16" customFormat="1" x14ac:dyDescent="0.35">
      <c r="A274" s="159"/>
      <c r="B274" s="51"/>
      <c r="C274" s="65"/>
      <c r="D274" s="61" t="s">
        <v>929</v>
      </c>
      <c r="E274" s="62" t="s">
        <v>386</v>
      </c>
      <c r="F274" s="62"/>
      <c r="G274" s="62"/>
      <c r="H274" s="62"/>
      <c r="I274" s="62"/>
      <c r="J274" s="62"/>
      <c r="K274" s="62"/>
      <c r="L274" s="62"/>
      <c r="M274" s="62"/>
      <c r="N274" s="62"/>
      <c r="O274" s="62"/>
      <c r="P274" s="14"/>
      <c r="R274" s="150"/>
      <c r="S274" s="53"/>
    </row>
    <row r="275" spans="1:19" s="16" customFormat="1" x14ac:dyDescent="0.35">
      <c r="A275" s="159"/>
      <c r="B275" s="51"/>
      <c r="C275" s="65"/>
      <c r="D275" s="59" t="s">
        <v>930</v>
      </c>
      <c r="E275" s="60"/>
      <c r="F275" s="60"/>
      <c r="G275" s="60"/>
      <c r="H275" s="60"/>
      <c r="I275" s="60"/>
      <c r="J275" s="60"/>
      <c r="K275" s="60"/>
      <c r="L275" s="60"/>
      <c r="M275" s="60"/>
      <c r="N275" s="60"/>
      <c r="O275" s="60"/>
      <c r="P275" s="14"/>
      <c r="R275" s="150" t="str">
        <f>uberTipCN(E275,G272:M272)</f>
        <v>|n|n</v>
      </c>
      <c r="S275" s="53"/>
    </row>
    <row r="276" spans="1:19" s="16" customFormat="1" x14ac:dyDescent="0.35">
      <c r="A276" s="159"/>
      <c r="B276" s="51"/>
      <c r="C276" s="65"/>
      <c r="D276" s="61" t="s">
        <v>931</v>
      </c>
      <c r="E276" s="62"/>
      <c r="F276" s="62"/>
      <c r="G276" s="62"/>
      <c r="H276" s="62"/>
      <c r="I276" s="62"/>
      <c r="J276" s="62"/>
      <c r="K276" s="62"/>
      <c r="L276" s="62"/>
      <c r="M276" s="62"/>
      <c r="N276" s="62"/>
      <c r="O276" s="62"/>
      <c r="P276" s="14"/>
      <c r="R276" s="150" t="str">
        <f>uberTipCN(E276,G273:M273)</f>
        <v>|n|n</v>
      </c>
      <c r="S276" s="53"/>
    </row>
    <row r="277" spans="1:19" s="16" customFormat="1" x14ac:dyDescent="0.35">
      <c r="A277" s="159"/>
      <c r="B277" s="51"/>
      <c r="C277" s="65"/>
      <c r="D277" s="59" t="s">
        <v>932</v>
      </c>
      <c r="E277" s="60"/>
      <c r="F277" s="60"/>
      <c r="G277" s="60"/>
      <c r="H277" s="60"/>
      <c r="I277" s="60"/>
      <c r="J277" s="60"/>
      <c r="K277" s="60"/>
      <c r="L277" s="60"/>
      <c r="M277" s="60"/>
      <c r="N277" s="60"/>
      <c r="O277" s="60"/>
      <c r="P277" s="14"/>
      <c r="R277" s="150" t="str">
        <f>uberTipCN(E277,G274:M274)</f>
        <v>|n|n</v>
      </c>
      <c r="S277" s="53"/>
    </row>
    <row r="278" spans="1:19" ht="49.5" x14ac:dyDescent="0.35">
      <c r="A278" s="159"/>
      <c r="B278" s="51" t="s">
        <v>392</v>
      </c>
      <c r="C278" s="65"/>
      <c r="D278" s="63" t="s">
        <v>926</v>
      </c>
      <c r="E278" s="64" t="s">
        <v>393</v>
      </c>
      <c r="F278" s="64"/>
      <c r="G278" s="64"/>
      <c r="H278" s="64"/>
      <c r="I278" s="64"/>
      <c r="J278" s="64"/>
      <c r="K278" s="64"/>
      <c r="L278" s="64"/>
      <c r="M278" s="64"/>
      <c r="N278" s="64"/>
      <c r="O278" s="64" t="s">
        <v>402</v>
      </c>
      <c r="P278" s="14"/>
      <c r="R278" s="150"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59"/>
      <c r="B279" s="51"/>
      <c r="C279" s="65"/>
      <c r="D279" s="61" t="s">
        <v>927</v>
      </c>
      <c r="E279" s="62" t="s">
        <v>394</v>
      </c>
      <c r="F279" s="62"/>
      <c r="G279" s="62"/>
      <c r="H279" s="62"/>
      <c r="I279" s="62"/>
      <c r="J279" s="62"/>
      <c r="K279" s="62"/>
      <c r="L279" s="62"/>
      <c r="M279" s="62"/>
      <c r="N279" s="62"/>
      <c r="O279" s="62"/>
      <c r="P279" s="14"/>
      <c r="R279" s="150"/>
      <c r="S279" s="53"/>
    </row>
    <row r="280" spans="1:19" s="16" customFormat="1" x14ac:dyDescent="0.35">
      <c r="A280" s="159"/>
      <c r="B280" s="51"/>
      <c r="C280" s="65"/>
      <c r="D280" s="59" t="s">
        <v>928</v>
      </c>
      <c r="E280" s="60" t="s">
        <v>397</v>
      </c>
      <c r="F280" s="60"/>
      <c r="G280" s="60"/>
      <c r="H280" s="60"/>
      <c r="I280" s="60"/>
      <c r="J280" s="60"/>
      <c r="K280" s="60"/>
      <c r="L280" s="60"/>
      <c r="M280" s="60"/>
      <c r="N280" s="60"/>
      <c r="O280" s="60"/>
      <c r="P280" s="14"/>
      <c r="R280" s="150"/>
      <c r="S280" s="53"/>
    </row>
    <row r="281" spans="1:19" s="16" customFormat="1" x14ac:dyDescent="0.35">
      <c r="A281" s="159"/>
      <c r="B281" s="51"/>
      <c r="C281" s="65"/>
      <c r="D281" s="61" t="s">
        <v>929</v>
      </c>
      <c r="E281" s="62" t="s">
        <v>401</v>
      </c>
      <c r="F281" s="62"/>
      <c r="G281" s="62"/>
      <c r="H281" s="62"/>
      <c r="I281" s="62"/>
      <c r="J281" s="62"/>
      <c r="K281" s="62"/>
      <c r="L281" s="62"/>
      <c r="M281" s="62"/>
      <c r="N281" s="62"/>
      <c r="O281" s="62"/>
      <c r="P281" s="14"/>
      <c r="R281" s="150"/>
      <c r="S281" s="53"/>
    </row>
    <row r="282" spans="1:19" s="16" customFormat="1" x14ac:dyDescent="0.35">
      <c r="A282" s="159"/>
      <c r="B282" s="51"/>
      <c r="C282" s="65"/>
      <c r="D282" s="59" t="s">
        <v>930</v>
      </c>
      <c r="E282" s="60"/>
      <c r="F282" s="60"/>
      <c r="G282" s="60"/>
      <c r="H282" s="60"/>
      <c r="I282" s="60"/>
      <c r="J282" s="60"/>
      <c r="K282" s="60"/>
      <c r="L282" s="60"/>
      <c r="M282" s="60"/>
      <c r="N282" s="60"/>
      <c r="O282" s="60"/>
      <c r="P282" s="14"/>
      <c r="R282" s="150" t="str">
        <f>uberTipCN(E282,G279:M279)</f>
        <v>|n|n</v>
      </c>
      <c r="S282" s="53"/>
    </row>
    <row r="283" spans="1:19" s="16" customFormat="1" x14ac:dyDescent="0.35">
      <c r="A283" s="159"/>
      <c r="B283" s="51"/>
      <c r="C283" s="65"/>
      <c r="D283" s="61" t="s">
        <v>931</v>
      </c>
      <c r="E283" s="62"/>
      <c r="F283" s="62"/>
      <c r="G283" s="62"/>
      <c r="H283" s="62"/>
      <c r="I283" s="62"/>
      <c r="J283" s="62"/>
      <c r="K283" s="62"/>
      <c r="L283" s="62"/>
      <c r="M283" s="62"/>
      <c r="N283" s="62"/>
      <c r="O283" s="62"/>
      <c r="P283" s="14"/>
      <c r="R283" s="150" t="str">
        <f>uberTipCN(E283,G280:M280)</f>
        <v>|n|n</v>
      </c>
      <c r="S283" s="53"/>
    </row>
    <row r="284" spans="1:19" s="16" customFormat="1" x14ac:dyDescent="0.35">
      <c r="A284" s="159"/>
      <c r="B284" s="51"/>
      <c r="C284" s="65"/>
      <c r="D284" s="59" t="s">
        <v>932</v>
      </c>
      <c r="E284" s="60"/>
      <c r="F284" s="60"/>
      <c r="G284" s="60"/>
      <c r="H284" s="60"/>
      <c r="I284" s="60"/>
      <c r="J284" s="60"/>
      <c r="K284" s="60"/>
      <c r="L284" s="60"/>
      <c r="M284" s="60"/>
      <c r="N284" s="60"/>
      <c r="O284" s="60"/>
      <c r="P284" s="14"/>
      <c r="R284" s="150" t="str">
        <f>uberTipCN(E284,G281:M281)</f>
        <v>|n|n</v>
      </c>
      <c r="S284" s="53"/>
    </row>
    <row r="285" spans="1:19" ht="49.5" x14ac:dyDescent="0.35">
      <c r="A285" s="159"/>
      <c r="B285" s="51" t="s">
        <v>406</v>
      </c>
      <c r="C285" s="65"/>
      <c r="D285" s="63" t="s">
        <v>926</v>
      </c>
      <c r="E285" s="64" t="s">
        <v>409</v>
      </c>
      <c r="F285" s="64"/>
      <c r="G285" s="64"/>
      <c r="H285" s="64"/>
      <c r="I285" s="64"/>
      <c r="J285" s="64"/>
      <c r="K285" s="64"/>
      <c r="L285" s="64"/>
      <c r="M285" s="64"/>
      <c r="N285" s="64"/>
      <c r="O285" s="64" t="s">
        <v>415</v>
      </c>
      <c r="P285" s="14"/>
      <c r="R285" s="150"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59"/>
      <c r="B286" s="51"/>
      <c r="C286" s="65"/>
      <c r="D286" s="61" t="s">
        <v>927</v>
      </c>
      <c r="E286" s="62" t="s">
        <v>411</v>
      </c>
      <c r="F286" s="62"/>
      <c r="G286" s="62"/>
      <c r="H286" s="62"/>
      <c r="I286" s="62"/>
      <c r="J286" s="62"/>
      <c r="K286" s="62"/>
      <c r="L286" s="62"/>
      <c r="M286" s="62"/>
      <c r="N286" s="62"/>
      <c r="O286" s="62"/>
      <c r="P286" s="14"/>
      <c r="R286" s="150"/>
      <c r="S286" s="53"/>
    </row>
    <row r="287" spans="1:19" s="16" customFormat="1" x14ac:dyDescent="0.35">
      <c r="A287" s="159"/>
      <c r="B287" s="51"/>
      <c r="C287" s="65"/>
      <c r="D287" s="59" t="s">
        <v>928</v>
      </c>
      <c r="E287" s="60" t="s">
        <v>412</v>
      </c>
      <c r="F287" s="60"/>
      <c r="G287" s="60"/>
      <c r="H287" s="60"/>
      <c r="I287" s="60"/>
      <c r="J287" s="60"/>
      <c r="K287" s="60"/>
      <c r="L287" s="60"/>
      <c r="M287" s="60"/>
      <c r="N287" s="60"/>
      <c r="O287" s="60"/>
      <c r="P287" s="14"/>
      <c r="R287" s="150"/>
      <c r="S287" s="53"/>
    </row>
    <row r="288" spans="1:19" s="16" customFormat="1" x14ac:dyDescent="0.35">
      <c r="A288" s="159"/>
      <c r="B288" s="51"/>
      <c r="C288" s="65"/>
      <c r="D288" s="61" t="s">
        <v>929</v>
      </c>
      <c r="E288" s="62" t="s">
        <v>414</v>
      </c>
      <c r="F288" s="62"/>
      <c r="G288" s="62"/>
      <c r="H288" s="62"/>
      <c r="I288" s="62"/>
      <c r="J288" s="62"/>
      <c r="K288" s="62"/>
      <c r="L288" s="62"/>
      <c r="M288" s="62"/>
      <c r="N288" s="62"/>
      <c r="O288" s="62"/>
      <c r="P288" s="14"/>
      <c r="R288" s="150"/>
      <c r="S288" s="53"/>
    </row>
    <row r="289" spans="1:19" s="16" customFormat="1" x14ac:dyDescent="0.35">
      <c r="A289" s="159"/>
      <c r="B289" s="51"/>
      <c r="C289" s="65"/>
      <c r="D289" s="59" t="s">
        <v>930</v>
      </c>
      <c r="E289" s="60"/>
      <c r="F289" s="60"/>
      <c r="G289" s="60"/>
      <c r="H289" s="60"/>
      <c r="I289" s="60"/>
      <c r="J289" s="60"/>
      <c r="K289" s="60"/>
      <c r="L289" s="60"/>
      <c r="M289" s="60"/>
      <c r="N289" s="60"/>
      <c r="O289" s="60"/>
      <c r="P289" s="14"/>
      <c r="R289" s="150" t="str">
        <f>uberTipCN(E289,G286:M286)</f>
        <v>|n|n</v>
      </c>
      <c r="S289" s="53"/>
    </row>
    <row r="290" spans="1:19" s="16" customFormat="1" x14ac:dyDescent="0.35">
      <c r="A290" s="159"/>
      <c r="B290" s="51"/>
      <c r="C290" s="65"/>
      <c r="D290" s="61" t="s">
        <v>931</v>
      </c>
      <c r="E290" s="62"/>
      <c r="F290" s="62"/>
      <c r="G290" s="62"/>
      <c r="H290" s="62"/>
      <c r="I290" s="62"/>
      <c r="J290" s="62"/>
      <c r="K290" s="62"/>
      <c r="L290" s="62"/>
      <c r="M290" s="62"/>
      <c r="N290" s="62"/>
      <c r="O290" s="62"/>
      <c r="P290" s="14"/>
      <c r="R290" s="150" t="str">
        <f>uberTipCN(E290,G287:M287)</f>
        <v>|n|n</v>
      </c>
      <c r="S290" s="53"/>
    </row>
    <row r="291" spans="1:19" s="16" customFormat="1" x14ac:dyDescent="0.35">
      <c r="A291" s="159"/>
      <c r="B291" s="51"/>
      <c r="C291" s="65"/>
      <c r="D291" s="59" t="s">
        <v>932</v>
      </c>
      <c r="E291" s="60"/>
      <c r="F291" s="60"/>
      <c r="G291" s="60"/>
      <c r="H291" s="60"/>
      <c r="I291" s="60"/>
      <c r="J291" s="60"/>
      <c r="K291" s="60"/>
      <c r="L291" s="60"/>
      <c r="M291" s="60"/>
      <c r="N291" s="60"/>
      <c r="O291" s="60"/>
      <c r="P291" s="14"/>
      <c r="R291" s="150" t="str">
        <f>uberTipCN(E291,G288:M288)</f>
        <v>|n|n</v>
      </c>
      <c r="S291" s="53"/>
    </row>
    <row r="292" spans="1:19" x14ac:dyDescent="0.35">
      <c r="A292" s="159"/>
      <c r="B292" s="66" t="s">
        <v>416</v>
      </c>
      <c r="C292" s="67"/>
      <c r="D292" s="68"/>
      <c r="E292" s="69" t="s">
        <v>417</v>
      </c>
      <c r="F292" s="69"/>
      <c r="G292" s="69"/>
      <c r="H292" s="69"/>
      <c r="I292" s="69"/>
      <c r="J292" s="69"/>
      <c r="K292" s="69"/>
      <c r="L292" s="69"/>
      <c r="M292" s="69"/>
      <c r="N292" s="69"/>
      <c r="O292" s="69" t="s">
        <v>957</v>
      </c>
      <c r="P292" s="14"/>
    </row>
    <row r="293" spans="1:19" ht="49.5" x14ac:dyDescent="0.35">
      <c r="A293" s="157" t="s">
        <v>418</v>
      </c>
      <c r="B293" s="51" t="s">
        <v>585</v>
      </c>
      <c r="C293" s="72"/>
      <c r="D293" s="63" t="s">
        <v>926</v>
      </c>
      <c r="E293" s="64" t="s">
        <v>586</v>
      </c>
      <c r="F293" s="64"/>
      <c r="G293" s="64"/>
      <c r="H293" s="64"/>
      <c r="I293" s="64"/>
      <c r="J293" s="64"/>
      <c r="K293" s="64"/>
      <c r="L293" s="64"/>
      <c r="M293" s="64"/>
      <c r="N293" s="64"/>
      <c r="O293" s="64" t="s">
        <v>590</v>
      </c>
      <c r="P293" s="14"/>
      <c r="R293" s="150"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7"/>
      <c r="B294" s="72"/>
      <c r="C294" s="72"/>
      <c r="D294" s="61" t="s">
        <v>927</v>
      </c>
      <c r="E294" s="62" t="s">
        <v>587</v>
      </c>
      <c r="F294" s="62"/>
      <c r="G294" s="62"/>
      <c r="H294" s="62"/>
      <c r="I294" s="62"/>
      <c r="J294" s="62"/>
      <c r="K294" s="62"/>
      <c r="L294" s="62"/>
      <c r="M294" s="62"/>
      <c r="N294" s="62"/>
      <c r="O294" s="62"/>
      <c r="P294" s="14"/>
      <c r="R294" s="150"/>
      <c r="S294" s="53"/>
    </row>
    <row r="295" spans="1:19" s="16" customFormat="1" x14ac:dyDescent="0.35">
      <c r="A295" s="157"/>
      <c r="B295" s="72"/>
      <c r="C295" s="72"/>
      <c r="D295" s="59" t="s">
        <v>928</v>
      </c>
      <c r="E295" s="60" t="s">
        <v>588</v>
      </c>
      <c r="F295" s="60"/>
      <c r="G295" s="60"/>
      <c r="H295" s="60"/>
      <c r="I295" s="60"/>
      <c r="J295" s="60"/>
      <c r="K295" s="60"/>
      <c r="L295" s="60"/>
      <c r="M295" s="60"/>
      <c r="N295" s="60"/>
      <c r="O295" s="60"/>
      <c r="P295" s="14"/>
      <c r="R295" s="150"/>
      <c r="S295" s="53"/>
    </row>
    <row r="296" spans="1:19" s="16" customFormat="1" x14ac:dyDescent="0.35">
      <c r="A296" s="157"/>
      <c r="B296" s="72"/>
      <c r="C296" s="72"/>
      <c r="D296" s="61" t="s">
        <v>929</v>
      </c>
      <c r="E296" s="62" t="s">
        <v>589</v>
      </c>
      <c r="F296" s="62"/>
      <c r="G296" s="62"/>
      <c r="H296" s="62"/>
      <c r="I296" s="62"/>
      <c r="J296" s="62"/>
      <c r="K296" s="62"/>
      <c r="L296" s="62"/>
      <c r="M296" s="62"/>
      <c r="N296" s="62"/>
      <c r="O296" s="62"/>
      <c r="P296" s="14"/>
      <c r="R296" s="150"/>
      <c r="S296" s="53"/>
    </row>
    <row r="297" spans="1:19" s="16" customFormat="1" x14ac:dyDescent="0.35">
      <c r="A297" s="157"/>
      <c r="B297" s="72"/>
      <c r="C297" s="72"/>
      <c r="D297" s="59" t="s">
        <v>930</v>
      </c>
      <c r="E297" s="60"/>
      <c r="F297" s="60"/>
      <c r="G297" s="60"/>
      <c r="H297" s="60"/>
      <c r="I297" s="60"/>
      <c r="J297" s="60"/>
      <c r="K297" s="60"/>
      <c r="L297" s="60"/>
      <c r="M297" s="60"/>
      <c r="N297" s="60"/>
      <c r="O297" s="60"/>
      <c r="P297" s="14"/>
      <c r="R297" s="150" t="str">
        <f>uberTipCN(E297,G294:M294)</f>
        <v>|n|n</v>
      </c>
      <c r="S297" s="53"/>
    </row>
    <row r="298" spans="1:19" s="16" customFormat="1" x14ac:dyDescent="0.35">
      <c r="A298" s="157"/>
      <c r="B298" s="72"/>
      <c r="C298" s="72"/>
      <c r="D298" s="61" t="s">
        <v>931</v>
      </c>
      <c r="E298" s="62"/>
      <c r="F298" s="62"/>
      <c r="G298" s="62"/>
      <c r="H298" s="62"/>
      <c r="I298" s="62"/>
      <c r="J298" s="62"/>
      <c r="K298" s="62"/>
      <c r="L298" s="62"/>
      <c r="M298" s="62"/>
      <c r="N298" s="62"/>
      <c r="O298" s="62"/>
      <c r="P298" s="14"/>
      <c r="R298" s="150" t="str">
        <f>uberTipCN(E298,G295:M295)</f>
        <v>|n|n</v>
      </c>
      <c r="S298" s="53"/>
    </row>
    <row r="299" spans="1:19" s="16" customFormat="1" x14ac:dyDescent="0.35">
      <c r="A299" s="157"/>
      <c r="B299" s="72"/>
      <c r="C299" s="72"/>
      <c r="D299" s="59" t="s">
        <v>932</v>
      </c>
      <c r="E299" s="60"/>
      <c r="F299" s="60"/>
      <c r="G299" s="60"/>
      <c r="H299" s="60"/>
      <c r="I299" s="60"/>
      <c r="J299" s="60"/>
      <c r="K299" s="60"/>
      <c r="L299" s="60"/>
      <c r="M299" s="60"/>
      <c r="N299" s="60"/>
      <c r="O299" s="60"/>
      <c r="P299" s="14"/>
      <c r="R299" s="150" t="str">
        <f>uberTipCN(E299,G296:M296)</f>
        <v>|n|n</v>
      </c>
      <c r="S299" s="53"/>
    </row>
    <row r="300" spans="1:19" ht="33" x14ac:dyDescent="0.35">
      <c r="A300" s="154"/>
      <c r="B300" s="51" t="s">
        <v>224</v>
      </c>
      <c r="C300" s="65"/>
      <c r="D300" s="63" t="s">
        <v>926</v>
      </c>
      <c r="E300" s="64" t="s">
        <v>591</v>
      </c>
      <c r="F300" s="64"/>
      <c r="G300" s="64"/>
      <c r="H300" s="64"/>
      <c r="I300" s="64"/>
      <c r="J300" s="64"/>
      <c r="K300" s="64"/>
      <c r="L300" s="64"/>
      <c r="M300" s="64"/>
      <c r="N300" s="64"/>
      <c r="O300" s="64" t="s">
        <v>971</v>
      </c>
      <c r="P300" s="14"/>
      <c r="R300" s="150" t="str">
        <f>researchUberTipCN(E300:E303,G301:M303)</f>
        <v>冲击目标，造成伤害，并且打断施法。|n|n|n|cffffcc00等级 1|r - |n|cffffcc00等级 2|r - 提升伤害。|n|cffffcc00等级 3|r - 提升伤害。</v>
      </c>
    </row>
    <row r="301" spans="1:19" s="16" customFormat="1" x14ac:dyDescent="0.35">
      <c r="A301" s="154"/>
      <c r="B301" s="51"/>
      <c r="C301" s="65"/>
      <c r="D301" s="61" t="s">
        <v>927</v>
      </c>
      <c r="E301" s="62"/>
      <c r="F301" s="62"/>
      <c r="G301" s="62"/>
      <c r="H301" s="62"/>
      <c r="I301" s="62"/>
      <c r="J301" s="62"/>
      <c r="K301" s="62"/>
      <c r="L301" s="62"/>
      <c r="M301" s="62"/>
      <c r="N301" s="62"/>
      <c r="O301" s="62"/>
      <c r="P301" s="14"/>
      <c r="R301" s="150"/>
      <c r="S301" s="53"/>
    </row>
    <row r="302" spans="1:19" s="16" customFormat="1" x14ac:dyDescent="0.35">
      <c r="A302" s="154"/>
      <c r="B302" s="51"/>
      <c r="C302" s="65"/>
      <c r="D302" s="59" t="s">
        <v>928</v>
      </c>
      <c r="E302" s="60" t="s">
        <v>592</v>
      </c>
      <c r="F302" s="60"/>
      <c r="G302" s="60"/>
      <c r="H302" s="60"/>
      <c r="I302" s="60"/>
      <c r="J302" s="60"/>
      <c r="K302" s="60"/>
      <c r="L302" s="60"/>
      <c r="M302" s="60"/>
      <c r="N302" s="60"/>
      <c r="O302" s="60"/>
      <c r="P302" s="14"/>
      <c r="R302" s="150"/>
      <c r="S302" s="53"/>
    </row>
    <row r="303" spans="1:19" s="16" customFormat="1" x14ac:dyDescent="0.35">
      <c r="A303" s="154"/>
      <c r="B303" s="51"/>
      <c r="C303" s="65"/>
      <c r="D303" s="61" t="s">
        <v>929</v>
      </c>
      <c r="E303" s="62" t="s">
        <v>592</v>
      </c>
      <c r="F303" s="62"/>
      <c r="G303" s="62"/>
      <c r="H303" s="62"/>
      <c r="I303" s="62"/>
      <c r="J303" s="62"/>
      <c r="K303" s="62"/>
      <c r="L303" s="62"/>
      <c r="M303" s="62"/>
      <c r="N303" s="62"/>
      <c r="O303" s="62"/>
      <c r="P303" s="14"/>
      <c r="R303" s="150"/>
      <c r="S303" s="53"/>
    </row>
    <row r="304" spans="1:19" s="16" customFormat="1" x14ac:dyDescent="0.35">
      <c r="A304" s="154"/>
      <c r="B304" s="51"/>
      <c r="C304" s="65"/>
      <c r="D304" s="59" t="s">
        <v>930</v>
      </c>
      <c r="E304" s="60"/>
      <c r="F304" s="60"/>
      <c r="G304" s="60"/>
      <c r="H304" s="60"/>
      <c r="I304" s="60"/>
      <c r="J304" s="60"/>
      <c r="K304" s="60"/>
      <c r="L304" s="60"/>
      <c r="M304" s="60"/>
      <c r="N304" s="60"/>
      <c r="O304" s="60"/>
      <c r="P304" s="14"/>
      <c r="R304" s="150" t="str">
        <f>uberTipCN(E304,G301:M301)</f>
        <v>|n|n</v>
      </c>
      <c r="S304" s="53"/>
    </row>
    <row r="305" spans="1:19" s="16" customFormat="1" x14ac:dyDescent="0.35">
      <c r="A305" s="154"/>
      <c r="B305" s="51"/>
      <c r="C305" s="65"/>
      <c r="D305" s="61" t="s">
        <v>931</v>
      </c>
      <c r="E305" s="62"/>
      <c r="F305" s="62"/>
      <c r="G305" s="62"/>
      <c r="H305" s="62"/>
      <c r="I305" s="62"/>
      <c r="J305" s="62"/>
      <c r="K305" s="62"/>
      <c r="L305" s="62"/>
      <c r="M305" s="62"/>
      <c r="N305" s="62"/>
      <c r="O305" s="62"/>
      <c r="P305" s="14"/>
      <c r="R305" s="150" t="str">
        <f>uberTipCN(E305,G302:M302)</f>
        <v>|n|n</v>
      </c>
      <c r="S305" s="53"/>
    </row>
    <row r="306" spans="1:19" s="16" customFormat="1" x14ac:dyDescent="0.35">
      <c r="A306" s="154"/>
      <c r="B306" s="51"/>
      <c r="C306" s="65"/>
      <c r="D306" s="59" t="s">
        <v>932</v>
      </c>
      <c r="E306" s="60"/>
      <c r="F306" s="60"/>
      <c r="G306" s="60"/>
      <c r="H306" s="60"/>
      <c r="I306" s="60"/>
      <c r="J306" s="60"/>
      <c r="K306" s="60"/>
      <c r="L306" s="60"/>
      <c r="M306" s="60"/>
      <c r="N306" s="60"/>
      <c r="O306" s="60"/>
      <c r="P306" s="14"/>
      <c r="R306" s="150" t="str">
        <f>uberTipCN(E306,G303:M303)</f>
        <v>|n|n</v>
      </c>
      <c r="S306" s="53"/>
    </row>
    <row r="307" spans="1:19" ht="33" x14ac:dyDescent="0.35">
      <c r="A307" s="154"/>
      <c r="B307" s="51" t="s">
        <v>225</v>
      </c>
      <c r="C307" s="65"/>
      <c r="D307" s="63" t="s">
        <v>926</v>
      </c>
      <c r="E307" s="64" t="s">
        <v>593</v>
      </c>
      <c r="F307" s="64"/>
      <c r="G307" s="64"/>
      <c r="H307" s="64"/>
      <c r="I307" s="64"/>
      <c r="J307" s="64"/>
      <c r="K307" s="64"/>
      <c r="L307" s="64"/>
      <c r="M307" s="64"/>
      <c r="N307" s="64"/>
      <c r="O307" s="64" t="s">
        <v>597</v>
      </c>
      <c r="P307" s="14"/>
      <c r="R307" s="150"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4"/>
      <c r="B308" s="51"/>
      <c r="C308" s="65"/>
      <c r="D308" s="61" t="s">
        <v>927</v>
      </c>
      <c r="E308" s="62" t="s">
        <v>594</v>
      </c>
      <c r="F308" s="62"/>
      <c r="G308" s="62"/>
      <c r="H308" s="62"/>
      <c r="I308" s="62"/>
      <c r="J308" s="62"/>
      <c r="K308" s="62"/>
      <c r="L308" s="62"/>
      <c r="M308" s="62"/>
      <c r="N308" s="62"/>
      <c r="O308" s="62"/>
      <c r="P308" s="14"/>
      <c r="R308" s="150"/>
      <c r="S308" s="53"/>
    </row>
    <row r="309" spans="1:19" s="16" customFormat="1" x14ac:dyDescent="0.35">
      <c r="A309" s="154"/>
      <c r="B309" s="51"/>
      <c r="C309" s="65"/>
      <c r="D309" s="59" t="s">
        <v>928</v>
      </c>
      <c r="E309" s="60" t="s">
        <v>595</v>
      </c>
      <c r="F309" s="60"/>
      <c r="G309" s="60"/>
      <c r="H309" s="60"/>
      <c r="I309" s="60"/>
      <c r="J309" s="60"/>
      <c r="K309" s="60"/>
      <c r="L309" s="60"/>
      <c r="M309" s="60"/>
      <c r="N309" s="60"/>
      <c r="O309" s="60"/>
      <c r="P309" s="14"/>
      <c r="R309" s="150"/>
      <c r="S309" s="53"/>
    </row>
    <row r="310" spans="1:19" s="16" customFormat="1" x14ac:dyDescent="0.35">
      <c r="A310" s="154"/>
      <c r="B310" s="51"/>
      <c r="C310" s="65"/>
      <c r="D310" s="61" t="s">
        <v>929</v>
      </c>
      <c r="E310" s="62" t="s">
        <v>596</v>
      </c>
      <c r="F310" s="62"/>
      <c r="G310" s="62"/>
      <c r="H310" s="62"/>
      <c r="I310" s="62"/>
      <c r="J310" s="62"/>
      <c r="K310" s="62"/>
      <c r="L310" s="62"/>
      <c r="M310" s="62"/>
      <c r="N310" s="62"/>
      <c r="O310" s="62"/>
      <c r="P310" s="14"/>
      <c r="R310" s="150"/>
      <c r="S310" s="53"/>
    </row>
    <row r="311" spans="1:19" s="16" customFormat="1" x14ac:dyDescent="0.35">
      <c r="A311" s="154"/>
      <c r="B311" s="51"/>
      <c r="C311" s="65"/>
      <c r="D311" s="59" t="s">
        <v>930</v>
      </c>
      <c r="E311" s="60"/>
      <c r="F311" s="60"/>
      <c r="G311" s="60"/>
      <c r="H311" s="60"/>
      <c r="I311" s="60"/>
      <c r="J311" s="60"/>
      <c r="K311" s="60"/>
      <c r="L311" s="60"/>
      <c r="M311" s="60"/>
      <c r="N311" s="60"/>
      <c r="O311" s="60"/>
      <c r="P311" s="14"/>
      <c r="R311" s="150" t="str">
        <f>uberTipCN(E311,G308:M308)</f>
        <v>|n|n</v>
      </c>
      <c r="S311" s="53"/>
    </row>
    <row r="312" spans="1:19" s="16" customFormat="1" x14ac:dyDescent="0.35">
      <c r="A312" s="154"/>
      <c r="B312" s="51"/>
      <c r="C312" s="65"/>
      <c r="D312" s="61" t="s">
        <v>931</v>
      </c>
      <c r="E312" s="62"/>
      <c r="F312" s="62"/>
      <c r="G312" s="62"/>
      <c r="H312" s="62"/>
      <c r="I312" s="62"/>
      <c r="J312" s="62"/>
      <c r="K312" s="62"/>
      <c r="L312" s="62"/>
      <c r="M312" s="62"/>
      <c r="N312" s="62"/>
      <c r="O312" s="62"/>
      <c r="P312" s="14"/>
      <c r="R312" s="150" t="str">
        <f>uberTipCN(E312,G309:M309)</f>
        <v>|n|n</v>
      </c>
      <c r="S312" s="53"/>
    </row>
    <row r="313" spans="1:19" s="16" customFormat="1" x14ac:dyDescent="0.35">
      <c r="A313" s="154"/>
      <c r="B313" s="51"/>
      <c r="C313" s="65"/>
      <c r="D313" s="59" t="s">
        <v>932</v>
      </c>
      <c r="E313" s="60"/>
      <c r="F313" s="60"/>
      <c r="G313" s="60"/>
      <c r="H313" s="60"/>
      <c r="I313" s="60"/>
      <c r="J313" s="60"/>
      <c r="K313" s="60"/>
      <c r="L313" s="60"/>
      <c r="M313" s="60"/>
      <c r="N313" s="60"/>
      <c r="O313" s="60"/>
      <c r="P313" s="14"/>
      <c r="R313" s="150" t="str">
        <f>uberTipCN(E313,G310:M310)</f>
        <v>|n|n</v>
      </c>
      <c r="S313" s="53"/>
    </row>
    <row r="314" spans="1:19" ht="99" x14ac:dyDescent="0.35">
      <c r="A314" s="154"/>
      <c r="B314" s="51" t="s">
        <v>598</v>
      </c>
      <c r="C314" s="65"/>
      <c r="D314" s="63" t="s">
        <v>926</v>
      </c>
      <c r="E314" s="64" t="s">
        <v>599</v>
      </c>
      <c r="F314" s="64"/>
      <c r="G314" s="64"/>
      <c r="H314" s="64"/>
      <c r="I314" s="64"/>
      <c r="J314" s="64"/>
      <c r="K314" s="64"/>
      <c r="L314" s="64"/>
      <c r="M314" s="64"/>
      <c r="N314" s="64"/>
      <c r="O314" s="64" t="s">
        <v>972</v>
      </c>
      <c r="P314" s="14"/>
      <c r="R314" s="150"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4"/>
      <c r="B315" s="51"/>
      <c r="C315" s="65"/>
      <c r="D315" s="61" t="s">
        <v>927</v>
      </c>
      <c r="E315" s="62" t="s">
        <v>600</v>
      </c>
      <c r="F315" s="62"/>
      <c r="G315" s="62"/>
      <c r="H315" s="62"/>
      <c r="I315" s="62"/>
      <c r="J315" s="62"/>
      <c r="K315" s="62"/>
      <c r="L315" s="62"/>
      <c r="M315" s="62"/>
      <c r="N315" s="62"/>
      <c r="O315" s="62"/>
      <c r="P315" s="14"/>
      <c r="R315" s="150"/>
      <c r="S315" s="53"/>
    </row>
    <row r="316" spans="1:19" s="16" customFormat="1" ht="49.5" x14ac:dyDescent="0.35">
      <c r="A316" s="154"/>
      <c r="B316" s="51"/>
      <c r="C316" s="65"/>
      <c r="D316" s="59" t="s">
        <v>928</v>
      </c>
      <c r="E316" s="60" t="s">
        <v>601</v>
      </c>
      <c r="F316" s="60"/>
      <c r="G316" s="60"/>
      <c r="H316" s="60"/>
      <c r="I316" s="60"/>
      <c r="J316" s="60"/>
      <c r="K316" s="60"/>
      <c r="L316" s="60"/>
      <c r="M316" s="60"/>
      <c r="N316" s="60"/>
      <c r="O316" s="60"/>
      <c r="P316" s="14"/>
      <c r="R316" s="150"/>
      <c r="S316" s="53"/>
    </row>
    <row r="317" spans="1:19" s="16" customFormat="1" ht="49.5" x14ac:dyDescent="0.35">
      <c r="A317" s="154"/>
      <c r="B317" s="51"/>
      <c r="C317" s="65"/>
      <c r="D317" s="61" t="s">
        <v>929</v>
      </c>
      <c r="E317" s="62" t="s">
        <v>602</v>
      </c>
      <c r="F317" s="62"/>
      <c r="G317" s="62"/>
      <c r="H317" s="62"/>
      <c r="I317" s="62"/>
      <c r="J317" s="62"/>
      <c r="K317" s="62"/>
      <c r="L317" s="62"/>
      <c r="M317" s="62"/>
      <c r="N317" s="62"/>
      <c r="O317" s="62"/>
      <c r="P317" s="14"/>
      <c r="R317" s="150"/>
      <c r="S317" s="53"/>
    </row>
    <row r="318" spans="1:19" s="16" customFormat="1" x14ac:dyDescent="0.35">
      <c r="A318" s="154"/>
      <c r="B318" s="51"/>
      <c r="C318" s="65"/>
      <c r="D318" s="59" t="s">
        <v>930</v>
      </c>
      <c r="E318" s="60"/>
      <c r="F318" s="60"/>
      <c r="G318" s="60"/>
      <c r="H318" s="60"/>
      <c r="I318" s="60"/>
      <c r="J318" s="60"/>
      <c r="K318" s="60"/>
      <c r="L318" s="60"/>
      <c r="M318" s="60"/>
      <c r="N318" s="60"/>
      <c r="O318" s="60"/>
      <c r="P318" s="14"/>
      <c r="R318" s="150" t="str">
        <f>uberTipCN(E318,G315:M315)</f>
        <v>|n|n</v>
      </c>
      <c r="S318" s="53"/>
    </row>
    <row r="319" spans="1:19" s="16" customFormat="1" x14ac:dyDescent="0.35">
      <c r="A319" s="154"/>
      <c r="B319" s="51"/>
      <c r="C319" s="65"/>
      <c r="D319" s="61" t="s">
        <v>931</v>
      </c>
      <c r="E319" s="62"/>
      <c r="F319" s="62"/>
      <c r="G319" s="62"/>
      <c r="H319" s="62"/>
      <c r="I319" s="62"/>
      <c r="J319" s="62"/>
      <c r="K319" s="62"/>
      <c r="L319" s="62"/>
      <c r="M319" s="62"/>
      <c r="N319" s="62"/>
      <c r="O319" s="62"/>
      <c r="P319" s="14"/>
      <c r="R319" s="150" t="str">
        <f>uberTipCN(E319,G316:M316)</f>
        <v>|n|n</v>
      </c>
      <c r="S319" s="53"/>
    </row>
    <row r="320" spans="1:19" s="16" customFormat="1" x14ac:dyDescent="0.35">
      <c r="A320" s="154"/>
      <c r="B320" s="51"/>
      <c r="C320" s="65"/>
      <c r="D320" s="59" t="s">
        <v>932</v>
      </c>
      <c r="E320" s="60"/>
      <c r="F320" s="60"/>
      <c r="G320" s="60"/>
      <c r="H320" s="60"/>
      <c r="I320" s="60"/>
      <c r="J320" s="60"/>
      <c r="K320" s="60"/>
      <c r="L320" s="60"/>
      <c r="M320" s="60"/>
      <c r="N320" s="60"/>
      <c r="O320" s="60"/>
      <c r="P320" s="14"/>
      <c r="R320" s="150" t="str">
        <f>uberTipCN(E320,G317:M317)</f>
        <v>|n|n</v>
      </c>
      <c r="S320" s="53"/>
    </row>
    <row r="321" spans="1:19" ht="33" x14ac:dyDescent="0.35">
      <c r="A321" s="154"/>
      <c r="B321" s="51" t="s">
        <v>226</v>
      </c>
      <c r="C321" s="65"/>
      <c r="D321" s="63" t="s">
        <v>926</v>
      </c>
      <c r="E321" s="64" t="s">
        <v>603</v>
      </c>
      <c r="F321" s="64"/>
      <c r="G321" s="64"/>
      <c r="H321" s="64"/>
      <c r="I321" s="64"/>
      <c r="J321" s="64"/>
      <c r="K321" s="64"/>
      <c r="L321" s="64"/>
      <c r="M321" s="64"/>
      <c r="N321" s="64"/>
      <c r="O321" s="64" t="s">
        <v>958</v>
      </c>
      <c r="P321" s="14"/>
      <c r="R321" s="150"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4"/>
      <c r="B322" s="51"/>
      <c r="C322" s="65"/>
      <c r="D322" s="61" t="s">
        <v>927</v>
      </c>
      <c r="E322" s="62"/>
      <c r="F322" s="62"/>
      <c r="G322" s="62"/>
      <c r="H322" s="62"/>
      <c r="I322" s="62"/>
      <c r="J322" s="62"/>
      <c r="K322" s="62"/>
      <c r="L322" s="62"/>
      <c r="M322" s="62"/>
      <c r="N322" s="62"/>
      <c r="O322" s="62"/>
      <c r="P322" s="14"/>
      <c r="R322" s="150"/>
      <c r="S322" s="53"/>
    </row>
    <row r="323" spans="1:19" s="16" customFormat="1" x14ac:dyDescent="0.35">
      <c r="A323" s="154"/>
      <c r="B323" s="51"/>
      <c r="C323" s="65"/>
      <c r="D323" s="59" t="s">
        <v>928</v>
      </c>
      <c r="E323" s="60" t="s">
        <v>604</v>
      </c>
      <c r="F323" s="60"/>
      <c r="G323" s="60"/>
      <c r="H323" s="60"/>
      <c r="I323" s="60"/>
      <c r="J323" s="60"/>
      <c r="K323" s="60"/>
      <c r="L323" s="60"/>
      <c r="M323" s="60"/>
      <c r="N323" s="60"/>
      <c r="O323" s="60"/>
      <c r="P323" s="14"/>
      <c r="R323" s="150"/>
      <c r="S323" s="53"/>
    </row>
    <row r="324" spans="1:19" s="16" customFormat="1" x14ac:dyDescent="0.35">
      <c r="A324" s="154"/>
      <c r="B324" s="51"/>
      <c r="C324" s="65"/>
      <c r="D324" s="61" t="s">
        <v>929</v>
      </c>
      <c r="E324" s="62" t="s">
        <v>604</v>
      </c>
      <c r="F324" s="62"/>
      <c r="G324" s="62"/>
      <c r="H324" s="62"/>
      <c r="I324" s="62"/>
      <c r="J324" s="62"/>
      <c r="K324" s="62"/>
      <c r="L324" s="62"/>
      <c r="M324" s="62"/>
      <c r="N324" s="62"/>
      <c r="O324" s="62"/>
      <c r="P324" s="14"/>
      <c r="R324" s="150"/>
      <c r="S324" s="53"/>
    </row>
    <row r="325" spans="1:19" s="16" customFormat="1" x14ac:dyDescent="0.35">
      <c r="A325" s="154"/>
      <c r="B325" s="51"/>
      <c r="C325" s="65"/>
      <c r="D325" s="59" t="s">
        <v>930</v>
      </c>
      <c r="E325" s="60"/>
      <c r="F325" s="60"/>
      <c r="G325" s="60"/>
      <c r="H325" s="60"/>
      <c r="I325" s="60"/>
      <c r="J325" s="60"/>
      <c r="K325" s="60"/>
      <c r="L325" s="60"/>
      <c r="M325" s="60"/>
      <c r="N325" s="60"/>
      <c r="O325" s="60"/>
      <c r="P325" s="14"/>
      <c r="R325" s="150" t="str">
        <f>uberTipCN(E325,G322:M322)</f>
        <v>|n|n</v>
      </c>
      <c r="S325" s="53"/>
    </row>
    <row r="326" spans="1:19" s="16" customFormat="1" x14ac:dyDescent="0.35">
      <c r="A326" s="154"/>
      <c r="B326" s="51"/>
      <c r="C326" s="65"/>
      <c r="D326" s="61" t="s">
        <v>931</v>
      </c>
      <c r="E326" s="62"/>
      <c r="F326" s="62"/>
      <c r="G326" s="62"/>
      <c r="H326" s="62"/>
      <c r="I326" s="62"/>
      <c r="J326" s="62"/>
      <c r="K326" s="62"/>
      <c r="L326" s="62"/>
      <c r="M326" s="62"/>
      <c r="N326" s="62"/>
      <c r="O326" s="62"/>
      <c r="P326" s="14"/>
      <c r="R326" s="150" t="str">
        <f>uberTipCN(E326,G323:M323)</f>
        <v>|n|n</v>
      </c>
      <c r="S326" s="53"/>
    </row>
    <row r="327" spans="1:19" s="16" customFormat="1" x14ac:dyDescent="0.35">
      <c r="A327" s="154"/>
      <c r="B327" s="51"/>
      <c r="C327" s="65"/>
      <c r="D327" s="59" t="s">
        <v>932</v>
      </c>
      <c r="E327" s="60"/>
      <c r="F327" s="60"/>
      <c r="G327" s="60"/>
      <c r="H327" s="60"/>
      <c r="I327" s="60"/>
      <c r="J327" s="60"/>
      <c r="K327" s="60"/>
      <c r="L327" s="60"/>
      <c r="M327" s="60"/>
      <c r="N327" s="60"/>
      <c r="O327" s="60"/>
      <c r="P327" s="14"/>
      <c r="R327" s="150" t="str">
        <f>uberTipCN(E327,G324:M324)</f>
        <v>|n|n</v>
      </c>
      <c r="S327" s="53"/>
    </row>
    <row r="328" spans="1:19" x14ac:dyDescent="0.35">
      <c r="A328" s="154"/>
      <c r="B328" s="66" t="s">
        <v>42</v>
      </c>
      <c r="C328" s="67"/>
      <c r="D328" s="68"/>
      <c r="E328" s="69"/>
      <c r="F328" s="69"/>
      <c r="G328" s="69"/>
      <c r="H328" s="69"/>
      <c r="I328" s="69"/>
      <c r="J328" s="69"/>
      <c r="K328" s="69"/>
      <c r="L328" s="69"/>
      <c r="M328" s="69"/>
      <c r="N328" s="69"/>
      <c r="O328" s="69"/>
      <c r="P328" s="14"/>
    </row>
    <row r="329" spans="1:19" ht="49.5" x14ac:dyDescent="0.35">
      <c r="A329" s="158" t="s">
        <v>1721</v>
      </c>
      <c r="B329" s="51" t="s">
        <v>749</v>
      </c>
      <c r="C329" s="72"/>
      <c r="D329" s="63" t="s">
        <v>926</v>
      </c>
      <c r="E329" s="64" t="s">
        <v>750</v>
      </c>
      <c r="F329" s="64"/>
      <c r="G329" s="64"/>
      <c r="H329" s="64"/>
      <c r="I329" s="64"/>
      <c r="J329" s="64"/>
      <c r="K329" s="64"/>
      <c r="L329" s="64"/>
      <c r="M329" s="64"/>
      <c r="N329" s="64"/>
      <c r="O329" s="64" t="s">
        <v>375</v>
      </c>
      <c r="P329" s="14"/>
      <c r="R329" s="150"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8"/>
      <c r="B330" s="72"/>
      <c r="C330" s="72"/>
      <c r="D330" s="61" t="s">
        <v>927</v>
      </c>
      <c r="E330" s="62" t="s">
        <v>751</v>
      </c>
      <c r="F330" s="62"/>
      <c r="G330" s="62"/>
      <c r="H330" s="62"/>
      <c r="I330" s="62"/>
      <c r="J330" s="62"/>
      <c r="K330" s="62"/>
      <c r="L330" s="62"/>
      <c r="M330" s="62"/>
      <c r="N330" s="62"/>
      <c r="O330" s="62"/>
      <c r="P330" s="14"/>
      <c r="R330" s="150"/>
      <c r="S330" s="53"/>
    </row>
    <row r="331" spans="1:19" s="16" customFormat="1" x14ac:dyDescent="0.35">
      <c r="A331" s="158"/>
      <c r="B331" s="72"/>
      <c r="C331" s="72"/>
      <c r="D331" s="59" t="s">
        <v>928</v>
      </c>
      <c r="E331" s="60" t="s">
        <v>755</v>
      </c>
      <c r="F331" s="60"/>
      <c r="G331" s="60"/>
      <c r="H331" s="60"/>
      <c r="I331" s="60"/>
      <c r="J331" s="60"/>
      <c r="K331" s="60"/>
      <c r="L331" s="60"/>
      <c r="M331" s="60"/>
      <c r="N331" s="60"/>
      <c r="O331" s="60"/>
      <c r="P331" s="14"/>
      <c r="R331" s="150"/>
      <c r="S331" s="53"/>
    </row>
    <row r="332" spans="1:19" s="16" customFormat="1" x14ac:dyDescent="0.35">
      <c r="A332" s="158"/>
      <c r="B332" s="72"/>
      <c r="C332" s="72"/>
      <c r="D332" s="61" t="s">
        <v>929</v>
      </c>
      <c r="E332" s="62" t="s">
        <v>756</v>
      </c>
      <c r="F332" s="62"/>
      <c r="G332" s="62"/>
      <c r="H332" s="62"/>
      <c r="I332" s="62"/>
      <c r="J332" s="62"/>
      <c r="K332" s="62"/>
      <c r="L332" s="62"/>
      <c r="M332" s="62"/>
      <c r="N332" s="62"/>
      <c r="O332" s="62"/>
      <c r="P332" s="14"/>
      <c r="R332" s="150"/>
      <c r="S332" s="53"/>
    </row>
    <row r="333" spans="1:19" s="16" customFormat="1" x14ac:dyDescent="0.35">
      <c r="A333" s="158"/>
      <c r="B333" s="72"/>
      <c r="C333" s="72"/>
      <c r="D333" s="59" t="s">
        <v>930</v>
      </c>
      <c r="E333" s="60"/>
      <c r="F333" s="60"/>
      <c r="G333" s="60"/>
      <c r="H333" s="60"/>
      <c r="I333" s="60"/>
      <c r="J333" s="60"/>
      <c r="K333" s="60"/>
      <c r="L333" s="60"/>
      <c r="M333" s="60"/>
      <c r="N333" s="60"/>
      <c r="O333" s="60"/>
      <c r="P333" s="14"/>
      <c r="R333" s="150" t="str">
        <f>uberTipCN(E333,G330:M330)</f>
        <v>|n|n</v>
      </c>
      <c r="S333" s="53"/>
    </row>
    <row r="334" spans="1:19" s="16" customFormat="1" x14ac:dyDescent="0.35">
      <c r="A334" s="158"/>
      <c r="B334" s="72"/>
      <c r="C334" s="72"/>
      <c r="D334" s="61" t="s">
        <v>931</v>
      </c>
      <c r="E334" s="62"/>
      <c r="F334" s="62"/>
      <c r="G334" s="62"/>
      <c r="H334" s="62"/>
      <c r="I334" s="62"/>
      <c r="J334" s="62"/>
      <c r="K334" s="62"/>
      <c r="L334" s="62"/>
      <c r="M334" s="62"/>
      <c r="N334" s="62"/>
      <c r="O334" s="62"/>
      <c r="P334" s="14"/>
      <c r="R334" s="150" t="str">
        <f>uberTipCN(E334,G331:M331)</f>
        <v>|n|n</v>
      </c>
      <c r="S334" s="53"/>
    </row>
    <row r="335" spans="1:19" s="16" customFormat="1" x14ac:dyDescent="0.35">
      <c r="A335" s="158"/>
      <c r="B335" s="72"/>
      <c r="C335" s="72"/>
      <c r="D335" s="59" t="s">
        <v>932</v>
      </c>
      <c r="E335" s="60"/>
      <c r="F335" s="60"/>
      <c r="G335" s="60"/>
      <c r="H335" s="60"/>
      <c r="I335" s="60"/>
      <c r="J335" s="60"/>
      <c r="K335" s="60"/>
      <c r="L335" s="60"/>
      <c r="M335" s="60"/>
      <c r="N335" s="60"/>
      <c r="O335" s="60"/>
      <c r="P335" s="14"/>
      <c r="R335" s="150" t="str">
        <f>uberTipCN(E335,G332:M332)</f>
        <v>|n|n</v>
      </c>
      <c r="S335" s="53"/>
    </row>
    <row r="336" spans="1:19" x14ac:dyDescent="0.35">
      <c r="A336" s="159"/>
      <c r="B336" s="51" t="s">
        <v>759</v>
      </c>
      <c r="C336" s="65"/>
      <c r="D336" s="63" t="s">
        <v>926</v>
      </c>
      <c r="E336" s="64" t="s">
        <v>761</v>
      </c>
      <c r="F336" s="64"/>
      <c r="G336" s="64"/>
      <c r="H336" s="64"/>
      <c r="I336" s="64"/>
      <c r="J336" s="64"/>
      <c r="K336" s="64"/>
      <c r="L336" s="64"/>
      <c r="M336" s="64"/>
      <c r="N336" s="64"/>
      <c r="O336" s="64"/>
      <c r="P336" s="14"/>
      <c r="R336" s="150"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59"/>
      <c r="B337" s="51"/>
      <c r="C337" s="65"/>
      <c r="D337" s="61" t="s">
        <v>927</v>
      </c>
      <c r="E337" s="62"/>
      <c r="F337" s="62"/>
      <c r="G337" s="62"/>
      <c r="H337" s="62"/>
      <c r="I337" s="62"/>
      <c r="J337" s="62"/>
      <c r="K337" s="62"/>
      <c r="L337" s="62"/>
      <c r="M337" s="62"/>
      <c r="N337" s="62"/>
      <c r="O337" s="62"/>
      <c r="P337" s="14"/>
      <c r="R337" s="150"/>
      <c r="S337" s="53"/>
    </row>
    <row r="338" spans="1:19" s="16" customFormat="1" x14ac:dyDescent="0.35">
      <c r="A338" s="159"/>
      <c r="B338" s="51"/>
      <c r="C338" s="65"/>
      <c r="D338" s="59" t="s">
        <v>928</v>
      </c>
      <c r="E338" s="60" t="s">
        <v>765</v>
      </c>
      <c r="F338" s="60"/>
      <c r="G338" s="60"/>
      <c r="H338" s="60"/>
      <c r="I338" s="60"/>
      <c r="J338" s="60"/>
      <c r="K338" s="60"/>
      <c r="L338" s="60"/>
      <c r="M338" s="60"/>
      <c r="N338" s="60"/>
      <c r="O338" s="60"/>
      <c r="P338" s="14"/>
      <c r="R338" s="150"/>
      <c r="S338" s="53"/>
    </row>
    <row r="339" spans="1:19" s="16" customFormat="1" x14ac:dyDescent="0.35">
      <c r="A339" s="159"/>
      <c r="B339" s="51"/>
      <c r="C339" s="65"/>
      <c r="D339" s="61" t="s">
        <v>929</v>
      </c>
      <c r="E339" s="62" t="s">
        <v>766</v>
      </c>
      <c r="F339" s="62"/>
      <c r="G339" s="62"/>
      <c r="H339" s="62"/>
      <c r="I339" s="62"/>
      <c r="J339" s="62"/>
      <c r="K339" s="62"/>
      <c r="L339" s="62"/>
      <c r="M339" s="62"/>
      <c r="N339" s="62"/>
      <c r="O339" s="62"/>
      <c r="P339" s="14"/>
      <c r="R339" s="150"/>
      <c r="S339" s="53"/>
    </row>
    <row r="340" spans="1:19" s="16" customFormat="1" x14ac:dyDescent="0.35">
      <c r="A340" s="159"/>
      <c r="B340" s="51"/>
      <c r="C340" s="65"/>
      <c r="D340" s="59" t="s">
        <v>930</v>
      </c>
      <c r="E340" s="60"/>
      <c r="F340" s="60"/>
      <c r="G340" s="60"/>
      <c r="H340" s="60"/>
      <c r="I340" s="60"/>
      <c r="J340" s="60"/>
      <c r="K340" s="60"/>
      <c r="L340" s="60"/>
      <c r="M340" s="60"/>
      <c r="N340" s="60"/>
      <c r="O340" s="60"/>
      <c r="P340" s="14"/>
      <c r="R340" s="150" t="str">
        <f>uberTipCN(E340,G337:M337)</f>
        <v>|n|n</v>
      </c>
      <c r="S340" s="53"/>
    </row>
    <row r="341" spans="1:19" s="16" customFormat="1" x14ac:dyDescent="0.35">
      <c r="A341" s="159"/>
      <c r="B341" s="51"/>
      <c r="C341" s="65"/>
      <c r="D341" s="61" t="s">
        <v>931</v>
      </c>
      <c r="E341" s="62"/>
      <c r="F341" s="62"/>
      <c r="G341" s="62"/>
      <c r="H341" s="62"/>
      <c r="I341" s="62"/>
      <c r="J341" s="62"/>
      <c r="K341" s="62"/>
      <c r="L341" s="62"/>
      <c r="M341" s="62"/>
      <c r="N341" s="62"/>
      <c r="O341" s="62"/>
      <c r="P341" s="14"/>
      <c r="R341" s="150" t="str">
        <f>uberTipCN(E341,G338:M338)</f>
        <v>|n|n</v>
      </c>
      <c r="S341" s="53"/>
    </row>
    <row r="342" spans="1:19" s="16" customFormat="1" x14ac:dyDescent="0.35">
      <c r="A342" s="159"/>
      <c r="B342" s="51"/>
      <c r="C342" s="65"/>
      <c r="D342" s="59" t="s">
        <v>932</v>
      </c>
      <c r="E342" s="60"/>
      <c r="F342" s="60"/>
      <c r="G342" s="60"/>
      <c r="H342" s="60"/>
      <c r="I342" s="60"/>
      <c r="J342" s="60"/>
      <c r="K342" s="60"/>
      <c r="L342" s="60"/>
      <c r="M342" s="60"/>
      <c r="N342" s="60"/>
      <c r="O342" s="60"/>
      <c r="P342" s="14"/>
      <c r="R342" s="150" t="str">
        <f>uberTipCN(E342,G339:M339)</f>
        <v>|n|n</v>
      </c>
      <c r="S342" s="53"/>
    </row>
    <row r="343" spans="1:19" x14ac:dyDescent="0.35">
      <c r="A343" s="159"/>
      <c r="B343" s="51" t="s">
        <v>768</v>
      </c>
      <c r="C343" s="65"/>
      <c r="D343" s="63" t="s">
        <v>926</v>
      </c>
      <c r="E343" s="64" t="s">
        <v>770</v>
      </c>
      <c r="F343" s="64"/>
      <c r="G343" s="64"/>
      <c r="H343" s="64"/>
      <c r="I343" s="64"/>
      <c r="J343" s="64"/>
      <c r="K343" s="64"/>
      <c r="L343" s="64"/>
      <c r="M343" s="64"/>
      <c r="N343" s="64"/>
      <c r="O343" s="64"/>
      <c r="P343" s="14"/>
      <c r="R343" s="150"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59"/>
      <c r="B344" s="51"/>
      <c r="C344" s="65"/>
      <c r="D344" s="61" t="s">
        <v>927</v>
      </c>
      <c r="E344" s="62"/>
      <c r="F344" s="62"/>
      <c r="G344" s="62"/>
      <c r="H344" s="62"/>
      <c r="I344" s="62"/>
      <c r="J344" s="62"/>
      <c r="K344" s="62"/>
      <c r="L344" s="62"/>
      <c r="M344" s="62"/>
      <c r="N344" s="62"/>
      <c r="O344" s="62"/>
      <c r="P344" s="14"/>
      <c r="R344" s="150"/>
      <c r="S344" s="53"/>
    </row>
    <row r="345" spans="1:19" s="16" customFormat="1" x14ac:dyDescent="0.35">
      <c r="A345" s="159"/>
      <c r="B345" s="51"/>
      <c r="C345" s="65"/>
      <c r="D345" s="59" t="s">
        <v>928</v>
      </c>
      <c r="E345" s="60" t="s">
        <v>772</v>
      </c>
      <c r="F345" s="60"/>
      <c r="G345" s="60"/>
      <c r="H345" s="60"/>
      <c r="I345" s="60"/>
      <c r="J345" s="60"/>
      <c r="K345" s="60"/>
      <c r="L345" s="60"/>
      <c r="M345" s="60"/>
      <c r="N345" s="60"/>
      <c r="O345" s="60"/>
      <c r="P345" s="14"/>
      <c r="R345" s="150"/>
      <c r="S345" s="53"/>
    </row>
    <row r="346" spans="1:19" s="16" customFormat="1" x14ac:dyDescent="0.35">
      <c r="A346" s="159"/>
      <c r="B346" s="51"/>
      <c r="C346" s="65"/>
      <c r="D346" s="61" t="s">
        <v>929</v>
      </c>
      <c r="E346" s="62" t="s">
        <v>772</v>
      </c>
      <c r="F346" s="62"/>
      <c r="G346" s="62"/>
      <c r="H346" s="62"/>
      <c r="I346" s="62"/>
      <c r="J346" s="62"/>
      <c r="K346" s="62"/>
      <c r="L346" s="62"/>
      <c r="M346" s="62"/>
      <c r="N346" s="62"/>
      <c r="O346" s="62"/>
      <c r="P346" s="14"/>
      <c r="R346" s="150"/>
      <c r="S346" s="53"/>
    </row>
    <row r="347" spans="1:19" s="16" customFormat="1" x14ac:dyDescent="0.35">
      <c r="A347" s="159"/>
      <c r="B347" s="51"/>
      <c r="C347" s="65"/>
      <c r="D347" s="59" t="s">
        <v>930</v>
      </c>
      <c r="E347" s="60"/>
      <c r="F347" s="60"/>
      <c r="G347" s="60"/>
      <c r="H347" s="60"/>
      <c r="I347" s="60"/>
      <c r="J347" s="60"/>
      <c r="K347" s="60"/>
      <c r="L347" s="60"/>
      <c r="M347" s="60"/>
      <c r="N347" s="60"/>
      <c r="O347" s="60"/>
      <c r="P347" s="14"/>
      <c r="R347" s="150" t="str">
        <f>uberTipCN(E347,G344:M344)</f>
        <v>|n|n</v>
      </c>
      <c r="S347" s="53"/>
    </row>
    <row r="348" spans="1:19" s="16" customFormat="1" x14ac:dyDescent="0.35">
      <c r="A348" s="159"/>
      <c r="B348" s="51"/>
      <c r="C348" s="65"/>
      <c r="D348" s="61" t="s">
        <v>931</v>
      </c>
      <c r="E348" s="62"/>
      <c r="F348" s="62"/>
      <c r="G348" s="62"/>
      <c r="H348" s="62"/>
      <c r="I348" s="62"/>
      <c r="J348" s="62"/>
      <c r="K348" s="62"/>
      <c r="L348" s="62"/>
      <c r="M348" s="62"/>
      <c r="N348" s="62"/>
      <c r="O348" s="62"/>
      <c r="P348" s="14"/>
      <c r="R348" s="150" t="str">
        <f>uberTipCN(E348,G345:M345)</f>
        <v>|n|n</v>
      </c>
      <c r="S348" s="53"/>
    </row>
    <row r="349" spans="1:19" s="16" customFormat="1" x14ac:dyDescent="0.35">
      <c r="A349" s="159"/>
      <c r="B349" s="51"/>
      <c r="C349" s="65"/>
      <c r="D349" s="59" t="s">
        <v>932</v>
      </c>
      <c r="E349" s="60"/>
      <c r="F349" s="60"/>
      <c r="G349" s="60"/>
      <c r="H349" s="60"/>
      <c r="I349" s="60"/>
      <c r="J349" s="60"/>
      <c r="K349" s="60"/>
      <c r="L349" s="60"/>
      <c r="M349" s="60"/>
      <c r="N349" s="60"/>
      <c r="O349" s="60"/>
      <c r="P349" s="14"/>
      <c r="R349" s="150" t="str">
        <f>uberTipCN(E349,G346:M346)</f>
        <v>|n|n</v>
      </c>
      <c r="S349" s="53"/>
    </row>
    <row r="350" spans="1:19" x14ac:dyDescent="0.35">
      <c r="A350" s="159"/>
      <c r="B350" s="51" t="s">
        <v>731</v>
      </c>
      <c r="C350" s="65"/>
      <c r="D350" s="63" t="s">
        <v>926</v>
      </c>
      <c r="E350" s="64" t="s">
        <v>776</v>
      </c>
      <c r="F350" s="64"/>
      <c r="G350" s="64"/>
      <c r="H350" s="64"/>
      <c r="I350" s="64"/>
      <c r="J350" s="64"/>
      <c r="K350" s="64"/>
      <c r="L350" s="64"/>
      <c r="M350" s="64"/>
      <c r="N350" s="64"/>
      <c r="O350" s="64"/>
      <c r="P350" s="14"/>
      <c r="R350" s="150"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59"/>
      <c r="B351" s="51"/>
      <c r="C351" s="65"/>
      <c r="D351" s="61" t="s">
        <v>927</v>
      </c>
      <c r="E351" s="62"/>
      <c r="F351" s="62"/>
      <c r="G351" s="62"/>
      <c r="H351" s="62"/>
      <c r="I351" s="62"/>
      <c r="J351" s="62"/>
      <c r="K351" s="62"/>
      <c r="L351" s="62"/>
      <c r="M351" s="62"/>
      <c r="N351" s="62"/>
      <c r="O351" s="62"/>
      <c r="P351" s="14"/>
      <c r="R351" s="150"/>
      <c r="S351" s="53"/>
    </row>
    <row r="352" spans="1:19" s="16" customFormat="1" x14ac:dyDescent="0.35">
      <c r="A352" s="159"/>
      <c r="B352" s="51"/>
      <c r="C352" s="65"/>
      <c r="D352" s="59" t="s">
        <v>928</v>
      </c>
      <c r="E352" s="60" t="s">
        <v>777</v>
      </c>
      <c r="F352" s="60"/>
      <c r="G352" s="60"/>
      <c r="H352" s="60"/>
      <c r="I352" s="60"/>
      <c r="J352" s="60"/>
      <c r="K352" s="60"/>
      <c r="L352" s="60"/>
      <c r="M352" s="60"/>
      <c r="N352" s="60"/>
      <c r="O352" s="60"/>
      <c r="P352" s="14"/>
      <c r="R352" s="150"/>
      <c r="S352" s="53"/>
    </row>
    <row r="353" spans="1:19" s="16" customFormat="1" x14ac:dyDescent="0.35">
      <c r="A353" s="159"/>
      <c r="B353" s="51"/>
      <c r="C353" s="65"/>
      <c r="D353" s="61" t="s">
        <v>929</v>
      </c>
      <c r="E353" s="62" t="s">
        <v>777</v>
      </c>
      <c r="F353" s="62"/>
      <c r="G353" s="62"/>
      <c r="H353" s="62"/>
      <c r="I353" s="62"/>
      <c r="J353" s="62"/>
      <c r="K353" s="62"/>
      <c r="L353" s="62"/>
      <c r="M353" s="62"/>
      <c r="N353" s="62"/>
      <c r="O353" s="62"/>
      <c r="P353" s="14"/>
      <c r="R353" s="150"/>
      <c r="S353" s="53"/>
    </row>
    <row r="354" spans="1:19" s="16" customFormat="1" x14ac:dyDescent="0.35">
      <c r="A354" s="159"/>
      <c r="B354" s="51"/>
      <c r="C354" s="65"/>
      <c r="D354" s="59" t="s">
        <v>930</v>
      </c>
      <c r="E354" s="60"/>
      <c r="F354" s="60"/>
      <c r="G354" s="60"/>
      <c r="H354" s="60"/>
      <c r="I354" s="60"/>
      <c r="J354" s="60"/>
      <c r="K354" s="60"/>
      <c r="L354" s="60"/>
      <c r="M354" s="60"/>
      <c r="N354" s="60"/>
      <c r="O354" s="60"/>
      <c r="P354" s="14"/>
      <c r="R354" s="150" t="str">
        <f>uberTipCN(E354,G351:M351)</f>
        <v>|n|n</v>
      </c>
      <c r="S354" s="53"/>
    </row>
    <row r="355" spans="1:19" s="16" customFormat="1" x14ac:dyDescent="0.35">
      <c r="A355" s="159"/>
      <c r="B355" s="51"/>
      <c r="C355" s="65"/>
      <c r="D355" s="61" t="s">
        <v>931</v>
      </c>
      <c r="E355" s="62"/>
      <c r="F355" s="62"/>
      <c r="G355" s="62"/>
      <c r="H355" s="62"/>
      <c r="I355" s="62"/>
      <c r="J355" s="62"/>
      <c r="K355" s="62"/>
      <c r="L355" s="62"/>
      <c r="M355" s="62"/>
      <c r="N355" s="62"/>
      <c r="O355" s="62"/>
      <c r="P355" s="14"/>
      <c r="R355" s="150" t="str">
        <f>uberTipCN(E355,G352:M352)</f>
        <v>|n|n</v>
      </c>
      <c r="S355" s="53"/>
    </row>
    <row r="356" spans="1:19" s="16" customFormat="1" x14ac:dyDescent="0.35">
      <c r="A356" s="159"/>
      <c r="B356" s="51"/>
      <c r="C356" s="65"/>
      <c r="D356" s="59" t="s">
        <v>932</v>
      </c>
      <c r="E356" s="60"/>
      <c r="F356" s="60"/>
      <c r="G356" s="60"/>
      <c r="H356" s="60"/>
      <c r="I356" s="60"/>
      <c r="J356" s="60"/>
      <c r="K356" s="60"/>
      <c r="L356" s="60"/>
      <c r="M356" s="60"/>
      <c r="N356" s="60"/>
      <c r="O356" s="60"/>
      <c r="P356" s="14"/>
      <c r="R356" s="150" t="str">
        <f>uberTipCN(E356,G353:M353)</f>
        <v>|n|n</v>
      </c>
      <c r="S356" s="53"/>
    </row>
    <row r="357" spans="1:19" ht="49.5" x14ac:dyDescent="0.35">
      <c r="A357" s="159"/>
      <c r="B357" s="51" t="s">
        <v>727</v>
      </c>
      <c r="C357" s="65"/>
      <c r="D357" s="63" t="s">
        <v>926</v>
      </c>
      <c r="E357" s="64" t="s">
        <v>779</v>
      </c>
      <c r="F357" s="64"/>
      <c r="G357" s="64"/>
      <c r="H357" s="64"/>
      <c r="I357" s="64"/>
      <c r="J357" s="64"/>
      <c r="K357" s="64"/>
      <c r="L357" s="64"/>
      <c r="M357" s="64"/>
      <c r="N357" s="64"/>
      <c r="O357" s="64"/>
      <c r="P357" s="14"/>
      <c r="R357" s="150"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59"/>
      <c r="B358" s="51"/>
      <c r="C358" s="65"/>
      <c r="D358" s="61" t="s">
        <v>927</v>
      </c>
      <c r="E358" s="62"/>
      <c r="F358" s="62"/>
      <c r="G358" s="62"/>
      <c r="H358" s="62"/>
      <c r="I358" s="62"/>
      <c r="J358" s="62"/>
      <c r="K358" s="62"/>
      <c r="L358" s="62"/>
      <c r="M358" s="62"/>
      <c r="N358" s="62"/>
      <c r="O358" s="62"/>
      <c r="P358" s="14"/>
      <c r="R358" s="150"/>
      <c r="S358" s="53"/>
    </row>
    <row r="359" spans="1:19" s="16" customFormat="1" x14ac:dyDescent="0.35">
      <c r="A359" s="159"/>
      <c r="B359" s="51"/>
      <c r="C359" s="65"/>
      <c r="D359" s="59" t="s">
        <v>928</v>
      </c>
      <c r="E359" s="60" t="s">
        <v>780</v>
      </c>
      <c r="F359" s="60"/>
      <c r="G359" s="60"/>
      <c r="H359" s="60"/>
      <c r="I359" s="60"/>
      <c r="J359" s="60"/>
      <c r="K359" s="60"/>
      <c r="L359" s="60"/>
      <c r="M359" s="60"/>
      <c r="N359" s="60"/>
      <c r="O359" s="60"/>
      <c r="P359" s="14"/>
      <c r="R359" s="150"/>
      <c r="S359" s="53"/>
    </row>
    <row r="360" spans="1:19" s="16" customFormat="1" x14ac:dyDescent="0.35">
      <c r="A360" s="159"/>
      <c r="B360" s="51"/>
      <c r="C360" s="65"/>
      <c r="D360" s="61" t="s">
        <v>929</v>
      </c>
      <c r="E360" s="62" t="s">
        <v>780</v>
      </c>
      <c r="F360" s="62"/>
      <c r="G360" s="62"/>
      <c r="H360" s="62"/>
      <c r="I360" s="62"/>
      <c r="J360" s="62"/>
      <c r="K360" s="62"/>
      <c r="L360" s="62"/>
      <c r="M360" s="62"/>
      <c r="N360" s="62"/>
      <c r="O360" s="62"/>
      <c r="P360" s="14"/>
      <c r="R360" s="150"/>
      <c r="S360" s="53"/>
    </row>
    <row r="361" spans="1:19" s="16" customFormat="1" x14ac:dyDescent="0.35">
      <c r="A361" s="159"/>
      <c r="B361" s="51"/>
      <c r="C361" s="65"/>
      <c r="D361" s="59" t="s">
        <v>930</v>
      </c>
      <c r="E361" s="60"/>
      <c r="F361" s="60"/>
      <c r="G361" s="60"/>
      <c r="H361" s="60"/>
      <c r="I361" s="60"/>
      <c r="J361" s="60"/>
      <c r="K361" s="60"/>
      <c r="L361" s="60"/>
      <c r="M361" s="60"/>
      <c r="N361" s="60"/>
      <c r="O361" s="60"/>
      <c r="P361" s="14"/>
      <c r="R361" s="150" t="str">
        <f>uberTipCN(E361,G358:M358)</f>
        <v>|n|n</v>
      </c>
      <c r="S361" s="53"/>
    </row>
    <row r="362" spans="1:19" s="16" customFormat="1" x14ac:dyDescent="0.35">
      <c r="A362" s="159"/>
      <c r="B362" s="51"/>
      <c r="C362" s="65"/>
      <c r="D362" s="61" t="s">
        <v>931</v>
      </c>
      <c r="E362" s="62"/>
      <c r="F362" s="62"/>
      <c r="G362" s="62"/>
      <c r="H362" s="62"/>
      <c r="I362" s="62"/>
      <c r="J362" s="62"/>
      <c r="K362" s="62"/>
      <c r="L362" s="62"/>
      <c r="M362" s="62"/>
      <c r="N362" s="62"/>
      <c r="O362" s="62"/>
      <c r="P362" s="14"/>
      <c r="R362" s="150" t="str">
        <f>uberTipCN(E362,G359:M359)</f>
        <v>|n|n</v>
      </c>
      <c r="S362" s="53"/>
    </row>
    <row r="363" spans="1:19" s="16" customFormat="1" x14ac:dyDescent="0.35">
      <c r="A363" s="159"/>
      <c r="B363" s="51"/>
      <c r="C363" s="65"/>
      <c r="D363" s="59" t="s">
        <v>932</v>
      </c>
      <c r="E363" s="60"/>
      <c r="F363" s="60"/>
      <c r="G363" s="60"/>
      <c r="H363" s="60"/>
      <c r="I363" s="60"/>
      <c r="J363" s="60"/>
      <c r="K363" s="60"/>
      <c r="L363" s="60"/>
      <c r="M363" s="60"/>
      <c r="N363" s="60"/>
      <c r="O363" s="60"/>
      <c r="P363" s="14"/>
      <c r="R363" s="150" t="str">
        <f>uberTipCN(E363,G360:M360)</f>
        <v>|n|n</v>
      </c>
      <c r="S363" s="53"/>
    </row>
    <row r="364" spans="1:19" x14ac:dyDescent="0.35">
      <c r="A364" s="159"/>
      <c r="B364" s="66" t="s">
        <v>42</v>
      </c>
      <c r="C364" s="67"/>
      <c r="D364" s="68"/>
      <c r="E364" s="69"/>
      <c r="F364" s="69"/>
      <c r="G364" s="69"/>
      <c r="H364" s="69"/>
      <c r="I364" s="69"/>
      <c r="J364" s="69"/>
      <c r="K364" s="69"/>
      <c r="L364" s="69"/>
      <c r="M364" s="69"/>
      <c r="N364" s="69"/>
      <c r="O364" s="69"/>
      <c r="P364" s="14"/>
    </row>
    <row r="365" spans="1:19" x14ac:dyDescent="0.35">
      <c r="A365" s="160" t="s">
        <v>1722</v>
      </c>
      <c r="B365" s="51" t="s">
        <v>792</v>
      </c>
      <c r="C365" s="72"/>
      <c r="D365" s="63" t="s">
        <v>926</v>
      </c>
      <c r="E365" s="64" t="s">
        <v>793</v>
      </c>
      <c r="F365" s="64"/>
      <c r="G365" s="64"/>
      <c r="H365" s="64"/>
      <c r="I365" s="64"/>
      <c r="J365" s="64"/>
      <c r="K365" s="64"/>
      <c r="L365" s="64"/>
      <c r="M365" s="64"/>
      <c r="N365" s="64"/>
      <c r="O365" s="64" t="s">
        <v>959</v>
      </c>
      <c r="P365" s="56"/>
      <c r="R365" s="150" t="str">
        <f>researchUberTipCN(E365:E368,G366:M368)</f>
        <v>DOT X/Ys，目标受到法伤提升Z|n|n|n|cffffcc00等级 1|r - X=，Y=3，Z=5%|n|cffffcc00等级 2|r - X=，Y=2。5，Z=7%|n|cffffcc00等级 3|r - X=，Y=2，Z=9%</v>
      </c>
    </row>
    <row r="366" spans="1:19" s="16" customFormat="1" x14ac:dyDescent="0.35">
      <c r="A366" s="160"/>
      <c r="B366" s="72"/>
      <c r="C366" s="72"/>
      <c r="D366" s="61" t="s">
        <v>927</v>
      </c>
      <c r="E366" s="62" t="s">
        <v>896</v>
      </c>
      <c r="F366" s="62"/>
      <c r="G366" s="62"/>
      <c r="H366" s="62"/>
      <c r="I366" s="62"/>
      <c r="J366" s="62"/>
      <c r="K366" s="62"/>
      <c r="L366" s="62"/>
      <c r="M366" s="62"/>
      <c r="N366" s="62"/>
      <c r="O366" s="62"/>
      <c r="P366" s="14"/>
      <c r="R366" s="150"/>
      <c r="S366" s="53"/>
    </row>
    <row r="367" spans="1:19" s="16" customFormat="1" x14ac:dyDescent="0.35">
      <c r="A367" s="160"/>
      <c r="B367" s="72"/>
      <c r="C367" s="72"/>
      <c r="D367" s="59" t="s">
        <v>928</v>
      </c>
      <c r="E367" s="60" t="s">
        <v>919</v>
      </c>
      <c r="F367" s="60"/>
      <c r="G367" s="60"/>
      <c r="H367" s="60"/>
      <c r="I367" s="60"/>
      <c r="J367" s="60"/>
      <c r="K367" s="60"/>
      <c r="L367" s="60"/>
      <c r="M367" s="60"/>
      <c r="N367" s="60"/>
      <c r="O367" s="60"/>
      <c r="P367" s="14"/>
      <c r="R367" s="150"/>
      <c r="S367" s="53"/>
    </row>
    <row r="368" spans="1:19" s="16" customFormat="1" x14ac:dyDescent="0.35">
      <c r="A368" s="160"/>
      <c r="B368" s="72"/>
      <c r="C368" s="72"/>
      <c r="D368" s="61" t="s">
        <v>929</v>
      </c>
      <c r="E368" s="62" t="s">
        <v>897</v>
      </c>
      <c r="F368" s="62"/>
      <c r="G368" s="62"/>
      <c r="H368" s="62"/>
      <c r="I368" s="62"/>
      <c r="J368" s="62"/>
      <c r="K368" s="62"/>
      <c r="L368" s="62"/>
      <c r="M368" s="62"/>
      <c r="N368" s="62"/>
      <c r="O368" s="62"/>
      <c r="P368" s="14"/>
      <c r="R368" s="150"/>
      <c r="S368" s="53"/>
    </row>
    <row r="369" spans="1:19" s="16" customFormat="1" x14ac:dyDescent="0.35">
      <c r="A369" s="160"/>
      <c r="B369" s="72"/>
      <c r="C369" s="72"/>
      <c r="D369" s="59" t="s">
        <v>930</v>
      </c>
      <c r="E369" s="60"/>
      <c r="F369" s="60"/>
      <c r="G369" s="60"/>
      <c r="H369" s="60"/>
      <c r="I369" s="60"/>
      <c r="J369" s="60"/>
      <c r="K369" s="60"/>
      <c r="L369" s="60"/>
      <c r="M369" s="60"/>
      <c r="N369" s="60"/>
      <c r="O369" s="60"/>
      <c r="P369" s="14"/>
      <c r="R369" s="150" t="str">
        <f>uberTipCN(E369,G366:M366)</f>
        <v>|n|n</v>
      </c>
      <c r="S369" s="53"/>
    </row>
    <row r="370" spans="1:19" s="16" customFormat="1" x14ac:dyDescent="0.35">
      <c r="A370" s="160"/>
      <c r="B370" s="72"/>
      <c r="C370" s="72"/>
      <c r="D370" s="61" t="s">
        <v>931</v>
      </c>
      <c r="E370" s="62"/>
      <c r="F370" s="62"/>
      <c r="G370" s="62"/>
      <c r="H370" s="62"/>
      <c r="I370" s="62"/>
      <c r="J370" s="62"/>
      <c r="K370" s="62"/>
      <c r="L370" s="62"/>
      <c r="M370" s="62"/>
      <c r="N370" s="62"/>
      <c r="O370" s="62"/>
      <c r="P370" s="14"/>
      <c r="R370" s="150" t="str">
        <f>uberTipCN(E370,G367:M367)</f>
        <v>|n|n</v>
      </c>
      <c r="S370" s="53"/>
    </row>
    <row r="371" spans="1:19" s="16" customFormat="1" x14ac:dyDescent="0.35">
      <c r="A371" s="160"/>
      <c r="B371" s="72"/>
      <c r="C371" s="72"/>
      <c r="D371" s="59" t="s">
        <v>932</v>
      </c>
      <c r="E371" s="60"/>
      <c r="F371" s="60"/>
      <c r="G371" s="60"/>
      <c r="H371" s="60"/>
      <c r="I371" s="60"/>
      <c r="J371" s="60"/>
      <c r="K371" s="60"/>
      <c r="L371" s="60"/>
      <c r="M371" s="60"/>
      <c r="N371" s="60"/>
      <c r="O371" s="60"/>
      <c r="P371" s="14"/>
      <c r="R371" s="150" t="str">
        <f>uberTipCN(E371,G368:M368)</f>
        <v>|n|n</v>
      </c>
      <c r="S371" s="53"/>
    </row>
    <row r="372" spans="1:19" x14ac:dyDescent="0.35">
      <c r="A372" s="154"/>
      <c r="B372" s="51" t="s">
        <v>797</v>
      </c>
      <c r="C372" s="65"/>
      <c r="D372" s="63" t="s">
        <v>926</v>
      </c>
      <c r="E372" s="64" t="s">
        <v>920</v>
      </c>
      <c r="F372" s="64"/>
      <c r="G372" s="64"/>
      <c r="H372" s="64"/>
      <c r="I372" s="64"/>
      <c r="J372" s="64"/>
      <c r="K372" s="64"/>
      <c r="L372" s="64"/>
      <c r="M372" s="64"/>
      <c r="N372" s="64"/>
      <c r="O372" s="64" t="s">
        <v>960</v>
      </c>
      <c r="P372" s="14"/>
      <c r="R372" s="150" t="str">
        <f>researchUberTipCN(E372:E375,G373:M375)</f>
        <v>造成X伤害，伤害量治疗自身Y%。|n|n|n|cffffcc00等级 1|r - X=100，Y=50%|n|cffffcc00等级 2|r - X=100，Y=75%|n|cffffcc00等级 3|r - X=100，Y=100%</v>
      </c>
    </row>
    <row r="373" spans="1:19" s="16" customFormat="1" x14ac:dyDescent="0.35">
      <c r="A373" s="154"/>
      <c r="B373" s="51"/>
      <c r="C373" s="65"/>
      <c r="D373" s="61" t="s">
        <v>927</v>
      </c>
      <c r="E373" s="62" t="s">
        <v>898</v>
      </c>
      <c r="F373" s="62"/>
      <c r="G373" s="62"/>
      <c r="H373" s="62"/>
      <c r="I373" s="62"/>
      <c r="J373" s="62"/>
      <c r="K373" s="62"/>
      <c r="L373" s="62"/>
      <c r="M373" s="62"/>
      <c r="N373" s="62"/>
      <c r="O373" s="62"/>
      <c r="P373" s="14"/>
      <c r="R373" s="150"/>
      <c r="S373" s="53"/>
    </row>
    <row r="374" spans="1:19" s="16" customFormat="1" x14ac:dyDescent="0.35">
      <c r="A374" s="154"/>
      <c r="B374" s="51"/>
      <c r="C374" s="65"/>
      <c r="D374" s="59" t="s">
        <v>928</v>
      </c>
      <c r="E374" s="60" t="s">
        <v>899</v>
      </c>
      <c r="F374" s="60"/>
      <c r="G374" s="60"/>
      <c r="H374" s="60"/>
      <c r="I374" s="60"/>
      <c r="J374" s="60"/>
      <c r="K374" s="60"/>
      <c r="L374" s="60"/>
      <c r="M374" s="60"/>
      <c r="N374" s="60"/>
      <c r="O374" s="60"/>
      <c r="P374" s="14"/>
      <c r="R374" s="150"/>
      <c r="S374" s="53"/>
    </row>
    <row r="375" spans="1:19" s="16" customFormat="1" x14ac:dyDescent="0.35">
      <c r="A375" s="154"/>
      <c r="B375" s="51"/>
      <c r="C375" s="65"/>
      <c r="D375" s="61" t="s">
        <v>929</v>
      </c>
      <c r="E375" s="62" t="s">
        <v>900</v>
      </c>
      <c r="F375" s="62"/>
      <c r="G375" s="62"/>
      <c r="H375" s="62"/>
      <c r="I375" s="62"/>
      <c r="J375" s="62"/>
      <c r="K375" s="62"/>
      <c r="L375" s="62"/>
      <c r="M375" s="62"/>
      <c r="N375" s="62"/>
      <c r="O375" s="62"/>
      <c r="P375" s="14"/>
      <c r="R375" s="150"/>
      <c r="S375" s="53"/>
    </row>
    <row r="376" spans="1:19" s="16" customFormat="1" x14ac:dyDescent="0.35">
      <c r="A376" s="154"/>
      <c r="B376" s="51"/>
      <c r="C376" s="65"/>
      <c r="D376" s="59" t="s">
        <v>930</v>
      </c>
      <c r="E376" s="60"/>
      <c r="F376" s="60"/>
      <c r="G376" s="60"/>
      <c r="H376" s="60"/>
      <c r="I376" s="60"/>
      <c r="J376" s="60"/>
      <c r="K376" s="60"/>
      <c r="L376" s="60"/>
      <c r="M376" s="60"/>
      <c r="N376" s="60"/>
      <c r="O376" s="60"/>
      <c r="P376" s="14"/>
      <c r="R376" s="150" t="str">
        <f>uberTipCN(E376,G373:M373)</f>
        <v>|n|n</v>
      </c>
      <c r="S376" s="53"/>
    </row>
    <row r="377" spans="1:19" s="16" customFormat="1" x14ac:dyDescent="0.35">
      <c r="A377" s="154"/>
      <c r="B377" s="51"/>
      <c r="C377" s="65"/>
      <c r="D377" s="61" t="s">
        <v>931</v>
      </c>
      <c r="E377" s="62"/>
      <c r="F377" s="62"/>
      <c r="G377" s="62"/>
      <c r="H377" s="62"/>
      <c r="I377" s="62"/>
      <c r="J377" s="62"/>
      <c r="K377" s="62"/>
      <c r="L377" s="62"/>
      <c r="M377" s="62"/>
      <c r="N377" s="62"/>
      <c r="O377" s="62"/>
      <c r="P377" s="14"/>
      <c r="R377" s="150" t="str">
        <f>uberTipCN(E377,G374:M374)</f>
        <v>|n|n</v>
      </c>
      <c r="S377" s="53"/>
    </row>
    <row r="378" spans="1:19" s="16" customFormat="1" x14ac:dyDescent="0.35">
      <c r="A378" s="154"/>
      <c r="B378" s="51"/>
      <c r="C378" s="65"/>
      <c r="D378" s="59" t="s">
        <v>932</v>
      </c>
      <c r="E378" s="60"/>
      <c r="F378" s="60"/>
      <c r="G378" s="60"/>
      <c r="H378" s="60"/>
      <c r="I378" s="60"/>
      <c r="J378" s="60"/>
      <c r="K378" s="60"/>
      <c r="L378" s="60"/>
      <c r="M378" s="60"/>
      <c r="N378" s="60"/>
      <c r="O378" s="60"/>
      <c r="P378" s="14"/>
      <c r="R378" s="150" t="str">
        <f>uberTipCN(E378,G375:M375)</f>
        <v>|n|n</v>
      </c>
      <c r="S378" s="53"/>
    </row>
    <row r="379" spans="1:19" x14ac:dyDescent="0.35">
      <c r="A379" s="154"/>
      <c r="B379" s="51" t="s">
        <v>798</v>
      </c>
      <c r="C379" s="65"/>
      <c r="D379" s="63" t="s">
        <v>926</v>
      </c>
      <c r="E379" s="64" t="s">
        <v>921</v>
      </c>
      <c r="F379" s="64"/>
      <c r="G379" s="64"/>
      <c r="H379" s="64"/>
      <c r="I379" s="64"/>
      <c r="J379" s="64"/>
      <c r="K379" s="64"/>
      <c r="L379" s="64"/>
      <c r="M379" s="64"/>
      <c r="N379" s="64"/>
      <c r="O379" s="64" t="s">
        <v>258</v>
      </c>
      <c r="P379" s="56"/>
      <c r="R379" s="150"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4"/>
      <c r="B380" s="51"/>
      <c r="C380" s="65"/>
      <c r="D380" s="61" t="s">
        <v>927</v>
      </c>
      <c r="E380" s="62" t="s">
        <v>799</v>
      </c>
      <c r="F380" s="62"/>
      <c r="G380" s="62"/>
      <c r="H380" s="62"/>
      <c r="I380" s="62"/>
      <c r="J380" s="62"/>
      <c r="K380" s="62"/>
      <c r="L380" s="62"/>
      <c r="M380" s="62"/>
      <c r="N380" s="62"/>
      <c r="O380" s="62"/>
      <c r="P380" s="14"/>
      <c r="R380" s="150"/>
      <c r="S380" s="53"/>
    </row>
    <row r="381" spans="1:19" s="16" customFormat="1" x14ac:dyDescent="0.35">
      <c r="A381" s="154"/>
      <c r="B381" s="51"/>
      <c r="C381" s="65"/>
      <c r="D381" s="59" t="s">
        <v>928</v>
      </c>
      <c r="E381" s="60" t="s">
        <v>901</v>
      </c>
      <c r="F381" s="60"/>
      <c r="G381" s="60"/>
      <c r="H381" s="60"/>
      <c r="I381" s="60"/>
      <c r="J381" s="60"/>
      <c r="K381" s="60"/>
      <c r="L381" s="60"/>
      <c r="M381" s="60"/>
      <c r="N381" s="60"/>
      <c r="O381" s="60"/>
      <c r="P381" s="14"/>
      <c r="R381" s="150"/>
      <c r="S381" s="53"/>
    </row>
    <row r="382" spans="1:19" s="16" customFormat="1" x14ac:dyDescent="0.35">
      <c r="A382" s="154"/>
      <c r="B382" s="51"/>
      <c r="C382" s="65"/>
      <c r="D382" s="61" t="s">
        <v>929</v>
      </c>
      <c r="E382" s="62" t="s">
        <v>902</v>
      </c>
      <c r="F382" s="62"/>
      <c r="G382" s="62"/>
      <c r="H382" s="62"/>
      <c r="I382" s="62"/>
      <c r="J382" s="62"/>
      <c r="K382" s="62"/>
      <c r="L382" s="62"/>
      <c r="M382" s="62"/>
      <c r="N382" s="62"/>
      <c r="O382" s="62"/>
      <c r="P382" s="14"/>
      <c r="R382" s="150"/>
      <c r="S382" s="53"/>
    </row>
    <row r="383" spans="1:19" s="16" customFormat="1" x14ac:dyDescent="0.35">
      <c r="A383" s="154"/>
      <c r="B383" s="51"/>
      <c r="C383" s="65"/>
      <c r="D383" s="59" t="s">
        <v>930</v>
      </c>
      <c r="E383" s="60"/>
      <c r="F383" s="60"/>
      <c r="G383" s="60"/>
      <c r="H383" s="60"/>
      <c r="I383" s="60"/>
      <c r="J383" s="60"/>
      <c r="K383" s="60"/>
      <c r="L383" s="60"/>
      <c r="M383" s="60"/>
      <c r="N383" s="60"/>
      <c r="O383" s="60"/>
      <c r="P383" s="14"/>
      <c r="R383" s="150" t="str">
        <f>uberTipCN(E383,G380:M380)</f>
        <v>|n|n</v>
      </c>
      <c r="S383" s="53"/>
    </row>
    <row r="384" spans="1:19" s="16" customFormat="1" x14ac:dyDescent="0.35">
      <c r="A384" s="154"/>
      <c r="B384" s="51"/>
      <c r="C384" s="65"/>
      <c r="D384" s="61" t="s">
        <v>931</v>
      </c>
      <c r="E384" s="62"/>
      <c r="F384" s="62"/>
      <c r="G384" s="62"/>
      <c r="H384" s="62"/>
      <c r="I384" s="62"/>
      <c r="J384" s="62"/>
      <c r="K384" s="62"/>
      <c r="L384" s="62"/>
      <c r="M384" s="62"/>
      <c r="N384" s="62"/>
      <c r="O384" s="62"/>
      <c r="P384" s="14"/>
      <c r="R384" s="150" t="str">
        <f>uberTipCN(E384,G381:M381)</f>
        <v>|n|n</v>
      </c>
      <c r="S384" s="53"/>
    </row>
    <row r="385" spans="1:19" s="16" customFormat="1" x14ac:dyDescent="0.35">
      <c r="A385" s="154"/>
      <c r="B385" s="51"/>
      <c r="C385" s="65"/>
      <c r="D385" s="59" t="s">
        <v>932</v>
      </c>
      <c r="E385" s="60"/>
      <c r="F385" s="60"/>
      <c r="G385" s="60"/>
      <c r="H385" s="60"/>
      <c r="I385" s="60"/>
      <c r="J385" s="60"/>
      <c r="K385" s="60"/>
      <c r="L385" s="60"/>
      <c r="M385" s="60"/>
      <c r="N385" s="60"/>
      <c r="O385" s="60"/>
      <c r="P385" s="14"/>
      <c r="R385" s="150" t="str">
        <f>uberTipCN(E385,G382:M382)</f>
        <v>|n|n</v>
      </c>
      <c r="S385" s="53"/>
    </row>
    <row r="386" spans="1:19" x14ac:dyDescent="0.35">
      <c r="A386" s="154"/>
      <c r="B386" s="51" t="s">
        <v>800</v>
      </c>
      <c r="C386" s="65"/>
      <c r="D386" s="63" t="s">
        <v>926</v>
      </c>
      <c r="E386" s="64" t="s">
        <v>801</v>
      </c>
      <c r="F386" s="64"/>
      <c r="G386" s="64"/>
      <c r="H386" s="64"/>
      <c r="I386" s="64"/>
      <c r="J386" s="64"/>
      <c r="K386" s="64"/>
      <c r="L386" s="64"/>
      <c r="M386" s="64"/>
      <c r="N386" s="64"/>
      <c r="O386" s="64" t="s">
        <v>961</v>
      </c>
      <c r="P386" s="14"/>
      <c r="R386" s="150" t="str">
        <f>researchUberTipCN(E386:E389,G387:M389)</f>
        <v>牺牲10%的生命值对目标造成牺牲的生命值*Y的伤害。|n|n|n|cffffcc00等级 1|r - Y=1|n|cffffcc00等级 2|r - Y=2|n|cffffcc00等级 3|r - Y=3</v>
      </c>
    </row>
    <row r="387" spans="1:19" s="16" customFormat="1" x14ac:dyDescent="0.35">
      <c r="A387" s="154"/>
      <c r="B387" s="51"/>
      <c r="C387" s="65"/>
      <c r="D387" s="61" t="s">
        <v>927</v>
      </c>
      <c r="E387" s="62" t="s">
        <v>802</v>
      </c>
      <c r="F387" s="62"/>
      <c r="G387" s="62"/>
      <c r="H387" s="62"/>
      <c r="I387" s="62"/>
      <c r="J387" s="62"/>
      <c r="K387" s="62"/>
      <c r="L387" s="62"/>
      <c r="M387" s="62"/>
      <c r="N387" s="62"/>
      <c r="O387" s="62"/>
      <c r="P387" s="14"/>
      <c r="R387" s="150"/>
      <c r="S387" s="53"/>
    </row>
    <row r="388" spans="1:19" s="16" customFormat="1" x14ac:dyDescent="0.35">
      <c r="A388" s="154"/>
      <c r="B388" s="51"/>
      <c r="C388" s="65"/>
      <c r="D388" s="59" t="s">
        <v>928</v>
      </c>
      <c r="E388" s="60" t="s">
        <v>803</v>
      </c>
      <c r="F388" s="60"/>
      <c r="G388" s="60"/>
      <c r="H388" s="60"/>
      <c r="I388" s="60"/>
      <c r="J388" s="60"/>
      <c r="K388" s="60"/>
      <c r="L388" s="60"/>
      <c r="M388" s="60"/>
      <c r="N388" s="60"/>
      <c r="O388" s="60"/>
      <c r="P388" s="14"/>
      <c r="R388" s="150"/>
      <c r="S388" s="53"/>
    </row>
    <row r="389" spans="1:19" s="16" customFormat="1" x14ac:dyDescent="0.35">
      <c r="A389" s="154"/>
      <c r="B389" s="51"/>
      <c r="C389" s="65"/>
      <c r="D389" s="61" t="s">
        <v>929</v>
      </c>
      <c r="E389" s="62" t="s">
        <v>804</v>
      </c>
      <c r="F389" s="62"/>
      <c r="G389" s="62"/>
      <c r="H389" s="62"/>
      <c r="I389" s="62"/>
      <c r="J389" s="62"/>
      <c r="K389" s="62"/>
      <c r="L389" s="62"/>
      <c r="M389" s="62"/>
      <c r="N389" s="62"/>
      <c r="O389" s="62"/>
      <c r="P389" s="14"/>
      <c r="R389" s="150"/>
      <c r="S389" s="53"/>
    </row>
    <row r="390" spans="1:19" s="16" customFormat="1" x14ac:dyDescent="0.35">
      <c r="A390" s="154"/>
      <c r="B390" s="51"/>
      <c r="C390" s="65"/>
      <c r="D390" s="59" t="s">
        <v>930</v>
      </c>
      <c r="E390" s="60"/>
      <c r="F390" s="60"/>
      <c r="G390" s="60"/>
      <c r="H390" s="60"/>
      <c r="I390" s="60"/>
      <c r="J390" s="60"/>
      <c r="K390" s="60"/>
      <c r="L390" s="60"/>
      <c r="M390" s="60"/>
      <c r="N390" s="60"/>
      <c r="O390" s="60"/>
      <c r="P390" s="14"/>
      <c r="R390" s="150" t="str">
        <f>uberTipCN(E390,G387:M387)</f>
        <v>|n|n</v>
      </c>
      <c r="S390" s="53"/>
    </row>
    <row r="391" spans="1:19" s="16" customFormat="1" x14ac:dyDescent="0.35">
      <c r="A391" s="154"/>
      <c r="B391" s="51"/>
      <c r="C391" s="65"/>
      <c r="D391" s="61" t="s">
        <v>931</v>
      </c>
      <c r="E391" s="62"/>
      <c r="F391" s="62"/>
      <c r="G391" s="62"/>
      <c r="H391" s="62"/>
      <c r="I391" s="62"/>
      <c r="J391" s="62"/>
      <c r="K391" s="62"/>
      <c r="L391" s="62"/>
      <c r="M391" s="62"/>
      <c r="N391" s="62"/>
      <c r="O391" s="62"/>
      <c r="P391" s="14"/>
      <c r="R391" s="150" t="str">
        <f>uberTipCN(E391,G388:M388)</f>
        <v>|n|n</v>
      </c>
      <c r="S391" s="53"/>
    </row>
    <row r="392" spans="1:19" s="16" customFormat="1" x14ac:dyDescent="0.35">
      <c r="A392" s="154"/>
      <c r="B392" s="51"/>
      <c r="C392" s="65"/>
      <c r="D392" s="59" t="s">
        <v>932</v>
      </c>
      <c r="E392" s="60"/>
      <c r="F392" s="60"/>
      <c r="G392" s="60"/>
      <c r="H392" s="60"/>
      <c r="I392" s="60"/>
      <c r="J392" s="60"/>
      <c r="K392" s="60"/>
      <c r="L392" s="60"/>
      <c r="M392" s="60"/>
      <c r="N392" s="60"/>
      <c r="O392" s="60"/>
      <c r="P392" s="14"/>
      <c r="R392" s="150" t="str">
        <f>uberTipCN(E392,G389:M389)</f>
        <v>|n|n</v>
      </c>
      <c r="S392" s="53"/>
    </row>
    <row r="393" spans="1:19" x14ac:dyDescent="0.35">
      <c r="A393" s="154"/>
      <c r="B393" s="51" t="s">
        <v>805</v>
      </c>
      <c r="C393" s="65"/>
      <c r="D393" s="63" t="s">
        <v>926</v>
      </c>
      <c r="E393" s="64" t="s">
        <v>922</v>
      </c>
      <c r="F393" s="64"/>
      <c r="G393" s="64"/>
      <c r="H393" s="64"/>
      <c r="I393" s="64"/>
      <c r="J393" s="64"/>
      <c r="K393" s="64"/>
      <c r="L393" s="64"/>
      <c r="M393" s="64"/>
      <c r="N393" s="64"/>
      <c r="O393" s="64" t="s">
        <v>962</v>
      </c>
      <c r="P393" s="14"/>
      <c r="R393" s="150" t="str">
        <f>researchUberTipCN(E393:E396,G394:M396)</f>
        <v>使附近X-Y范围内的敌军因恐惧而昏迷1-4秒。|n|n|n|cffffcc00等级 1|r - X=800，Y=250|n|cffffcc00等级 2|r - X=800，Y=400|n|cffffcc00等级 3|r - X=800，Y=550</v>
      </c>
    </row>
    <row r="394" spans="1:19" s="16" customFormat="1" x14ac:dyDescent="0.35">
      <c r="A394" s="154"/>
      <c r="B394" s="51"/>
      <c r="C394" s="65"/>
      <c r="D394" s="61" t="s">
        <v>927</v>
      </c>
      <c r="E394" s="62" t="s">
        <v>903</v>
      </c>
      <c r="F394" s="62"/>
      <c r="G394" s="62"/>
      <c r="H394" s="62"/>
      <c r="I394" s="62"/>
      <c r="J394" s="62"/>
      <c r="K394" s="62"/>
      <c r="L394" s="62"/>
      <c r="M394" s="62"/>
      <c r="N394" s="62"/>
      <c r="O394" s="62"/>
      <c r="P394" s="14"/>
      <c r="R394" s="150"/>
      <c r="S394" s="53"/>
    </row>
    <row r="395" spans="1:19" s="16" customFormat="1" x14ac:dyDescent="0.35">
      <c r="A395" s="154"/>
      <c r="B395" s="51"/>
      <c r="C395" s="65"/>
      <c r="D395" s="59" t="s">
        <v>928</v>
      </c>
      <c r="E395" s="60" t="s">
        <v>904</v>
      </c>
      <c r="F395" s="60"/>
      <c r="G395" s="60"/>
      <c r="H395" s="60"/>
      <c r="I395" s="60"/>
      <c r="J395" s="60"/>
      <c r="K395" s="60"/>
      <c r="L395" s="60"/>
      <c r="M395" s="60"/>
      <c r="N395" s="60"/>
      <c r="O395" s="60"/>
      <c r="P395" s="14"/>
      <c r="R395" s="150"/>
      <c r="S395" s="53"/>
    </row>
    <row r="396" spans="1:19" s="16" customFormat="1" x14ac:dyDescent="0.35">
      <c r="A396" s="154"/>
      <c r="B396" s="51"/>
      <c r="C396" s="65"/>
      <c r="D396" s="61" t="s">
        <v>929</v>
      </c>
      <c r="E396" s="62" t="s">
        <v>905</v>
      </c>
      <c r="F396" s="62"/>
      <c r="G396" s="62"/>
      <c r="H396" s="62"/>
      <c r="I396" s="62"/>
      <c r="J396" s="62"/>
      <c r="K396" s="62"/>
      <c r="L396" s="62"/>
      <c r="M396" s="62"/>
      <c r="N396" s="62"/>
      <c r="O396" s="62"/>
      <c r="P396" s="14"/>
      <c r="R396" s="150"/>
      <c r="S396" s="53"/>
    </row>
    <row r="397" spans="1:19" s="16" customFormat="1" x14ac:dyDescent="0.35">
      <c r="A397" s="154"/>
      <c r="B397" s="51"/>
      <c r="C397" s="65"/>
      <c r="D397" s="59" t="s">
        <v>930</v>
      </c>
      <c r="E397" s="60"/>
      <c r="F397" s="60"/>
      <c r="G397" s="60"/>
      <c r="H397" s="60"/>
      <c r="I397" s="60"/>
      <c r="J397" s="60"/>
      <c r="K397" s="60"/>
      <c r="L397" s="60"/>
      <c r="M397" s="60"/>
      <c r="N397" s="60"/>
      <c r="O397" s="60"/>
      <c r="P397" s="14"/>
      <c r="R397" s="150" t="str">
        <f>uberTipCN(E397,G394:M394)</f>
        <v>|n|n</v>
      </c>
      <c r="S397" s="53"/>
    </row>
    <row r="398" spans="1:19" s="16" customFormat="1" x14ac:dyDescent="0.35">
      <c r="A398" s="154"/>
      <c r="B398" s="51"/>
      <c r="C398" s="65"/>
      <c r="D398" s="61" t="s">
        <v>931</v>
      </c>
      <c r="E398" s="62"/>
      <c r="F398" s="62"/>
      <c r="G398" s="62"/>
      <c r="H398" s="62"/>
      <c r="I398" s="62"/>
      <c r="J398" s="62"/>
      <c r="K398" s="62"/>
      <c r="L398" s="62"/>
      <c r="M398" s="62"/>
      <c r="N398" s="62"/>
      <c r="O398" s="62"/>
      <c r="P398" s="14"/>
      <c r="R398" s="150" t="str">
        <f>uberTipCN(E398,G395:M395)</f>
        <v>|n|n</v>
      </c>
      <c r="S398" s="53"/>
    </row>
    <row r="399" spans="1:19" s="16" customFormat="1" x14ac:dyDescent="0.35">
      <c r="A399" s="154"/>
      <c r="B399" s="51"/>
      <c r="C399" s="65"/>
      <c r="D399" s="59" t="s">
        <v>932</v>
      </c>
      <c r="E399" s="60"/>
      <c r="F399" s="60"/>
      <c r="G399" s="60"/>
      <c r="H399" s="60"/>
      <c r="I399" s="60"/>
      <c r="J399" s="60"/>
      <c r="K399" s="60"/>
      <c r="L399" s="60"/>
      <c r="M399" s="60"/>
      <c r="N399" s="60"/>
      <c r="O399" s="60"/>
      <c r="P399" s="14"/>
      <c r="R399" s="150" t="str">
        <f>uberTipCN(E399,G396:M396)</f>
        <v>|n|n</v>
      </c>
      <c r="S399" s="53"/>
    </row>
    <row r="400" spans="1:19" x14ac:dyDescent="0.35">
      <c r="A400" s="154"/>
      <c r="B400" s="66" t="s">
        <v>42</v>
      </c>
      <c r="C400" s="67"/>
      <c r="D400" s="68"/>
      <c r="E400" s="69"/>
      <c r="F400" s="69"/>
      <c r="G400" s="69"/>
      <c r="H400" s="69"/>
      <c r="I400" s="69"/>
      <c r="J400" s="69"/>
      <c r="K400" s="69"/>
      <c r="L400" s="69"/>
      <c r="M400" s="69"/>
      <c r="N400" s="69"/>
      <c r="O400" s="69"/>
      <c r="P400" s="14"/>
    </row>
    <row r="401" spans="1:19" ht="33" x14ac:dyDescent="0.35">
      <c r="A401" s="152" t="s">
        <v>806</v>
      </c>
      <c r="B401" s="52" t="s">
        <v>808</v>
      </c>
      <c r="C401" s="73"/>
      <c r="D401" s="74"/>
      <c r="E401" s="75" t="s">
        <v>809</v>
      </c>
      <c r="F401" s="75"/>
      <c r="G401" s="75"/>
      <c r="H401" s="75"/>
      <c r="I401" s="75"/>
      <c r="J401" s="75"/>
      <c r="K401" s="75"/>
      <c r="L401" s="75"/>
      <c r="M401" s="75"/>
      <c r="N401" s="75"/>
      <c r="O401" s="75"/>
      <c r="P401" s="56"/>
      <c r="R401" s="150"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2"/>
      <c r="B402" s="51"/>
      <c r="C402" s="65"/>
      <c r="D402" s="76" t="s">
        <v>927</v>
      </c>
      <c r="E402" s="77"/>
      <c r="F402" s="77"/>
      <c r="G402" s="77"/>
      <c r="H402" s="77"/>
      <c r="I402" s="77"/>
      <c r="J402" s="77"/>
      <c r="K402" s="77"/>
      <c r="L402" s="77"/>
      <c r="M402" s="77"/>
      <c r="N402" s="77"/>
      <c r="O402" s="77"/>
      <c r="P402" s="14"/>
      <c r="R402" s="150"/>
      <c r="S402" s="53"/>
    </row>
    <row r="403" spans="1:19" s="16" customFormat="1" x14ac:dyDescent="0.35">
      <c r="A403" s="152"/>
      <c r="B403" s="51"/>
      <c r="C403" s="65"/>
      <c r="D403" s="78" t="s">
        <v>928</v>
      </c>
      <c r="E403" s="79"/>
      <c r="F403" s="79"/>
      <c r="G403" s="79"/>
      <c r="H403" s="79"/>
      <c r="I403" s="79"/>
      <c r="J403" s="79"/>
      <c r="K403" s="79"/>
      <c r="L403" s="79"/>
      <c r="M403" s="79"/>
      <c r="N403" s="79"/>
      <c r="O403" s="79"/>
      <c r="P403" s="14"/>
      <c r="R403" s="150"/>
      <c r="S403" s="53"/>
    </row>
    <row r="404" spans="1:19" s="16" customFormat="1" x14ac:dyDescent="0.35">
      <c r="A404" s="152"/>
      <c r="B404" s="51"/>
      <c r="C404" s="65"/>
      <c r="D404" s="76" t="s">
        <v>929</v>
      </c>
      <c r="E404" s="77"/>
      <c r="F404" s="77"/>
      <c r="G404" s="77"/>
      <c r="H404" s="77"/>
      <c r="I404" s="77"/>
      <c r="J404" s="77"/>
      <c r="K404" s="77"/>
      <c r="L404" s="77"/>
      <c r="M404" s="77"/>
      <c r="N404" s="77"/>
      <c r="O404" s="77"/>
      <c r="P404" s="80"/>
      <c r="R404" s="150"/>
      <c r="S404" s="53"/>
    </row>
    <row r="405" spans="1:19" s="16" customFormat="1" x14ac:dyDescent="0.35">
      <c r="A405" s="152"/>
      <c r="B405" s="51"/>
      <c r="C405" s="65"/>
      <c r="D405" s="78" t="s">
        <v>930</v>
      </c>
      <c r="E405" s="79"/>
      <c r="F405" s="79"/>
      <c r="G405" s="79"/>
      <c r="H405" s="79"/>
      <c r="I405" s="79"/>
      <c r="J405" s="79"/>
      <c r="K405" s="79"/>
      <c r="L405" s="79"/>
      <c r="M405" s="79"/>
      <c r="N405" s="79"/>
      <c r="O405" s="79"/>
      <c r="P405" s="80"/>
      <c r="R405" s="150" t="str">
        <f>uberTipCN(E405,G402:M402)</f>
        <v>|n|n</v>
      </c>
      <c r="S405" s="53"/>
    </row>
    <row r="406" spans="1:19" s="16" customFormat="1" x14ac:dyDescent="0.35">
      <c r="A406" s="152"/>
      <c r="B406" s="51"/>
      <c r="C406" s="65"/>
      <c r="D406" s="76" t="s">
        <v>931</v>
      </c>
      <c r="E406" s="77"/>
      <c r="F406" s="77"/>
      <c r="G406" s="77"/>
      <c r="H406" s="77"/>
      <c r="I406" s="77"/>
      <c r="J406" s="77"/>
      <c r="K406" s="77"/>
      <c r="L406" s="77"/>
      <c r="M406" s="77"/>
      <c r="N406" s="77"/>
      <c r="O406" s="77"/>
      <c r="P406" s="80"/>
      <c r="R406" s="150" t="str">
        <f>uberTipCN(E406,G403:M403)</f>
        <v>|n|n</v>
      </c>
      <c r="S406" s="53"/>
    </row>
    <row r="407" spans="1:19" s="16" customFormat="1" x14ac:dyDescent="0.35">
      <c r="A407" s="152"/>
      <c r="B407" s="51"/>
      <c r="C407" s="65"/>
      <c r="D407" s="78" t="s">
        <v>932</v>
      </c>
      <c r="E407" s="79"/>
      <c r="F407" s="79"/>
      <c r="G407" s="79"/>
      <c r="H407" s="79"/>
      <c r="I407" s="79"/>
      <c r="J407" s="79"/>
      <c r="K407" s="79"/>
      <c r="L407" s="79"/>
      <c r="M407" s="79"/>
      <c r="N407" s="79"/>
      <c r="O407" s="79"/>
      <c r="P407" s="80"/>
      <c r="R407" s="150" t="str">
        <f>uberTipCN(E407,G404:M404)</f>
        <v>|n|n</v>
      </c>
      <c r="S407" s="53"/>
    </row>
    <row r="408" spans="1:19" ht="33" x14ac:dyDescent="0.35">
      <c r="A408" s="152"/>
      <c r="B408" s="52" t="s">
        <v>816</v>
      </c>
      <c r="C408" s="73"/>
      <c r="D408" s="74"/>
      <c r="E408" s="75" t="s">
        <v>817</v>
      </c>
      <c r="F408" s="75"/>
      <c r="G408" s="75"/>
      <c r="H408" s="75"/>
      <c r="I408" s="75"/>
      <c r="J408" s="75"/>
      <c r="K408" s="75"/>
      <c r="L408" s="75"/>
      <c r="M408" s="75"/>
      <c r="N408" s="75"/>
      <c r="O408" s="75"/>
      <c r="P408" s="81"/>
      <c r="R408" s="150"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2"/>
      <c r="B409" s="51"/>
      <c r="C409" s="65"/>
      <c r="D409" s="76" t="s">
        <v>927</v>
      </c>
      <c r="E409" s="77"/>
      <c r="F409" s="77"/>
      <c r="G409" s="77"/>
      <c r="H409" s="77"/>
      <c r="I409" s="77"/>
      <c r="J409" s="77"/>
      <c r="K409" s="77"/>
      <c r="L409" s="77"/>
      <c r="M409" s="77"/>
      <c r="N409" s="77"/>
      <c r="O409" s="77"/>
      <c r="P409" s="80"/>
      <c r="R409" s="150"/>
      <c r="S409" s="53"/>
    </row>
    <row r="410" spans="1:19" s="16" customFormat="1" x14ac:dyDescent="0.35">
      <c r="A410" s="152"/>
      <c r="B410" s="51"/>
      <c r="C410" s="65"/>
      <c r="D410" s="78" t="s">
        <v>928</v>
      </c>
      <c r="E410" s="79"/>
      <c r="F410" s="79"/>
      <c r="G410" s="79"/>
      <c r="H410" s="79"/>
      <c r="I410" s="79"/>
      <c r="J410" s="79"/>
      <c r="K410" s="79"/>
      <c r="L410" s="79"/>
      <c r="M410" s="79"/>
      <c r="N410" s="79"/>
      <c r="O410" s="79"/>
      <c r="P410" s="80"/>
      <c r="R410" s="150"/>
      <c r="S410" s="53"/>
    </row>
    <row r="411" spans="1:19" s="16" customFormat="1" x14ac:dyDescent="0.35">
      <c r="A411" s="152"/>
      <c r="B411" s="51"/>
      <c r="C411" s="65"/>
      <c r="D411" s="76" t="s">
        <v>929</v>
      </c>
      <c r="E411" s="77"/>
      <c r="F411" s="77"/>
      <c r="G411" s="77"/>
      <c r="H411" s="77"/>
      <c r="I411" s="77"/>
      <c r="J411" s="77"/>
      <c r="K411" s="77"/>
      <c r="L411" s="77"/>
      <c r="M411" s="77"/>
      <c r="N411" s="77"/>
      <c r="O411" s="77"/>
      <c r="P411" s="80"/>
      <c r="R411" s="150"/>
      <c r="S411" s="53"/>
    </row>
    <row r="412" spans="1:19" s="16" customFormat="1" x14ac:dyDescent="0.35">
      <c r="A412" s="152"/>
      <c r="B412" s="51"/>
      <c r="C412" s="65"/>
      <c r="D412" s="78" t="s">
        <v>930</v>
      </c>
      <c r="E412" s="79"/>
      <c r="F412" s="79"/>
      <c r="G412" s="79"/>
      <c r="H412" s="79"/>
      <c r="I412" s="79"/>
      <c r="J412" s="79"/>
      <c r="K412" s="79"/>
      <c r="L412" s="79"/>
      <c r="M412" s="79"/>
      <c r="N412" s="79"/>
      <c r="O412" s="79"/>
      <c r="P412" s="80"/>
      <c r="R412" s="150" t="str">
        <f>uberTipCN(E412,G409:M409)</f>
        <v>|n|n</v>
      </c>
      <c r="S412" s="53"/>
    </row>
    <row r="413" spans="1:19" s="16" customFormat="1" x14ac:dyDescent="0.35">
      <c r="A413" s="152"/>
      <c r="B413" s="51"/>
      <c r="C413" s="65"/>
      <c r="D413" s="76" t="s">
        <v>931</v>
      </c>
      <c r="E413" s="77"/>
      <c r="F413" s="77"/>
      <c r="G413" s="77"/>
      <c r="H413" s="77"/>
      <c r="I413" s="77"/>
      <c r="J413" s="77"/>
      <c r="K413" s="77"/>
      <c r="L413" s="77"/>
      <c r="M413" s="77"/>
      <c r="N413" s="77"/>
      <c r="O413" s="77"/>
      <c r="P413" s="80"/>
      <c r="R413" s="150" t="str">
        <f>uberTipCN(E413,G410:M410)</f>
        <v>|n|n</v>
      </c>
      <c r="S413" s="53"/>
    </row>
    <row r="414" spans="1:19" s="16" customFormat="1" x14ac:dyDescent="0.35">
      <c r="A414" s="152"/>
      <c r="B414" s="51"/>
      <c r="C414" s="65"/>
      <c r="D414" s="78" t="s">
        <v>932</v>
      </c>
      <c r="E414" s="79"/>
      <c r="F414" s="79"/>
      <c r="G414" s="79"/>
      <c r="H414" s="79"/>
      <c r="I414" s="79"/>
      <c r="J414" s="79"/>
      <c r="K414" s="79"/>
      <c r="L414" s="79"/>
      <c r="M414" s="79"/>
      <c r="N414" s="79"/>
      <c r="O414" s="79"/>
      <c r="P414" s="80"/>
      <c r="R414" s="150" t="str">
        <f>uberTipCN(E414,G411:M411)</f>
        <v>|n|n</v>
      </c>
      <c r="S414" s="53"/>
    </row>
    <row r="415" spans="1:19" ht="33" x14ac:dyDescent="0.35">
      <c r="A415" s="152"/>
      <c r="B415" s="52" t="s">
        <v>243</v>
      </c>
      <c r="C415" s="73"/>
      <c r="D415" s="74"/>
      <c r="E415" s="75" t="s">
        <v>818</v>
      </c>
      <c r="F415" s="75"/>
      <c r="G415" s="75"/>
      <c r="H415" s="75"/>
      <c r="I415" s="75"/>
      <c r="J415" s="75"/>
      <c r="K415" s="75"/>
      <c r="L415" s="75"/>
      <c r="M415" s="75"/>
      <c r="N415" s="75"/>
      <c r="O415" s="75"/>
      <c r="P415" s="81"/>
      <c r="R415" s="150"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2"/>
      <c r="B416" s="51"/>
      <c r="C416" s="65"/>
      <c r="D416" s="76" t="s">
        <v>927</v>
      </c>
      <c r="E416" s="77"/>
      <c r="F416" s="77"/>
      <c r="G416" s="77"/>
      <c r="H416" s="77"/>
      <c r="I416" s="77"/>
      <c r="J416" s="77"/>
      <c r="K416" s="77"/>
      <c r="L416" s="77"/>
      <c r="M416" s="77"/>
      <c r="N416" s="77"/>
      <c r="O416" s="77"/>
      <c r="P416" s="80"/>
      <c r="R416" s="150"/>
      <c r="S416" s="53"/>
    </row>
    <row r="417" spans="1:19" s="16" customFormat="1" x14ac:dyDescent="0.35">
      <c r="A417" s="152"/>
      <c r="B417" s="51"/>
      <c r="C417" s="65"/>
      <c r="D417" s="78" t="s">
        <v>928</v>
      </c>
      <c r="E417" s="79"/>
      <c r="F417" s="79"/>
      <c r="G417" s="79"/>
      <c r="H417" s="79"/>
      <c r="I417" s="79"/>
      <c r="J417" s="79"/>
      <c r="K417" s="79"/>
      <c r="L417" s="79"/>
      <c r="M417" s="79"/>
      <c r="N417" s="79"/>
      <c r="O417" s="79"/>
      <c r="P417" s="80"/>
      <c r="R417" s="150"/>
      <c r="S417" s="53"/>
    </row>
    <row r="418" spans="1:19" s="16" customFormat="1" x14ac:dyDescent="0.35">
      <c r="A418" s="152"/>
      <c r="B418" s="51"/>
      <c r="C418" s="65"/>
      <c r="D418" s="76" t="s">
        <v>929</v>
      </c>
      <c r="E418" s="77"/>
      <c r="F418" s="77"/>
      <c r="G418" s="77"/>
      <c r="H418" s="77"/>
      <c r="I418" s="77"/>
      <c r="J418" s="77"/>
      <c r="K418" s="77"/>
      <c r="L418" s="77"/>
      <c r="M418" s="77"/>
      <c r="N418" s="77"/>
      <c r="O418" s="77"/>
      <c r="P418" s="80"/>
      <c r="R418" s="150"/>
      <c r="S418" s="53"/>
    </row>
    <row r="419" spans="1:19" s="16" customFormat="1" x14ac:dyDescent="0.35">
      <c r="A419" s="152"/>
      <c r="B419" s="51"/>
      <c r="C419" s="65"/>
      <c r="D419" s="78" t="s">
        <v>930</v>
      </c>
      <c r="E419" s="79"/>
      <c r="F419" s="79"/>
      <c r="G419" s="79"/>
      <c r="H419" s="79"/>
      <c r="I419" s="79"/>
      <c r="J419" s="79"/>
      <c r="K419" s="79"/>
      <c r="L419" s="79"/>
      <c r="M419" s="79"/>
      <c r="N419" s="79"/>
      <c r="O419" s="79"/>
      <c r="P419" s="80"/>
      <c r="R419" s="150" t="str">
        <f>uberTipCN(E419,G416:M416)</f>
        <v>|n|n</v>
      </c>
      <c r="S419" s="53"/>
    </row>
    <row r="420" spans="1:19" s="16" customFormat="1" x14ac:dyDescent="0.35">
      <c r="A420" s="152"/>
      <c r="B420" s="51"/>
      <c r="C420" s="65"/>
      <c r="D420" s="76" t="s">
        <v>931</v>
      </c>
      <c r="E420" s="77"/>
      <c r="F420" s="77"/>
      <c r="G420" s="77"/>
      <c r="H420" s="77"/>
      <c r="I420" s="77"/>
      <c r="J420" s="77"/>
      <c r="K420" s="77"/>
      <c r="L420" s="77"/>
      <c r="M420" s="77"/>
      <c r="N420" s="77"/>
      <c r="O420" s="77"/>
      <c r="P420" s="80"/>
      <c r="R420" s="150" t="str">
        <f>uberTipCN(E420,G417:M417)</f>
        <v>|n|n</v>
      </c>
      <c r="S420" s="53"/>
    </row>
    <row r="421" spans="1:19" s="16" customFormat="1" x14ac:dyDescent="0.35">
      <c r="A421" s="152"/>
      <c r="B421" s="51"/>
      <c r="C421" s="65"/>
      <c r="D421" s="78" t="s">
        <v>932</v>
      </c>
      <c r="E421" s="79"/>
      <c r="F421" s="79"/>
      <c r="G421" s="79"/>
      <c r="H421" s="79"/>
      <c r="I421" s="79"/>
      <c r="J421" s="79"/>
      <c r="K421" s="79"/>
      <c r="L421" s="79"/>
      <c r="M421" s="79"/>
      <c r="N421" s="79"/>
      <c r="O421" s="79"/>
      <c r="P421" s="80"/>
      <c r="R421" s="150" t="str">
        <f>uberTipCN(E421,G418:M418)</f>
        <v>|n|n</v>
      </c>
      <c r="S421" s="53"/>
    </row>
    <row r="422" spans="1:19" ht="33" x14ac:dyDescent="0.35">
      <c r="A422" s="152"/>
      <c r="B422" s="52" t="s">
        <v>819</v>
      </c>
      <c r="C422" s="73"/>
      <c r="D422" s="74"/>
      <c r="E422" s="75" t="s">
        <v>923</v>
      </c>
      <c r="F422" s="75"/>
      <c r="G422" s="75"/>
      <c r="H422" s="75"/>
      <c r="I422" s="75"/>
      <c r="J422" s="75"/>
      <c r="K422" s="75"/>
      <c r="L422" s="75"/>
      <c r="M422" s="75"/>
      <c r="N422" s="75"/>
      <c r="O422" s="75"/>
      <c r="P422" s="81"/>
      <c r="R422" s="150"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2"/>
      <c r="B423" s="51"/>
      <c r="C423" s="65"/>
      <c r="D423" s="76" t="s">
        <v>927</v>
      </c>
      <c r="E423" s="77"/>
      <c r="F423" s="77"/>
      <c r="G423" s="77"/>
      <c r="H423" s="77"/>
      <c r="I423" s="77"/>
      <c r="J423" s="77"/>
      <c r="K423" s="77"/>
      <c r="L423" s="77"/>
      <c r="M423" s="77"/>
      <c r="N423" s="77"/>
      <c r="O423" s="77"/>
      <c r="P423" s="80"/>
      <c r="R423" s="150"/>
      <c r="S423" s="53"/>
    </row>
    <row r="424" spans="1:19" s="16" customFormat="1" x14ac:dyDescent="0.35">
      <c r="A424" s="152"/>
      <c r="B424" s="51"/>
      <c r="C424" s="65"/>
      <c r="D424" s="78" t="s">
        <v>928</v>
      </c>
      <c r="E424" s="79"/>
      <c r="F424" s="79"/>
      <c r="G424" s="79"/>
      <c r="H424" s="79"/>
      <c r="I424" s="79"/>
      <c r="J424" s="79"/>
      <c r="K424" s="79"/>
      <c r="L424" s="79"/>
      <c r="M424" s="79"/>
      <c r="N424" s="79"/>
      <c r="O424" s="79"/>
      <c r="P424" s="80"/>
      <c r="R424" s="150"/>
      <c r="S424" s="53"/>
    </row>
    <row r="425" spans="1:19" s="16" customFormat="1" x14ac:dyDescent="0.35">
      <c r="A425" s="152"/>
      <c r="B425" s="51"/>
      <c r="C425" s="65"/>
      <c r="D425" s="76" t="s">
        <v>929</v>
      </c>
      <c r="E425" s="77"/>
      <c r="F425" s="77"/>
      <c r="G425" s="77"/>
      <c r="H425" s="77"/>
      <c r="I425" s="77"/>
      <c r="J425" s="77"/>
      <c r="K425" s="77"/>
      <c r="L425" s="77"/>
      <c r="M425" s="77"/>
      <c r="N425" s="77"/>
      <c r="O425" s="77"/>
      <c r="P425" s="80"/>
      <c r="R425" s="150"/>
      <c r="S425" s="53"/>
    </row>
    <row r="426" spans="1:19" s="16" customFormat="1" x14ac:dyDescent="0.35">
      <c r="A426" s="152"/>
      <c r="B426" s="51"/>
      <c r="C426" s="65"/>
      <c r="D426" s="78" t="s">
        <v>930</v>
      </c>
      <c r="E426" s="79"/>
      <c r="F426" s="79"/>
      <c r="G426" s="79"/>
      <c r="H426" s="79"/>
      <c r="I426" s="79"/>
      <c r="J426" s="79"/>
      <c r="K426" s="79"/>
      <c r="L426" s="79"/>
      <c r="M426" s="79"/>
      <c r="N426" s="79"/>
      <c r="O426" s="79"/>
      <c r="P426" s="80"/>
      <c r="R426" s="150" t="str">
        <f>uberTipCN(E426,G423:M423)</f>
        <v>|n|n</v>
      </c>
      <c r="S426" s="53"/>
    </row>
    <row r="427" spans="1:19" s="16" customFormat="1" x14ac:dyDescent="0.35">
      <c r="A427" s="152"/>
      <c r="B427" s="51"/>
      <c r="C427" s="65"/>
      <c r="D427" s="76" t="s">
        <v>931</v>
      </c>
      <c r="E427" s="77"/>
      <c r="F427" s="77"/>
      <c r="G427" s="77"/>
      <c r="H427" s="77"/>
      <c r="I427" s="77"/>
      <c r="J427" s="77"/>
      <c r="K427" s="77"/>
      <c r="L427" s="77"/>
      <c r="M427" s="77"/>
      <c r="N427" s="77"/>
      <c r="O427" s="77"/>
      <c r="P427" s="80"/>
      <c r="R427" s="150" t="str">
        <f>uberTipCN(E427,G424:M424)</f>
        <v>|n|n</v>
      </c>
      <c r="S427" s="53"/>
    </row>
    <row r="428" spans="1:19" s="16" customFormat="1" x14ac:dyDescent="0.35">
      <c r="A428" s="152"/>
      <c r="B428" s="51"/>
      <c r="C428" s="65"/>
      <c r="D428" s="78" t="s">
        <v>932</v>
      </c>
      <c r="E428" s="79"/>
      <c r="F428" s="79"/>
      <c r="G428" s="79"/>
      <c r="H428" s="79"/>
      <c r="I428" s="79"/>
      <c r="J428" s="79"/>
      <c r="K428" s="79"/>
      <c r="L428" s="79"/>
      <c r="M428" s="79"/>
      <c r="N428" s="79"/>
      <c r="O428" s="79"/>
      <c r="P428" s="80"/>
      <c r="R428" s="150" t="str">
        <f>uberTipCN(E428,G425:M425)</f>
        <v>|n|n</v>
      </c>
      <c r="S428" s="53"/>
    </row>
    <row r="429" spans="1:19" ht="33" x14ac:dyDescent="0.35">
      <c r="A429" s="152"/>
      <c r="B429" s="52" t="s">
        <v>820</v>
      </c>
      <c r="C429" s="73"/>
      <c r="D429" s="74"/>
      <c r="E429" s="75" t="s">
        <v>821</v>
      </c>
      <c r="F429" s="75"/>
      <c r="G429" s="75"/>
      <c r="H429" s="75"/>
      <c r="I429" s="75"/>
      <c r="J429" s="75"/>
      <c r="K429" s="75"/>
      <c r="L429" s="75"/>
      <c r="M429" s="75"/>
      <c r="N429" s="75"/>
      <c r="O429" s="75"/>
      <c r="P429" s="81"/>
      <c r="R429" s="150"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2"/>
      <c r="B430" s="51"/>
      <c r="C430" s="65"/>
      <c r="D430" s="76" t="s">
        <v>927</v>
      </c>
      <c r="E430" s="77"/>
      <c r="F430" s="77"/>
      <c r="G430" s="77"/>
      <c r="H430" s="77"/>
      <c r="I430" s="77"/>
      <c r="J430" s="77"/>
      <c r="K430" s="77"/>
      <c r="L430" s="77"/>
      <c r="M430" s="77"/>
      <c r="N430" s="77"/>
      <c r="O430" s="77"/>
      <c r="P430" s="80"/>
      <c r="R430" s="150"/>
      <c r="S430" s="53"/>
    </row>
    <row r="431" spans="1:19" s="16" customFormat="1" x14ac:dyDescent="0.35">
      <c r="A431" s="152"/>
      <c r="B431" s="51"/>
      <c r="C431" s="65"/>
      <c r="D431" s="78" t="s">
        <v>928</v>
      </c>
      <c r="E431" s="79"/>
      <c r="F431" s="79"/>
      <c r="G431" s="79"/>
      <c r="H431" s="79"/>
      <c r="I431" s="79"/>
      <c r="J431" s="79"/>
      <c r="K431" s="79"/>
      <c r="L431" s="79"/>
      <c r="M431" s="79"/>
      <c r="N431" s="79"/>
      <c r="O431" s="79"/>
      <c r="P431" s="80"/>
      <c r="R431" s="150"/>
      <c r="S431" s="53"/>
    </row>
    <row r="432" spans="1:19" s="16" customFormat="1" x14ac:dyDescent="0.35">
      <c r="A432" s="152"/>
      <c r="B432" s="51"/>
      <c r="C432" s="65"/>
      <c r="D432" s="76" t="s">
        <v>929</v>
      </c>
      <c r="E432" s="77"/>
      <c r="F432" s="77"/>
      <c r="G432" s="77"/>
      <c r="H432" s="77"/>
      <c r="I432" s="77"/>
      <c r="J432" s="77"/>
      <c r="K432" s="77"/>
      <c r="L432" s="77"/>
      <c r="M432" s="77"/>
      <c r="N432" s="77"/>
      <c r="O432" s="77"/>
      <c r="P432" s="80"/>
      <c r="R432" s="150"/>
      <c r="S432" s="53"/>
    </row>
    <row r="433" spans="1:19" s="16" customFormat="1" x14ac:dyDescent="0.35">
      <c r="A433" s="152"/>
      <c r="B433" s="51"/>
      <c r="C433" s="65"/>
      <c r="D433" s="78" t="s">
        <v>930</v>
      </c>
      <c r="E433" s="79"/>
      <c r="F433" s="79"/>
      <c r="G433" s="79"/>
      <c r="H433" s="79"/>
      <c r="I433" s="79"/>
      <c r="J433" s="79"/>
      <c r="K433" s="79"/>
      <c r="L433" s="79"/>
      <c r="M433" s="79"/>
      <c r="N433" s="79"/>
      <c r="O433" s="79"/>
      <c r="P433" s="80"/>
      <c r="R433" s="150" t="str">
        <f>uberTipCN(E433,G430:M430)</f>
        <v>|n|n</v>
      </c>
      <c r="S433" s="53"/>
    </row>
    <row r="434" spans="1:19" s="16" customFormat="1" x14ac:dyDescent="0.35">
      <c r="A434" s="152"/>
      <c r="B434" s="51"/>
      <c r="C434" s="65"/>
      <c r="D434" s="76" t="s">
        <v>931</v>
      </c>
      <c r="E434" s="77"/>
      <c r="F434" s="77"/>
      <c r="G434" s="77"/>
      <c r="H434" s="77"/>
      <c r="I434" s="77"/>
      <c r="J434" s="77"/>
      <c r="K434" s="77"/>
      <c r="L434" s="77"/>
      <c r="M434" s="77"/>
      <c r="N434" s="77"/>
      <c r="O434" s="77"/>
      <c r="P434" s="80"/>
      <c r="R434" s="150" t="str">
        <f>uberTipCN(E434,G431:M431)</f>
        <v>|n|n</v>
      </c>
      <c r="S434" s="53"/>
    </row>
    <row r="435" spans="1:19" s="16" customFormat="1" x14ac:dyDescent="0.35">
      <c r="A435" s="152"/>
      <c r="B435" s="51"/>
      <c r="C435" s="65"/>
      <c r="D435" s="78" t="s">
        <v>932</v>
      </c>
      <c r="E435" s="79"/>
      <c r="F435" s="79"/>
      <c r="G435" s="79"/>
      <c r="H435" s="79"/>
      <c r="I435" s="79"/>
      <c r="J435" s="79"/>
      <c r="K435" s="79"/>
      <c r="L435" s="79"/>
      <c r="M435" s="79"/>
      <c r="N435" s="79"/>
      <c r="O435" s="79"/>
      <c r="P435" s="14"/>
      <c r="R435" s="150" t="str">
        <f>uberTipCN(E435,G432:M432)</f>
        <v>|n|n</v>
      </c>
      <c r="S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40" workbookViewId="0">
      <selection activeCell="I73" sqref="I73"/>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69" t="s">
        <v>20</v>
      </c>
      <c r="B2" s="19">
        <v>0</v>
      </c>
      <c r="C2" s="19" t="s">
        <v>112</v>
      </c>
      <c r="D2" s="19"/>
      <c r="E2" s="19"/>
      <c r="F2" s="19"/>
      <c r="G2" s="19"/>
      <c r="H2" s="19"/>
      <c r="I2" s="19"/>
      <c r="J2" s="18"/>
    </row>
    <row r="3" spans="1:10" ht="33" x14ac:dyDescent="0.35">
      <c r="A3" s="159"/>
      <c r="B3" s="20"/>
      <c r="C3" s="15" t="s">
        <v>114</v>
      </c>
      <c r="D3" s="15" t="s">
        <v>115</v>
      </c>
      <c r="E3" s="21">
        <v>0</v>
      </c>
      <c r="F3" s="18" t="s">
        <v>116</v>
      </c>
      <c r="G3" s="18" t="s">
        <v>117</v>
      </c>
      <c r="H3" s="18" t="s">
        <v>118</v>
      </c>
      <c r="I3" s="18" t="s">
        <v>119</v>
      </c>
      <c r="J3" s="18" t="s">
        <v>120</v>
      </c>
    </row>
    <row r="4" spans="1:10" x14ac:dyDescent="0.35">
      <c r="A4" s="159"/>
      <c r="B4" s="18">
        <v>1</v>
      </c>
      <c r="C4" s="18" t="s">
        <v>121</v>
      </c>
      <c r="D4" s="18" t="s">
        <v>122</v>
      </c>
      <c r="E4" s="18">
        <v>0</v>
      </c>
      <c r="F4" s="18">
        <v>1200</v>
      </c>
      <c r="G4" s="18" t="s">
        <v>123</v>
      </c>
      <c r="H4" s="18" t="s">
        <v>124</v>
      </c>
      <c r="I4" s="18" t="s">
        <v>125</v>
      </c>
      <c r="J4" s="18" t="s">
        <v>126</v>
      </c>
    </row>
    <row r="5" spans="1:10" ht="33" x14ac:dyDescent="0.35">
      <c r="A5" s="159"/>
      <c r="B5" s="18"/>
      <c r="C5" s="18" t="s">
        <v>127</v>
      </c>
      <c r="D5" s="18" t="s">
        <v>128</v>
      </c>
      <c r="E5" s="18">
        <v>10</v>
      </c>
      <c r="F5" s="18">
        <v>900</v>
      </c>
      <c r="G5" s="18" t="s">
        <v>123</v>
      </c>
      <c r="H5" s="18" t="s">
        <v>129</v>
      </c>
      <c r="I5" s="18" t="s">
        <v>130</v>
      </c>
      <c r="J5" s="18" t="s">
        <v>131</v>
      </c>
    </row>
    <row r="6" spans="1:10" x14ac:dyDescent="0.35">
      <c r="A6" s="159"/>
      <c r="B6" s="18" t="s">
        <v>132</v>
      </c>
      <c r="C6" s="18" t="s">
        <v>133</v>
      </c>
      <c r="D6" s="18" t="s">
        <v>134</v>
      </c>
      <c r="E6" s="18">
        <v>0</v>
      </c>
      <c r="F6" s="18">
        <v>0</v>
      </c>
      <c r="G6" s="18" t="s">
        <v>135</v>
      </c>
      <c r="H6" s="18"/>
      <c r="I6" s="18" t="s">
        <v>136</v>
      </c>
      <c r="J6" s="18"/>
    </row>
    <row r="7" spans="1:10" x14ac:dyDescent="0.35">
      <c r="A7" s="159"/>
      <c r="B7" s="18"/>
      <c r="C7" s="18" t="s">
        <v>137</v>
      </c>
      <c r="D7" s="18" t="s">
        <v>138</v>
      </c>
      <c r="E7" s="18"/>
      <c r="F7" s="18"/>
      <c r="G7" s="18">
        <v>1</v>
      </c>
      <c r="H7" s="18"/>
      <c r="I7" s="18" t="s">
        <v>139</v>
      </c>
      <c r="J7" s="18" t="s">
        <v>140</v>
      </c>
    </row>
    <row r="8" spans="1:10" ht="33" x14ac:dyDescent="0.35">
      <c r="A8" s="159"/>
      <c r="B8" s="18"/>
      <c r="C8" s="22" t="s">
        <v>141</v>
      </c>
      <c r="D8" s="22" t="s">
        <v>143</v>
      </c>
      <c r="E8" s="22">
        <v>0</v>
      </c>
      <c r="F8" s="22">
        <v>900</v>
      </c>
      <c r="G8" s="22">
        <v>20</v>
      </c>
      <c r="H8" s="22" t="s">
        <v>204</v>
      </c>
      <c r="I8" s="22" t="s">
        <v>205</v>
      </c>
      <c r="J8" s="18" t="s">
        <v>206</v>
      </c>
    </row>
    <row r="9" spans="1:10" x14ac:dyDescent="0.35">
      <c r="A9" s="159"/>
      <c r="B9" s="18" t="s">
        <v>208</v>
      </c>
      <c r="C9" s="18" t="s">
        <v>209</v>
      </c>
      <c r="D9" s="18" t="s">
        <v>211</v>
      </c>
      <c r="E9" s="18">
        <v>1</v>
      </c>
      <c r="F9" s="18" t="s">
        <v>116</v>
      </c>
      <c r="G9" s="18">
        <v>0</v>
      </c>
      <c r="H9" s="18" t="s">
        <v>212</v>
      </c>
      <c r="I9" s="18" t="s">
        <v>213</v>
      </c>
      <c r="J9" s="18" t="s">
        <v>214</v>
      </c>
    </row>
    <row r="10" spans="1:10" x14ac:dyDescent="0.35">
      <c r="A10" s="169" t="s">
        <v>1719</v>
      </c>
      <c r="B10" s="19">
        <v>0</v>
      </c>
      <c r="C10" s="168" t="s">
        <v>112</v>
      </c>
      <c r="D10" s="154"/>
      <c r="E10" s="154"/>
      <c r="F10" s="154"/>
      <c r="G10" s="154"/>
      <c r="H10" s="154"/>
      <c r="I10" s="154"/>
      <c r="J10" s="18"/>
    </row>
    <row r="11" spans="1:10" ht="33" x14ac:dyDescent="0.35">
      <c r="A11" s="159"/>
      <c r="B11" s="169">
        <v>1</v>
      </c>
      <c r="C11" s="18" t="s">
        <v>252</v>
      </c>
      <c r="D11" s="18" t="s">
        <v>253</v>
      </c>
      <c r="E11" s="18">
        <v>0</v>
      </c>
      <c r="F11" s="18">
        <v>900</v>
      </c>
      <c r="G11" s="18" t="s">
        <v>255</v>
      </c>
      <c r="H11" s="18" t="s">
        <v>256</v>
      </c>
      <c r="I11" s="18" t="s">
        <v>257</v>
      </c>
      <c r="J11" s="18" t="s">
        <v>258</v>
      </c>
    </row>
    <row r="12" spans="1:10" x14ac:dyDescent="0.35">
      <c r="A12" s="159"/>
      <c r="B12" s="159"/>
      <c r="C12" s="18" t="s">
        <v>259</v>
      </c>
      <c r="D12" s="18" t="s">
        <v>260</v>
      </c>
      <c r="E12" s="18">
        <v>0</v>
      </c>
      <c r="F12" s="18">
        <v>900</v>
      </c>
      <c r="G12" s="18" t="s">
        <v>123</v>
      </c>
      <c r="H12" s="18" t="s">
        <v>261</v>
      </c>
      <c r="I12" s="18" t="s">
        <v>262</v>
      </c>
      <c r="J12" s="18" t="s">
        <v>263</v>
      </c>
    </row>
    <row r="13" spans="1:10" x14ac:dyDescent="0.35">
      <c r="A13" s="159"/>
      <c r="B13" s="159"/>
      <c r="C13" s="22" t="s">
        <v>265</v>
      </c>
      <c r="D13" s="22" t="s">
        <v>266</v>
      </c>
      <c r="E13" s="22">
        <v>0</v>
      </c>
      <c r="F13" s="22">
        <v>0</v>
      </c>
      <c r="G13" s="22">
        <v>20</v>
      </c>
      <c r="H13" s="22"/>
      <c r="I13" s="22" t="s">
        <v>267</v>
      </c>
      <c r="J13" s="18" t="s">
        <v>268</v>
      </c>
    </row>
    <row r="14" spans="1:10" x14ac:dyDescent="0.35">
      <c r="A14" s="159"/>
      <c r="B14" s="159"/>
      <c r="C14" s="18" t="s">
        <v>269</v>
      </c>
      <c r="D14" s="18" t="s">
        <v>270</v>
      </c>
      <c r="E14" s="18" t="s">
        <v>271</v>
      </c>
      <c r="F14" s="18" t="s">
        <v>272</v>
      </c>
      <c r="G14" s="18" t="s">
        <v>273</v>
      </c>
      <c r="H14" s="18" t="s">
        <v>274</v>
      </c>
      <c r="I14" s="18" t="s">
        <v>275</v>
      </c>
      <c r="J14" s="18" t="s">
        <v>276</v>
      </c>
    </row>
    <row r="15" spans="1:10" x14ac:dyDescent="0.35">
      <c r="A15" s="159"/>
      <c r="B15" s="18" t="s">
        <v>277</v>
      </c>
      <c r="C15" s="18" t="s">
        <v>278</v>
      </c>
      <c r="D15" s="18" t="s">
        <v>279</v>
      </c>
      <c r="E15" s="18">
        <v>0</v>
      </c>
      <c r="F15" s="18">
        <v>0</v>
      </c>
      <c r="G15" s="18" t="s">
        <v>135</v>
      </c>
      <c r="H15" s="18"/>
      <c r="I15" s="18" t="s">
        <v>280</v>
      </c>
      <c r="J15" s="18" t="s">
        <v>281</v>
      </c>
    </row>
    <row r="16" spans="1:10" x14ac:dyDescent="0.35">
      <c r="A16" s="159"/>
      <c r="B16" s="18" t="s">
        <v>282</v>
      </c>
      <c r="C16" s="18" t="s">
        <v>283</v>
      </c>
      <c r="D16" s="18" t="s">
        <v>284</v>
      </c>
      <c r="E16" s="18">
        <v>0</v>
      </c>
      <c r="F16" s="18">
        <v>0</v>
      </c>
      <c r="G16" s="18" t="s">
        <v>135</v>
      </c>
      <c r="H16" s="18"/>
      <c r="I16" s="18" t="s">
        <v>285</v>
      </c>
      <c r="J16" s="18" t="s">
        <v>286</v>
      </c>
    </row>
    <row r="17" spans="1:10" x14ac:dyDescent="0.35">
      <c r="A17" s="169" t="s">
        <v>287</v>
      </c>
      <c r="B17" s="19">
        <v>0</v>
      </c>
      <c r="C17" s="168" t="s">
        <v>289</v>
      </c>
      <c r="D17" s="154"/>
      <c r="E17" s="154"/>
      <c r="F17" s="154"/>
      <c r="G17" s="154"/>
      <c r="H17" s="154"/>
      <c r="I17" s="154"/>
      <c r="J17" s="18"/>
    </row>
    <row r="18" spans="1:10" ht="33" x14ac:dyDescent="0.35">
      <c r="A18" s="159"/>
      <c r="B18" s="169" t="s">
        <v>293</v>
      </c>
      <c r="C18" s="18" t="s">
        <v>294</v>
      </c>
      <c r="D18" s="18" t="s">
        <v>295</v>
      </c>
      <c r="E18" s="18">
        <v>3</v>
      </c>
      <c r="F18" s="18">
        <v>450</v>
      </c>
      <c r="G18" s="18" t="s">
        <v>296</v>
      </c>
      <c r="H18" s="18" t="s">
        <v>297</v>
      </c>
      <c r="I18" s="18" t="s">
        <v>298</v>
      </c>
      <c r="J18" s="18"/>
    </row>
    <row r="19" spans="1:10" x14ac:dyDescent="0.35">
      <c r="A19" s="159"/>
      <c r="B19" s="159"/>
      <c r="C19" s="18" t="s">
        <v>299</v>
      </c>
      <c r="D19" s="18" t="s">
        <v>300</v>
      </c>
      <c r="E19" s="18">
        <v>0</v>
      </c>
      <c r="F19" s="18">
        <v>900</v>
      </c>
      <c r="G19" s="18" t="s">
        <v>301</v>
      </c>
      <c r="H19" s="18" t="s">
        <v>302</v>
      </c>
      <c r="I19" s="18" t="s">
        <v>303</v>
      </c>
      <c r="J19" s="18"/>
    </row>
    <row r="20" spans="1:10" x14ac:dyDescent="0.35">
      <c r="A20" s="159"/>
      <c r="B20" s="169" t="s">
        <v>304</v>
      </c>
      <c r="C20" s="18" t="s">
        <v>305</v>
      </c>
      <c r="D20" s="18" t="s">
        <v>306</v>
      </c>
      <c r="E20" s="18">
        <v>0</v>
      </c>
      <c r="F20" s="18">
        <v>100</v>
      </c>
      <c r="G20" s="18" t="s">
        <v>307</v>
      </c>
      <c r="H20" s="18" t="s">
        <v>308</v>
      </c>
      <c r="I20" s="18" t="s">
        <v>309</v>
      </c>
      <c r="J20" s="18"/>
    </row>
    <row r="21" spans="1:10" x14ac:dyDescent="0.35">
      <c r="A21" s="159"/>
      <c r="B21" s="159"/>
      <c r="C21" s="18" t="s">
        <v>310</v>
      </c>
      <c r="D21" s="18" t="s">
        <v>311</v>
      </c>
      <c r="E21" s="18">
        <v>0</v>
      </c>
      <c r="F21" s="18">
        <v>0</v>
      </c>
      <c r="G21" s="18" t="s">
        <v>312</v>
      </c>
      <c r="H21" s="18" t="s">
        <v>313</v>
      </c>
      <c r="I21" s="18" t="s">
        <v>314</v>
      </c>
      <c r="J21" s="18"/>
    </row>
    <row r="22" spans="1:10" x14ac:dyDescent="0.35">
      <c r="A22" s="159"/>
      <c r="B22" s="159"/>
      <c r="C22" s="18" t="s">
        <v>315</v>
      </c>
      <c r="D22" s="18" t="s">
        <v>317</v>
      </c>
      <c r="E22" s="18">
        <v>0</v>
      </c>
      <c r="F22" s="18" t="s">
        <v>318</v>
      </c>
      <c r="G22" s="18">
        <v>25</v>
      </c>
      <c r="H22" s="18"/>
      <c r="I22" s="18" t="s">
        <v>320</v>
      </c>
      <c r="J22" s="18"/>
    </row>
    <row r="23" spans="1:10" x14ac:dyDescent="0.35">
      <c r="A23" s="159"/>
      <c r="B23" s="18" t="s">
        <v>282</v>
      </c>
      <c r="C23" s="18" t="s">
        <v>283</v>
      </c>
      <c r="D23" s="18" t="s">
        <v>284</v>
      </c>
      <c r="E23" s="18">
        <v>0</v>
      </c>
      <c r="F23" s="18">
        <v>0</v>
      </c>
      <c r="G23" s="18" t="s">
        <v>135</v>
      </c>
      <c r="H23" s="18"/>
      <c r="I23" s="18" t="s">
        <v>285</v>
      </c>
      <c r="J23" s="18"/>
    </row>
    <row r="24" spans="1:10" x14ac:dyDescent="0.35">
      <c r="A24" s="169" t="s">
        <v>323</v>
      </c>
      <c r="B24" s="19">
        <v>0</v>
      </c>
      <c r="C24" s="19" t="s">
        <v>112</v>
      </c>
      <c r="D24" s="19"/>
      <c r="E24" s="19"/>
      <c r="F24" s="19"/>
      <c r="G24" s="19"/>
      <c r="H24" s="19"/>
      <c r="I24" s="19"/>
      <c r="J24" s="18"/>
    </row>
    <row r="25" spans="1:10" x14ac:dyDescent="0.35">
      <c r="A25" s="159"/>
      <c r="B25" s="18">
        <v>1</v>
      </c>
      <c r="C25" s="18" t="s">
        <v>324</v>
      </c>
      <c r="D25" s="18" t="s">
        <v>325</v>
      </c>
      <c r="E25" s="18"/>
      <c r="F25" s="18" t="s">
        <v>326</v>
      </c>
      <c r="G25" s="18">
        <v>20</v>
      </c>
      <c r="H25" s="18" t="s">
        <v>327</v>
      </c>
      <c r="I25" s="18"/>
      <c r="J25" s="18"/>
    </row>
    <row r="26" spans="1:10" x14ac:dyDescent="0.35">
      <c r="A26" s="159"/>
      <c r="B26" s="18"/>
      <c r="C26" s="18" t="s">
        <v>328</v>
      </c>
      <c r="D26" s="18" t="s">
        <v>329</v>
      </c>
      <c r="E26" s="18">
        <v>10</v>
      </c>
      <c r="F26" s="18"/>
      <c r="G26" s="18">
        <v>40</v>
      </c>
      <c r="H26" s="18" t="s">
        <v>331</v>
      </c>
      <c r="I26" s="18" t="s">
        <v>332</v>
      </c>
      <c r="J26" s="18"/>
    </row>
    <row r="27" spans="1:10" x14ac:dyDescent="0.35">
      <c r="A27" s="159"/>
      <c r="B27" s="18"/>
      <c r="C27" s="23" t="s">
        <v>334</v>
      </c>
      <c r="D27" s="23" t="s">
        <v>342</v>
      </c>
      <c r="E27" s="23">
        <v>10</v>
      </c>
      <c r="F27" s="23"/>
      <c r="G27" s="23">
        <v>30</v>
      </c>
      <c r="H27" s="23" t="s">
        <v>348</v>
      </c>
      <c r="I27" s="23" t="s">
        <v>350</v>
      </c>
      <c r="J27" s="18"/>
    </row>
    <row r="28" spans="1:10" x14ac:dyDescent="0.35">
      <c r="A28" s="159"/>
      <c r="B28" s="18" t="s">
        <v>353</v>
      </c>
      <c r="C28" s="18" t="s">
        <v>278</v>
      </c>
      <c r="D28" s="18" t="s">
        <v>354</v>
      </c>
      <c r="E28" s="18"/>
      <c r="F28" s="18"/>
      <c r="G28" s="18" t="s">
        <v>135</v>
      </c>
      <c r="H28" s="18"/>
      <c r="I28" s="18" t="s">
        <v>355</v>
      </c>
      <c r="J28" s="18"/>
    </row>
    <row r="29" spans="1:10" x14ac:dyDescent="0.35">
      <c r="A29" s="159"/>
      <c r="B29" s="18" t="s">
        <v>356</v>
      </c>
      <c r="C29" s="18" t="s">
        <v>283</v>
      </c>
      <c r="D29" s="18" t="s">
        <v>284</v>
      </c>
      <c r="E29" s="18"/>
      <c r="F29" s="18"/>
      <c r="G29" s="18" t="s">
        <v>135</v>
      </c>
      <c r="H29" s="18"/>
      <c r="I29" s="18" t="s">
        <v>285</v>
      </c>
      <c r="J29" s="18"/>
    </row>
    <row r="30" spans="1:10" x14ac:dyDescent="0.35">
      <c r="A30" s="169" t="s">
        <v>357</v>
      </c>
      <c r="B30" s="19">
        <v>0</v>
      </c>
      <c r="C30" s="19" t="s">
        <v>361</v>
      </c>
      <c r="D30" s="19"/>
      <c r="E30" s="19"/>
      <c r="F30" s="19"/>
      <c r="G30" s="19"/>
      <c r="H30" s="19"/>
      <c r="I30" s="19"/>
      <c r="J30" s="18"/>
    </row>
    <row r="31" spans="1:10" ht="66" x14ac:dyDescent="0.35">
      <c r="A31" s="159"/>
      <c r="B31" s="18">
        <v>1</v>
      </c>
      <c r="C31" s="18"/>
      <c r="D31" s="18" t="s">
        <v>363</v>
      </c>
      <c r="E31" s="18">
        <v>0</v>
      </c>
      <c r="F31" s="18">
        <v>9999</v>
      </c>
      <c r="G31" s="18">
        <v>15</v>
      </c>
      <c r="H31" s="18"/>
      <c r="I31" s="18" t="s">
        <v>366</v>
      </c>
      <c r="J31" s="18" t="s">
        <v>368</v>
      </c>
    </row>
    <row r="32" spans="1:10" ht="49.5" x14ac:dyDescent="0.35">
      <c r="A32" s="159"/>
      <c r="B32" s="18" t="s">
        <v>369</v>
      </c>
      <c r="C32" s="18"/>
      <c r="D32" s="18" t="s">
        <v>371</v>
      </c>
      <c r="E32" s="18"/>
      <c r="F32" s="18">
        <v>9999</v>
      </c>
      <c r="G32" s="18">
        <v>25</v>
      </c>
      <c r="H32" s="18" t="s">
        <v>373</v>
      </c>
      <c r="I32" s="18" t="s">
        <v>374</v>
      </c>
      <c r="J32" s="18" t="s">
        <v>375</v>
      </c>
    </row>
    <row r="33" spans="1:10" ht="99" x14ac:dyDescent="0.35">
      <c r="A33" s="159"/>
      <c r="B33" s="18"/>
      <c r="C33" s="18"/>
      <c r="D33" s="18" t="s">
        <v>377</v>
      </c>
      <c r="E33" s="18">
        <v>5</v>
      </c>
      <c r="F33" s="18">
        <v>9999</v>
      </c>
      <c r="G33" s="18">
        <v>25</v>
      </c>
      <c r="H33" s="18" t="s">
        <v>380</v>
      </c>
      <c r="I33" s="18" t="s">
        <v>384</v>
      </c>
      <c r="J33" s="18" t="s">
        <v>387</v>
      </c>
    </row>
    <row r="34" spans="1:10" ht="49.5" x14ac:dyDescent="0.35">
      <c r="A34" s="159"/>
      <c r="B34" s="18" t="s">
        <v>388</v>
      </c>
      <c r="C34" s="18"/>
      <c r="D34" s="18" t="s">
        <v>390</v>
      </c>
      <c r="E34" s="18"/>
      <c r="F34" s="18">
        <v>9999</v>
      </c>
      <c r="G34" s="18">
        <v>15</v>
      </c>
      <c r="H34" s="18"/>
      <c r="I34" s="18" t="s">
        <v>395</v>
      </c>
      <c r="J34" s="18" t="s">
        <v>126</v>
      </c>
    </row>
    <row r="35" spans="1:10" ht="33" x14ac:dyDescent="0.35">
      <c r="A35" s="159"/>
      <c r="B35" s="18" t="s">
        <v>398</v>
      </c>
      <c r="C35" s="18"/>
      <c r="D35" s="18" t="s">
        <v>399</v>
      </c>
      <c r="E35" s="18">
        <v>0</v>
      </c>
      <c r="F35" s="18">
        <v>0</v>
      </c>
      <c r="G35" s="18">
        <v>15</v>
      </c>
      <c r="H35" s="18"/>
      <c r="I35" s="18" t="s">
        <v>404</v>
      </c>
      <c r="J35" s="18" t="s">
        <v>407</v>
      </c>
    </row>
    <row r="36" spans="1:10" x14ac:dyDescent="0.35">
      <c r="A36" s="169" t="s">
        <v>410</v>
      </c>
      <c r="B36" s="24">
        <v>0</v>
      </c>
      <c r="C36" s="24" t="s">
        <v>361</v>
      </c>
      <c r="D36" s="24"/>
      <c r="E36" s="24"/>
      <c r="F36" s="24"/>
      <c r="G36" s="24"/>
      <c r="H36" s="24"/>
      <c r="I36" s="24"/>
      <c r="J36" s="18"/>
    </row>
    <row r="37" spans="1:10" ht="82.5" x14ac:dyDescent="0.35">
      <c r="A37" s="159"/>
      <c r="B37" s="18" t="s">
        <v>606</v>
      </c>
      <c r="C37" s="18"/>
      <c r="D37" s="18" t="s">
        <v>607</v>
      </c>
      <c r="E37" s="18"/>
      <c r="F37" s="18"/>
      <c r="G37" s="18">
        <v>20</v>
      </c>
      <c r="H37" s="18"/>
      <c r="I37" s="18" t="s">
        <v>608</v>
      </c>
      <c r="J37" s="18"/>
    </row>
    <row r="38" spans="1:10" ht="33" x14ac:dyDescent="0.35">
      <c r="A38" s="159"/>
      <c r="B38" s="18"/>
      <c r="C38" s="18"/>
      <c r="D38" s="18" t="s">
        <v>609</v>
      </c>
      <c r="E38" s="18"/>
      <c r="F38" s="18"/>
      <c r="G38" s="18">
        <v>12</v>
      </c>
      <c r="H38" s="18"/>
      <c r="I38" s="18" t="s">
        <v>610</v>
      </c>
      <c r="J38" s="18"/>
    </row>
    <row r="39" spans="1:10" ht="33" x14ac:dyDescent="0.35">
      <c r="A39" s="159"/>
      <c r="B39" s="18"/>
      <c r="C39" s="18"/>
      <c r="D39" s="18" t="s">
        <v>611</v>
      </c>
      <c r="E39" s="18"/>
      <c r="F39" s="18"/>
      <c r="G39" s="18">
        <v>15</v>
      </c>
      <c r="H39" s="18"/>
      <c r="I39" s="18" t="s">
        <v>612</v>
      </c>
      <c r="J39" s="18"/>
    </row>
    <row r="40" spans="1:10" ht="49.5" x14ac:dyDescent="0.35">
      <c r="A40" s="159"/>
      <c r="B40" s="18" t="s">
        <v>613</v>
      </c>
      <c r="C40" s="18"/>
      <c r="D40" s="18" t="s">
        <v>614</v>
      </c>
      <c r="E40" s="18">
        <v>4</v>
      </c>
      <c r="F40" s="18"/>
      <c r="G40" s="18">
        <v>15</v>
      </c>
      <c r="H40" s="18"/>
      <c r="I40" s="18" t="s">
        <v>615</v>
      </c>
      <c r="J40" s="18"/>
    </row>
    <row r="41" spans="1:10" x14ac:dyDescent="0.35">
      <c r="A41" s="159"/>
      <c r="B41" s="18"/>
      <c r="C41" s="18"/>
      <c r="D41" s="18" t="s">
        <v>616</v>
      </c>
      <c r="E41" s="18">
        <v>0</v>
      </c>
      <c r="F41" s="18"/>
      <c r="G41" s="18">
        <v>10</v>
      </c>
      <c r="H41" s="18"/>
      <c r="I41" s="18" t="s">
        <v>617</v>
      </c>
      <c r="J41" s="18"/>
    </row>
    <row r="42" spans="1:10" ht="49.5" x14ac:dyDescent="0.35">
      <c r="A42" s="159"/>
      <c r="B42" s="18" t="s">
        <v>618</v>
      </c>
      <c r="C42" s="18"/>
      <c r="D42" s="18"/>
      <c r="E42" s="18"/>
      <c r="F42" s="18"/>
      <c r="G42" s="18"/>
      <c r="H42" s="18"/>
      <c r="I42" s="18" t="s">
        <v>619</v>
      </c>
      <c r="J42" s="18"/>
    </row>
    <row r="43" spans="1:10" x14ac:dyDescent="0.35">
      <c r="A43" s="169" t="s">
        <v>620</v>
      </c>
      <c r="B43" s="19">
        <v>0</v>
      </c>
      <c r="C43" s="19" t="s">
        <v>112</v>
      </c>
      <c r="D43" s="19"/>
      <c r="E43" s="19"/>
      <c r="F43" s="19"/>
      <c r="G43" s="19"/>
      <c r="H43" s="19"/>
      <c r="I43" s="19"/>
      <c r="J43" s="18"/>
    </row>
    <row r="44" spans="1:10" x14ac:dyDescent="0.35">
      <c r="A44" s="159"/>
      <c r="B44" s="18">
        <v>1</v>
      </c>
      <c r="C44" s="18" t="s">
        <v>621</v>
      </c>
      <c r="D44" s="18" t="s">
        <v>622</v>
      </c>
      <c r="E44" s="18">
        <v>10</v>
      </c>
      <c r="F44" s="18"/>
      <c r="G44" s="18" t="s">
        <v>623</v>
      </c>
      <c r="H44" s="18" t="s">
        <v>624</v>
      </c>
      <c r="I44" s="18" t="s">
        <v>625</v>
      </c>
      <c r="J44" s="18"/>
    </row>
    <row r="45" spans="1:10" x14ac:dyDescent="0.35">
      <c r="A45" s="159"/>
      <c r="B45" s="18"/>
      <c r="C45" s="18" t="s">
        <v>626</v>
      </c>
      <c r="D45" s="18" t="s">
        <v>627</v>
      </c>
      <c r="E45" s="18"/>
      <c r="F45" s="18"/>
      <c r="G45" s="18"/>
      <c r="H45" s="18"/>
      <c r="I45" s="18"/>
      <c r="J45" s="18"/>
    </row>
    <row r="46" spans="1:10" x14ac:dyDescent="0.35">
      <c r="A46" s="159"/>
      <c r="B46" s="18"/>
      <c r="C46" s="18" t="s">
        <v>628</v>
      </c>
      <c r="D46" s="18" t="s">
        <v>629</v>
      </c>
      <c r="E46" s="18">
        <v>0</v>
      </c>
      <c r="F46" s="18"/>
      <c r="G46" s="18" t="s">
        <v>630</v>
      </c>
      <c r="H46" s="18"/>
      <c r="I46" s="18" t="s">
        <v>631</v>
      </c>
      <c r="J46" s="18"/>
    </row>
    <row r="47" spans="1:10" x14ac:dyDescent="0.35">
      <c r="A47" s="159"/>
      <c r="B47" s="18" t="s">
        <v>8</v>
      </c>
      <c r="C47" s="18" t="s">
        <v>21</v>
      </c>
      <c r="D47" s="18" t="s">
        <v>632</v>
      </c>
      <c r="E47" s="18"/>
      <c r="F47" s="18" t="s">
        <v>633</v>
      </c>
      <c r="G47" s="18">
        <v>10</v>
      </c>
      <c r="H47" s="18" t="s">
        <v>634</v>
      </c>
      <c r="I47" s="18" t="s">
        <v>635</v>
      </c>
      <c r="J47" s="18"/>
    </row>
    <row r="48" spans="1:10" ht="33" x14ac:dyDescent="0.35">
      <c r="A48" s="159"/>
      <c r="B48" s="18"/>
      <c r="C48" s="18" t="s">
        <v>37</v>
      </c>
      <c r="D48" s="18" t="s">
        <v>636</v>
      </c>
      <c r="E48" s="18"/>
      <c r="F48" s="18"/>
      <c r="G48" s="18">
        <v>10</v>
      </c>
      <c r="H48" s="18" t="s">
        <v>637</v>
      </c>
      <c r="I48" s="18" t="s">
        <v>638</v>
      </c>
      <c r="J48" s="18"/>
    </row>
    <row r="49" spans="1:10" x14ac:dyDescent="0.35">
      <c r="A49" s="159"/>
      <c r="B49" s="18" t="s">
        <v>639</v>
      </c>
      <c r="C49" s="18" t="s">
        <v>49</v>
      </c>
      <c r="D49" s="18" t="s">
        <v>640</v>
      </c>
      <c r="E49" s="18"/>
      <c r="F49" s="18"/>
      <c r="G49" s="18">
        <v>10</v>
      </c>
      <c r="H49" s="18" t="s">
        <v>641</v>
      </c>
      <c r="I49" s="18" t="s">
        <v>642</v>
      </c>
      <c r="J49" s="18"/>
    </row>
    <row r="50" spans="1:10" x14ac:dyDescent="0.35">
      <c r="A50" s="159"/>
      <c r="B50" s="18"/>
      <c r="C50" s="18" t="s">
        <v>59</v>
      </c>
      <c r="D50" s="18" t="s">
        <v>643</v>
      </c>
      <c r="E50" s="18">
        <v>3</v>
      </c>
      <c r="F50" s="18"/>
      <c r="G50" s="18">
        <v>12</v>
      </c>
      <c r="H50" s="18" t="s">
        <v>645</v>
      </c>
      <c r="I50" s="18" t="s">
        <v>646</v>
      </c>
      <c r="J50" s="18"/>
    </row>
    <row r="51" spans="1:10" x14ac:dyDescent="0.35">
      <c r="A51" s="159"/>
      <c r="B51" s="18" t="s">
        <v>78</v>
      </c>
      <c r="C51" s="18" t="s">
        <v>99</v>
      </c>
      <c r="D51" s="18" t="s">
        <v>648</v>
      </c>
      <c r="E51" s="18">
        <v>4</v>
      </c>
      <c r="F51" s="18"/>
      <c r="G51" s="18">
        <v>10</v>
      </c>
      <c r="H51" s="18" t="s">
        <v>649</v>
      </c>
      <c r="I51" s="18" t="s">
        <v>650</v>
      </c>
      <c r="J51" s="18"/>
    </row>
    <row r="52" spans="1:10" x14ac:dyDescent="0.35">
      <c r="A52" s="159"/>
      <c r="B52" s="18"/>
      <c r="C52" s="18" t="s">
        <v>79</v>
      </c>
      <c r="D52" s="18" t="s">
        <v>651</v>
      </c>
      <c r="E52" s="18"/>
      <c r="F52" s="18"/>
      <c r="G52" s="18">
        <v>10</v>
      </c>
      <c r="H52" s="18" t="s">
        <v>652</v>
      </c>
      <c r="I52" s="18" t="s">
        <v>653</v>
      </c>
      <c r="J52" s="18"/>
    </row>
    <row r="53" spans="1:10" x14ac:dyDescent="0.35">
      <c r="A53" s="159"/>
      <c r="B53" s="18" t="s">
        <v>109</v>
      </c>
      <c r="C53" s="18" t="s">
        <v>157</v>
      </c>
      <c r="D53" s="18" t="s">
        <v>656</v>
      </c>
      <c r="E53" s="18">
        <v>4</v>
      </c>
      <c r="F53" s="18"/>
      <c r="G53" s="18">
        <v>10</v>
      </c>
      <c r="H53" s="18" t="s">
        <v>658</v>
      </c>
      <c r="I53" s="18"/>
      <c r="J53" s="18"/>
    </row>
    <row r="54" spans="1:10" x14ac:dyDescent="0.35">
      <c r="A54" s="159"/>
      <c r="B54" s="18"/>
      <c r="C54" s="18" t="s">
        <v>162</v>
      </c>
      <c r="D54" s="18" t="s">
        <v>659</v>
      </c>
      <c r="E54" s="18"/>
      <c r="F54" s="18">
        <v>600</v>
      </c>
      <c r="G54" s="18" t="s">
        <v>123</v>
      </c>
      <c r="H54" s="18" t="s">
        <v>660</v>
      </c>
      <c r="I54" s="18"/>
      <c r="J54" s="18"/>
    </row>
    <row r="55" spans="1:10" x14ac:dyDescent="0.35">
      <c r="A55" s="159"/>
      <c r="B55" s="18" t="s">
        <v>181</v>
      </c>
      <c r="C55" s="18" t="s">
        <v>183</v>
      </c>
      <c r="D55" s="18" t="s">
        <v>663</v>
      </c>
      <c r="E55" s="18"/>
      <c r="F55" s="18"/>
      <c r="G55" s="18">
        <v>10</v>
      </c>
      <c r="H55" s="18" t="s">
        <v>667</v>
      </c>
      <c r="I55" s="18" t="s">
        <v>668</v>
      </c>
      <c r="J55" s="18"/>
    </row>
    <row r="56" spans="1:10" x14ac:dyDescent="0.35">
      <c r="A56" s="159"/>
      <c r="B56" s="18"/>
      <c r="C56" s="18" t="s">
        <v>194</v>
      </c>
      <c r="D56" s="18" t="s">
        <v>670</v>
      </c>
      <c r="E56" s="18"/>
      <c r="F56" s="18"/>
      <c r="G56" s="18">
        <v>10</v>
      </c>
      <c r="H56" s="18" t="s">
        <v>671</v>
      </c>
      <c r="I56" s="18" t="s">
        <v>668</v>
      </c>
      <c r="J56" s="18"/>
    </row>
    <row r="57" spans="1:10" x14ac:dyDescent="0.35">
      <c r="A57" s="159"/>
      <c r="B57" s="18" t="s">
        <v>292</v>
      </c>
      <c r="C57" s="18" t="s">
        <v>336</v>
      </c>
      <c r="D57" s="18" t="s">
        <v>673</v>
      </c>
      <c r="E57" s="18"/>
      <c r="F57" s="18"/>
      <c r="G57" s="18">
        <v>5</v>
      </c>
      <c r="H57" s="18" t="s">
        <v>674</v>
      </c>
      <c r="I57" s="18" t="s">
        <v>675</v>
      </c>
      <c r="J57" s="18"/>
    </row>
    <row r="58" spans="1:10" x14ac:dyDescent="0.35">
      <c r="A58" s="159"/>
      <c r="B58" s="18"/>
      <c r="C58" s="18" t="s">
        <v>330</v>
      </c>
      <c r="D58" s="18" t="s">
        <v>676</v>
      </c>
      <c r="E58" s="18"/>
      <c r="F58" s="18"/>
      <c r="G58" s="18"/>
      <c r="H58" s="18" t="s">
        <v>679</v>
      </c>
      <c r="I58" s="18"/>
      <c r="J58" s="18"/>
    </row>
    <row r="59" spans="1:10" x14ac:dyDescent="0.35">
      <c r="A59" s="159"/>
      <c r="B59" s="18" t="s">
        <v>215</v>
      </c>
      <c r="C59" s="18" t="s">
        <v>228</v>
      </c>
      <c r="D59" s="18" t="s">
        <v>684</v>
      </c>
      <c r="E59" s="18"/>
      <c r="F59" s="18"/>
      <c r="G59" s="18" t="s">
        <v>685</v>
      </c>
      <c r="H59" s="18" t="s">
        <v>686</v>
      </c>
      <c r="I59" s="18"/>
      <c r="J59" s="18"/>
    </row>
    <row r="60" spans="1:10" x14ac:dyDescent="0.35">
      <c r="A60" s="159"/>
      <c r="B60" s="18"/>
      <c r="C60" s="18" t="s">
        <v>239</v>
      </c>
      <c r="D60" s="18" t="s">
        <v>689</v>
      </c>
      <c r="E60" s="18"/>
      <c r="F60" s="18"/>
      <c r="G60" s="18">
        <v>10</v>
      </c>
      <c r="H60" s="18" t="s">
        <v>693</v>
      </c>
      <c r="I60" s="18" t="s">
        <v>694</v>
      </c>
      <c r="J60" s="18"/>
    </row>
    <row r="61" spans="1:10" x14ac:dyDescent="0.35">
      <c r="A61" s="159"/>
      <c r="B61" s="18" t="s">
        <v>343</v>
      </c>
      <c r="C61" s="18" t="s">
        <v>358</v>
      </c>
      <c r="D61" s="18" t="s">
        <v>696</v>
      </c>
      <c r="E61" s="18">
        <v>2</v>
      </c>
      <c r="F61" s="18">
        <v>600</v>
      </c>
      <c r="G61" s="18" t="s">
        <v>698</v>
      </c>
      <c r="H61" s="18" t="s">
        <v>699</v>
      </c>
      <c r="I61" s="18" t="s">
        <v>700</v>
      </c>
      <c r="J61" s="18"/>
    </row>
    <row r="62" spans="1:10" x14ac:dyDescent="0.35">
      <c r="A62" s="159"/>
      <c r="B62" s="18"/>
      <c r="C62" s="18" t="s">
        <v>392</v>
      </c>
      <c r="D62" s="18" t="s">
        <v>704</v>
      </c>
      <c r="E62" s="18"/>
      <c r="F62" s="18">
        <v>600</v>
      </c>
      <c r="G62" s="18" t="s">
        <v>707</v>
      </c>
      <c r="H62" s="18" t="s">
        <v>708</v>
      </c>
      <c r="I62" s="18" t="s">
        <v>709</v>
      </c>
      <c r="J62" s="18"/>
    </row>
    <row r="63" spans="1:10" x14ac:dyDescent="0.35">
      <c r="A63" s="159"/>
      <c r="B63" s="18" t="s">
        <v>418</v>
      </c>
      <c r="C63" s="18" t="s">
        <v>712</v>
      </c>
      <c r="D63" s="18" t="s">
        <v>713</v>
      </c>
      <c r="E63" s="18"/>
      <c r="F63" s="18"/>
      <c r="G63" s="18">
        <v>10</v>
      </c>
      <c r="H63" s="18" t="s">
        <v>715</v>
      </c>
      <c r="I63" s="18" t="s">
        <v>716</v>
      </c>
      <c r="J63" s="18"/>
    </row>
    <row r="64" spans="1:10" x14ac:dyDescent="0.35">
      <c r="A64" s="159"/>
      <c r="B64" s="18"/>
      <c r="C64" s="18" t="s">
        <v>719</v>
      </c>
      <c r="D64" s="18" t="s">
        <v>720</v>
      </c>
      <c r="E64" s="18"/>
      <c r="F64" s="18"/>
      <c r="G64" s="18">
        <v>15</v>
      </c>
      <c r="H64" s="18" t="s">
        <v>722</v>
      </c>
      <c r="I64" s="18" t="s">
        <v>723</v>
      </c>
      <c r="J64" s="18"/>
    </row>
    <row r="65" spans="1:10" x14ac:dyDescent="0.35">
      <c r="A65" s="159"/>
      <c r="B65" s="18" t="s">
        <v>605</v>
      </c>
      <c r="C65" s="18" t="s">
        <v>727</v>
      </c>
      <c r="D65" s="18" t="s">
        <v>729</v>
      </c>
      <c r="E65" s="18"/>
      <c r="F65" s="18"/>
      <c r="G65" s="18"/>
      <c r="H65" s="18"/>
      <c r="I65" s="18"/>
      <c r="J65" s="18"/>
    </row>
    <row r="66" spans="1:10" x14ac:dyDescent="0.35">
      <c r="A66" s="159"/>
      <c r="B66" s="18"/>
      <c r="C66" s="18" t="s">
        <v>731</v>
      </c>
      <c r="D66" s="18" t="s">
        <v>732</v>
      </c>
      <c r="E66" s="18"/>
      <c r="F66" s="18"/>
      <c r="G66" s="18">
        <v>10</v>
      </c>
      <c r="H66" s="18" t="s">
        <v>735</v>
      </c>
      <c r="I66" s="18" t="s">
        <v>737</v>
      </c>
      <c r="J66" s="18"/>
    </row>
    <row r="67" spans="1:10" x14ac:dyDescent="0.35">
      <c r="A67" s="159"/>
      <c r="B67" s="18" t="s">
        <v>739</v>
      </c>
      <c r="C67" s="18" t="s">
        <v>740</v>
      </c>
      <c r="D67" s="18" t="s">
        <v>741</v>
      </c>
      <c r="E67" s="18"/>
      <c r="F67" s="18"/>
      <c r="G67" s="18">
        <v>10</v>
      </c>
      <c r="H67" s="18" t="s">
        <v>742</v>
      </c>
      <c r="I67" s="18" t="s">
        <v>743</v>
      </c>
      <c r="J67" s="18"/>
    </row>
    <row r="68" spans="1:10" x14ac:dyDescent="0.35">
      <c r="A68" s="159"/>
      <c r="B68" s="18"/>
      <c r="C68" s="18" t="s">
        <v>744</v>
      </c>
      <c r="D68" s="18" t="s">
        <v>745</v>
      </c>
      <c r="E68" s="18"/>
      <c r="F68" s="18"/>
      <c r="G68" s="18"/>
      <c r="H68" s="18"/>
      <c r="I68" s="18" t="s">
        <v>747</v>
      </c>
      <c r="J68" s="18"/>
    </row>
    <row r="69" spans="1:10" x14ac:dyDescent="0.35">
      <c r="A69" s="169" t="s">
        <v>1720</v>
      </c>
      <c r="B69" s="24">
        <v>0</v>
      </c>
      <c r="C69" s="24" t="s">
        <v>361</v>
      </c>
      <c r="D69" s="24"/>
      <c r="E69" s="24"/>
      <c r="F69" s="24"/>
      <c r="G69" s="24"/>
      <c r="H69" s="24"/>
      <c r="I69" s="24"/>
      <c r="J69" s="18"/>
    </row>
    <row r="70" spans="1:10" x14ac:dyDescent="0.35">
      <c r="A70" s="159"/>
      <c r="B70" s="18">
        <v>1</v>
      </c>
      <c r="C70" s="18"/>
      <c r="D70" s="18" t="s">
        <v>758</v>
      </c>
      <c r="E70" s="18"/>
      <c r="F70" s="18"/>
      <c r="G70" s="18"/>
      <c r="H70" s="18"/>
      <c r="I70" s="18" t="s">
        <v>760</v>
      </c>
      <c r="J70" s="18"/>
    </row>
    <row r="71" spans="1:10" ht="49.5" x14ac:dyDescent="0.35">
      <c r="A71" s="159"/>
      <c r="B71" s="18"/>
      <c r="C71" s="18"/>
      <c r="D71" s="18" t="s">
        <v>763</v>
      </c>
      <c r="E71" s="18"/>
      <c r="F71" s="18"/>
      <c r="G71" s="18"/>
      <c r="H71" s="18"/>
      <c r="I71" s="18" t="s">
        <v>767</v>
      </c>
      <c r="J71" s="18"/>
    </row>
    <row r="72" spans="1:10" ht="33" x14ac:dyDescent="0.35">
      <c r="A72" s="159"/>
      <c r="B72" s="18"/>
      <c r="C72" s="18"/>
      <c r="D72" s="18" t="s">
        <v>771</v>
      </c>
      <c r="E72" s="18"/>
      <c r="F72" s="18"/>
      <c r="G72" s="18"/>
      <c r="H72" s="18"/>
      <c r="I72" s="18" t="s">
        <v>773</v>
      </c>
      <c r="J72" s="18"/>
    </row>
    <row r="73" spans="1:10" ht="132" x14ac:dyDescent="0.35">
      <c r="A73" s="159"/>
      <c r="B73" s="18"/>
      <c r="C73" s="18"/>
      <c r="D73" s="18" t="s">
        <v>775</v>
      </c>
      <c r="E73" s="18"/>
      <c r="F73" s="18"/>
      <c r="G73" s="18"/>
      <c r="H73" s="18"/>
      <c r="I73" s="18" t="s">
        <v>778</v>
      </c>
      <c r="J73" s="18"/>
    </row>
    <row r="74" spans="1:10" ht="33" x14ac:dyDescent="0.35">
      <c r="A74" s="159"/>
      <c r="B74" s="25">
        <v>2</v>
      </c>
      <c r="C74" s="25"/>
      <c r="D74" s="25" t="s">
        <v>823</v>
      </c>
      <c r="E74" s="25"/>
      <c r="F74" s="25"/>
      <c r="G74" s="25"/>
      <c r="H74" s="25"/>
      <c r="I74" s="25" t="s">
        <v>824</v>
      </c>
      <c r="J74" s="18"/>
    </row>
    <row r="75" spans="1:10" ht="49.5" x14ac:dyDescent="0.35">
      <c r="A75" s="159"/>
      <c r="B75" s="25"/>
      <c r="C75" s="25"/>
      <c r="D75" s="25" t="s">
        <v>825</v>
      </c>
      <c r="E75" s="25"/>
      <c r="F75" s="25"/>
      <c r="G75" s="25"/>
      <c r="H75" s="25"/>
      <c r="I75" s="25" t="s">
        <v>826</v>
      </c>
      <c r="J75" s="18"/>
    </row>
    <row r="76" spans="1:10" ht="33" x14ac:dyDescent="0.35">
      <c r="A76" s="159"/>
      <c r="B76" s="26">
        <v>2</v>
      </c>
      <c r="C76" s="26"/>
      <c r="D76" s="26" t="s">
        <v>828</v>
      </c>
      <c r="E76" s="26"/>
      <c r="F76" s="26"/>
      <c r="G76" s="26">
        <v>10</v>
      </c>
      <c r="H76" s="26"/>
      <c r="I76" s="26" t="s">
        <v>829</v>
      </c>
      <c r="J76" s="18"/>
    </row>
    <row r="77" spans="1:10" ht="33" x14ac:dyDescent="0.35">
      <c r="A77" s="159"/>
      <c r="B77" s="27"/>
      <c r="C77" s="27"/>
      <c r="D77" s="27" t="s">
        <v>830</v>
      </c>
      <c r="E77" s="27"/>
      <c r="F77" s="27"/>
      <c r="G77" s="27"/>
      <c r="H77" s="27"/>
      <c r="I77" s="27" t="s">
        <v>832</v>
      </c>
      <c r="J77" s="18"/>
    </row>
    <row r="78" spans="1:10" ht="33" x14ac:dyDescent="0.35">
      <c r="A78" s="159"/>
      <c r="B78" s="28">
        <v>2</v>
      </c>
      <c r="C78" s="28"/>
      <c r="D78" s="28" t="s">
        <v>833</v>
      </c>
      <c r="E78" s="28"/>
      <c r="F78" s="28"/>
      <c r="G78" s="28"/>
      <c r="H78" s="28"/>
      <c r="I78" s="28" t="s">
        <v>834</v>
      </c>
      <c r="J78" s="18"/>
    </row>
    <row r="79" spans="1:10" x14ac:dyDescent="0.35">
      <c r="A79" s="159"/>
      <c r="B79" s="28"/>
      <c r="C79" s="28"/>
      <c r="D79" s="28" t="s">
        <v>835</v>
      </c>
      <c r="E79" s="28"/>
      <c r="F79" s="28"/>
      <c r="G79" s="28"/>
      <c r="H79" s="28"/>
      <c r="I79" s="28" t="s">
        <v>836</v>
      </c>
      <c r="J79" s="18"/>
    </row>
    <row r="80" spans="1:10" ht="49.5" x14ac:dyDescent="0.35">
      <c r="A80" s="159"/>
      <c r="B80" s="18" t="s">
        <v>837</v>
      </c>
      <c r="C80" s="18"/>
      <c r="D80" s="18" t="s">
        <v>838</v>
      </c>
      <c r="E80" s="18"/>
      <c r="F80" s="18"/>
      <c r="G80" s="18">
        <v>15</v>
      </c>
      <c r="H80" s="18"/>
      <c r="I80" s="18" t="s">
        <v>839</v>
      </c>
      <c r="J80" s="18"/>
    </row>
    <row r="81" spans="1:10" ht="33" x14ac:dyDescent="0.35">
      <c r="A81" s="159"/>
      <c r="D81" s="20" t="s">
        <v>840</v>
      </c>
      <c r="I81" s="20" t="s">
        <v>841</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P2" activePane="bottomRight" state="frozenSplit"/>
      <selection pane="topRight" activeCell="G1" sqref="G1"/>
      <selection pane="bottomLeft" activeCell="A2" sqref="A2"/>
      <selection pane="bottomRight" activeCell="Z3" sqref="Z3"/>
    </sheetView>
  </sheetViews>
  <sheetFormatPr defaultColWidth="17.28515625" defaultRowHeight="16.5" x14ac:dyDescent="0.35"/>
  <cols>
    <col min="1" max="1" width="4.7109375" style="145"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7" bestFit="1" customWidth="1"/>
    <col min="8" max="8" width="2.85546875" style="137" bestFit="1" customWidth="1"/>
    <col min="9" max="10" width="4.42578125" style="86" bestFit="1" customWidth="1"/>
    <col min="11" max="12" width="2.85546875" style="95" bestFit="1" customWidth="1"/>
    <col min="13" max="15" width="4.42578125" style="95" bestFit="1" customWidth="1"/>
    <col min="16" max="17" width="3.28515625" style="95" bestFit="1" customWidth="1"/>
    <col min="18" max="19" width="2.85546875" style="95" bestFit="1" customWidth="1"/>
    <col min="20" max="20" width="46.140625" style="15" customWidth="1"/>
    <col min="21" max="21" width="46.140625" style="98" customWidth="1"/>
    <col min="22" max="22" width="11.140625" style="95" bestFit="1" customWidth="1"/>
    <col min="23" max="23" width="9.5703125" style="95" bestFit="1" customWidth="1"/>
    <col min="24" max="24" width="14.28515625" style="15" bestFit="1" customWidth="1"/>
    <col min="25" max="25" width="8.5703125" style="15" bestFit="1" customWidth="1"/>
    <col min="26" max="26" width="13.5703125" style="95" customWidth="1"/>
    <col min="27" max="27" width="10.85546875" style="95" customWidth="1"/>
    <col min="28" max="28" width="11.140625" style="95" customWidth="1"/>
    <col min="29" max="30" width="4.7109375" style="15" bestFit="1" customWidth="1"/>
    <col min="31" max="16384" width="17.28515625" style="15"/>
  </cols>
  <sheetData>
    <row r="1" spans="1:30" s="85" customFormat="1" x14ac:dyDescent="0.35">
      <c r="A1" s="131" t="s">
        <v>14</v>
      </c>
      <c r="B1" s="83" t="s">
        <v>26</v>
      </c>
      <c r="C1" s="83" t="s">
        <v>13</v>
      </c>
      <c r="D1" s="83" t="s">
        <v>110</v>
      </c>
      <c r="E1" s="83" t="s">
        <v>16</v>
      </c>
      <c r="F1" s="83" t="s">
        <v>17</v>
      </c>
      <c r="G1" s="131" t="s">
        <v>1601</v>
      </c>
      <c r="H1" s="131" t="s">
        <v>1602</v>
      </c>
      <c r="I1" s="83" t="s">
        <v>1603</v>
      </c>
      <c r="J1" s="83" t="s">
        <v>1603</v>
      </c>
      <c r="K1" s="124" t="s">
        <v>4</v>
      </c>
      <c r="L1" s="88" t="s">
        <v>992</v>
      </c>
      <c r="M1" s="88" t="s">
        <v>18</v>
      </c>
      <c r="N1" s="88" t="s">
        <v>145</v>
      </c>
      <c r="O1" s="124" t="s">
        <v>3</v>
      </c>
      <c r="P1" s="89" t="s">
        <v>6</v>
      </c>
      <c r="Q1" s="125" t="s">
        <v>146</v>
      </c>
      <c r="R1" s="89" t="s">
        <v>147</v>
      </c>
      <c r="S1" s="89" t="s">
        <v>993</v>
      </c>
      <c r="T1" s="83"/>
      <c r="U1" s="83"/>
      <c r="V1" s="139" t="s">
        <v>1613</v>
      </c>
      <c r="W1" s="139" t="s">
        <v>1612</v>
      </c>
      <c r="X1" s="84" t="s">
        <v>148</v>
      </c>
      <c r="Y1" s="84" t="s">
        <v>149</v>
      </c>
      <c r="Z1" s="96" t="s">
        <v>1607</v>
      </c>
      <c r="AA1" s="141" t="s">
        <v>1610</v>
      </c>
      <c r="AB1" s="141" t="s">
        <v>1611</v>
      </c>
      <c r="AC1" s="85" t="s">
        <v>1605</v>
      </c>
      <c r="AD1" s="85" t="s">
        <v>1606</v>
      </c>
    </row>
    <row r="2" spans="1:30" x14ac:dyDescent="0.35">
      <c r="A2" s="142">
        <v>1</v>
      </c>
      <c r="B2" s="31"/>
      <c r="C2" s="31" t="s">
        <v>170</v>
      </c>
      <c r="D2" s="31" t="s">
        <v>171</v>
      </c>
      <c r="E2" s="31" t="s">
        <v>433</v>
      </c>
      <c r="F2" s="31" t="s">
        <v>434</v>
      </c>
      <c r="G2" s="132">
        <v>6500</v>
      </c>
      <c r="H2" s="132">
        <v>0</v>
      </c>
      <c r="I2" s="31">
        <v>250</v>
      </c>
      <c r="J2" s="31">
        <v>350</v>
      </c>
      <c r="K2" s="90">
        <v>3</v>
      </c>
      <c r="L2" s="90"/>
      <c r="M2" s="90">
        <v>600</v>
      </c>
      <c r="N2" s="90"/>
      <c r="O2" s="90">
        <v>75</v>
      </c>
      <c r="P2" s="90"/>
      <c r="Q2" s="90">
        <v>2</v>
      </c>
      <c r="R2" s="90"/>
      <c r="S2" s="90"/>
      <c r="T2" s="31" t="s">
        <v>435</v>
      </c>
      <c r="U2" s="31"/>
      <c r="V2" s="140" t="str">
        <f>E2</f>
        <v>闪电箭</v>
      </c>
      <c r="W2" s="140" t="str">
        <f t="shared" ref="W2:W15" si="0">T2</f>
        <v>造成320伤害</v>
      </c>
      <c r="X2" s="82" t="s">
        <v>436</v>
      </c>
      <c r="Y2" s="82"/>
      <c r="Z2" s="95" t="str">
        <f t="shared" ref="Z2:Z11" si="1">creepAbilityUberTipCN(T2,K2:Q2)</f>
        <v>造成320伤害|n|n|cff99ccff施法时间:|r 3秒|n|cff99ccff施法距离:|r 600码|n|cff99ccff法力消耗:|r 75点|n|cff99ccff冷却时间:|r 2秒|n</v>
      </c>
      <c r="AA2" s="95" t="str">
        <f>creepBuffTip(V2,S2)</f>
        <v>闪电箭</v>
      </c>
      <c r="AB2" s="95" t="str">
        <f>creepBuffUber(W2,R2)</f>
        <v>物理状态：造成320伤害</v>
      </c>
      <c r="AC2" s="15">
        <f>I2-H2-1</f>
        <v>249</v>
      </c>
      <c r="AD2" s="15">
        <f>J2-I2+1</f>
        <v>101</v>
      </c>
    </row>
    <row r="3" spans="1:30" x14ac:dyDescent="0.35">
      <c r="A3" s="142"/>
      <c r="B3" s="31"/>
      <c r="C3" s="31"/>
      <c r="D3" s="31"/>
      <c r="E3" s="31" t="s">
        <v>437</v>
      </c>
      <c r="F3" s="31" t="s">
        <v>438</v>
      </c>
      <c r="G3" s="132"/>
      <c r="H3" s="132"/>
      <c r="I3" s="31"/>
      <c r="J3" s="31"/>
      <c r="K3" s="90"/>
      <c r="L3" s="90"/>
      <c r="M3" s="90">
        <v>600</v>
      </c>
      <c r="N3" s="90"/>
      <c r="O3" s="90"/>
      <c r="P3" s="90">
        <v>5</v>
      </c>
      <c r="Q3" s="90">
        <v>8</v>
      </c>
      <c r="R3" s="90" t="s">
        <v>996</v>
      </c>
      <c r="S3" s="90" t="s">
        <v>994</v>
      </c>
      <c r="T3" s="31" t="s">
        <v>439</v>
      </c>
      <c r="U3" s="31"/>
      <c r="V3" s="140" t="str">
        <f t="shared" ref="V3:V44" si="2">E3</f>
        <v>冰霜冲击</v>
      </c>
      <c r="W3" s="140" t="str">
        <f t="shared" si="0"/>
        <v>造成200伤害,减攻击速度20%,移动速度30%,持续5秒</v>
      </c>
      <c r="X3" s="82" t="s">
        <v>440</v>
      </c>
      <c r="Y3" s="82"/>
      <c r="Z3" s="95" t="str">
        <f t="shared" si="1"/>
        <v>造成200伤害,减攻击速度20%,移动速度30%,持续5秒|n|n|cff99ccff施法距离:|r 600码|n|cff99ccff持续时间:|r 5秒|n|cff99ccff冷却时间:|r 8秒|n</v>
      </c>
      <c r="AA3" s="95" t="str">
        <f t="shared" ref="AA3:AA43" si="3">creepBuffTip(V3,S3)</f>
        <v>冰霜冲击</v>
      </c>
      <c r="AB3" s="95" t="str">
        <f t="shared" ref="AB3:AB43" si="4">creepBuffUber(W3,R3)</f>
        <v>|cff6666ff魔法|r状态：造成200伤害,减攻击速度20%,移动速度30%,持续5秒</v>
      </c>
      <c r="AC3" s="86">
        <f t="shared" ref="AC3:AC43" si="5">I3-H3-1</f>
        <v>-1</v>
      </c>
      <c r="AD3" s="98">
        <f t="shared" ref="AD3:AD43" si="6">J3-I3+1</f>
        <v>1</v>
      </c>
    </row>
    <row r="4" spans="1:30" ht="33" x14ac:dyDescent="0.35">
      <c r="A4" s="142" t="s">
        <v>1636</v>
      </c>
      <c r="B4" s="32"/>
      <c r="C4" s="32" t="s">
        <v>441</v>
      </c>
      <c r="D4" s="32" t="s">
        <v>442</v>
      </c>
      <c r="E4" s="32" t="s">
        <v>443</v>
      </c>
      <c r="F4" s="32" t="s">
        <v>444</v>
      </c>
      <c r="G4" s="133">
        <v>7500</v>
      </c>
      <c r="H4" s="133">
        <v>0</v>
      </c>
      <c r="I4" s="32">
        <v>200</v>
      </c>
      <c r="J4" s="32">
        <v>300</v>
      </c>
      <c r="K4" s="91">
        <v>3</v>
      </c>
      <c r="L4" s="91"/>
      <c r="M4" s="91">
        <v>800</v>
      </c>
      <c r="N4" s="91"/>
      <c r="O4" s="91">
        <v>200</v>
      </c>
      <c r="P4" s="91"/>
      <c r="Q4" s="91">
        <v>5</v>
      </c>
      <c r="R4" s="91"/>
      <c r="S4" s="91"/>
      <c r="T4" s="32" t="s">
        <v>445</v>
      </c>
      <c r="U4" s="32"/>
      <c r="V4" s="140" t="str">
        <f t="shared" si="2"/>
        <v>治疗链</v>
      </c>
      <c r="W4" s="140" t="str">
        <f t="shared" si="0"/>
        <v>治疗一个目标1000生命值, 每个目标递增50%, 最多3个目标.</v>
      </c>
      <c r="X4" s="82" t="s">
        <v>446</v>
      </c>
      <c r="Y4" s="82"/>
      <c r="Z4" s="95" t="str">
        <f t="shared" si="1"/>
        <v>治疗一个目标1000生命值, 每个目标递增50%, 最多3个目标.|n|n|cff99ccff施法时间:|r 3秒|n|cff99ccff施法距离:|r 800码|n|cff99ccff法力消耗:|r 200点|n|cff99ccff冷却时间:|r 5秒|n</v>
      </c>
      <c r="AA4" s="95" t="str">
        <f t="shared" si="3"/>
        <v>治疗链</v>
      </c>
      <c r="AB4" s="95" t="str">
        <f t="shared" si="4"/>
        <v>物理状态：治疗一个目标1000生命值, 每个目标递增50%, 最多3个目标.</v>
      </c>
      <c r="AC4" s="86">
        <f t="shared" si="5"/>
        <v>199</v>
      </c>
      <c r="AD4" s="98">
        <f t="shared" si="6"/>
        <v>101</v>
      </c>
    </row>
    <row r="5" spans="1:30" ht="33" x14ac:dyDescent="0.35">
      <c r="A5" s="142"/>
      <c r="B5" s="32"/>
      <c r="C5" s="32"/>
      <c r="D5" s="32"/>
      <c r="E5" s="32" t="s">
        <v>447</v>
      </c>
      <c r="F5" s="32" t="s">
        <v>448</v>
      </c>
      <c r="G5" s="133"/>
      <c r="H5" s="133"/>
      <c r="I5" s="32"/>
      <c r="J5" s="32"/>
      <c r="K5" s="91"/>
      <c r="L5" s="91"/>
      <c r="M5" s="91"/>
      <c r="N5" s="91"/>
      <c r="O5" s="91">
        <v>100</v>
      </c>
      <c r="P5" s="91">
        <v>20</v>
      </c>
      <c r="Q5" s="91">
        <v>15</v>
      </c>
      <c r="R5" s="91"/>
      <c r="S5" s="91"/>
      <c r="T5" s="32" t="s">
        <v>449</v>
      </c>
      <c r="U5" s="32"/>
      <c r="V5" s="140" t="str">
        <f t="shared" si="2"/>
        <v>治疗守卫</v>
      </c>
      <c r="W5" s="140" t="str">
        <f t="shared" si="0"/>
        <v>制造一个100生命值的守卫，每秒治疗附近友军5%生命值。</v>
      </c>
      <c r="X5" s="82" t="s">
        <v>450</v>
      </c>
      <c r="Y5" s="82"/>
      <c r="Z5" s="95" t="str">
        <f t="shared" si="1"/>
        <v>制造一个100生命值的守卫，每秒治疗附近友军5%生命值。|n|n|cff99ccff法力消耗:|r 100点|n|cff99ccff持续时间:|r 20秒|n|cff99ccff冷却时间:|r 15秒|n</v>
      </c>
      <c r="AA5" s="95" t="str">
        <f t="shared" si="3"/>
        <v>治疗守卫</v>
      </c>
      <c r="AB5" s="95" t="str">
        <f t="shared" si="4"/>
        <v>物理状态：制造一个100生命值的守卫，每秒治疗附近友军5%生命值。</v>
      </c>
      <c r="AC5" s="86">
        <f t="shared" si="5"/>
        <v>-1</v>
      </c>
      <c r="AD5" s="98">
        <f t="shared" si="6"/>
        <v>1</v>
      </c>
    </row>
    <row r="6" spans="1:30" ht="33" x14ac:dyDescent="0.35">
      <c r="A6" s="142"/>
      <c r="B6" s="32"/>
      <c r="C6" s="32"/>
      <c r="D6" s="32"/>
      <c r="E6" s="32" t="s">
        <v>451</v>
      </c>
      <c r="F6" s="32" t="s">
        <v>452</v>
      </c>
      <c r="G6" s="133"/>
      <c r="H6" s="133"/>
      <c r="I6" s="32"/>
      <c r="J6" s="32"/>
      <c r="K6" s="91"/>
      <c r="L6" s="91"/>
      <c r="M6" s="91"/>
      <c r="N6" s="91"/>
      <c r="O6" s="91">
        <v>100</v>
      </c>
      <c r="P6" s="91">
        <v>30</v>
      </c>
      <c r="Q6" s="91">
        <v>30</v>
      </c>
      <c r="R6" s="91" t="s">
        <v>995</v>
      </c>
      <c r="S6" s="91" t="s">
        <v>995</v>
      </c>
      <c r="T6" s="32" t="s">
        <v>453</v>
      </c>
      <c r="U6" s="32"/>
      <c r="V6" s="140" t="str">
        <f t="shared" si="2"/>
        <v>防护守卫</v>
      </c>
      <c r="W6" s="140" t="str">
        <f t="shared" si="0"/>
        <v>制造一个100生命值的守卫，使附近所有友军受到的伤害降低95%。</v>
      </c>
      <c r="X6" s="82" t="s">
        <v>454</v>
      </c>
      <c r="Y6" s="82"/>
      <c r="Z6" s="95" t="str">
        <f t="shared" si="1"/>
        <v>制造一个100生命值的守卫，使附近所有友军受到的伤害降低95%。|n|n|cff99ccff法力消耗:|r 100点|n|cff99ccff持续时间:|r 30秒|n|cff99ccff冷却时间:|r 30秒|n</v>
      </c>
      <c r="AA6" s="95" t="str">
        <f t="shared" si="3"/>
        <v>|cff00ff00防护守卫|r</v>
      </c>
      <c r="AB6" s="95" t="str">
        <f t="shared" si="4"/>
        <v>物理状态：制造一个100生命值的守卫，使附近所有友军受到的伤害降低95%。</v>
      </c>
      <c r="AC6" s="86">
        <f t="shared" si="5"/>
        <v>-1</v>
      </c>
      <c r="AD6" s="98">
        <f t="shared" si="6"/>
        <v>1</v>
      </c>
    </row>
    <row r="7" spans="1:30" ht="33" x14ac:dyDescent="0.35">
      <c r="A7" s="142">
        <v>2</v>
      </c>
      <c r="B7" s="31"/>
      <c r="C7" s="31" t="s">
        <v>455</v>
      </c>
      <c r="D7" s="31" t="s">
        <v>456</v>
      </c>
      <c r="E7" s="31" t="s">
        <v>457</v>
      </c>
      <c r="F7" s="31" t="s">
        <v>458</v>
      </c>
      <c r="G7" s="132">
        <v>8200</v>
      </c>
      <c r="H7" s="132">
        <v>0</v>
      </c>
      <c r="I7" s="31">
        <v>200</v>
      </c>
      <c r="J7" s="31">
        <v>400</v>
      </c>
      <c r="K7" s="90"/>
      <c r="L7" s="90"/>
      <c r="M7" s="90"/>
      <c r="N7" s="90"/>
      <c r="O7" s="90"/>
      <c r="P7" s="90">
        <v>10</v>
      </c>
      <c r="Q7" s="90">
        <v>20</v>
      </c>
      <c r="R7" s="90" t="s">
        <v>996</v>
      </c>
      <c r="S7" s="90" t="s">
        <v>995</v>
      </c>
      <c r="T7" s="31" t="s">
        <v>459</v>
      </c>
      <c r="U7" s="31"/>
      <c r="V7" s="140" t="str">
        <f t="shared" si="2"/>
        <v>狂乱</v>
      </c>
      <c r="W7" s="140" t="str">
        <f t="shared" si="0"/>
        <v>提升100%攻击速度。（在目标受到压碎护甲效果影响后开启。）</v>
      </c>
      <c r="X7" s="82" t="s">
        <v>460</v>
      </c>
      <c r="Y7" s="82"/>
      <c r="Z7" s="95" t="str">
        <f t="shared" si="1"/>
        <v>提升100%攻击速度。（在目标受到压碎护甲效果影响后开启。）|n|n|cff99ccff持续时间:|r 10秒|n|cff99ccff冷却时间:|r 20秒|n</v>
      </c>
      <c r="AA7" s="95" t="str">
        <f t="shared" si="3"/>
        <v>|cff00ff00狂乱|r</v>
      </c>
      <c r="AB7" s="95" t="str">
        <f t="shared" si="4"/>
        <v>|cff6666ff魔法|r状态：提升100%攻击速度。（在目标受到压碎护甲效果影响后开启。）</v>
      </c>
      <c r="AC7" s="86">
        <f t="shared" si="5"/>
        <v>199</v>
      </c>
      <c r="AD7" s="98">
        <f t="shared" si="6"/>
        <v>201</v>
      </c>
    </row>
    <row r="8" spans="1:30" x14ac:dyDescent="0.35">
      <c r="A8" s="142"/>
      <c r="B8" s="31"/>
      <c r="C8" s="31"/>
      <c r="D8" s="31"/>
      <c r="E8" s="31" t="s">
        <v>461</v>
      </c>
      <c r="F8" s="31" t="s">
        <v>462</v>
      </c>
      <c r="G8" s="132"/>
      <c r="H8" s="132"/>
      <c r="I8" s="31"/>
      <c r="J8" s="31"/>
      <c r="K8" s="90"/>
      <c r="L8" s="90"/>
      <c r="M8" s="90">
        <v>200</v>
      </c>
      <c r="N8" s="90"/>
      <c r="O8" s="90"/>
      <c r="P8" s="90">
        <v>7</v>
      </c>
      <c r="Q8" s="90">
        <v>20</v>
      </c>
      <c r="R8" s="90" t="s">
        <v>995</v>
      </c>
      <c r="S8" s="90" t="s">
        <v>994</v>
      </c>
      <c r="T8" s="31" t="s">
        <v>463</v>
      </c>
      <c r="U8" s="31"/>
      <c r="V8" s="140" t="str">
        <f t="shared" si="2"/>
        <v>压碎护甲</v>
      </c>
      <c r="W8" s="140" t="str">
        <f t="shared" si="0"/>
        <v>降低目标100点物理免伤。</v>
      </c>
      <c r="X8" s="82" t="s">
        <v>464</v>
      </c>
      <c r="Y8" s="82"/>
      <c r="Z8" s="95" t="str">
        <f t="shared" si="1"/>
        <v>降低目标100点物理免伤。|n|n|cff99ccff施法距离:|r 200码|n|cff99ccff持续时间:|r 7秒|n|cff99ccff冷却时间:|r 20秒|n</v>
      </c>
      <c r="AA8" s="95" t="str">
        <f t="shared" si="3"/>
        <v>压碎护甲</v>
      </c>
      <c r="AB8" s="95" t="str">
        <f t="shared" si="4"/>
        <v>物理状态：降低目标100点物理免伤。</v>
      </c>
      <c r="AC8" s="86">
        <f t="shared" si="5"/>
        <v>-1</v>
      </c>
      <c r="AD8" s="98">
        <f t="shared" si="6"/>
        <v>1</v>
      </c>
    </row>
    <row r="9" spans="1:30" ht="33" x14ac:dyDescent="0.35">
      <c r="A9" s="142">
        <v>2</v>
      </c>
      <c r="B9" s="32" t="s">
        <v>465</v>
      </c>
      <c r="C9" s="32" t="s">
        <v>466</v>
      </c>
      <c r="D9" s="32" t="s">
        <v>467</v>
      </c>
      <c r="E9" s="32" t="s">
        <v>468</v>
      </c>
      <c r="F9" s="32" t="s">
        <v>469</v>
      </c>
      <c r="G9" s="133">
        <v>9500</v>
      </c>
      <c r="H9" s="133">
        <v>0</v>
      </c>
      <c r="I9" s="32">
        <v>300</v>
      </c>
      <c r="J9" s="32">
        <v>450</v>
      </c>
      <c r="K9" s="91"/>
      <c r="L9" s="91"/>
      <c r="M9" s="91"/>
      <c r="N9" s="91"/>
      <c r="O9" s="91"/>
      <c r="P9" s="91">
        <v>6</v>
      </c>
      <c r="Q9" s="91">
        <v>12</v>
      </c>
      <c r="R9" s="91" t="s">
        <v>996</v>
      </c>
      <c r="S9" s="91" t="s">
        <v>994</v>
      </c>
      <c r="T9" s="32" t="s">
        <v>470</v>
      </c>
      <c r="U9" s="32"/>
      <c r="V9" s="140" t="str">
        <f t="shared" si="2"/>
        <v>雷霆一击</v>
      </c>
      <c r="W9" s="140" t="str">
        <f t="shared" si="0"/>
        <v xml:space="preserve">400码AOE400伤害，如果目标被狂怒咆哮，附加法术DOT，100/s。 </v>
      </c>
      <c r="X9" s="82" t="s">
        <v>471</v>
      </c>
      <c r="Y9" s="82"/>
      <c r="Z9" s="95" t="str">
        <f t="shared" si="1"/>
        <v>400码AOE400伤害，如果目标被狂怒咆哮，附加法术DOT，100/s。 |n|n|cff99ccff持续时间:|r 6秒|n|cff99ccff冷却时间:|r 12秒|n</v>
      </c>
      <c r="AA9" s="95" t="str">
        <f t="shared" si="3"/>
        <v>雷霆一击</v>
      </c>
      <c r="AB9" s="95" t="str">
        <f t="shared" si="4"/>
        <v xml:space="preserve">|cff6666ff魔法|r状态：400码AOE400伤害，如果目标被狂怒咆哮，附加法术DOT，100/s。 </v>
      </c>
      <c r="AC9" s="86">
        <f t="shared" si="5"/>
        <v>299</v>
      </c>
      <c r="AD9" s="98">
        <f t="shared" si="6"/>
        <v>151</v>
      </c>
    </row>
    <row r="10" spans="1:30" x14ac:dyDescent="0.35">
      <c r="A10" s="142"/>
      <c r="B10" s="32"/>
      <c r="C10" s="32"/>
      <c r="D10" s="32"/>
      <c r="E10" s="32" t="s">
        <v>472</v>
      </c>
      <c r="F10" s="32" t="s">
        <v>473</v>
      </c>
      <c r="G10" s="133"/>
      <c r="H10" s="133"/>
      <c r="I10" s="32"/>
      <c r="J10" s="32"/>
      <c r="K10" s="91"/>
      <c r="L10" s="91"/>
      <c r="M10" s="91"/>
      <c r="N10" s="91"/>
      <c r="O10" s="91"/>
      <c r="P10" s="91">
        <v>10</v>
      </c>
      <c r="Q10" s="91">
        <v>20</v>
      </c>
      <c r="R10" s="91" t="s">
        <v>995</v>
      </c>
      <c r="S10" s="91" t="s">
        <v>994</v>
      </c>
      <c r="T10" s="32" t="s">
        <v>474</v>
      </c>
      <c r="U10" s="32"/>
      <c r="V10" s="140" t="str">
        <f t="shared" si="2"/>
        <v>狂怒咆哮</v>
      </c>
      <c r="W10" s="140" t="str">
        <f t="shared" si="0"/>
        <v>400Y AOE敌军受到50%额外伤害。</v>
      </c>
      <c r="X10" s="82" t="s">
        <v>475</v>
      </c>
      <c r="Y10" s="82"/>
      <c r="Z10" s="95" t="str">
        <f t="shared" si="1"/>
        <v>400Y AOE敌军受到50%额外伤害。|n|n|cff99ccff持续时间:|r 10秒|n|cff99ccff冷却时间:|r 20秒|n</v>
      </c>
      <c r="AA10" s="95" t="str">
        <f t="shared" si="3"/>
        <v>狂怒咆哮</v>
      </c>
      <c r="AB10" s="95" t="str">
        <f t="shared" si="4"/>
        <v>物理状态：400Y AOE敌军受到50%额外伤害。</v>
      </c>
      <c r="AC10" s="86">
        <f t="shared" si="5"/>
        <v>-1</v>
      </c>
      <c r="AD10" s="98">
        <f t="shared" si="6"/>
        <v>1</v>
      </c>
    </row>
    <row r="11" spans="1:30" x14ac:dyDescent="0.35">
      <c r="A11" s="142">
        <v>0</v>
      </c>
      <c r="B11" s="31"/>
      <c r="C11" s="31" t="s">
        <v>1716</v>
      </c>
      <c r="D11" s="31" t="s">
        <v>476</v>
      </c>
      <c r="E11" s="31" t="s">
        <v>1600</v>
      </c>
      <c r="F11" s="31" t="s">
        <v>477</v>
      </c>
      <c r="G11" s="132">
        <v>7500</v>
      </c>
      <c r="H11" s="132">
        <v>0</v>
      </c>
      <c r="I11" s="31">
        <v>150</v>
      </c>
      <c r="J11" s="31">
        <v>250</v>
      </c>
      <c r="K11" s="90"/>
      <c r="L11" s="90"/>
      <c r="M11" s="90"/>
      <c r="N11" s="90"/>
      <c r="O11" s="90"/>
      <c r="P11" s="90">
        <v>16</v>
      </c>
      <c r="Q11" s="90">
        <v>1</v>
      </c>
      <c r="R11" s="90" t="s">
        <v>995</v>
      </c>
      <c r="S11" s="90" t="s">
        <v>994</v>
      </c>
      <c r="T11" s="31" t="s">
        <v>478</v>
      </c>
      <c r="U11" s="31"/>
      <c r="V11" s="140" t="str">
        <f t="shared" si="2"/>
        <v>毒刺(被动)</v>
      </c>
      <c r="W11" s="140" t="str">
        <f t="shared" si="0"/>
        <v>攻击使敌人受到50/2s的法术伤害。</v>
      </c>
      <c r="X11" s="82">
        <v>0</v>
      </c>
      <c r="Y11" s="82"/>
      <c r="Z11" s="95" t="str">
        <f t="shared" si="1"/>
        <v>攻击使敌人受到50/2s的法术伤害。|n|n|cff99ccff持续时间:|r 16秒|n|cff99ccff冷却时间:|r 1秒|n</v>
      </c>
      <c r="AA11" s="95" t="str">
        <f t="shared" si="3"/>
        <v>毒刺(被动)</v>
      </c>
      <c r="AB11" s="95" t="str">
        <f t="shared" si="4"/>
        <v>物理状态：攻击使敌人受到50/2s的法术伤害。</v>
      </c>
      <c r="AC11" s="86">
        <f t="shared" si="5"/>
        <v>149</v>
      </c>
      <c r="AD11" s="98">
        <f t="shared" si="6"/>
        <v>101</v>
      </c>
    </row>
    <row r="12" spans="1:30" x14ac:dyDescent="0.35">
      <c r="A12" s="142">
        <v>0</v>
      </c>
      <c r="B12" s="32" t="s">
        <v>479</v>
      </c>
      <c r="C12" s="32" t="s">
        <v>480</v>
      </c>
      <c r="D12" s="32" t="s">
        <v>481</v>
      </c>
      <c r="E12" s="32" t="s">
        <v>180</v>
      </c>
      <c r="F12" s="32" t="s">
        <v>180</v>
      </c>
      <c r="G12" s="133">
        <v>5000</v>
      </c>
      <c r="H12" s="133">
        <v>0</v>
      </c>
      <c r="I12" s="32">
        <v>100</v>
      </c>
      <c r="J12" s="32">
        <v>150</v>
      </c>
      <c r="K12" s="91"/>
      <c r="L12" s="91"/>
      <c r="M12" s="91"/>
      <c r="N12" s="91"/>
      <c r="O12" s="91"/>
      <c r="P12" s="91"/>
      <c r="Q12" s="91"/>
      <c r="R12" s="91"/>
      <c r="S12" s="91"/>
      <c r="T12" s="32"/>
      <c r="U12" s="32"/>
      <c r="V12" s="140" t="str">
        <f t="shared" si="2"/>
        <v>N/A</v>
      </c>
      <c r="W12" s="140">
        <f t="shared" si="0"/>
        <v>0</v>
      </c>
      <c r="X12" s="32">
        <v>0</v>
      </c>
      <c r="Y12" s="82"/>
      <c r="AA12" s="95" t="str">
        <f t="shared" si="3"/>
        <v>N/A</v>
      </c>
      <c r="AB12" s="95" t="str">
        <f t="shared" si="4"/>
        <v>物理状态：0</v>
      </c>
      <c r="AC12" s="86">
        <f t="shared" si="5"/>
        <v>99</v>
      </c>
      <c r="AD12" s="98">
        <f t="shared" si="6"/>
        <v>51</v>
      </c>
    </row>
    <row r="13" spans="1:30" x14ac:dyDescent="0.35">
      <c r="A13" s="142">
        <v>1</v>
      </c>
      <c r="B13" s="33" t="s">
        <v>465</v>
      </c>
      <c r="C13" s="33" t="s">
        <v>1717</v>
      </c>
      <c r="D13" s="33" t="s">
        <v>482</v>
      </c>
      <c r="E13" s="33" t="s">
        <v>483</v>
      </c>
      <c r="F13" s="33" t="s">
        <v>484</v>
      </c>
      <c r="G13" s="134">
        <v>8250</v>
      </c>
      <c r="H13" s="134">
        <v>0</v>
      </c>
      <c r="I13" s="33">
        <v>275</v>
      </c>
      <c r="J13" s="33">
        <v>400</v>
      </c>
      <c r="K13" s="92"/>
      <c r="L13" s="92"/>
      <c r="M13" s="92"/>
      <c r="N13" s="92">
        <v>600</v>
      </c>
      <c r="O13" s="92"/>
      <c r="P13" s="92"/>
      <c r="Q13" s="92">
        <v>5</v>
      </c>
      <c r="R13" s="92"/>
      <c r="S13" s="92"/>
      <c r="T13" s="33" t="s">
        <v>485</v>
      </c>
      <c r="U13" s="33"/>
      <c r="V13" s="140" t="str">
        <f t="shared" si="2"/>
        <v>充能之息</v>
      </c>
      <c r="W13" s="140" t="str">
        <f t="shared" si="0"/>
        <v>AOE法力值的伤害(MAXMP = 750)</v>
      </c>
      <c r="X13" s="87" t="s">
        <v>436</v>
      </c>
      <c r="Y13" s="87"/>
      <c r="Z13" s="95" t="str">
        <f>creepAbilityUberTipCN(T13,K13:Q13)</f>
        <v>AOE法力值的伤害(MAXMP = 750)|n|n|cff99ccff影响范围:|r 600码|n|cff99ccff冷却时间:|r 5秒|n</v>
      </c>
      <c r="AA13" s="95" t="str">
        <f t="shared" si="3"/>
        <v>充能之息</v>
      </c>
      <c r="AB13" s="95" t="str">
        <f t="shared" si="4"/>
        <v>物理状态：AOE法力值的伤害(MAXMP = 750)</v>
      </c>
      <c r="AC13" s="86">
        <f t="shared" si="5"/>
        <v>274</v>
      </c>
      <c r="AD13" s="98">
        <f t="shared" si="6"/>
        <v>126</v>
      </c>
    </row>
    <row r="14" spans="1:30" ht="33" x14ac:dyDescent="0.35">
      <c r="A14" s="142"/>
      <c r="B14" s="33"/>
      <c r="C14" s="33"/>
      <c r="D14" s="33"/>
      <c r="E14" s="33" t="s">
        <v>486</v>
      </c>
      <c r="F14" s="33" t="s">
        <v>487</v>
      </c>
      <c r="G14" s="134"/>
      <c r="H14" s="134"/>
      <c r="I14" s="33"/>
      <c r="J14" s="33"/>
      <c r="K14" s="92"/>
      <c r="L14" s="92"/>
      <c r="M14" s="92">
        <v>900</v>
      </c>
      <c r="N14" s="92"/>
      <c r="O14" s="92"/>
      <c r="P14" s="92"/>
      <c r="Q14" s="92">
        <v>5</v>
      </c>
      <c r="R14" s="92"/>
      <c r="S14" s="92"/>
      <c r="T14" s="33" t="s">
        <v>488</v>
      </c>
      <c r="U14" s="33"/>
      <c r="V14" s="140" t="str">
        <f t="shared" si="2"/>
        <v>法力汲取</v>
      </c>
      <c r="W14" s="140" t="str">
        <f t="shared" si="0"/>
        <v>抽取目标25%的法力值，总是会选择范围内可汲取法力值最多的目标。</v>
      </c>
      <c r="X14" s="87" t="s">
        <v>446</v>
      </c>
      <c r="Y14" s="87"/>
      <c r="Z14" s="95" t="str">
        <f>creepAbilityUberTipCN(T14,K14:Q14)</f>
        <v>抽取目标25%的法力值，总是会选择范围内可汲取法力值最多的目标。|n|n|cff99ccff施法距离:|r 900码|n|cff99ccff冷却时间:|r 5秒|n</v>
      </c>
      <c r="AA14" s="95" t="str">
        <f t="shared" si="3"/>
        <v>法力汲取</v>
      </c>
      <c r="AB14" s="95" t="str">
        <f t="shared" si="4"/>
        <v>物理状态：抽取目标25%的法力值，总是会选择范围内可汲取法力值最多的目标。</v>
      </c>
      <c r="AC14" s="86">
        <f t="shared" si="5"/>
        <v>-1</v>
      </c>
      <c r="AD14" s="98">
        <f t="shared" si="6"/>
        <v>1</v>
      </c>
    </row>
    <row r="15" spans="1:30" x14ac:dyDescent="0.35">
      <c r="A15" s="147">
        <v>3</v>
      </c>
      <c r="B15" s="31"/>
      <c r="C15" s="31" t="s">
        <v>489</v>
      </c>
      <c r="D15" s="31" t="s">
        <v>490</v>
      </c>
      <c r="E15" s="31" t="s">
        <v>491</v>
      </c>
      <c r="F15" s="30" t="s">
        <v>493</v>
      </c>
      <c r="G15" s="135">
        <v>22000</v>
      </c>
      <c r="H15" s="135">
        <v>0</v>
      </c>
      <c r="I15" s="30">
        <v>650</v>
      </c>
      <c r="J15" s="30">
        <v>950</v>
      </c>
      <c r="K15" s="93"/>
      <c r="L15" s="93"/>
      <c r="M15" s="93"/>
      <c r="N15" s="93"/>
      <c r="O15" s="93"/>
      <c r="P15" s="93">
        <v>8</v>
      </c>
      <c r="Q15" s="93">
        <v>12</v>
      </c>
      <c r="R15" s="93" t="s">
        <v>996</v>
      </c>
      <c r="S15" s="93" t="s">
        <v>995</v>
      </c>
      <c r="T15" s="30" t="s">
        <v>498</v>
      </c>
      <c r="U15" s="30"/>
      <c r="V15" s="140" t="str">
        <f t="shared" si="2"/>
        <v>邪恶狂热</v>
      </c>
      <c r="W15" s="140" t="str">
        <f t="shared" si="0"/>
        <v>攻击速度提升100%。</v>
      </c>
      <c r="X15" s="87" t="s">
        <v>464</v>
      </c>
      <c r="Y15" s="87"/>
      <c r="Z15" s="95" t="str">
        <f>creepAbilityUberTipCN(T15,K15:Q15)</f>
        <v>攻击速度提升100%。|n|n|cff99ccff持续时间:|r 8秒|n|cff99ccff冷却时间:|r 12秒|n</v>
      </c>
      <c r="AA15" s="95" t="str">
        <f t="shared" si="3"/>
        <v>|cff00ff00邪恶狂热|r</v>
      </c>
      <c r="AB15" s="95" t="str">
        <f t="shared" si="4"/>
        <v>|cff6666ff魔法|r状态：攻击速度提升100%。</v>
      </c>
      <c r="AC15" s="86">
        <f t="shared" si="5"/>
        <v>649</v>
      </c>
      <c r="AD15" s="98">
        <f t="shared" si="6"/>
        <v>301</v>
      </c>
    </row>
    <row r="16" spans="1:30" ht="33" x14ac:dyDescent="0.35">
      <c r="A16" s="147">
        <v>3</v>
      </c>
      <c r="B16" s="32"/>
      <c r="C16" s="32" t="s">
        <v>499</v>
      </c>
      <c r="D16" s="34" t="s">
        <v>500</v>
      </c>
      <c r="E16" s="34" t="s">
        <v>501</v>
      </c>
      <c r="F16" s="34" t="s">
        <v>502</v>
      </c>
      <c r="G16" s="136">
        <v>19500</v>
      </c>
      <c r="H16" s="136">
        <v>0</v>
      </c>
      <c r="I16" s="34">
        <v>600</v>
      </c>
      <c r="J16" s="34">
        <v>800</v>
      </c>
      <c r="K16" s="94"/>
      <c r="L16" s="94"/>
      <c r="M16" s="94">
        <v>800</v>
      </c>
      <c r="N16" s="94"/>
      <c r="O16" s="94"/>
      <c r="P16" s="94">
        <v>10</v>
      </c>
      <c r="Q16" s="94">
        <v>20</v>
      </c>
      <c r="R16" s="94" t="s">
        <v>995</v>
      </c>
      <c r="S16" s="94" t="s">
        <v>994</v>
      </c>
      <c r="T16" s="34" t="s">
        <v>503</v>
      </c>
      <c r="U16" s="34"/>
      <c r="V16" s="140" t="str">
        <f t="shared" si="2"/>
        <v>混乱跳跃</v>
      </c>
      <c r="W16" s="140" t="s">
        <v>1615</v>
      </c>
      <c r="X16" s="97" t="s">
        <v>464</v>
      </c>
      <c r="Y16" s="97"/>
      <c r="Z16" s="95" t="str">
        <f t="shared" ref="Z16:Z43" si="7">creepAbilityUberTipCN(T16,K16:Q16)</f>
        <v>向目标跳跃，落下时造成200AOE物理伤害。并使目标造成的仇恨值提高300%。|n|n|cff99ccff施法距离:|r 800码|n|cff99ccff持续时间:|r 10秒|n|cff99ccff冷却时间:|r 20秒|n</v>
      </c>
      <c r="AA16" s="95" t="str">
        <f t="shared" si="3"/>
        <v>混乱跳跃</v>
      </c>
      <c r="AB16" s="95" t="str">
        <f t="shared" si="4"/>
        <v>物理状态：造成的仇恨值提高300%。</v>
      </c>
      <c r="AC16" s="86">
        <f t="shared" si="5"/>
        <v>599</v>
      </c>
      <c r="AD16" s="98">
        <f t="shared" si="6"/>
        <v>201</v>
      </c>
    </row>
    <row r="17" spans="1:30" ht="33" x14ac:dyDescent="0.35">
      <c r="A17" s="147">
        <v>3</v>
      </c>
      <c r="B17" s="31" t="s">
        <v>465</v>
      </c>
      <c r="C17" s="31" t="s">
        <v>504</v>
      </c>
      <c r="D17" s="31" t="s">
        <v>505</v>
      </c>
      <c r="E17" s="31" t="s">
        <v>1619</v>
      </c>
      <c r="F17" s="31" t="s">
        <v>506</v>
      </c>
      <c r="G17" s="132">
        <v>63000</v>
      </c>
      <c r="H17" s="132">
        <v>0</v>
      </c>
      <c r="I17" s="31">
        <v>750</v>
      </c>
      <c r="J17" s="31">
        <v>900</v>
      </c>
      <c r="K17" s="90">
        <v>4</v>
      </c>
      <c r="L17" s="90"/>
      <c r="M17" s="90"/>
      <c r="N17" s="90">
        <v>500</v>
      </c>
      <c r="O17" s="90"/>
      <c r="P17" s="90">
        <v>3</v>
      </c>
      <c r="Q17" s="90">
        <v>8</v>
      </c>
      <c r="R17" s="90"/>
      <c r="S17" s="90"/>
      <c r="T17" s="31" t="s">
        <v>1622</v>
      </c>
      <c r="U17" s="31" t="s">
        <v>1623</v>
      </c>
      <c r="V17" s="140" t="str">
        <f t="shared" si="2"/>
        <v>战争践踏</v>
      </c>
      <c r="W17" s="140" t="s">
        <v>1468</v>
      </c>
      <c r="X17" s="87" t="s">
        <v>464</v>
      </c>
      <c r="Y17" s="87"/>
      <c r="Z17" s="95" t="str">
        <f t="shared" si="7"/>
        <v>对附近所有玩家单位造成300物理伤害并昏迷3秒。|n|n|cff99ccff施法时间:|r 4秒|n|cff99ccff影响范围:|r 500码|n|cff99ccff持续时间:|r 3秒|n|cff99ccff冷却时间:|r 8秒|n</v>
      </c>
      <c r="AA17" s="95" t="str">
        <f t="shared" si="3"/>
        <v>战争践踏</v>
      </c>
      <c r="AB17" s="95" t="str">
        <f t="shared" si="4"/>
        <v>物理状态：昏迷</v>
      </c>
      <c r="AC17" s="86">
        <f t="shared" si="5"/>
        <v>749</v>
      </c>
      <c r="AD17" s="98">
        <f t="shared" si="6"/>
        <v>151</v>
      </c>
    </row>
    <row r="18" spans="1:30" x14ac:dyDescent="0.35">
      <c r="A18" s="147"/>
      <c r="B18" s="31"/>
      <c r="C18" s="31"/>
      <c r="D18" s="31"/>
      <c r="E18" s="31" t="s">
        <v>1620</v>
      </c>
      <c r="F18" s="31" t="s">
        <v>507</v>
      </c>
      <c r="G18" s="132"/>
      <c r="H18" s="132">
        <v>0</v>
      </c>
      <c r="I18" s="31"/>
      <c r="J18" s="31"/>
      <c r="K18" s="90"/>
      <c r="L18" s="90"/>
      <c r="M18" s="90"/>
      <c r="N18" s="90"/>
      <c r="O18" s="90"/>
      <c r="P18" s="90">
        <v>10</v>
      </c>
      <c r="Q18" s="90">
        <v>6</v>
      </c>
      <c r="R18" s="90" t="s">
        <v>996</v>
      </c>
      <c r="S18" s="90" t="s">
        <v>995</v>
      </c>
      <c r="T18" s="31" t="s">
        <v>1621</v>
      </c>
      <c r="U18" s="31" t="s">
        <v>508</v>
      </c>
      <c r="V18" s="140" t="str">
        <f t="shared" si="2"/>
        <v>战斗命令</v>
      </c>
      <c r="W18" s="140" t="s">
        <v>1627</v>
      </c>
      <c r="X18" s="87" t="s">
        <v>475</v>
      </c>
      <c r="Y18" s="87"/>
      <c r="Z18" s="95" t="str">
        <f t="shared" si="7"/>
        <v>目标单位造成100%的额外伤害。|n|n|cff99ccff持续时间:|r 10秒|n|cff99ccff冷却时间:|r 6秒|n</v>
      </c>
      <c r="AA18" s="95" t="str">
        <f t="shared" si="3"/>
        <v>|cff00ff00战斗命令|r</v>
      </c>
      <c r="AB18" s="95" t="str">
        <f t="shared" si="4"/>
        <v>|cff6666ff魔法|r状态：造成的伤害提高100%。</v>
      </c>
      <c r="AC18" s="86">
        <f t="shared" si="5"/>
        <v>-1</v>
      </c>
      <c r="AD18" s="98">
        <f t="shared" si="6"/>
        <v>1</v>
      </c>
    </row>
    <row r="19" spans="1:30" x14ac:dyDescent="0.35">
      <c r="A19" s="147">
        <v>3</v>
      </c>
      <c r="B19" s="32"/>
      <c r="C19" s="32" t="s">
        <v>509</v>
      </c>
      <c r="D19" s="32" t="s">
        <v>510</v>
      </c>
      <c r="E19" s="32" t="s">
        <v>511</v>
      </c>
      <c r="F19" s="32" t="s">
        <v>512</v>
      </c>
      <c r="G19" s="133">
        <v>17500</v>
      </c>
      <c r="H19" s="133">
        <v>0</v>
      </c>
      <c r="I19" s="32">
        <v>400</v>
      </c>
      <c r="J19" s="32">
        <v>600</v>
      </c>
      <c r="K19" s="91"/>
      <c r="L19" s="91"/>
      <c r="M19" s="91">
        <v>900</v>
      </c>
      <c r="N19" s="91"/>
      <c r="O19" s="91">
        <v>75</v>
      </c>
      <c r="P19" s="91">
        <v>20</v>
      </c>
      <c r="Q19" s="91">
        <v>5</v>
      </c>
      <c r="R19" s="91" t="s">
        <v>996</v>
      </c>
      <c r="S19" s="91" t="s">
        <v>995</v>
      </c>
      <c r="T19" s="32" t="s">
        <v>1632</v>
      </c>
      <c r="U19" s="32"/>
      <c r="V19" s="140" t="str">
        <f t="shared" si="2"/>
        <v>炽热疾速</v>
      </c>
      <c r="W19" s="140" t="str">
        <f>T19</f>
        <v>提升75%法术急速，移动速度提升至最大。</v>
      </c>
      <c r="X19" s="97" t="s">
        <v>436</v>
      </c>
      <c r="Y19" s="97"/>
      <c r="Z19" s="95" t="str">
        <f t="shared" si="7"/>
        <v>提升75%法术急速，移动速度提升至最大。|n|n|cff99ccff施法距离:|r 900码|n|cff99ccff法力消耗:|r 75点|n|cff99ccff持续时间:|r 20秒|n|cff99ccff冷却时间:|r 5秒|n</v>
      </c>
      <c r="AA19" s="95" t="str">
        <f t="shared" si="3"/>
        <v>|cff00ff00炽热疾速|r</v>
      </c>
      <c r="AB19" s="95" t="str">
        <f t="shared" si="4"/>
        <v>|cff6666ff魔法|r状态：提升75%法术急速，移动速度提升至最大。</v>
      </c>
      <c r="AC19" s="86">
        <f t="shared" si="5"/>
        <v>399</v>
      </c>
      <c r="AD19" s="98">
        <f t="shared" si="6"/>
        <v>201</v>
      </c>
    </row>
    <row r="20" spans="1:30" x14ac:dyDescent="0.35">
      <c r="A20" s="147"/>
      <c r="B20" s="32"/>
      <c r="C20" s="32"/>
      <c r="D20" s="32"/>
      <c r="E20" s="32" t="s">
        <v>513</v>
      </c>
      <c r="F20" s="32" t="s">
        <v>1635</v>
      </c>
      <c r="G20" s="133"/>
      <c r="H20" s="133">
        <v>0</v>
      </c>
      <c r="I20" s="32"/>
      <c r="J20" s="32"/>
      <c r="K20" s="91">
        <v>3</v>
      </c>
      <c r="L20" s="91"/>
      <c r="M20" s="91"/>
      <c r="N20" s="91">
        <v>900</v>
      </c>
      <c r="O20" s="91">
        <v>100</v>
      </c>
      <c r="P20" s="91"/>
      <c r="Q20" s="91">
        <v>1</v>
      </c>
      <c r="R20" s="91"/>
      <c r="S20" s="91"/>
      <c r="T20" s="32" t="s">
        <v>1629</v>
      </c>
      <c r="U20" s="32"/>
      <c r="V20" s="140" t="str">
        <f t="shared" si="2"/>
        <v>连珠火球</v>
      </c>
      <c r="W20" s="140" t="str">
        <f>T20</f>
        <v>对附近所有玩家单位发射火球，造成600法术伤害。</v>
      </c>
      <c r="X20" s="97" t="s">
        <v>464</v>
      </c>
      <c r="Y20" s="97"/>
      <c r="Z20" s="95" t="str">
        <f t="shared" si="7"/>
        <v>对附近所有玩家单位发射火球，造成600法术伤害。|n|n|cff99ccff施法时间:|r 3秒|n|cff99ccff影响范围:|r 900码|n|cff99ccff法力消耗:|r 100点|n|cff99ccff冷却时间:|r 1秒|n</v>
      </c>
      <c r="AA20" s="95" t="str">
        <f t="shared" si="3"/>
        <v>连珠火球</v>
      </c>
      <c r="AB20" s="95" t="str">
        <f t="shared" si="4"/>
        <v>物理状态：对附近所有玩家单位发射火球，造成600法术伤害。</v>
      </c>
      <c r="AC20" s="86">
        <f t="shared" si="5"/>
        <v>-1</v>
      </c>
      <c r="AD20" s="98">
        <f t="shared" si="6"/>
        <v>1</v>
      </c>
    </row>
    <row r="21" spans="1:30" ht="33" x14ac:dyDescent="0.35">
      <c r="A21" s="147"/>
      <c r="B21" s="32"/>
      <c r="C21" s="32"/>
      <c r="D21" s="32"/>
      <c r="E21" s="32" t="s">
        <v>514</v>
      </c>
      <c r="F21" s="32" t="s">
        <v>515</v>
      </c>
      <c r="G21" s="133"/>
      <c r="H21" s="133">
        <v>0</v>
      </c>
      <c r="I21" s="32"/>
      <c r="J21" s="32"/>
      <c r="K21" s="91"/>
      <c r="L21" s="91"/>
      <c r="M21" s="91">
        <v>800</v>
      </c>
      <c r="N21" s="91"/>
      <c r="O21" s="91">
        <v>50</v>
      </c>
      <c r="P21" s="91">
        <v>10</v>
      </c>
      <c r="Q21" s="91">
        <v>5</v>
      </c>
      <c r="R21" s="91" t="s">
        <v>996</v>
      </c>
      <c r="S21" s="91" t="s">
        <v>994</v>
      </c>
      <c r="T21" s="32" t="s">
        <v>1630</v>
      </c>
      <c r="U21" s="32" t="s">
        <v>516</v>
      </c>
      <c r="V21" s="140" t="str">
        <f t="shared" si="2"/>
        <v>烈焰震击</v>
      </c>
      <c r="W21" s="140" t="s">
        <v>1631</v>
      </c>
      <c r="X21" s="97" t="s">
        <v>475</v>
      </c>
      <c r="Y21" s="97"/>
      <c r="Z21" s="95" t="str">
        <f t="shared" si="7"/>
        <v>对目标造成400法术伤害，然后每2秒造成400法术伤害。|n|n|cff99ccff施法距离:|r 800码|n|cff99ccff法力消耗:|r 50点|n|cff99ccff持续时间:|r 10秒|n|cff99ccff冷却时间:|r 5秒|n</v>
      </c>
      <c r="AA21" s="95" t="str">
        <f t="shared" si="3"/>
        <v>烈焰震击</v>
      </c>
      <c r="AB21" s="95" t="str">
        <f t="shared" si="4"/>
        <v>|cff6666ff魔法|r状态：每2秒受到法术伤害。</v>
      </c>
      <c r="AC21" s="86">
        <f t="shared" si="5"/>
        <v>-1</v>
      </c>
      <c r="AD21" s="98">
        <f t="shared" si="6"/>
        <v>1</v>
      </c>
    </row>
    <row r="22" spans="1:30" s="98" customFormat="1" x14ac:dyDescent="0.35">
      <c r="A22" s="146">
        <v>4</v>
      </c>
      <c r="B22" s="32"/>
      <c r="C22" s="32" t="s">
        <v>1637</v>
      </c>
      <c r="D22" s="32" t="s">
        <v>1638</v>
      </c>
      <c r="E22" s="32" t="s">
        <v>1640</v>
      </c>
      <c r="F22" s="32" t="s">
        <v>1639</v>
      </c>
      <c r="G22" s="133"/>
      <c r="H22" s="133"/>
      <c r="I22" s="32"/>
      <c r="J22" s="32"/>
      <c r="K22" s="91"/>
      <c r="L22" s="91"/>
      <c r="M22" s="91"/>
      <c r="N22" s="91"/>
      <c r="O22" s="91"/>
      <c r="P22" s="91"/>
      <c r="Q22" s="91"/>
      <c r="R22" s="91"/>
      <c r="S22" s="91"/>
      <c r="T22" s="32" t="s">
        <v>1641</v>
      </c>
      <c r="U22" s="32"/>
      <c r="V22" s="140" t="str">
        <f t="shared" si="2"/>
        <v>瘟疫(被动)</v>
      </c>
      <c r="W22" s="140"/>
      <c r="X22" s="97"/>
      <c r="Y22" s="97"/>
      <c r="Z22" s="95"/>
      <c r="AA22" s="95"/>
      <c r="AB22" s="95"/>
    </row>
    <row r="23" spans="1:30" s="98" customFormat="1" ht="49.5" x14ac:dyDescent="0.35">
      <c r="A23" s="146">
        <v>4</v>
      </c>
      <c r="B23" s="32" t="s">
        <v>479</v>
      </c>
      <c r="C23" s="32" t="s">
        <v>1642</v>
      </c>
      <c r="D23" s="32" t="s">
        <v>1643</v>
      </c>
      <c r="E23" s="32" t="s">
        <v>1644</v>
      </c>
      <c r="F23" s="32" t="s">
        <v>1645</v>
      </c>
      <c r="G23" s="133"/>
      <c r="H23" s="133"/>
      <c r="I23" s="32"/>
      <c r="J23" s="32"/>
      <c r="K23" s="91"/>
      <c r="L23" s="91"/>
      <c r="M23" s="91"/>
      <c r="N23" s="91"/>
      <c r="O23" s="91"/>
      <c r="P23" s="91"/>
      <c r="Q23" s="91"/>
      <c r="R23" s="91"/>
      <c r="S23" s="91"/>
      <c r="T23" s="32" t="s">
        <v>1646</v>
      </c>
      <c r="U23" s="32"/>
      <c r="V23" s="140" t="str">
        <f t="shared" si="2"/>
        <v>寄生</v>
      </c>
      <c r="W23" s="140"/>
      <c r="X23" s="97"/>
      <c r="Y23" s="97"/>
      <c r="Z23" s="95"/>
      <c r="AA23" s="95"/>
      <c r="AB23" s="95"/>
    </row>
    <row r="24" spans="1:30" s="98" customFormat="1" x14ac:dyDescent="0.35">
      <c r="A24" s="146">
        <v>4</v>
      </c>
      <c r="B24" s="32"/>
      <c r="C24" s="32" t="s">
        <v>1648</v>
      </c>
      <c r="D24" s="32" t="s">
        <v>1647</v>
      </c>
      <c r="E24" s="32" t="s">
        <v>734</v>
      </c>
      <c r="F24" s="32" t="s">
        <v>1649</v>
      </c>
      <c r="G24" s="133"/>
      <c r="H24" s="133"/>
      <c r="I24" s="32"/>
      <c r="J24" s="32"/>
      <c r="K24" s="91"/>
      <c r="L24" s="91"/>
      <c r="M24" s="91"/>
      <c r="N24" s="91"/>
      <c r="O24" s="91"/>
      <c r="P24" s="91"/>
      <c r="Q24" s="91"/>
      <c r="R24" s="91"/>
      <c r="S24" s="91"/>
      <c r="T24" s="32" t="s">
        <v>1650</v>
      </c>
      <c r="U24" s="32"/>
      <c r="V24" s="140" t="str">
        <f t="shared" si="2"/>
        <v>啃食</v>
      </c>
      <c r="W24" s="140"/>
      <c r="X24" s="97"/>
      <c r="Y24" s="97"/>
      <c r="Z24" s="95"/>
      <c r="AA24" s="95"/>
      <c r="AB24" s="95"/>
    </row>
    <row r="25" spans="1:30" s="98" customFormat="1" x14ac:dyDescent="0.35">
      <c r="A25" s="146">
        <v>4</v>
      </c>
      <c r="B25" s="32"/>
      <c r="C25" s="32" t="s">
        <v>1651</v>
      </c>
      <c r="D25" s="32" t="s">
        <v>1652</v>
      </c>
      <c r="E25" s="32" t="s">
        <v>1654</v>
      </c>
      <c r="F25" s="32" t="s">
        <v>1655</v>
      </c>
      <c r="G25" s="133"/>
      <c r="H25" s="133"/>
      <c r="I25" s="32"/>
      <c r="J25" s="32"/>
      <c r="K25" s="91"/>
      <c r="L25" s="91"/>
      <c r="M25" s="91"/>
      <c r="N25" s="91"/>
      <c r="O25" s="91"/>
      <c r="P25" s="91"/>
      <c r="Q25" s="91"/>
      <c r="R25" s="91"/>
      <c r="S25" s="91"/>
      <c r="T25" s="32" t="s">
        <v>1657</v>
      </c>
      <c r="U25" s="32"/>
      <c r="V25" s="140" t="str">
        <f t="shared" si="2"/>
        <v>反噬光环(被动)</v>
      </c>
      <c r="W25" s="140"/>
      <c r="X25" s="97"/>
      <c r="Y25" s="97"/>
      <c r="Z25" s="95"/>
      <c r="AA25" s="95"/>
      <c r="AB25" s="95"/>
    </row>
    <row r="26" spans="1:30" s="98" customFormat="1" ht="33" x14ac:dyDescent="0.35">
      <c r="A26" s="146"/>
      <c r="B26" s="32"/>
      <c r="C26" s="32"/>
      <c r="D26" s="32"/>
      <c r="E26" s="32" t="s">
        <v>1653</v>
      </c>
      <c r="F26" s="32" t="s">
        <v>1656</v>
      </c>
      <c r="G26" s="133"/>
      <c r="H26" s="133"/>
      <c r="I26" s="32"/>
      <c r="J26" s="32"/>
      <c r="K26" s="91"/>
      <c r="L26" s="91"/>
      <c r="M26" s="91"/>
      <c r="N26" s="91"/>
      <c r="O26" s="91"/>
      <c r="P26" s="91"/>
      <c r="Q26" s="91"/>
      <c r="R26" s="91"/>
      <c r="S26" s="91"/>
      <c r="T26" s="32" t="s">
        <v>1658</v>
      </c>
      <c r="U26" s="32"/>
      <c r="V26" s="140" t="str">
        <f t="shared" si="2"/>
        <v>法力流失</v>
      </c>
      <c r="W26" s="140"/>
      <c r="X26" s="97"/>
      <c r="Y26" s="97"/>
      <c r="Z26" s="95"/>
      <c r="AA26" s="95"/>
      <c r="AB26" s="95"/>
    </row>
    <row r="27" spans="1:30" s="98" customFormat="1" ht="33" x14ac:dyDescent="0.35">
      <c r="A27" s="146">
        <v>4</v>
      </c>
      <c r="B27" s="32" t="s">
        <v>465</v>
      </c>
      <c r="C27" s="32" t="s">
        <v>1659</v>
      </c>
      <c r="D27" s="32" t="s">
        <v>1660</v>
      </c>
      <c r="E27" s="32" t="s">
        <v>1661</v>
      </c>
      <c r="F27" s="32" t="s">
        <v>1662</v>
      </c>
      <c r="G27" s="133"/>
      <c r="H27" s="133"/>
      <c r="I27" s="32"/>
      <c r="J27" s="32"/>
      <c r="K27" s="91"/>
      <c r="L27" s="91"/>
      <c r="M27" s="91"/>
      <c r="N27" s="91"/>
      <c r="O27" s="91"/>
      <c r="P27" s="91"/>
      <c r="Q27" s="91"/>
      <c r="R27" s="91"/>
      <c r="S27" s="91"/>
      <c r="T27" s="32" t="s">
        <v>1663</v>
      </c>
      <c r="U27" s="32"/>
      <c r="V27" s="140" t="str">
        <f t="shared" si="2"/>
        <v>冰冻坟墓</v>
      </c>
      <c r="W27" s="140"/>
      <c r="X27" s="97"/>
      <c r="Y27" s="97"/>
      <c r="Z27" s="95"/>
      <c r="AA27" s="95"/>
      <c r="AB27" s="95"/>
    </row>
    <row r="28" spans="1:30" s="98" customFormat="1" ht="33" x14ac:dyDescent="0.35">
      <c r="A28" s="146"/>
      <c r="B28" s="32"/>
      <c r="C28" s="32"/>
      <c r="D28" s="32"/>
      <c r="E28" s="32" t="s">
        <v>1664</v>
      </c>
      <c r="F28" s="32" t="s">
        <v>1665</v>
      </c>
      <c r="G28" s="133"/>
      <c r="H28" s="133"/>
      <c r="I28" s="32"/>
      <c r="J28" s="32"/>
      <c r="K28" s="91"/>
      <c r="L28" s="91"/>
      <c r="M28" s="91"/>
      <c r="N28" s="91"/>
      <c r="O28" s="91"/>
      <c r="P28" s="91"/>
      <c r="Q28" s="91"/>
      <c r="R28" s="91"/>
      <c r="S28" s="91"/>
      <c r="T28" s="32" t="s">
        <v>1666</v>
      </c>
      <c r="U28" s="32"/>
      <c r="V28" s="140" t="str">
        <f t="shared" si="2"/>
        <v>死亡凋零</v>
      </c>
      <c r="W28" s="140"/>
      <c r="X28" s="97"/>
      <c r="Y28" s="97"/>
      <c r="Z28" s="95"/>
      <c r="AA28" s="95"/>
      <c r="AB28" s="95"/>
    </row>
    <row r="29" spans="1:30" ht="33" x14ac:dyDescent="0.35">
      <c r="A29" s="143">
        <v>5</v>
      </c>
      <c r="B29" s="31"/>
      <c r="C29" s="31" t="s">
        <v>517</v>
      </c>
      <c r="D29" s="31" t="s">
        <v>518</v>
      </c>
      <c r="E29" s="31" t="s">
        <v>519</v>
      </c>
      <c r="F29" s="31" t="s">
        <v>520</v>
      </c>
      <c r="G29" s="132"/>
      <c r="H29" s="132">
        <v>0</v>
      </c>
      <c r="I29" s="31"/>
      <c r="J29" s="31"/>
      <c r="K29" s="90"/>
      <c r="L29" s="90"/>
      <c r="M29" s="90"/>
      <c r="N29" s="90"/>
      <c r="O29" s="90"/>
      <c r="P29" s="90"/>
      <c r="Q29" s="90"/>
      <c r="R29" s="90"/>
      <c r="S29" s="90"/>
      <c r="T29" s="31" t="s">
        <v>521</v>
      </c>
      <c r="U29" s="31"/>
      <c r="V29" s="140" t="str">
        <f t="shared" si="2"/>
        <v>虚空之箭</v>
      </c>
      <c r="W29" s="140" t="str">
        <f t="shared" ref="W29:W44" si="8">T29</f>
        <v>牺牲自身20%的生命值, 对生命值最高的目标造成1000法术伤害.</v>
      </c>
      <c r="X29" s="18"/>
      <c r="Y29" s="18"/>
      <c r="Z29" s="95" t="str">
        <f t="shared" si="7"/>
        <v>牺牲自身20%的生命值, 对生命值最高的目标造成1000法术伤害.|n|n</v>
      </c>
      <c r="AA29" s="95" t="str">
        <f t="shared" si="3"/>
        <v>虚空之箭</v>
      </c>
      <c r="AB29" s="95" t="str">
        <f t="shared" si="4"/>
        <v>物理状态：牺牲自身20%的生命值, 对生命值最高的目标造成1000法术伤害.</v>
      </c>
      <c r="AC29" s="86">
        <f t="shared" si="5"/>
        <v>-1</v>
      </c>
      <c r="AD29" s="98">
        <f t="shared" si="6"/>
        <v>1</v>
      </c>
    </row>
    <row r="30" spans="1:30" ht="33" x14ac:dyDescent="0.35">
      <c r="A30" s="143"/>
      <c r="B30" s="31"/>
      <c r="C30" s="31"/>
      <c r="D30" s="31"/>
      <c r="E30" s="31" t="s">
        <v>522</v>
      </c>
      <c r="F30" s="31" t="s">
        <v>523</v>
      </c>
      <c r="G30" s="132"/>
      <c r="H30" s="132">
        <v>0</v>
      </c>
      <c r="I30" s="31"/>
      <c r="J30" s="31"/>
      <c r="K30" s="90"/>
      <c r="L30" s="90"/>
      <c r="M30" s="90"/>
      <c r="N30" s="90"/>
      <c r="O30" s="90"/>
      <c r="P30" s="90"/>
      <c r="Q30" s="90"/>
      <c r="R30" s="90"/>
      <c r="S30" s="90"/>
      <c r="T30" s="31" t="s">
        <v>524</v>
      </c>
      <c r="U30" s="31"/>
      <c r="V30" s="140" t="str">
        <f t="shared" si="2"/>
        <v>暗影转换</v>
      </c>
      <c r="W30" s="140" t="str">
        <f t="shared" si="8"/>
        <v>对目标造成其生命上限20%的伤害, 并以5倍的效果治疗自己.</v>
      </c>
      <c r="X30" s="18"/>
      <c r="Y30" s="18"/>
      <c r="Z30" s="95" t="str">
        <f t="shared" si="7"/>
        <v>对目标造成其生命上限20%的伤害, 并以5倍的效果治疗自己.|n|n</v>
      </c>
      <c r="AA30" s="95" t="str">
        <f t="shared" si="3"/>
        <v>暗影转换</v>
      </c>
      <c r="AB30" s="95" t="str">
        <f t="shared" si="4"/>
        <v>物理状态：对目标造成其生命上限20%的伤害, 并以5倍的效果治疗自己.</v>
      </c>
      <c r="AC30" s="86">
        <f t="shared" si="5"/>
        <v>-1</v>
      </c>
      <c r="AD30" s="98">
        <f t="shared" si="6"/>
        <v>1</v>
      </c>
    </row>
    <row r="31" spans="1:30" x14ac:dyDescent="0.35">
      <c r="A31" s="143">
        <v>5</v>
      </c>
      <c r="B31" s="32" t="s">
        <v>479</v>
      </c>
      <c r="C31" s="32" t="s">
        <v>1718</v>
      </c>
      <c r="D31" s="32" t="s">
        <v>525</v>
      </c>
      <c r="E31" s="32" t="s">
        <v>526</v>
      </c>
      <c r="F31" s="32" t="s">
        <v>527</v>
      </c>
      <c r="G31" s="133"/>
      <c r="H31" s="133">
        <v>0</v>
      </c>
      <c r="I31" s="32"/>
      <c r="J31" s="32"/>
      <c r="K31" s="91"/>
      <c r="L31" s="91"/>
      <c r="M31" s="91"/>
      <c r="N31" s="91"/>
      <c r="O31" s="91"/>
      <c r="P31" s="91"/>
      <c r="Q31" s="91">
        <v>7</v>
      </c>
      <c r="R31" s="91"/>
      <c r="S31" s="91"/>
      <c r="T31" s="32" t="s">
        <v>528</v>
      </c>
      <c r="U31" s="32"/>
      <c r="V31" s="140" t="str">
        <f t="shared" si="2"/>
        <v>法力燃烧</v>
      </c>
      <c r="W31" s="140" t="str">
        <f t="shared" si="8"/>
        <v>燃烧目标20%的法力值，并造成等量伤害。</v>
      </c>
      <c r="X31" s="32"/>
      <c r="Y31" s="32"/>
      <c r="Z31" s="95" t="str">
        <f t="shared" si="7"/>
        <v>燃烧目标20%的法力值，并造成等量伤害。|n|n|cff99ccff冷却时间:|r 7秒|n</v>
      </c>
      <c r="AA31" s="95" t="str">
        <f t="shared" si="3"/>
        <v>法力燃烧</v>
      </c>
      <c r="AB31" s="95" t="str">
        <f t="shared" si="4"/>
        <v>物理状态：燃烧目标20%的法力值，并造成等量伤害。</v>
      </c>
      <c r="AC31" s="86">
        <f t="shared" si="5"/>
        <v>-1</v>
      </c>
      <c r="AD31" s="98">
        <f t="shared" si="6"/>
        <v>1</v>
      </c>
    </row>
    <row r="32" spans="1:30" ht="49.5" x14ac:dyDescent="0.35">
      <c r="A32" s="143">
        <v>5</v>
      </c>
      <c r="B32" s="31"/>
      <c r="C32" s="31" t="s">
        <v>529</v>
      </c>
      <c r="D32" s="31" t="s">
        <v>530</v>
      </c>
      <c r="E32" s="31" t="s">
        <v>531</v>
      </c>
      <c r="F32" s="31" t="s">
        <v>532</v>
      </c>
      <c r="G32" s="132"/>
      <c r="H32" s="132">
        <v>0</v>
      </c>
      <c r="I32" s="31"/>
      <c r="J32" s="31"/>
      <c r="K32" s="90"/>
      <c r="L32" s="90"/>
      <c r="M32" s="90"/>
      <c r="N32" s="90"/>
      <c r="O32" s="90"/>
      <c r="P32" s="90"/>
      <c r="Q32" s="90"/>
      <c r="R32" s="90"/>
      <c r="S32" s="90"/>
      <c r="T32" s="31" t="s">
        <v>533</v>
      </c>
      <c r="U32" s="31"/>
      <c r="V32" s="140" t="str">
        <f t="shared" si="2"/>
        <v>暗影之刺</v>
      </c>
      <c r="W32" s="140" t="str">
        <f t="shared" si="8"/>
        <v>deals 400 magical damage to target. then deals 200 + x magical damage to target where x equals to target HP lost times 0.33</v>
      </c>
      <c r="X32" s="18"/>
      <c r="Y32" s="18"/>
      <c r="Z32" s="95" t="str">
        <f t="shared" si="7"/>
        <v>deals 400 magical damage to target. then deals 200 + x magical damage to target where x equals to target HP lost times 0.33|n|n</v>
      </c>
      <c r="AA32" s="95" t="str">
        <f t="shared" si="3"/>
        <v>暗影之刺</v>
      </c>
      <c r="AB32" s="95" t="str">
        <f t="shared" si="4"/>
        <v>物理状态：deals 400 magical damage to target. then deals 200 + x magical damage to target where x equals to target HP lost times 0.33</v>
      </c>
      <c r="AC32" s="86">
        <f t="shared" si="5"/>
        <v>-1</v>
      </c>
      <c r="AD32" s="98">
        <f t="shared" si="6"/>
        <v>1</v>
      </c>
    </row>
    <row r="33" spans="1:30" ht="33" x14ac:dyDescent="0.35">
      <c r="A33" s="143"/>
      <c r="B33" s="31"/>
      <c r="C33" s="31"/>
      <c r="D33" s="31"/>
      <c r="E33" s="31" t="s">
        <v>1686</v>
      </c>
      <c r="F33" s="31" t="s">
        <v>534</v>
      </c>
      <c r="G33" s="132"/>
      <c r="H33" s="132">
        <v>0</v>
      </c>
      <c r="I33" s="31"/>
      <c r="J33" s="31"/>
      <c r="K33" s="90"/>
      <c r="L33" s="90"/>
      <c r="M33" s="90"/>
      <c r="N33" s="90"/>
      <c r="O33" s="90"/>
      <c r="P33" s="90"/>
      <c r="Q33" s="90"/>
      <c r="R33" s="90"/>
      <c r="S33" s="90"/>
      <c r="T33" s="31" t="s">
        <v>535</v>
      </c>
      <c r="U33" s="31"/>
      <c r="V33" s="140" t="str">
        <f t="shared" si="2"/>
        <v>痛苦标记</v>
      </c>
      <c r="W33" s="140" t="str">
        <f t="shared" si="8"/>
        <v>target takes same amount of damage maid of agony takes</v>
      </c>
      <c r="X33" s="18"/>
      <c r="Y33" s="18"/>
      <c r="Z33" s="95" t="str">
        <f t="shared" si="7"/>
        <v>target takes same amount of damage maid of agony takes|n|n</v>
      </c>
      <c r="AA33" s="95" t="str">
        <f t="shared" si="3"/>
        <v>痛苦标记</v>
      </c>
      <c r="AB33" s="95" t="str">
        <f t="shared" si="4"/>
        <v>物理状态：target takes same amount of damage maid of agony takes</v>
      </c>
      <c r="AC33" s="86">
        <f t="shared" si="5"/>
        <v>-1</v>
      </c>
      <c r="AD33" s="98">
        <f t="shared" si="6"/>
        <v>1</v>
      </c>
    </row>
    <row r="34" spans="1:30" x14ac:dyDescent="0.35">
      <c r="A34" s="143">
        <v>5</v>
      </c>
      <c r="B34" s="32" t="s">
        <v>465</v>
      </c>
      <c r="C34" s="32" t="s">
        <v>536</v>
      </c>
      <c r="D34" s="32" t="s">
        <v>537</v>
      </c>
      <c r="E34" s="32" t="s">
        <v>538</v>
      </c>
      <c r="F34" s="32" t="s">
        <v>539</v>
      </c>
      <c r="G34" s="133"/>
      <c r="H34" s="133">
        <v>0</v>
      </c>
      <c r="I34" s="32"/>
      <c r="J34" s="32"/>
      <c r="K34" s="91"/>
      <c r="L34" s="91"/>
      <c r="M34" s="91"/>
      <c r="N34" s="91"/>
      <c r="O34" s="91"/>
      <c r="P34" s="91"/>
      <c r="Q34" s="91"/>
      <c r="R34" s="91"/>
      <c r="S34" s="91"/>
      <c r="T34" s="32" t="s">
        <v>540</v>
      </c>
      <c r="U34" s="32"/>
      <c r="V34" s="140" t="str">
        <f t="shared" si="2"/>
        <v>相位变换</v>
      </c>
      <c r="W34" s="140" t="str">
        <f t="shared" si="8"/>
        <v>X秒永久隐形</v>
      </c>
      <c r="X34" s="35"/>
      <c r="Y34" s="35"/>
      <c r="Z34" s="95" t="str">
        <f t="shared" si="7"/>
        <v>X秒永久隐形|n|n</v>
      </c>
      <c r="AA34" s="95" t="str">
        <f t="shared" si="3"/>
        <v>相位变换</v>
      </c>
      <c r="AB34" s="95" t="str">
        <f t="shared" si="4"/>
        <v>物理状态：X秒永久隐形</v>
      </c>
      <c r="AC34" s="86">
        <f t="shared" si="5"/>
        <v>-1</v>
      </c>
      <c r="AD34" s="98">
        <f t="shared" si="6"/>
        <v>1</v>
      </c>
    </row>
    <row r="35" spans="1:30" ht="33" x14ac:dyDescent="0.35">
      <c r="A35" s="143"/>
      <c r="B35" s="32"/>
      <c r="C35" s="32"/>
      <c r="D35" s="32"/>
      <c r="E35" s="32" t="s">
        <v>541</v>
      </c>
      <c r="F35" s="32" t="s">
        <v>542</v>
      </c>
      <c r="G35" s="133"/>
      <c r="H35" s="133">
        <v>0</v>
      </c>
      <c r="I35" s="32"/>
      <c r="J35" s="32"/>
      <c r="K35" s="91"/>
      <c r="L35" s="91"/>
      <c r="M35" s="91"/>
      <c r="N35" s="91"/>
      <c r="O35" s="91"/>
      <c r="P35" s="91"/>
      <c r="Q35" s="91"/>
      <c r="R35" s="91"/>
      <c r="S35" s="91"/>
      <c r="T35" s="32" t="s">
        <v>543</v>
      </c>
      <c r="U35" s="32"/>
      <c r="V35" s="140" t="str">
        <f t="shared" si="2"/>
        <v>虚空爆裂</v>
      </c>
      <c r="W35" s="140" t="str">
        <f t="shared" si="8"/>
        <v>将所有敌人拉至身边, 然后开始施放魔爆术, 造成1500伤害.</v>
      </c>
      <c r="X35" s="35"/>
      <c r="Y35" s="35"/>
      <c r="Z35" s="95" t="str">
        <f t="shared" si="7"/>
        <v>将所有敌人拉至身边, 然后开始施放魔爆术, 造成1500伤害.|n|n</v>
      </c>
      <c r="AA35" s="95" t="str">
        <f t="shared" si="3"/>
        <v>虚空爆裂</v>
      </c>
      <c r="AB35" s="95" t="str">
        <f t="shared" si="4"/>
        <v>物理状态：将所有敌人拉至身边, 然后开始施放魔爆术, 造成1500伤害.</v>
      </c>
      <c r="AC35" s="86">
        <f t="shared" si="5"/>
        <v>-1</v>
      </c>
      <c r="AD35" s="98">
        <f t="shared" si="6"/>
        <v>1</v>
      </c>
    </row>
    <row r="36" spans="1:30" x14ac:dyDescent="0.35">
      <c r="A36" s="143"/>
      <c r="B36" s="32"/>
      <c r="C36" s="32"/>
      <c r="D36" s="32"/>
      <c r="E36" s="32" t="s">
        <v>544</v>
      </c>
      <c r="F36" s="32" t="s">
        <v>545</v>
      </c>
      <c r="G36" s="133"/>
      <c r="H36" s="133">
        <v>0</v>
      </c>
      <c r="I36" s="32"/>
      <c r="J36" s="32"/>
      <c r="K36" s="91"/>
      <c r="L36" s="91"/>
      <c r="M36" s="91"/>
      <c r="N36" s="91"/>
      <c r="O36" s="91"/>
      <c r="P36" s="91">
        <v>12</v>
      </c>
      <c r="Q36" s="91"/>
      <c r="R36" s="91" t="s">
        <v>996</v>
      </c>
      <c r="S36" s="91" t="s">
        <v>994</v>
      </c>
      <c r="T36" s="32" t="s">
        <v>546</v>
      </c>
      <c r="U36" s="32"/>
      <c r="V36" s="140" t="str">
        <f t="shared" si="2"/>
        <v>虚空吐息</v>
      </c>
      <c r="W36" s="140" t="str">
        <f t="shared" si="8"/>
        <v>正面锥形AOE, 并且使受影响的目标受到的法伤增幅.</v>
      </c>
      <c r="X36" s="35"/>
      <c r="Y36" s="35"/>
      <c r="Z36" s="95" t="str">
        <f t="shared" si="7"/>
        <v>正面锥形AOE, 并且使受影响的目标受到的法伤增幅.|n|n|cff99ccff持续时间:|r 12秒|n</v>
      </c>
      <c r="AA36" s="95" t="str">
        <f t="shared" si="3"/>
        <v>虚空吐息</v>
      </c>
      <c r="AB36" s="95" t="str">
        <f t="shared" si="4"/>
        <v>|cff6666ff魔法|r状态：正面锥形AOE, 并且使受影响的目标受到的法伤增幅.</v>
      </c>
      <c r="AC36" s="86">
        <f t="shared" si="5"/>
        <v>-1</v>
      </c>
      <c r="AD36" s="98">
        <f t="shared" si="6"/>
        <v>1</v>
      </c>
    </row>
    <row r="37" spans="1:30" x14ac:dyDescent="0.35">
      <c r="A37" s="143">
        <v>5</v>
      </c>
      <c r="B37" s="31" t="s">
        <v>479</v>
      </c>
      <c r="C37" s="31" t="s">
        <v>547</v>
      </c>
      <c r="D37" s="31" t="s">
        <v>548</v>
      </c>
      <c r="E37" s="31" t="s">
        <v>538</v>
      </c>
      <c r="F37" s="31" t="s">
        <v>539</v>
      </c>
      <c r="G37" s="132"/>
      <c r="H37" s="132">
        <v>0</v>
      </c>
      <c r="I37" s="31"/>
      <c r="J37" s="31"/>
      <c r="K37" s="90"/>
      <c r="L37" s="90"/>
      <c r="M37" s="90"/>
      <c r="N37" s="90"/>
      <c r="O37" s="90"/>
      <c r="P37" s="90"/>
      <c r="Q37" s="90"/>
      <c r="R37" s="90"/>
      <c r="S37" s="90"/>
      <c r="T37" s="31" t="s">
        <v>540</v>
      </c>
      <c r="U37" s="31"/>
      <c r="V37" s="140" t="str">
        <f t="shared" si="2"/>
        <v>相位变换</v>
      </c>
      <c r="W37" s="140" t="str">
        <f t="shared" si="8"/>
        <v>X秒永久隐形</v>
      </c>
      <c r="X37" s="18"/>
      <c r="Y37" s="18"/>
      <c r="Z37" s="95" t="str">
        <f t="shared" si="7"/>
        <v>X秒永久隐形|n|n</v>
      </c>
      <c r="AA37" s="95" t="str">
        <f t="shared" si="3"/>
        <v>相位变换</v>
      </c>
      <c r="AB37" s="95" t="str">
        <f t="shared" si="4"/>
        <v>物理状态：X秒永久隐形</v>
      </c>
      <c r="AC37" s="86">
        <f t="shared" si="5"/>
        <v>-1</v>
      </c>
      <c r="AD37" s="98">
        <f t="shared" si="6"/>
        <v>1</v>
      </c>
    </row>
    <row r="38" spans="1:30" x14ac:dyDescent="0.35">
      <c r="A38" s="143"/>
      <c r="B38" s="31"/>
      <c r="C38" s="31"/>
      <c r="D38" s="31"/>
      <c r="E38" s="31" t="s">
        <v>549</v>
      </c>
      <c r="F38" s="31" t="s">
        <v>550</v>
      </c>
      <c r="G38" s="132"/>
      <c r="H38" s="132">
        <v>0</v>
      </c>
      <c r="I38" s="31"/>
      <c r="J38" s="31"/>
      <c r="K38" s="90"/>
      <c r="L38" s="90"/>
      <c r="M38" s="90"/>
      <c r="N38" s="90"/>
      <c r="O38" s="90"/>
      <c r="P38" s="90"/>
      <c r="Q38" s="90"/>
      <c r="R38" s="90"/>
      <c r="S38" s="90"/>
      <c r="T38" s="31" t="s">
        <v>551</v>
      </c>
      <c r="U38" s="31"/>
      <c r="V38" s="140" t="str">
        <f t="shared" si="2"/>
        <v>迟缓</v>
      </c>
      <c r="W38" s="140" t="str">
        <f t="shared" si="8"/>
        <v>降低目标75%移动速度.</v>
      </c>
      <c r="X38" s="18"/>
      <c r="Y38" s="18"/>
      <c r="Z38" s="95" t="str">
        <f t="shared" si="7"/>
        <v>降低目标75%移动速度.|n|n</v>
      </c>
      <c r="AA38" s="95" t="str">
        <f t="shared" si="3"/>
        <v>迟缓</v>
      </c>
      <c r="AB38" s="95" t="str">
        <f t="shared" si="4"/>
        <v>物理状态：降低目标75%移动速度.</v>
      </c>
      <c r="AC38" s="86">
        <f t="shared" si="5"/>
        <v>-1</v>
      </c>
      <c r="AD38" s="98">
        <f t="shared" si="6"/>
        <v>1</v>
      </c>
    </row>
    <row r="39" spans="1:30" s="98" customFormat="1" ht="33" x14ac:dyDescent="0.35">
      <c r="A39" s="143">
        <v>5</v>
      </c>
      <c r="B39" s="31" t="s">
        <v>465</v>
      </c>
      <c r="C39" s="31" t="s">
        <v>1667</v>
      </c>
      <c r="D39" s="31" t="s">
        <v>1668</v>
      </c>
      <c r="E39" s="31" t="s">
        <v>1669</v>
      </c>
      <c r="F39" s="31" t="s">
        <v>1670</v>
      </c>
      <c r="G39" s="132"/>
      <c r="H39" s="132"/>
      <c r="I39" s="31"/>
      <c r="J39" s="31"/>
      <c r="K39" s="90"/>
      <c r="L39" s="90"/>
      <c r="M39" s="90"/>
      <c r="N39" s="90"/>
      <c r="O39" s="90"/>
      <c r="P39" s="90"/>
      <c r="Q39" s="90"/>
      <c r="R39" s="90"/>
      <c r="S39" s="90"/>
      <c r="T39" s="31" t="s">
        <v>1671</v>
      </c>
      <c r="U39" s="31"/>
      <c r="V39" s="140" t="str">
        <f t="shared" si="2"/>
        <v>陨石</v>
      </c>
      <c r="W39" s="140" t="str">
        <f t="shared" si="8"/>
        <v>对目标区域内造成6000点物理伤害，由所有目标分担。</v>
      </c>
      <c r="X39" s="99"/>
      <c r="Y39" s="99"/>
      <c r="Z39" s="95"/>
      <c r="AA39" s="95"/>
      <c r="AB39" s="95"/>
    </row>
    <row r="40" spans="1:30" s="98" customFormat="1" x14ac:dyDescent="0.35">
      <c r="A40" s="143"/>
      <c r="B40" s="31"/>
      <c r="C40" s="31"/>
      <c r="D40" s="31"/>
      <c r="E40" s="31" t="s">
        <v>1673</v>
      </c>
      <c r="F40" s="31" t="s">
        <v>1672</v>
      </c>
      <c r="G40" s="132"/>
      <c r="H40" s="132"/>
      <c r="I40" s="31"/>
      <c r="J40" s="31"/>
      <c r="K40" s="90"/>
      <c r="L40" s="90"/>
      <c r="M40" s="90"/>
      <c r="N40" s="90"/>
      <c r="O40" s="90"/>
      <c r="P40" s="90"/>
      <c r="Q40" s="90"/>
      <c r="R40" s="90"/>
      <c r="S40" s="90"/>
      <c r="T40" s="31" t="s">
        <v>1674</v>
      </c>
      <c r="U40" s="31"/>
      <c r="V40" s="140" t="str">
        <f t="shared" si="2"/>
        <v>燃烧(被动)</v>
      </c>
      <c r="W40" s="140" t="str">
        <f t="shared" si="8"/>
        <v>每秒对附近的玩家单位造成100点法术伤害。</v>
      </c>
      <c r="X40" s="99"/>
      <c r="Y40" s="99"/>
      <c r="Z40" s="95"/>
      <c r="AA40" s="95"/>
      <c r="AB40" s="95"/>
    </row>
    <row r="41" spans="1:30" s="98" customFormat="1" ht="33" x14ac:dyDescent="0.35">
      <c r="A41" s="143"/>
      <c r="B41" s="31"/>
      <c r="C41" s="31"/>
      <c r="D41" s="31"/>
      <c r="E41" s="31" t="s">
        <v>1675</v>
      </c>
      <c r="F41" s="31" t="s">
        <v>1676</v>
      </c>
      <c r="G41" s="132"/>
      <c r="H41" s="132"/>
      <c r="I41" s="31"/>
      <c r="J41" s="31"/>
      <c r="K41" s="90"/>
      <c r="L41" s="90"/>
      <c r="M41" s="90"/>
      <c r="N41" s="90"/>
      <c r="O41" s="90"/>
      <c r="P41" s="90"/>
      <c r="Q41" s="90"/>
      <c r="R41" s="90"/>
      <c r="S41" s="90"/>
      <c r="T41" s="31" t="s">
        <v>1677</v>
      </c>
      <c r="U41" s="31"/>
      <c r="V41" s="140" t="str">
        <f t="shared" si="2"/>
        <v>愤怒打击</v>
      </c>
      <c r="W41" s="140" t="str">
        <f t="shared" si="8"/>
        <v>对附近生命百分比最高的单位造成80%生命上限的伤害。</v>
      </c>
      <c r="X41" s="99"/>
      <c r="Y41" s="99"/>
      <c r="Z41" s="95"/>
      <c r="AA41" s="95"/>
      <c r="AB41" s="95"/>
    </row>
    <row r="42" spans="1:30" x14ac:dyDescent="0.35">
      <c r="A42" s="144">
        <v>6</v>
      </c>
      <c r="B42" s="32"/>
      <c r="C42" s="32" t="s">
        <v>552</v>
      </c>
      <c r="D42" s="32" t="s">
        <v>553</v>
      </c>
      <c r="E42" s="32" t="s">
        <v>554</v>
      </c>
      <c r="F42" s="32" t="s">
        <v>555</v>
      </c>
      <c r="G42" s="133"/>
      <c r="H42" s="133">
        <v>0</v>
      </c>
      <c r="I42" s="32"/>
      <c r="J42" s="32"/>
      <c r="K42" s="91"/>
      <c r="L42" s="91"/>
      <c r="M42" s="91"/>
      <c r="N42" s="91"/>
      <c r="O42" s="91"/>
      <c r="P42" s="91"/>
      <c r="Q42" s="91"/>
      <c r="R42" s="91"/>
      <c r="S42" s="91"/>
      <c r="T42" s="32" t="s">
        <v>556</v>
      </c>
      <c r="U42" s="32"/>
      <c r="V42" s="140" t="str">
        <f t="shared" si="2"/>
        <v>重拳</v>
      </c>
      <c r="W42" s="140" t="str">
        <f t="shared" si="8"/>
        <v>立即对目标造成600物理伤害。</v>
      </c>
      <c r="X42" s="32"/>
      <c r="Y42" s="32"/>
      <c r="Z42" s="95" t="str">
        <f t="shared" si="7"/>
        <v>立即对目标造成600物理伤害。|n|n</v>
      </c>
      <c r="AA42" s="95" t="str">
        <f t="shared" si="3"/>
        <v>重拳</v>
      </c>
      <c r="AB42" s="95" t="str">
        <f t="shared" si="4"/>
        <v>物理状态：立即对目标造成600物理伤害。</v>
      </c>
      <c r="AC42" s="86">
        <f t="shared" si="5"/>
        <v>-1</v>
      </c>
      <c r="AD42" s="98">
        <f t="shared" si="6"/>
        <v>1</v>
      </c>
    </row>
    <row r="43" spans="1:30" ht="33" x14ac:dyDescent="0.35">
      <c r="A43" s="144"/>
      <c r="B43" s="32"/>
      <c r="C43" s="32"/>
      <c r="D43" s="34"/>
      <c r="E43" s="34" t="s">
        <v>557</v>
      </c>
      <c r="F43" s="34" t="s">
        <v>558</v>
      </c>
      <c r="G43" s="136"/>
      <c r="H43" s="136">
        <v>0</v>
      </c>
      <c r="I43" s="34"/>
      <c r="J43" s="34"/>
      <c r="K43" s="94"/>
      <c r="L43" s="94"/>
      <c r="M43" s="94"/>
      <c r="N43" s="94"/>
      <c r="O43" s="94"/>
      <c r="P43" s="94">
        <v>3</v>
      </c>
      <c r="Q43" s="94">
        <v>12</v>
      </c>
      <c r="R43" s="94" t="s">
        <v>995</v>
      </c>
      <c r="S43" s="94" t="s">
        <v>994</v>
      </c>
      <c r="T43" s="34" t="s">
        <v>559</v>
      </c>
      <c r="U43" s="34"/>
      <c r="V43" s="140" t="str">
        <f t="shared" si="2"/>
        <v>震地</v>
      </c>
      <c r="W43" s="140" t="str">
        <f t="shared" si="8"/>
        <v>击飞附近所有敌人，造成300点物理伤害，并降低他们的移动速度75%。</v>
      </c>
      <c r="X43" s="32"/>
      <c r="Y43" s="32"/>
      <c r="Z43" s="95" t="str">
        <f t="shared" si="7"/>
        <v>击飞附近所有敌人，造成300点物理伤害，并降低他们的移动速度75%。|n|n|cff99ccff持续时间:|r 3秒|n|cff99ccff冷却时间:|r 12秒|n</v>
      </c>
      <c r="AA43" s="95" t="str">
        <f t="shared" si="3"/>
        <v>震地</v>
      </c>
      <c r="AB43" s="95" t="str">
        <f t="shared" si="4"/>
        <v>物理状态：击飞附近所有敌人，造成300点物理伤害，并降低他们的移动速度75%。</v>
      </c>
      <c r="AC43" s="86">
        <f t="shared" si="5"/>
        <v>-1</v>
      </c>
      <c r="AD43" s="98">
        <f t="shared" si="6"/>
        <v>1</v>
      </c>
    </row>
    <row r="44" spans="1:30" x14ac:dyDescent="0.35">
      <c r="A44" s="148">
        <v>6</v>
      </c>
      <c r="C44" s="15" t="s">
        <v>1678</v>
      </c>
      <c r="D44" s="15" t="s">
        <v>1679</v>
      </c>
      <c r="E44" s="15" t="s">
        <v>1680</v>
      </c>
      <c r="F44" s="15" t="s">
        <v>1681</v>
      </c>
      <c r="T44" s="15" t="s">
        <v>1682</v>
      </c>
      <c r="V44" s="95" t="str">
        <f t="shared" si="2"/>
        <v>狂热</v>
      </c>
      <c r="W44" s="95" t="str">
        <f t="shared" si="8"/>
        <v>每次攻击可以使攻击力提高50点。</v>
      </c>
    </row>
    <row r="45" spans="1:30" ht="33" x14ac:dyDescent="0.35">
      <c r="A45" s="148">
        <v>6</v>
      </c>
      <c r="C45" s="15" t="s">
        <v>1698</v>
      </c>
      <c r="D45" s="15" t="s">
        <v>1699</v>
      </c>
      <c r="E45" s="15" t="s">
        <v>1683</v>
      </c>
      <c r="F45" s="15" t="s">
        <v>1684</v>
      </c>
      <c r="T45" s="15" t="s">
        <v>1685</v>
      </c>
    </row>
    <row r="46" spans="1:30" ht="49.5" x14ac:dyDescent="0.35">
      <c r="A46" s="148"/>
      <c r="E46" s="15" t="s">
        <v>1687</v>
      </c>
      <c r="F46" s="15" t="s">
        <v>1688</v>
      </c>
      <c r="T46" s="15" t="s">
        <v>1689</v>
      </c>
    </row>
    <row r="47" spans="1:30" x14ac:dyDescent="0.35">
      <c r="A47" s="148">
        <v>6</v>
      </c>
      <c r="B47" s="15" t="s">
        <v>465</v>
      </c>
      <c r="C47" s="15" t="s">
        <v>1690</v>
      </c>
      <c r="D47" s="15" t="s">
        <v>1691</v>
      </c>
      <c r="E47" s="15" t="s">
        <v>1692</v>
      </c>
      <c r="F47" s="15" t="s">
        <v>1693</v>
      </c>
      <c r="T47" s="15" t="s">
        <v>1694</v>
      </c>
    </row>
    <row r="48" spans="1:30" ht="33" x14ac:dyDescent="0.35">
      <c r="A48" s="148"/>
      <c r="E48" s="15" t="s">
        <v>1695</v>
      </c>
      <c r="F48" s="15" t="s">
        <v>1696</v>
      </c>
      <c r="T48" s="15" t="s">
        <v>1697</v>
      </c>
    </row>
    <row r="49" spans="1:20" ht="33" x14ac:dyDescent="0.35">
      <c r="A49" s="148">
        <v>6</v>
      </c>
      <c r="C49" s="15" t="s">
        <v>1707</v>
      </c>
      <c r="D49" s="15" t="s">
        <v>1700</v>
      </c>
      <c r="E49" s="15" t="s">
        <v>1701</v>
      </c>
      <c r="F49" s="15" t="s">
        <v>1702</v>
      </c>
      <c r="T49" s="15" t="s">
        <v>1703</v>
      </c>
    </row>
    <row r="50" spans="1:20" ht="33" x14ac:dyDescent="0.35">
      <c r="A50" s="148"/>
      <c r="E50" s="15" t="s">
        <v>1704</v>
      </c>
      <c r="F50" s="15" t="s">
        <v>1705</v>
      </c>
      <c r="T50" s="15" t="s">
        <v>1706</v>
      </c>
    </row>
    <row r="51" spans="1:20" x14ac:dyDescent="0.35">
      <c r="A51" s="148">
        <v>6</v>
      </c>
      <c r="B51" s="15" t="s">
        <v>465</v>
      </c>
      <c r="C51" s="15" t="s">
        <v>1708</v>
      </c>
      <c r="D51" s="15" t="s">
        <v>1709</v>
      </c>
      <c r="E51" s="15" t="s">
        <v>1710</v>
      </c>
      <c r="F51" s="15" t="s">
        <v>1711</v>
      </c>
      <c r="T51" s="15" t="s">
        <v>1712</v>
      </c>
    </row>
    <row r="52" spans="1:20" ht="33" x14ac:dyDescent="0.35">
      <c r="A52" s="148"/>
      <c r="E52" s="15" t="s">
        <v>1713</v>
      </c>
      <c r="F52" s="15" t="s">
        <v>1714</v>
      </c>
      <c r="T52" s="15" t="s">
        <v>1715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0" t="s">
        <v>155</v>
      </c>
      <c r="B2" s="37" t="s">
        <v>8</v>
      </c>
      <c r="C2" s="37" t="s">
        <v>565</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4"/>
      <c r="B3" s="37" t="s">
        <v>639</v>
      </c>
      <c r="C3" s="37" t="s">
        <v>774</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1" t="s">
        <v>781</v>
      </c>
      <c r="B4" s="38" t="s">
        <v>78</v>
      </c>
      <c r="C4" s="38" t="s">
        <v>807</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4"/>
      <c r="B5" s="38" t="s">
        <v>109</v>
      </c>
      <c r="C5" s="38" t="s">
        <v>810</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4"/>
      <c r="B6" s="38" t="s">
        <v>181</v>
      </c>
      <c r="C6" s="38" t="s">
        <v>822</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2" t="s">
        <v>827</v>
      </c>
      <c r="B7" s="39" t="s">
        <v>292</v>
      </c>
      <c r="C7" s="39" t="s">
        <v>831</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4"/>
      <c r="B8" s="39" t="s">
        <v>215</v>
      </c>
      <c r="C8" s="39" t="s">
        <v>842</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843</v>
      </c>
    </row>
    <row r="9" spans="1:11" x14ac:dyDescent="0.35">
      <c r="A9" s="154"/>
      <c r="B9" s="39" t="s">
        <v>605</v>
      </c>
      <c r="C9" s="39" t="s">
        <v>844</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845</v>
      </c>
    </row>
    <row r="10" spans="1:11" x14ac:dyDescent="0.35">
      <c r="A10" s="154"/>
      <c r="B10" s="39" t="s">
        <v>343</v>
      </c>
      <c r="C10" s="39" t="s">
        <v>846</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4"/>
      <c r="B11" s="39" t="s">
        <v>418</v>
      </c>
      <c r="C11" s="39" t="s">
        <v>847</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4"/>
      <c r="B12" s="39" t="s">
        <v>739</v>
      </c>
      <c r="C12" s="39" t="s">
        <v>848</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423</v>
      </c>
      <c r="C11" s="4" t="s">
        <v>424</v>
      </c>
      <c r="D11" s="4" t="s">
        <v>425</v>
      </c>
      <c r="E11" s="4" t="s">
        <v>426</v>
      </c>
      <c r="F11" s="4" t="s">
        <v>427</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492</v>
      </c>
      <c r="C20" s="4" t="s">
        <v>494</v>
      </c>
      <c r="D20" s="4" t="s">
        <v>495</v>
      </c>
      <c r="E20" s="4" t="s">
        <v>496</v>
      </c>
      <c r="F20" s="4" t="s">
        <v>497</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560</v>
      </c>
      <c r="C29" s="4" t="s">
        <v>561</v>
      </c>
      <c r="D29" s="4" t="s">
        <v>562</v>
      </c>
      <c r="E29" s="4" t="s">
        <v>563</v>
      </c>
      <c r="F29" s="4" t="s">
        <v>564</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681</v>
      </c>
      <c r="C38" s="4" t="s">
        <v>682</v>
      </c>
      <c r="D38" s="4" t="s">
        <v>683</v>
      </c>
      <c r="E38" s="4" t="s">
        <v>688</v>
      </c>
      <c r="F38" s="4" t="s">
        <v>692</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811</v>
      </c>
      <c r="C47" s="4" t="s">
        <v>812</v>
      </c>
      <c r="D47" s="4" t="s">
        <v>813</v>
      </c>
      <c r="E47" s="4" t="s">
        <v>814</v>
      </c>
      <c r="F47" s="4" t="s">
        <v>815</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849</v>
      </c>
      <c r="C56" s="4" t="s">
        <v>850</v>
      </c>
      <c r="D56" s="4" t="s">
        <v>851</v>
      </c>
      <c r="E56" s="4" t="s">
        <v>852</v>
      </c>
      <c r="F56" s="4" t="s">
        <v>853</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854</v>
      </c>
      <c r="C65" s="4" t="s">
        <v>855</v>
      </c>
      <c r="D65" s="4" t="s">
        <v>856</v>
      </c>
      <c r="E65" s="4" t="s">
        <v>857</v>
      </c>
      <c r="F65" s="4" t="s">
        <v>858</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859</v>
      </c>
      <c r="C74" s="4" t="s">
        <v>860</v>
      </c>
      <c r="D74" s="4" t="s">
        <v>861</v>
      </c>
      <c r="E74" s="4" t="s">
        <v>862</v>
      </c>
      <c r="F74" s="4" t="s">
        <v>863</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864</v>
      </c>
      <c r="C83" s="4" t="s">
        <v>865</v>
      </c>
      <c r="D83" s="4" t="s">
        <v>866</v>
      </c>
      <c r="E83" s="4" t="s">
        <v>867</v>
      </c>
      <c r="F83" s="4" t="s">
        <v>868</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869</v>
      </c>
      <c r="C92" s="4" t="s">
        <v>870</v>
      </c>
      <c r="D92" s="4" t="s">
        <v>871</v>
      </c>
      <c r="E92" s="4" t="s">
        <v>872</v>
      </c>
      <c r="F92" s="4" t="s">
        <v>873</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4" t="s">
        <v>111</v>
      </c>
      <c r="B1" s="159"/>
      <c r="C1" s="159"/>
      <c r="D1" s="159"/>
      <c r="E1" s="159"/>
      <c r="F1" s="159"/>
      <c r="G1" s="159"/>
      <c r="H1" s="159"/>
      <c r="I1" s="159"/>
      <c r="J1" s="159"/>
      <c r="K1" s="36"/>
      <c r="L1" s="36"/>
    </row>
    <row r="2" spans="1:12" x14ac:dyDescent="0.35">
      <c r="A2" s="174" t="s">
        <v>113</v>
      </c>
      <c r="B2" s="159"/>
      <c r="C2" s="159"/>
      <c r="D2" s="159"/>
      <c r="E2" s="159"/>
      <c r="F2" s="159"/>
      <c r="G2" s="159"/>
      <c r="H2" s="159"/>
      <c r="I2" s="159"/>
      <c r="J2" s="159"/>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3" t="s">
        <v>422</v>
      </c>
      <c r="B5" s="29">
        <v>1</v>
      </c>
      <c r="C5" s="40" t="s">
        <v>578</v>
      </c>
      <c r="D5" s="40" t="s">
        <v>580</v>
      </c>
      <c r="E5" s="40" t="s">
        <v>581</v>
      </c>
      <c r="F5" s="40" t="s">
        <v>583</v>
      </c>
      <c r="G5" s="40"/>
      <c r="H5" s="40"/>
      <c r="I5" s="175" t="s">
        <v>584</v>
      </c>
      <c r="J5" s="176"/>
      <c r="K5" s="43"/>
      <c r="L5" s="40"/>
    </row>
    <row r="6" spans="1:12" x14ac:dyDescent="0.35">
      <c r="A6" s="159"/>
      <c r="B6" s="29">
        <v>2</v>
      </c>
      <c r="C6" s="40" t="s">
        <v>644</v>
      </c>
      <c r="D6" s="40" t="s">
        <v>580</v>
      </c>
      <c r="E6" s="40" t="s">
        <v>581</v>
      </c>
      <c r="F6" s="40" t="s">
        <v>583</v>
      </c>
      <c r="G6" s="40" t="s">
        <v>647</v>
      </c>
      <c r="H6" s="40"/>
      <c r="I6" s="154"/>
      <c r="J6" s="154"/>
      <c r="K6" s="43"/>
      <c r="L6" s="40"/>
    </row>
    <row r="7" spans="1:12" x14ac:dyDescent="0.35">
      <c r="A7" s="159"/>
      <c r="B7" s="29">
        <v>3</v>
      </c>
      <c r="C7" s="40" t="s">
        <v>654</v>
      </c>
      <c r="D7" s="40" t="s">
        <v>655</v>
      </c>
      <c r="E7" s="40" t="s">
        <v>580</v>
      </c>
      <c r="F7" s="40" t="s">
        <v>657</v>
      </c>
      <c r="G7" s="40"/>
      <c r="H7" s="40"/>
      <c r="I7" s="154"/>
      <c r="J7" s="154"/>
      <c r="K7" s="43"/>
      <c r="L7" s="40"/>
    </row>
    <row r="8" spans="1:12" x14ac:dyDescent="0.35">
      <c r="A8" s="159"/>
      <c r="B8" s="29">
        <v>4</v>
      </c>
      <c r="C8" s="40" t="s">
        <v>664</v>
      </c>
      <c r="D8" s="40" t="s">
        <v>666</v>
      </c>
      <c r="E8" s="40" t="s">
        <v>581</v>
      </c>
      <c r="F8" s="40" t="s">
        <v>580</v>
      </c>
      <c r="G8" s="40" t="s">
        <v>647</v>
      </c>
      <c r="H8" s="40" t="s">
        <v>669</v>
      </c>
      <c r="I8" s="154"/>
      <c r="J8" s="154"/>
      <c r="K8" s="43"/>
      <c r="L8" s="40"/>
    </row>
    <row r="9" spans="1:12" x14ac:dyDescent="0.35">
      <c r="A9" s="159"/>
      <c r="B9" s="29">
        <v>5</v>
      </c>
      <c r="C9" s="40" t="s">
        <v>672</v>
      </c>
      <c r="D9" s="40" t="s">
        <v>669</v>
      </c>
      <c r="E9" s="40" t="s">
        <v>666</v>
      </c>
      <c r="F9" s="40"/>
      <c r="G9" s="40"/>
      <c r="H9" s="40"/>
      <c r="I9" s="154"/>
      <c r="J9" s="154"/>
      <c r="K9" s="43"/>
      <c r="L9" s="40"/>
    </row>
    <row r="10" spans="1:12" x14ac:dyDescent="0.35">
      <c r="A10" s="159"/>
      <c r="B10" s="29">
        <v>6</v>
      </c>
      <c r="C10" s="40" t="s">
        <v>677</v>
      </c>
      <c r="D10" s="40" t="s">
        <v>678</v>
      </c>
      <c r="E10" s="40" t="s">
        <v>680</v>
      </c>
      <c r="F10" s="40"/>
      <c r="G10" s="40"/>
      <c r="H10" s="40"/>
      <c r="I10" s="154"/>
      <c r="J10" s="154"/>
      <c r="K10" s="43"/>
      <c r="L10" s="40"/>
    </row>
    <row r="11" spans="1:12" x14ac:dyDescent="0.35">
      <c r="A11" s="173" t="s">
        <v>691</v>
      </c>
      <c r="B11" s="29"/>
      <c r="C11" s="40" t="s">
        <v>578</v>
      </c>
      <c r="D11" s="40" t="s">
        <v>701</v>
      </c>
      <c r="E11" s="40" t="s">
        <v>703</v>
      </c>
      <c r="F11" s="40" t="s">
        <v>705</v>
      </c>
      <c r="G11" s="40"/>
      <c r="H11" s="40"/>
      <c r="I11" s="41"/>
      <c r="J11" s="42"/>
      <c r="K11" s="43"/>
      <c r="L11" s="40"/>
    </row>
    <row r="12" spans="1:12" x14ac:dyDescent="0.35">
      <c r="A12" s="159"/>
      <c r="B12" s="29"/>
      <c r="C12" s="40" t="s">
        <v>644</v>
      </c>
      <c r="D12" s="40" t="s">
        <v>701</v>
      </c>
      <c r="E12" s="40" t="s">
        <v>703</v>
      </c>
      <c r="F12" s="40" t="s">
        <v>717</v>
      </c>
      <c r="G12" s="40"/>
      <c r="H12" s="40"/>
      <c r="I12" s="41"/>
      <c r="J12" s="42"/>
      <c r="K12" s="43"/>
      <c r="L12" s="40"/>
    </row>
    <row r="13" spans="1:12" x14ac:dyDescent="0.35">
      <c r="A13" s="159"/>
      <c r="B13" s="29"/>
      <c r="C13" s="40" t="s">
        <v>654</v>
      </c>
      <c r="D13" s="40" t="s">
        <v>724</v>
      </c>
      <c r="E13" s="40" t="s">
        <v>726</v>
      </c>
      <c r="F13" s="40"/>
      <c r="G13" s="40"/>
      <c r="H13" s="40"/>
      <c r="I13" s="41"/>
      <c r="J13" s="42"/>
      <c r="K13" s="43"/>
      <c r="L13" s="40"/>
    </row>
    <row r="14" spans="1:12" x14ac:dyDescent="0.35">
      <c r="A14" s="159"/>
      <c r="B14" s="29"/>
      <c r="C14" s="40" t="s">
        <v>664</v>
      </c>
      <c r="D14" s="40" t="s">
        <v>724</v>
      </c>
      <c r="E14" s="40" t="s">
        <v>733</v>
      </c>
      <c r="F14" s="40" t="s">
        <v>734</v>
      </c>
      <c r="G14" s="40" t="s">
        <v>736</v>
      </c>
      <c r="H14" s="40" t="s">
        <v>738</v>
      </c>
      <c r="I14" s="41"/>
      <c r="J14" s="42"/>
      <c r="K14" s="43"/>
      <c r="L14" s="40"/>
    </row>
    <row r="15" spans="1:12" x14ac:dyDescent="0.35">
      <c r="A15" s="159"/>
      <c r="B15" s="29"/>
      <c r="C15" s="40" t="s">
        <v>672</v>
      </c>
      <c r="D15" s="40" t="s">
        <v>738</v>
      </c>
      <c r="E15" s="40" t="s">
        <v>724</v>
      </c>
      <c r="F15" s="40"/>
      <c r="G15" s="40"/>
      <c r="H15" s="40"/>
      <c r="I15" s="41"/>
      <c r="J15" s="42"/>
      <c r="K15" s="43"/>
      <c r="L15" s="40"/>
    </row>
    <row r="16" spans="1:12" x14ac:dyDescent="0.35">
      <c r="A16" s="159"/>
      <c r="B16" s="29"/>
      <c r="C16" s="40" t="s">
        <v>677</v>
      </c>
      <c r="D16" s="40" t="s">
        <v>746</v>
      </c>
      <c r="E16" s="40"/>
      <c r="F16" s="40"/>
      <c r="G16" s="40"/>
      <c r="H16" s="40"/>
      <c r="I16" s="41"/>
      <c r="J16" s="42"/>
      <c r="K16" s="43"/>
      <c r="L16" s="40"/>
    </row>
    <row r="17" spans="1:12" x14ac:dyDescent="0.35">
      <c r="A17" s="173" t="s">
        <v>748</v>
      </c>
      <c r="B17" s="29"/>
      <c r="C17" s="40" t="s">
        <v>752</v>
      </c>
      <c r="D17" s="40" t="s">
        <v>753</v>
      </c>
      <c r="E17" s="40" t="s">
        <v>754</v>
      </c>
      <c r="F17" s="40"/>
      <c r="G17" s="40"/>
      <c r="H17" s="40"/>
      <c r="I17" s="41"/>
      <c r="J17" s="42"/>
      <c r="K17" s="43"/>
      <c r="L17" s="40"/>
    </row>
    <row r="18" spans="1:12" x14ac:dyDescent="0.35">
      <c r="A18" s="159"/>
      <c r="B18" s="29"/>
      <c r="C18" s="40" t="s">
        <v>757</v>
      </c>
      <c r="D18" s="40" t="s">
        <v>167</v>
      </c>
      <c r="E18" s="40" t="s">
        <v>753</v>
      </c>
      <c r="F18" s="40" t="s">
        <v>666</v>
      </c>
      <c r="G18" s="40" t="s">
        <v>754</v>
      </c>
      <c r="H18" s="40"/>
      <c r="I18" s="41"/>
      <c r="J18" s="42"/>
      <c r="K18" s="43"/>
      <c r="L18" s="40"/>
    </row>
    <row r="19" spans="1:12" x14ac:dyDescent="0.35">
      <c r="A19" s="159"/>
      <c r="B19" s="29"/>
      <c r="C19" s="40" t="s">
        <v>762</v>
      </c>
      <c r="D19" s="40" t="s">
        <v>764</v>
      </c>
      <c r="E19" s="40" t="s">
        <v>753</v>
      </c>
      <c r="F19" s="40" t="s">
        <v>666</v>
      </c>
      <c r="G19" s="40" t="s">
        <v>167</v>
      </c>
      <c r="H19" s="40" t="s">
        <v>753</v>
      </c>
      <c r="I19" s="41"/>
      <c r="J19" s="42"/>
      <c r="K19" s="43"/>
      <c r="L19" s="40"/>
    </row>
    <row r="20" spans="1:12" x14ac:dyDescent="0.35">
      <c r="A20" s="159"/>
      <c r="B20" s="29"/>
      <c r="C20" s="44" t="s">
        <v>769</v>
      </c>
      <c r="D20" s="40" t="s">
        <v>764</v>
      </c>
      <c r="E20" s="40" t="s">
        <v>753</v>
      </c>
      <c r="F20" s="40" t="s">
        <v>666</v>
      </c>
      <c r="G20" s="40" t="s">
        <v>167</v>
      </c>
      <c r="H20" s="40" t="s">
        <v>753</v>
      </c>
      <c r="I20" s="41"/>
      <c r="J20" s="42"/>
      <c r="K20" s="43"/>
      <c r="L20" s="40"/>
    </row>
    <row r="21" spans="1:12" x14ac:dyDescent="0.35">
      <c r="A21" s="173" t="s">
        <v>782</v>
      </c>
      <c r="B21" s="29"/>
      <c r="C21" s="40" t="s">
        <v>752</v>
      </c>
      <c r="D21" s="40" t="s">
        <v>783</v>
      </c>
      <c r="E21" s="40" t="s">
        <v>784</v>
      </c>
      <c r="F21" s="40" t="s">
        <v>89</v>
      </c>
      <c r="G21" s="40"/>
      <c r="H21" s="40"/>
      <c r="I21" s="41"/>
      <c r="J21" s="42"/>
      <c r="K21" s="43"/>
      <c r="L21" s="40"/>
    </row>
    <row r="22" spans="1:12" x14ac:dyDescent="0.35">
      <c r="A22" s="159"/>
      <c r="B22" s="29"/>
      <c r="C22" s="44" t="s">
        <v>785</v>
      </c>
      <c r="D22" s="40" t="s">
        <v>786</v>
      </c>
      <c r="E22" s="40" t="s">
        <v>787</v>
      </c>
      <c r="F22" s="40" t="s">
        <v>788</v>
      </c>
      <c r="G22" s="40"/>
      <c r="H22" s="40"/>
      <c r="I22" s="41"/>
      <c r="J22" s="42"/>
      <c r="K22" s="43"/>
      <c r="L22" s="40"/>
    </row>
    <row r="23" spans="1:12" x14ac:dyDescent="0.35">
      <c r="A23" s="159"/>
      <c r="B23" s="29"/>
      <c r="C23" s="40" t="s">
        <v>762</v>
      </c>
      <c r="D23" s="40" t="s">
        <v>789</v>
      </c>
      <c r="E23" s="40" t="s">
        <v>790</v>
      </c>
      <c r="F23" s="40" t="s">
        <v>791</v>
      </c>
      <c r="G23" s="40"/>
      <c r="H23" s="40"/>
      <c r="I23" s="41"/>
      <c r="J23" s="42"/>
      <c r="K23" s="43"/>
      <c r="L23" s="40"/>
    </row>
    <row r="24" spans="1:12" x14ac:dyDescent="0.35">
      <c r="A24" s="159"/>
      <c r="B24" s="29"/>
      <c r="C24" s="40" t="s">
        <v>794</v>
      </c>
      <c r="D24" s="40" t="s">
        <v>786</v>
      </c>
      <c r="E24" s="40" t="s">
        <v>795</v>
      </c>
      <c r="F24" s="40" t="s">
        <v>796</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5"/>
  <sheetViews>
    <sheetView workbookViewId="0">
      <pane ySplit="1" topLeftCell="A127" activePane="bottomLeft" state="frozen"/>
      <selection pane="bottomLeft" activeCell="I158" sqref="I158"/>
    </sheetView>
  </sheetViews>
  <sheetFormatPr defaultColWidth="14.42578125" defaultRowHeight="12.75" x14ac:dyDescent="0.2"/>
  <cols>
    <col min="1" max="1" width="45.140625" style="100" bestFit="1" customWidth="1"/>
    <col min="2" max="2" width="16" style="100" bestFit="1" customWidth="1"/>
    <col min="3" max="3" width="26.42578125" style="100" bestFit="1" customWidth="1"/>
    <col min="4" max="4" width="6" style="100" customWidth="1"/>
    <col min="5" max="5" width="6.140625" style="100" customWidth="1"/>
    <col min="6" max="6" width="4" style="100" bestFit="1" customWidth="1"/>
    <col min="7" max="7" width="23.5703125" style="100" bestFit="1" customWidth="1"/>
    <col min="8" max="8" width="2.28515625" style="100" customWidth="1"/>
    <col min="9" max="9" width="25" style="100" bestFit="1" customWidth="1"/>
    <col min="10" max="10" width="35.5703125" style="100" bestFit="1" customWidth="1"/>
    <col min="11" max="11" width="10.140625" style="100" customWidth="1"/>
    <col min="12" max="16384" width="14.42578125" style="100"/>
  </cols>
  <sheetData>
    <row r="1" spans="1:24" x14ac:dyDescent="0.2">
      <c r="A1" s="111" t="s">
        <v>1483</v>
      </c>
      <c r="B1" s="111" t="s">
        <v>1482</v>
      </c>
      <c r="C1" s="111" t="s">
        <v>1481</v>
      </c>
      <c r="D1" s="111" t="s">
        <v>1479</v>
      </c>
      <c r="E1" s="111" t="s">
        <v>1480</v>
      </c>
      <c r="F1" s="111" t="s">
        <v>5</v>
      </c>
      <c r="G1" s="111" t="s">
        <v>1478</v>
      </c>
      <c r="H1" s="111" t="s">
        <v>995</v>
      </c>
      <c r="I1" s="111" t="s">
        <v>1477</v>
      </c>
      <c r="J1" s="111" t="s">
        <v>1476</v>
      </c>
      <c r="K1" s="111" t="s">
        <v>1475</v>
      </c>
      <c r="L1" s="111"/>
      <c r="M1" s="111"/>
      <c r="N1" s="111"/>
      <c r="O1" s="111"/>
      <c r="P1" s="111"/>
      <c r="Q1" s="111"/>
      <c r="R1" s="111"/>
      <c r="S1" s="111"/>
      <c r="T1" s="111"/>
      <c r="U1" s="111"/>
      <c r="V1" s="111"/>
      <c r="W1" s="111"/>
      <c r="X1" s="111"/>
    </row>
    <row r="2" spans="1:24" x14ac:dyDescent="0.2">
      <c r="A2" s="110">
        <v>0</v>
      </c>
      <c r="B2" s="110" t="s">
        <v>1474</v>
      </c>
      <c r="C2" s="110" t="s">
        <v>1473</v>
      </c>
      <c r="D2" s="110">
        <v>0</v>
      </c>
      <c r="E2" s="110">
        <v>0</v>
      </c>
      <c r="F2" s="110">
        <v>0</v>
      </c>
      <c r="G2" s="110">
        <v>0</v>
      </c>
      <c r="H2" s="110">
        <v>1</v>
      </c>
      <c r="I2" s="110" t="s">
        <v>997</v>
      </c>
      <c r="J2" s="110"/>
      <c r="K2" s="101" t="str">
        <f>IF(B2="N/A","//",CONCATENATE("SpellData.create(",A2,",",CHAR(34),B2,CHAR(34),",",E2,",",D2,",",F2,",",G2,",",H2,",",I2,")",J2,";"))</f>
        <v>SpellData.create(0,"马甲",0,0,0,0,1,ORDER_TYPE_IMMEDIATE);</v>
      </c>
      <c r="L2" s="110"/>
      <c r="M2" s="110"/>
      <c r="N2" s="110"/>
      <c r="O2" s="110"/>
      <c r="P2" s="110"/>
      <c r="Q2" s="110"/>
      <c r="R2" s="110"/>
      <c r="S2" s="110"/>
      <c r="T2" s="110"/>
      <c r="U2" s="110"/>
      <c r="V2" s="110"/>
      <c r="W2" s="110"/>
      <c r="X2" s="110"/>
    </row>
    <row r="3" spans="1:24" x14ac:dyDescent="0.2">
      <c r="A3" s="110" t="s">
        <v>1472</v>
      </c>
      <c r="B3" s="110" t="s">
        <v>1471</v>
      </c>
      <c r="C3" s="110" t="s">
        <v>1470</v>
      </c>
      <c r="D3" s="110">
        <v>0</v>
      </c>
      <c r="E3" s="110">
        <v>0</v>
      </c>
      <c r="F3" s="110">
        <v>1</v>
      </c>
      <c r="G3" s="110">
        <v>0</v>
      </c>
      <c r="H3" s="110">
        <v>1</v>
      </c>
      <c r="I3" s="110" t="s">
        <v>997</v>
      </c>
      <c r="J3" s="110"/>
      <c r="K3" s="101" t="str">
        <f t="shared" ref="K3:K66" si="0">IF(B3="N/A","//",CONCATENATE("SpellData.create(",A3,",",CHAR(34),B3,CHAR(34),",",E3,",",D3,",",F3,",",G3,",",H3,",",I3,")",J3,";"))</f>
        <v>SpellData.create(SIDATTACKLL,"吸血攻击",0,0,1,0,1,ORDER_TYPE_IMMEDIATE);</v>
      </c>
      <c r="L3" s="110"/>
      <c r="M3" s="110"/>
      <c r="N3" s="110"/>
      <c r="O3" s="110"/>
      <c r="P3" s="110"/>
      <c r="Q3" s="110"/>
      <c r="R3" s="110"/>
      <c r="S3" s="110"/>
      <c r="T3" s="110"/>
      <c r="U3" s="110"/>
      <c r="V3" s="110"/>
      <c r="W3" s="110"/>
      <c r="X3" s="110"/>
    </row>
    <row r="4" spans="1:24" x14ac:dyDescent="0.2">
      <c r="A4" s="110" t="s">
        <v>1469</v>
      </c>
      <c r="B4" s="110" t="s">
        <v>1468</v>
      </c>
      <c r="C4" s="110" t="s">
        <v>1467</v>
      </c>
      <c r="D4" s="110">
        <v>0</v>
      </c>
      <c r="E4" s="110">
        <v>0</v>
      </c>
      <c r="F4" s="110">
        <v>1</v>
      </c>
      <c r="G4" s="110">
        <v>0</v>
      </c>
      <c r="H4" s="110">
        <v>1</v>
      </c>
      <c r="I4" s="110" t="s">
        <v>1194</v>
      </c>
      <c r="J4" s="110"/>
      <c r="K4" s="101" t="str">
        <f t="shared" si="0"/>
        <v>SpellData.create(SID_GENERAL_STUN,"昏迷",0,0,1,0,1,ORDER_TYPE_TARGET);</v>
      </c>
      <c r="L4" s="110"/>
      <c r="M4" s="110"/>
      <c r="N4" s="110"/>
      <c r="O4" s="110"/>
      <c r="P4" s="110"/>
      <c r="Q4" s="110"/>
      <c r="R4" s="110"/>
      <c r="S4" s="110"/>
      <c r="T4" s="110"/>
      <c r="U4" s="110"/>
      <c r="V4" s="110"/>
      <c r="W4" s="110"/>
      <c r="X4" s="110"/>
    </row>
    <row r="5" spans="1:24" x14ac:dyDescent="0.2">
      <c r="A5" s="110" t="s">
        <v>1466</v>
      </c>
      <c r="B5" s="110" t="s">
        <v>1465</v>
      </c>
      <c r="C5" s="110" t="s">
        <v>1464</v>
      </c>
      <c r="D5" s="110">
        <v>0</v>
      </c>
      <c r="E5" s="110">
        <v>0</v>
      </c>
      <c r="F5" s="110">
        <v>5</v>
      </c>
      <c r="G5" s="110">
        <v>852581</v>
      </c>
      <c r="H5" s="110">
        <v>1</v>
      </c>
      <c r="I5" s="110" t="s">
        <v>997</v>
      </c>
      <c r="J5" s="110"/>
      <c r="K5" s="101" t="str">
        <f t="shared" si="0"/>
        <v>SpellData.create(SID_HAUNT,"鬼哭狼嚎",0,0,5,852581,1,ORDER_TYPE_IMMEDIATE);</v>
      </c>
      <c r="L5" s="110"/>
      <c r="M5" s="110"/>
      <c r="N5" s="110"/>
      <c r="O5" s="110"/>
      <c r="P5" s="110"/>
      <c r="Q5" s="110"/>
      <c r="R5" s="110"/>
      <c r="S5" s="110"/>
      <c r="T5" s="110"/>
      <c r="U5" s="110"/>
      <c r="V5" s="110"/>
      <c r="W5" s="110"/>
      <c r="X5" s="110"/>
    </row>
    <row r="6" spans="1:24" x14ac:dyDescent="0.2">
      <c r="A6" s="110" t="s">
        <v>1463</v>
      </c>
      <c r="B6" s="110" t="s">
        <v>1462</v>
      </c>
      <c r="C6" s="110" t="s">
        <v>1461</v>
      </c>
      <c r="D6" s="110">
        <v>0</v>
      </c>
      <c r="E6" s="110">
        <v>0</v>
      </c>
      <c r="F6" s="110">
        <v>5</v>
      </c>
      <c r="G6" s="110" t="s">
        <v>998</v>
      </c>
      <c r="H6" s="110">
        <v>1</v>
      </c>
      <c r="I6" s="110" t="s">
        <v>997</v>
      </c>
      <c r="J6" s="110"/>
      <c r="K6" s="101" t="str">
        <f t="shared" si="0"/>
        <v>SpellData.create(SIDHEALTESTER,"搞毛",0,0,5,OrderId("channel"),1,ORDER_TYPE_IMMEDIATE);</v>
      </c>
      <c r="L6" s="110"/>
      <c r="M6" s="110"/>
      <c r="N6" s="110"/>
      <c r="O6" s="110"/>
      <c r="P6" s="110"/>
      <c r="Q6" s="110"/>
      <c r="R6" s="110"/>
      <c r="S6" s="110"/>
      <c r="T6" s="110"/>
      <c r="U6" s="110"/>
      <c r="V6" s="110"/>
      <c r="W6" s="110"/>
      <c r="X6" s="110"/>
    </row>
    <row r="7" spans="1:24" x14ac:dyDescent="0.2">
      <c r="A7" s="109" t="s">
        <v>103</v>
      </c>
      <c r="B7" s="109" t="s">
        <v>9</v>
      </c>
      <c r="C7" s="109" t="s">
        <v>874</v>
      </c>
      <c r="D7" s="109">
        <v>0</v>
      </c>
      <c r="E7" s="109">
        <v>30</v>
      </c>
      <c r="F7" s="109">
        <v>7</v>
      </c>
      <c r="G7" s="109">
        <v>852055</v>
      </c>
      <c r="H7" s="109">
        <v>1</v>
      </c>
      <c r="I7" s="109" t="s">
        <v>997</v>
      </c>
      <c r="J7" s="109"/>
      <c r="K7" s="101" t="str">
        <f t="shared" si="0"/>
        <v>SpellData.create(SIDSHIELDBLOCK,"盾牌格档",30,0,7,852055,1,ORDER_TYPE_IMMEDIATE);</v>
      </c>
      <c r="L7" s="109"/>
      <c r="M7" s="109"/>
      <c r="N7" s="109"/>
      <c r="O7" s="109"/>
      <c r="P7" s="109"/>
      <c r="Q7" s="109"/>
      <c r="R7" s="109"/>
      <c r="S7" s="109"/>
      <c r="T7" s="109"/>
      <c r="U7" s="109"/>
      <c r="V7" s="109"/>
      <c r="W7" s="109"/>
      <c r="X7" s="109"/>
    </row>
    <row r="8" spans="1:24" x14ac:dyDescent="0.2">
      <c r="A8" s="109" t="s">
        <v>105</v>
      </c>
      <c r="B8" s="109" t="s">
        <v>21</v>
      </c>
      <c r="C8" s="109" t="s">
        <v>875</v>
      </c>
      <c r="D8" s="109">
        <v>0</v>
      </c>
      <c r="E8" s="109">
        <v>20</v>
      </c>
      <c r="F8" s="109">
        <v>8</v>
      </c>
      <c r="G8" s="109">
        <v>852488</v>
      </c>
      <c r="H8" s="109">
        <v>1</v>
      </c>
      <c r="I8" s="109" t="s">
        <v>997</v>
      </c>
      <c r="J8" s="109"/>
      <c r="K8" s="101" t="str">
        <f t="shared" si="0"/>
        <v>SpellData.create(SIDSUNFIRESTORM,"阳炎风暴",20,0,8,852488,1,ORDER_TYPE_IMMEDIATE);</v>
      </c>
      <c r="L8" s="109"/>
      <c r="M8" s="109"/>
      <c r="N8" s="109"/>
      <c r="O8" s="109"/>
      <c r="P8" s="109"/>
      <c r="Q8" s="109"/>
      <c r="R8" s="109"/>
      <c r="S8" s="109"/>
      <c r="T8" s="109"/>
      <c r="U8" s="109"/>
      <c r="V8" s="109"/>
      <c r="W8" s="109"/>
      <c r="X8" s="109"/>
    </row>
    <row r="9" spans="1:24" x14ac:dyDescent="0.2">
      <c r="A9" s="109" t="s">
        <v>106</v>
      </c>
      <c r="B9" s="109" t="s">
        <v>27</v>
      </c>
      <c r="C9" s="109" t="s">
        <v>876</v>
      </c>
      <c r="D9" s="109">
        <v>0</v>
      </c>
      <c r="E9" s="109">
        <v>10</v>
      </c>
      <c r="F9" s="109">
        <v>2</v>
      </c>
      <c r="G9" s="109">
        <v>852480</v>
      </c>
      <c r="H9" s="109">
        <v>1</v>
      </c>
      <c r="I9" s="109" t="s">
        <v>1194</v>
      </c>
      <c r="J9" s="109" t="s">
        <v>1460</v>
      </c>
      <c r="K9" s="101"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x14ac:dyDescent="0.2">
      <c r="A10" s="109" t="s">
        <v>107</v>
      </c>
      <c r="B10" s="109" t="s">
        <v>32</v>
      </c>
      <c r="C10" s="109" t="s">
        <v>877</v>
      </c>
      <c r="D10" s="109">
        <v>0</v>
      </c>
      <c r="E10" s="109">
        <v>0</v>
      </c>
      <c r="F10" s="109">
        <v>14</v>
      </c>
      <c r="G10" s="109">
        <v>852128</v>
      </c>
      <c r="H10" s="109">
        <v>1</v>
      </c>
      <c r="I10" s="109" t="s">
        <v>1194</v>
      </c>
      <c r="J10" s="109" t="s">
        <v>1459</v>
      </c>
      <c r="K10" s="101"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x14ac:dyDescent="0.2">
      <c r="A11" s="109" t="s">
        <v>108</v>
      </c>
      <c r="B11" s="109" t="s">
        <v>37</v>
      </c>
      <c r="C11" s="109" t="s">
        <v>878</v>
      </c>
      <c r="D11" s="109">
        <v>0</v>
      </c>
      <c r="E11" s="109">
        <v>0</v>
      </c>
      <c r="F11" s="109">
        <v>30</v>
      </c>
      <c r="G11" s="109">
        <v>852090</v>
      </c>
      <c r="H11" s="109">
        <v>1</v>
      </c>
      <c r="I11" s="109" t="s">
        <v>997</v>
      </c>
      <c r="J11" s="109"/>
      <c r="K11" s="101"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x14ac:dyDescent="0.2">
      <c r="A12" s="108" t="s">
        <v>423</v>
      </c>
      <c r="B12" s="108" t="s">
        <v>44</v>
      </c>
      <c r="C12" s="108" t="s">
        <v>1458</v>
      </c>
      <c r="D12" s="108">
        <v>0</v>
      </c>
      <c r="E12" s="108">
        <v>0</v>
      </c>
      <c r="F12" s="108">
        <v>1.5</v>
      </c>
      <c r="G12" s="108" t="s">
        <v>1457</v>
      </c>
      <c r="H12" s="108">
        <v>1</v>
      </c>
      <c r="I12" s="108" t="s">
        <v>1194</v>
      </c>
      <c r="J12" s="108"/>
      <c r="K12" s="101" t="str">
        <f t="shared" si="0"/>
        <v>SpellData.create(SID_LACERATE,"割伤",0,0,1.5,OrderId("coldarrowstarg"),1,ORDER_TYPE_TARGET);</v>
      </c>
      <c r="L12" s="108"/>
      <c r="M12" s="108"/>
      <c r="N12" s="108"/>
      <c r="O12" s="108"/>
      <c r="P12" s="108"/>
      <c r="Q12" s="108"/>
      <c r="R12" s="108"/>
      <c r="S12" s="108"/>
      <c r="T12" s="108"/>
      <c r="U12" s="108"/>
      <c r="V12" s="108"/>
      <c r="W12" s="108"/>
      <c r="X12" s="108"/>
    </row>
    <row r="13" spans="1:24" x14ac:dyDescent="0.2">
      <c r="A13" s="108" t="s">
        <v>424</v>
      </c>
      <c r="B13" s="108" t="s">
        <v>49</v>
      </c>
      <c r="C13" s="108" t="s">
        <v>1257</v>
      </c>
      <c r="D13" s="108">
        <v>0</v>
      </c>
      <c r="E13" s="108">
        <v>0</v>
      </c>
      <c r="F13" s="108">
        <v>5</v>
      </c>
      <c r="G13" s="108" t="s">
        <v>1369</v>
      </c>
      <c r="H13" s="108">
        <v>1</v>
      </c>
      <c r="I13" s="108" t="s">
        <v>997</v>
      </c>
      <c r="J13" s="108"/>
      <c r="K13" s="101" t="str">
        <f t="shared" si="0"/>
        <v>SpellData.create(SID_SAVAGE_ROAR,"野蛮咆哮",0,0,5,OrderId("purge"),1,ORDER_TYPE_IMMEDIATE);</v>
      </c>
      <c r="L13" s="108"/>
      <c r="M13" s="108"/>
      <c r="N13" s="108"/>
      <c r="O13" s="108"/>
      <c r="P13" s="108"/>
      <c r="Q13" s="108"/>
      <c r="R13" s="108"/>
      <c r="S13" s="108"/>
      <c r="T13" s="108"/>
      <c r="U13" s="108"/>
      <c r="V13" s="108"/>
      <c r="W13" s="108"/>
      <c r="X13" s="108"/>
    </row>
    <row r="14" spans="1:24" x14ac:dyDescent="0.2">
      <c r="A14" s="108" t="s">
        <v>425</v>
      </c>
      <c r="B14" s="108" t="s">
        <v>54</v>
      </c>
      <c r="C14" s="108" t="s">
        <v>1456</v>
      </c>
      <c r="D14" s="108">
        <v>0</v>
      </c>
      <c r="E14" s="108">
        <v>0</v>
      </c>
      <c r="F14" s="108">
        <v>1</v>
      </c>
      <c r="G14" s="108" t="s">
        <v>1353</v>
      </c>
      <c r="H14" s="108">
        <v>1</v>
      </c>
      <c r="I14" s="108" t="s">
        <v>997</v>
      </c>
      <c r="J14" s="108"/>
      <c r="K14" s="101" t="str">
        <f t="shared" si="0"/>
        <v>SpellData.create(SID_FOREST_CURE,"丛林治愈",0,0,1,OrderId("deathcoil"),1,ORDER_TYPE_IMMEDIATE);</v>
      </c>
      <c r="L14" s="108"/>
      <c r="M14" s="108"/>
      <c r="N14" s="108"/>
      <c r="O14" s="108"/>
      <c r="P14" s="108"/>
      <c r="Q14" s="108"/>
      <c r="R14" s="108"/>
      <c r="S14" s="108"/>
      <c r="T14" s="108"/>
      <c r="U14" s="108"/>
      <c r="V14" s="108"/>
      <c r="W14" s="108"/>
      <c r="X14" s="108"/>
    </row>
    <row r="15" spans="1:24" x14ac:dyDescent="0.2">
      <c r="A15" s="108" t="s">
        <v>426</v>
      </c>
      <c r="B15" s="108" t="s">
        <v>59</v>
      </c>
      <c r="C15" s="108" t="s">
        <v>1255</v>
      </c>
      <c r="D15" s="108">
        <v>0</v>
      </c>
      <c r="E15" s="108">
        <v>0</v>
      </c>
      <c r="F15" s="108">
        <v>15</v>
      </c>
      <c r="G15" s="108" t="s">
        <v>1340</v>
      </c>
      <c r="H15" s="108">
        <v>1</v>
      </c>
      <c r="I15" s="108" t="s">
        <v>997</v>
      </c>
      <c r="J15" s="108"/>
      <c r="K15" s="101" t="str">
        <f t="shared" si="0"/>
        <v>SpellData.create(SID_NATURAL_REFLEX,"自然反射",0,0,15,OrderId("dispel"),1,ORDER_TYPE_IMMEDIATE);</v>
      </c>
      <c r="L15" s="108"/>
      <c r="M15" s="108"/>
      <c r="N15" s="108"/>
      <c r="O15" s="108"/>
      <c r="P15" s="108"/>
      <c r="Q15" s="108"/>
      <c r="R15" s="108"/>
      <c r="S15" s="108"/>
      <c r="T15" s="108"/>
      <c r="U15" s="108"/>
      <c r="V15" s="108"/>
      <c r="W15" s="108"/>
      <c r="X15" s="108"/>
    </row>
    <row r="16" spans="1:24" x14ac:dyDescent="0.2">
      <c r="A16" s="108" t="s">
        <v>427</v>
      </c>
      <c r="B16" s="108" t="s">
        <v>65</v>
      </c>
      <c r="C16" s="108" t="s">
        <v>1455</v>
      </c>
      <c r="D16" s="108">
        <v>0</v>
      </c>
      <c r="E16" s="108">
        <v>0</v>
      </c>
      <c r="F16" s="108">
        <v>60</v>
      </c>
      <c r="G16" s="108" t="s">
        <v>1443</v>
      </c>
      <c r="H16" s="108">
        <v>1</v>
      </c>
      <c r="I16" s="108" t="s">
        <v>997</v>
      </c>
      <c r="J16" s="108"/>
      <c r="K16" s="101" t="str">
        <f t="shared" si="0"/>
        <v>SpellData.create(SID_SURVIVAL_INSTINCTS,"生存本能",0,0,60,OrderId("cripple"),1,ORDER_TYPE_IMMEDIATE);</v>
      </c>
      <c r="L16" s="108"/>
      <c r="M16" s="108"/>
      <c r="N16" s="108"/>
      <c r="O16" s="108"/>
      <c r="P16" s="108"/>
      <c r="Q16" s="108"/>
      <c r="R16" s="108"/>
      <c r="S16" s="108"/>
      <c r="T16" s="108"/>
      <c r="U16" s="108"/>
      <c r="V16" s="108"/>
      <c r="W16" s="108"/>
      <c r="X16" s="108"/>
    </row>
    <row r="17" spans="1:24" x14ac:dyDescent="0.2">
      <c r="A17" s="106" t="s">
        <v>492</v>
      </c>
      <c r="B17" s="106" t="s">
        <v>79</v>
      </c>
      <c r="C17" s="106" t="s">
        <v>1251</v>
      </c>
      <c r="D17" s="106">
        <v>0</v>
      </c>
      <c r="E17" s="106">
        <v>50</v>
      </c>
      <c r="F17" s="106">
        <v>1</v>
      </c>
      <c r="G17" s="106" t="s">
        <v>1443</v>
      </c>
      <c r="H17" s="106">
        <v>1</v>
      </c>
      <c r="I17" s="106" t="s">
        <v>1194</v>
      </c>
      <c r="J17" s="106"/>
      <c r="K17" s="101" t="str">
        <f t="shared" si="0"/>
        <v>SpellData.create(SIDLIFEBLOOM,"生命绽放",50,0,1,OrderId("cripple"),1,ORDER_TYPE_TARGET);</v>
      </c>
      <c r="L17" s="106"/>
      <c r="M17" s="106"/>
      <c r="N17" s="106"/>
      <c r="O17" s="106"/>
      <c r="P17" s="106"/>
      <c r="Q17" s="106"/>
      <c r="R17" s="106"/>
      <c r="S17" s="106"/>
      <c r="T17" s="106"/>
      <c r="U17" s="106"/>
      <c r="V17" s="106"/>
      <c r="W17" s="106"/>
      <c r="X17" s="106"/>
    </row>
    <row r="18" spans="1:24" x14ac:dyDescent="0.2">
      <c r="A18" s="106" t="s">
        <v>494</v>
      </c>
      <c r="B18" s="106" t="s">
        <v>84</v>
      </c>
      <c r="C18" s="106" t="s">
        <v>1454</v>
      </c>
      <c r="D18" s="106">
        <v>0</v>
      </c>
      <c r="E18" s="106">
        <v>75</v>
      </c>
      <c r="F18" s="106">
        <v>1</v>
      </c>
      <c r="G18" s="106" t="s">
        <v>1453</v>
      </c>
      <c r="H18" s="106">
        <v>1</v>
      </c>
      <c r="I18" s="106" t="s">
        <v>1194</v>
      </c>
      <c r="J18" s="106" t="s">
        <v>1452</v>
      </c>
      <c r="K18" s="101" t="str">
        <f t="shared" si="0"/>
        <v>SpellData.create(SIDREJUVENATION,"回春术",75,0,1,OrderId("rejuvination"),1,ORDER_TYPE_TARGET).setCCC2(110,0,1).setCCC3(145,0,1);</v>
      </c>
      <c r="L18" s="106"/>
      <c r="M18" s="106"/>
      <c r="N18" s="106"/>
      <c r="O18" s="106"/>
      <c r="P18" s="106"/>
      <c r="Q18" s="106"/>
      <c r="R18" s="106"/>
      <c r="S18" s="106"/>
      <c r="T18" s="106"/>
      <c r="U18" s="106"/>
      <c r="V18" s="106"/>
      <c r="W18" s="106"/>
      <c r="X18" s="106"/>
    </row>
    <row r="19" spans="1:24" x14ac:dyDescent="0.2">
      <c r="A19" s="106" t="s">
        <v>495</v>
      </c>
      <c r="B19" s="106" t="s">
        <v>89</v>
      </c>
      <c r="C19" s="106" t="s">
        <v>1451</v>
      </c>
      <c r="D19" s="106">
        <v>3</v>
      </c>
      <c r="E19" s="106">
        <v>100</v>
      </c>
      <c r="F19" s="106">
        <v>0</v>
      </c>
      <c r="G19" s="106" t="s">
        <v>1196</v>
      </c>
      <c r="H19" s="106">
        <v>1</v>
      </c>
      <c r="I19" s="106" t="s">
        <v>1194</v>
      </c>
      <c r="J19" s="106" t="s">
        <v>1450</v>
      </c>
      <c r="K19" s="101" t="str">
        <f t="shared" si="0"/>
        <v>SpellData.create(SIDREGROWTH,"愈合",100,3,0,OrderId("healingwave"),1,ORDER_TYPE_TARGET).setCCC2(120,3,0).setCCC3(140,3,0);</v>
      </c>
      <c r="L19" s="106"/>
      <c r="M19" s="106"/>
      <c r="N19" s="106"/>
      <c r="O19" s="106"/>
      <c r="P19" s="106"/>
      <c r="Q19" s="106"/>
      <c r="R19" s="106"/>
      <c r="S19" s="106"/>
      <c r="T19" s="106"/>
      <c r="U19" s="106"/>
      <c r="V19" s="106"/>
      <c r="W19" s="106"/>
      <c r="X19" s="106"/>
    </row>
    <row r="20" spans="1:24" x14ac:dyDescent="0.2">
      <c r="A20" s="106" t="s">
        <v>496</v>
      </c>
      <c r="B20" s="106" t="s">
        <v>94</v>
      </c>
      <c r="C20" s="106" t="s">
        <v>1449</v>
      </c>
      <c r="D20" s="106">
        <v>0</v>
      </c>
      <c r="E20" s="106">
        <v>150</v>
      </c>
      <c r="F20" s="106">
        <v>11</v>
      </c>
      <c r="G20" s="106" t="s">
        <v>1448</v>
      </c>
      <c r="H20" s="106">
        <v>1</v>
      </c>
      <c r="I20" s="106" t="s">
        <v>1194</v>
      </c>
      <c r="J20" s="106"/>
      <c r="K20" s="101" t="str">
        <f t="shared" si="0"/>
        <v>SpellData.create(SIDSWIFTMEND,"迅捷治愈",150,0,11,OrderId("replenishlife"),1,ORDER_TYPE_TARGET);</v>
      </c>
      <c r="L20" s="106"/>
      <c r="M20" s="106"/>
      <c r="N20" s="106"/>
      <c r="O20" s="106"/>
      <c r="P20" s="106"/>
      <c r="Q20" s="106"/>
      <c r="R20" s="106"/>
      <c r="S20" s="106"/>
      <c r="T20" s="106"/>
      <c r="U20" s="106"/>
      <c r="V20" s="106"/>
      <c r="W20" s="106"/>
      <c r="X20" s="106"/>
    </row>
    <row r="21" spans="1:24" x14ac:dyDescent="0.2">
      <c r="A21" s="106" t="s">
        <v>497</v>
      </c>
      <c r="B21" s="106" t="s">
        <v>99</v>
      </c>
      <c r="C21" s="106" t="s">
        <v>1253</v>
      </c>
      <c r="D21" s="106">
        <v>8</v>
      </c>
      <c r="E21" s="106">
        <v>200</v>
      </c>
      <c r="F21" s="106">
        <v>40</v>
      </c>
      <c r="G21" s="106" t="s">
        <v>1447</v>
      </c>
      <c r="H21" s="106">
        <v>1</v>
      </c>
      <c r="I21" s="106" t="s">
        <v>997</v>
      </c>
      <c r="J21" s="106"/>
      <c r="K21" s="101" t="str">
        <f t="shared" si="0"/>
        <v>SpellData.create(SIDTRANQUILITY,"宁静",200,8,40,OrderId("tranquility"),1,ORDER_TYPE_IMMEDIATE);</v>
      </c>
      <c r="L21" s="106"/>
      <c r="M21" s="106"/>
      <c r="N21" s="106"/>
      <c r="O21" s="106"/>
      <c r="P21" s="106"/>
      <c r="Q21" s="106"/>
      <c r="R21" s="106"/>
      <c r="S21" s="106"/>
      <c r="T21" s="106"/>
      <c r="U21" s="106"/>
      <c r="V21" s="106"/>
      <c r="W21" s="106"/>
      <c r="X21" s="106"/>
    </row>
    <row r="22" spans="1:24" x14ac:dyDescent="0.2">
      <c r="A22" s="106" t="s">
        <v>1446</v>
      </c>
      <c r="B22" s="106" t="s">
        <v>99</v>
      </c>
      <c r="C22" s="106" t="s">
        <v>1253</v>
      </c>
      <c r="D22" s="106">
        <v>8</v>
      </c>
      <c r="E22" s="106">
        <v>200</v>
      </c>
      <c r="F22" s="106">
        <v>1</v>
      </c>
      <c r="G22" s="106" t="s">
        <v>998</v>
      </c>
      <c r="H22" s="106">
        <v>1</v>
      </c>
      <c r="I22" s="106" t="s">
        <v>997</v>
      </c>
      <c r="J22" s="106"/>
      <c r="K22" s="101" t="str">
        <f t="shared" si="0"/>
        <v>SpellData.create(SIDTRANQUILITY1,"宁静",200,8,1,OrderId("channel"),1,ORDER_TYPE_IMMEDIATE);</v>
      </c>
      <c r="L22" s="106"/>
      <c r="M22" s="106"/>
      <c r="N22" s="106"/>
      <c r="O22" s="106"/>
      <c r="P22" s="106"/>
      <c r="Q22" s="106"/>
      <c r="R22" s="106"/>
      <c r="S22" s="106"/>
      <c r="T22" s="106"/>
      <c r="U22" s="106"/>
      <c r="V22" s="106"/>
      <c r="W22" s="106"/>
      <c r="X22" s="106"/>
    </row>
    <row r="23" spans="1:24" x14ac:dyDescent="0.2">
      <c r="A23" s="105" t="s">
        <v>560</v>
      </c>
      <c r="B23" s="105" t="s">
        <v>150</v>
      </c>
      <c r="C23" s="105" t="s">
        <v>1444</v>
      </c>
      <c r="D23" s="105">
        <v>0</v>
      </c>
      <c r="E23" s="105">
        <v>50</v>
      </c>
      <c r="F23" s="105">
        <v>3.5</v>
      </c>
      <c r="G23" s="105" t="s">
        <v>1336</v>
      </c>
      <c r="H23" s="105">
        <v>1</v>
      </c>
      <c r="I23" s="105" t="s">
        <v>1194</v>
      </c>
      <c r="J23" s="105"/>
      <c r="K23" s="101" t="str">
        <f t="shared" si="0"/>
        <v>SpellData.create(SIDFLASHLIGHT,"闪耀之光",50,0,3.5,OrderId("innerfire"),1,ORDER_TYPE_TARGET);</v>
      </c>
      <c r="L23" s="105"/>
      <c r="M23" s="105"/>
      <c r="N23" s="105"/>
      <c r="O23" s="105"/>
      <c r="P23" s="105"/>
      <c r="Q23" s="105"/>
      <c r="R23" s="105"/>
      <c r="S23" s="105"/>
      <c r="T23" s="105"/>
      <c r="U23" s="105"/>
      <c r="V23" s="105"/>
      <c r="W23" s="105"/>
      <c r="X23" s="105"/>
    </row>
    <row r="24" spans="1:24" x14ac:dyDescent="0.2">
      <c r="A24" s="105" t="s">
        <v>1445</v>
      </c>
      <c r="B24" s="105" t="s">
        <v>150</v>
      </c>
      <c r="C24" s="105" t="s">
        <v>1444</v>
      </c>
      <c r="D24" s="105">
        <v>0</v>
      </c>
      <c r="E24" s="105">
        <v>50</v>
      </c>
      <c r="F24" s="105">
        <v>2.2000000000000002</v>
      </c>
      <c r="G24" s="105" t="s">
        <v>1443</v>
      </c>
      <c r="H24" s="105">
        <v>1</v>
      </c>
      <c r="I24" s="105" t="s">
        <v>1194</v>
      </c>
      <c r="J24" s="105"/>
      <c r="K24" s="101" t="str">
        <f t="shared" si="0"/>
        <v>SpellData.create(SIDFLASHLIGHT1,"闪耀之光",50,0,2.2,OrderId("cripple"),1,ORDER_TYPE_TARGET);</v>
      </c>
      <c r="L24" s="105"/>
      <c r="M24" s="105"/>
      <c r="N24" s="105"/>
      <c r="O24" s="105"/>
      <c r="P24" s="105"/>
      <c r="Q24" s="105"/>
      <c r="R24" s="105"/>
      <c r="S24" s="105"/>
      <c r="T24" s="105"/>
      <c r="U24" s="105"/>
      <c r="V24" s="105"/>
      <c r="W24" s="105"/>
      <c r="X24" s="105"/>
    </row>
    <row r="25" spans="1:24" x14ac:dyDescent="0.2">
      <c r="A25" s="105" t="s">
        <v>561</v>
      </c>
      <c r="B25" s="105" t="s">
        <v>157</v>
      </c>
      <c r="C25" s="105" t="s">
        <v>1249</v>
      </c>
      <c r="D25" s="105">
        <v>2.6</v>
      </c>
      <c r="E25" s="105">
        <v>100</v>
      </c>
      <c r="F25" s="105">
        <v>0</v>
      </c>
      <c r="G25" s="105" t="s">
        <v>1442</v>
      </c>
      <c r="H25" s="105">
        <v>1</v>
      </c>
      <c r="I25" s="105" t="s">
        <v>1194</v>
      </c>
      <c r="J25" s="105" t="s">
        <v>1441</v>
      </c>
      <c r="K25" s="101" t="str">
        <f t="shared" si="0"/>
        <v>SpellData.create(SIDHOLYLIGHT,"圣光术",100,2.6,0,OrderId("holybolt"),1,ORDER_TYPE_TARGET).setCCC2(115,2.6,0).setCCC3(130,2.6,0);</v>
      </c>
      <c r="L25" s="105"/>
      <c r="M25" s="105"/>
      <c r="N25" s="105"/>
      <c r="O25" s="105"/>
      <c r="P25" s="105"/>
      <c r="Q25" s="105"/>
      <c r="R25" s="105"/>
      <c r="S25" s="105"/>
      <c r="T25" s="105"/>
      <c r="U25" s="105"/>
      <c r="V25" s="105"/>
      <c r="W25" s="105"/>
      <c r="X25" s="105"/>
    </row>
    <row r="26" spans="1:24" x14ac:dyDescent="0.2">
      <c r="A26" s="105" t="s">
        <v>1440</v>
      </c>
      <c r="B26" s="105" t="s">
        <v>157</v>
      </c>
      <c r="C26" s="105" t="s">
        <v>1249</v>
      </c>
      <c r="D26" s="105">
        <v>0</v>
      </c>
      <c r="E26" s="105">
        <v>0</v>
      </c>
      <c r="F26" s="105">
        <v>1</v>
      </c>
      <c r="G26" s="105" t="s">
        <v>1439</v>
      </c>
      <c r="H26" s="105">
        <v>1</v>
      </c>
      <c r="I26" s="105" t="s">
        <v>1194</v>
      </c>
      <c r="J26" s="105"/>
      <c r="K26" s="101" t="str">
        <f t="shared" si="0"/>
        <v>SpellData.create(SIDHOLYLIGHT1,"圣光术",0,0,1,OrderId("curse"),1,ORDER_TYPE_TARGET);</v>
      </c>
      <c r="L26" s="105"/>
      <c r="M26" s="105"/>
      <c r="N26" s="105"/>
      <c r="O26" s="105"/>
      <c r="P26" s="105"/>
      <c r="Q26" s="105"/>
      <c r="R26" s="105"/>
      <c r="S26" s="105"/>
      <c r="T26" s="105"/>
      <c r="U26" s="105"/>
      <c r="V26" s="105"/>
      <c r="W26" s="105"/>
      <c r="X26" s="105"/>
    </row>
    <row r="27" spans="1:24" x14ac:dyDescent="0.2">
      <c r="A27" s="105" t="s">
        <v>562</v>
      </c>
      <c r="B27" s="105" t="s">
        <v>162</v>
      </c>
      <c r="C27" s="105" t="s">
        <v>1247</v>
      </c>
      <c r="D27" s="105">
        <v>0</v>
      </c>
      <c r="E27" s="105">
        <v>100</v>
      </c>
      <c r="F27" s="105">
        <v>15</v>
      </c>
      <c r="G27" s="105" t="s">
        <v>1438</v>
      </c>
      <c r="H27" s="105">
        <v>1</v>
      </c>
      <c r="I27" s="105" t="s">
        <v>1194</v>
      </c>
      <c r="J27" s="105" t="s">
        <v>1437</v>
      </c>
      <c r="K27" s="101" t="str">
        <f t="shared" si="0"/>
        <v>SpellData.create(SIDHOLYSHOCK,"神圣震击",100,0,15,OrderId("resurrection"),1,ORDER_TYPE_TARGET).setCCC2(150,0,15).setCCC3(200,0,15);</v>
      </c>
      <c r="L27" s="105"/>
      <c r="M27" s="105"/>
      <c r="N27" s="105"/>
      <c r="O27" s="105"/>
      <c r="P27" s="105"/>
      <c r="Q27" s="105"/>
      <c r="R27" s="105"/>
      <c r="S27" s="105"/>
      <c r="T27" s="105"/>
      <c r="U27" s="105"/>
      <c r="V27" s="105"/>
      <c r="W27" s="105"/>
      <c r="X27" s="105"/>
    </row>
    <row r="28" spans="1:24" x14ac:dyDescent="0.2">
      <c r="A28" s="105" t="s">
        <v>563</v>
      </c>
      <c r="B28" s="105" t="s">
        <v>167</v>
      </c>
      <c r="C28" s="105" t="s">
        <v>1436</v>
      </c>
      <c r="D28" s="105">
        <v>0</v>
      </c>
      <c r="E28" s="105">
        <v>50</v>
      </c>
      <c r="F28" s="105">
        <v>20</v>
      </c>
      <c r="G28" s="105" t="s">
        <v>1403</v>
      </c>
      <c r="H28" s="105">
        <v>1</v>
      </c>
      <c r="I28" s="105" t="s">
        <v>997</v>
      </c>
      <c r="J28" s="105" t="s">
        <v>1435</v>
      </c>
      <c r="K28" s="101" t="str">
        <f t="shared" si="0"/>
        <v>SpellData.create(SIDDIVINEFAVOR,"神恩",50,0,20,OrderId("massteleport"),1,ORDER_TYPE_IMMEDIATE).setCCC2(50,0,18).setCCC3(50,0,16);</v>
      </c>
      <c r="L28" s="105"/>
      <c r="M28" s="105"/>
      <c r="N28" s="105"/>
      <c r="O28" s="105"/>
      <c r="P28" s="105"/>
      <c r="Q28" s="105"/>
      <c r="R28" s="105"/>
      <c r="S28" s="105"/>
      <c r="T28" s="105"/>
      <c r="U28" s="105"/>
      <c r="V28" s="105"/>
      <c r="W28" s="105"/>
      <c r="X28" s="105"/>
    </row>
    <row r="29" spans="1:24" x14ac:dyDescent="0.2">
      <c r="A29" s="105" t="s">
        <v>564</v>
      </c>
      <c r="B29" s="105" t="s">
        <v>174</v>
      </c>
      <c r="C29" s="105" t="s">
        <v>1434</v>
      </c>
      <c r="D29" s="105">
        <v>0</v>
      </c>
      <c r="E29" s="105">
        <v>10</v>
      </c>
      <c r="F29" s="105">
        <v>10</v>
      </c>
      <c r="G29" s="105" t="s">
        <v>1433</v>
      </c>
      <c r="H29" s="105">
        <v>1</v>
      </c>
      <c r="I29" s="105" t="s">
        <v>1194</v>
      </c>
      <c r="J29" s="105"/>
      <c r="K29" s="101" t="str">
        <f t="shared" si="0"/>
        <v>SpellData.create(SIDBEACONOFLIGHT,"圣光印记",10,0,10,OrderId("summonphoenix"),1,ORDER_TYPE_TARGET);</v>
      </c>
      <c r="L29" s="105"/>
      <c r="M29" s="105"/>
      <c r="N29" s="105"/>
      <c r="O29" s="105"/>
      <c r="P29" s="105"/>
      <c r="Q29" s="105"/>
      <c r="R29" s="105"/>
      <c r="S29" s="105"/>
      <c r="T29" s="105"/>
      <c r="U29" s="105"/>
      <c r="V29" s="105"/>
      <c r="W29" s="105"/>
      <c r="X29" s="105"/>
    </row>
    <row r="30" spans="1:24" x14ac:dyDescent="0.2">
      <c r="A30" s="102" t="s">
        <v>681</v>
      </c>
      <c r="B30" s="102" t="s">
        <v>1432</v>
      </c>
      <c r="C30" s="102" t="s">
        <v>1245</v>
      </c>
      <c r="D30" s="102">
        <v>0</v>
      </c>
      <c r="E30" s="102">
        <v>75</v>
      </c>
      <c r="F30" s="102">
        <v>1</v>
      </c>
      <c r="G30" s="102">
        <v>852063</v>
      </c>
      <c r="H30" s="102">
        <v>1</v>
      </c>
      <c r="I30" s="102" t="s">
        <v>1194</v>
      </c>
      <c r="J30" s="102" t="s">
        <v>1431</v>
      </c>
      <c r="K30" s="101" t="str">
        <f t="shared" si="0"/>
        <v>SpellData.create(SIDHEAL,"治疗术",75,0,1,852063,1,ORDER_TYPE_TARGET).setCCC2(100,0,1).setCCC3(125,0,1);</v>
      </c>
      <c r="L30" s="102"/>
      <c r="M30" s="102"/>
      <c r="N30" s="102"/>
      <c r="O30" s="102"/>
      <c r="P30" s="102"/>
      <c r="Q30" s="102"/>
      <c r="R30" s="102"/>
      <c r="S30" s="102"/>
      <c r="T30" s="102"/>
      <c r="U30" s="102"/>
      <c r="V30" s="102"/>
      <c r="W30" s="102"/>
      <c r="X30" s="102"/>
    </row>
    <row r="31" spans="1:24" x14ac:dyDescent="0.2">
      <c r="A31" s="102" t="s">
        <v>682</v>
      </c>
      <c r="B31" s="102" t="s">
        <v>188</v>
      </c>
      <c r="C31" s="102" t="s">
        <v>1430</v>
      </c>
      <c r="D31" s="102">
        <v>2.4</v>
      </c>
      <c r="E31" s="102">
        <v>100</v>
      </c>
      <c r="F31" s="102">
        <v>0</v>
      </c>
      <c r="G31" s="102" t="s">
        <v>1366</v>
      </c>
      <c r="H31" s="102">
        <v>1</v>
      </c>
      <c r="I31" s="102" t="s">
        <v>1292</v>
      </c>
      <c r="J31" s="102" t="s">
        <v>1429</v>
      </c>
      <c r="K31" s="101" t="str">
        <f t="shared" si="0"/>
        <v>SpellData.create(SIDPRAYEROFHEALING,"治疗祷言",100,2.4,0,OrderId("blizzard"),1,ORDER_TYPE_POINT).setCCC2(100,2.1,0).setCCC3(100,1.8,0);</v>
      </c>
      <c r="L31" s="102"/>
      <c r="M31" s="102"/>
      <c r="N31" s="102"/>
      <c r="O31" s="102"/>
      <c r="P31" s="102"/>
      <c r="Q31" s="102"/>
      <c r="R31" s="102"/>
      <c r="S31" s="102"/>
      <c r="T31" s="102"/>
      <c r="U31" s="102"/>
      <c r="V31" s="102"/>
      <c r="W31" s="102"/>
      <c r="X31" s="102"/>
    </row>
    <row r="32" spans="1:24" x14ac:dyDescent="0.2">
      <c r="A32" s="102" t="s">
        <v>683</v>
      </c>
      <c r="B32" s="102" t="s">
        <v>194</v>
      </c>
      <c r="C32" s="102" t="s">
        <v>1243</v>
      </c>
      <c r="D32" s="102">
        <v>0</v>
      </c>
      <c r="E32" s="102">
        <v>100</v>
      </c>
      <c r="F32" s="102">
        <v>4</v>
      </c>
      <c r="G32" s="102">
        <v>852055</v>
      </c>
      <c r="H32" s="102">
        <v>1</v>
      </c>
      <c r="I32" s="102" t="s">
        <v>1194</v>
      </c>
      <c r="J32" s="102" t="s">
        <v>1428</v>
      </c>
      <c r="K32" s="101" t="str">
        <f t="shared" si="0"/>
        <v>SpellData.create(SIDSHIELD,"护盾术",100,0,4,852055,1,ORDER_TYPE_TARGET).setCCC2(125,0,4).setCCC3(150,0,4);</v>
      </c>
      <c r="L32" s="102"/>
      <c r="M32" s="102"/>
      <c r="N32" s="102"/>
      <c r="O32" s="102"/>
      <c r="P32" s="102"/>
      <c r="Q32" s="102"/>
      <c r="R32" s="102"/>
      <c r="S32" s="102"/>
      <c r="T32" s="102"/>
      <c r="U32" s="102"/>
      <c r="V32" s="102"/>
      <c r="W32" s="102"/>
      <c r="X32" s="102"/>
    </row>
    <row r="33" spans="1:24" x14ac:dyDescent="0.2">
      <c r="A33" s="102" t="s">
        <v>1427</v>
      </c>
      <c r="B33" s="102" t="s">
        <v>194</v>
      </c>
      <c r="C33" s="102" t="s">
        <v>1243</v>
      </c>
      <c r="D33" s="102">
        <v>0</v>
      </c>
      <c r="E33" s="102">
        <v>0</v>
      </c>
      <c r="F33" s="102">
        <v>0</v>
      </c>
      <c r="G33" s="102">
        <v>1</v>
      </c>
      <c r="H33" s="102">
        <v>1</v>
      </c>
      <c r="I33" s="102" t="s">
        <v>1194</v>
      </c>
      <c r="J33" s="102"/>
      <c r="K33" s="101" t="str">
        <f t="shared" si="0"/>
        <v>SpellData.create(BID_SHIELD,"护盾术",0,0,0,1,1,ORDER_TYPE_TARGET);</v>
      </c>
      <c r="L33" s="102"/>
      <c r="M33" s="102"/>
      <c r="N33" s="102"/>
      <c r="O33" s="102"/>
      <c r="P33" s="102"/>
      <c r="Q33" s="102"/>
      <c r="R33" s="102"/>
      <c r="S33" s="102"/>
      <c r="T33" s="102"/>
      <c r="U33" s="102"/>
      <c r="V33" s="102"/>
      <c r="W33" s="102"/>
      <c r="X33" s="102"/>
    </row>
    <row r="34" spans="1:24" x14ac:dyDescent="0.2">
      <c r="A34" s="102" t="s">
        <v>688</v>
      </c>
      <c r="B34" s="102" t="s">
        <v>199</v>
      </c>
      <c r="C34" s="102" t="s">
        <v>1426</v>
      </c>
      <c r="D34" s="102">
        <v>0</v>
      </c>
      <c r="E34" s="102">
        <v>75</v>
      </c>
      <c r="F34" s="102">
        <v>9</v>
      </c>
      <c r="G34" s="102">
        <v>852075</v>
      </c>
      <c r="H34" s="102">
        <v>1</v>
      </c>
      <c r="I34" s="102" t="s">
        <v>1194</v>
      </c>
      <c r="J34" s="102" t="s">
        <v>1425</v>
      </c>
      <c r="K34" s="101" t="str">
        <f t="shared" si="0"/>
        <v>SpellData.create(SIDPRAYEROFMENDING,"愈合祷言",75,0,9,852075,1,ORDER_TYPE_TARGET).setCCC2(85,0,7).setCCC3(95,0,5);</v>
      </c>
      <c r="L34" s="102"/>
      <c r="M34" s="102"/>
      <c r="N34" s="102"/>
      <c r="O34" s="102"/>
      <c r="P34" s="102"/>
      <c r="Q34" s="102"/>
      <c r="R34" s="102"/>
      <c r="S34" s="102"/>
      <c r="T34" s="102"/>
      <c r="U34" s="102"/>
      <c r="V34" s="102"/>
      <c r="W34" s="102"/>
      <c r="X34" s="102"/>
    </row>
    <row r="35" spans="1:24" x14ac:dyDescent="0.2">
      <c r="A35" s="102" t="s">
        <v>692</v>
      </c>
      <c r="B35" s="102" t="s">
        <v>1424</v>
      </c>
      <c r="C35" s="102" t="s">
        <v>1423</v>
      </c>
      <c r="D35" s="102">
        <v>0</v>
      </c>
      <c r="E35" s="102">
        <v>45</v>
      </c>
      <c r="F35" s="102">
        <v>3</v>
      </c>
      <c r="G35" s="102">
        <v>852057</v>
      </c>
      <c r="H35" s="102">
        <v>1</v>
      </c>
      <c r="I35" s="102" t="s">
        <v>1194</v>
      </c>
      <c r="J35" s="102" t="s">
        <v>1422</v>
      </c>
      <c r="K35" s="101" t="str">
        <f t="shared" si="0"/>
        <v>SpellData.create(SIDDISPEL,"驱散魔法",45,0,3,852057,1,ORDER_TYPE_TARGET).setCCC2(60,0,3).setCCC3(75,0,3);</v>
      </c>
      <c r="L35" s="102"/>
      <c r="M35" s="102"/>
      <c r="N35" s="102"/>
      <c r="O35" s="102"/>
      <c r="P35" s="102"/>
      <c r="Q35" s="102"/>
      <c r="R35" s="102"/>
      <c r="S35" s="102"/>
      <c r="T35" s="102"/>
      <c r="U35" s="102"/>
      <c r="V35" s="102"/>
      <c r="W35" s="102"/>
      <c r="X35" s="102"/>
    </row>
    <row r="36" spans="1:24" x14ac:dyDescent="0.2">
      <c r="A36" s="103" t="s">
        <v>811</v>
      </c>
      <c r="B36" s="103" t="s">
        <v>228</v>
      </c>
      <c r="C36" s="103" t="s">
        <v>1237</v>
      </c>
      <c r="D36" s="103">
        <v>0</v>
      </c>
      <c r="E36" s="103">
        <v>4</v>
      </c>
      <c r="F36" s="103">
        <v>5</v>
      </c>
      <c r="G36" s="103" t="s">
        <v>1343</v>
      </c>
      <c r="H36" s="103">
        <v>1</v>
      </c>
      <c r="I36" s="103" t="s">
        <v>1194</v>
      </c>
      <c r="J36" s="103" t="s">
        <v>1421</v>
      </c>
      <c r="K36" s="101" t="str">
        <f t="shared" si="0"/>
        <v>SpellData.create(SIDDARKARROW,"黑箭",4,0,5,OrderId("thunderbolt"),1,ORDER_TYPE_TARGET).setCCC2(5,0,5).setCCC2(6,0,5);</v>
      </c>
      <c r="L36" s="103"/>
      <c r="M36" s="103"/>
      <c r="N36" s="103"/>
      <c r="O36" s="103"/>
      <c r="P36" s="103"/>
      <c r="Q36" s="103"/>
      <c r="R36" s="103"/>
      <c r="S36" s="103"/>
      <c r="T36" s="103"/>
      <c r="U36" s="103"/>
      <c r="V36" s="103"/>
      <c r="W36" s="103"/>
      <c r="X36" s="103"/>
    </row>
    <row r="37" spans="1:24" x14ac:dyDescent="0.2">
      <c r="A37" s="103" t="s">
        <v>812</v>
      </c>
      <c r="B37" s="103" t="s">
        <v>233</v>
      </c>
      <c r="C37" s="103" t="s">
        <v>1420</v>
      </c>
      <c r="D37" s="103">
        <v>0</v>
      </c>
      <c r="E37" s="103">
        <v>0</v>
      </c>
      <c r="F37" s="103">
        <v>13</v>
      </c>
      <c r="G37" s="103" t="s">
        <v>1203</v>
      </c>
      <c r="H37" s="103">
        <v>1</v>
      </c>
      <c r="I37" s="103" t="s">
        <v>997</v>
      </c>
      <c r="J37" s="103"/>
      <c r="K37" s="101" t="str">
        <f t="shared" si="0"/>
        <v>SpellData.create(SIDCONCERNTRATION,"专注",0,0,13,OrderId("thunderclap"),1,ORDER_TYPE_IMMEDIATE);</v>
      </c>
      <c r="L37" s="103"/>
      <c r="M37" s="103"/>
      <c r="N37" s="103"/>
      <c r="O37" s="103"/>
      <c r="P37" s="103"/>
      <c r="Q37" s="103"/>
      <c r="R37" s="103"/>
      <c r="S37" s="103"/>
      <c r="T37" s="103"/>
      <c r="U37" s="103"/>
      <c r="V37" s="103"/>
      <c r="W37" s="103"/>
      <c r="X37" s="103"/>
    </row>
    <row r="38" spans="1:24" x14ac:dyDescent="0.2">
      <c r="A38" s="103" t="s">
        <v>813</v>
      </c>
      <c r="B38" s="103" t="s">
        <v>239</v>
      </c>
      <c r="C38" s="103" t="s">
        <v>1235</v>
      </c>
      <c r="D38" s="103">
        <v>0</v>
      </c>
      <c r="E38" s="103">
        <v>0</v>
      </c>
      <c r="F38" s="103">
        <v>16</v>
      </c>
      <c r="G38" s="103" t="s">
        <v>1366</v>
      </c>
      <c r="H38" s="103">
        <v>1</v>
      </c>
      <c r="I38" s="103" t="s">
        <v>1292</v>
      </c>
      <c r="J38" s="103" t="s">
        <v>1419</v>
      </c>
      <c r="K38" s="101" t="str">
        <f t="shared" si="0"/>
        <v>SpellData.create(SIDFREEZINGTRAP,"冰冻陷阱",0,0,16,OrderId("blizzard"),1,ORDER_TYPE_POINT).setCCC2(0,0,13).setCCC3(0,0,10);</v>
      </c>
      <c r="L38" s="103"/>
      <c r="M38" s="103"/>
      <c r="N38" s="103"/>
      <c r="O38" s="103"/>
      <c r="P38" s="103"/>
      <c r="Q38" s="103"/>
      <c r="R38" s="103"/>
      <c r="S38" s="103"/>
      <c r="T38" s="103"/>
      <c r="U38" s="103"/>
      <c r="V38" s="103"/>
      <c r="W38" s="103"/>
      <c r="X38" s="103"/>
    </row>
    <row r="39" spans="1:24" x14ac:dyDescent="0.2">
      <c r="A39" s="103" t="s">
        <v>814</v>
      </c>
      <c r="B39" s="103" t="s">
        <v>1418</v>
      </c>
      <c r="C39" s="103" t="s">
        <v>1417</v>
      </c>
      <c r="D39" s="103">
        <v>0</v>
      </c>
      <c r="E39" s="103">
        <v>0</v>
      </c>
      <c r="F39" s="103">
        <v>1</v>
      </c>
      <c r="G39" s="103" t="s">
        <v>1409</v>
      </c>
      <c r="H39" s="103">
        <v>1</v>
      </c>
      <c r="I39" s="103" t="s">
        <v>997</v>
      </c>
      <c r="J39" s="103"/>
      <c r="K39" s="101" t="str">
        <f t="shared" si="0"/>
        <v>SpellData.create(SIDPOWEROFABOMINATION,"憎恶之力",0,0,1,OID_IMMOLATIONON,1,ORDER_TYPE_IMMEDIATE);</v>
      </c>
      <c r="L39" s="103"/>
      <c r="M39" s="103"/>
      <c r="N39" s="103"/>
      <c r="O39" s="103"/>
      <c r="P39" s="103"/>
      <c r="Q39" s="103"/>
      <c r="R39" s="103"/>
      <c r="S39" s="103"/>
      <c r="T39" s="103"/>
      <c r="U39" s="103"/>
      <c r="V39" s="103"/>
      <c r="W39" s="103"/>
      <c r="X39" s="103"/>
    </row>
    <row r="40" spans="1:24" x14ac:dyDescent="0.2">
      <c r="A40" s="103" t="s">
        <v>815</v>
      </c>
      <c r="B40" s="103" t="s">
        <v>247</v>
      </c>
      <c r="C40" s="103" t="s">
        <v>1416</v>
      </c>
      <c r="D40" s="103">
        <v>0</v>
      </c>
      <c r="E40" s="103">
        <v>0</v>
      </c>
      <c r="F40" s="103">
        <v>5</v>
      </c>
      <c r="G40" s="103" t="s">
        <v>1221</v>
      </c>
      <c r="H40" s="103">
        <v>1</v>
      </c>
      <c r="I40" s="103" t="s">
        <v>997</v>
      </c>
      <c r="J40" s="103"/>
      <c r="K40" s="101" t="str">
        <f t="shared" si="0"/>
        <v>SpellData.create(SIDDEATHPACT,"死亡契约",0,0,5,OrderId("stomp"),1,ORDER_TYPE_IMMEDIATE);</v>
      </c>
      <c r="L40" s="103"/>
      <c r="M40" s="103"/>
      <c r="N40" s="103"/>
      <c r="O40" s="103"/>
      <c r="P40" s="103"/>
      <c r="Q40" s="103"/>
      <c r="R40" s="103"/>
      <c r="S40" s="103"/>
      <c r="T40" s="103"/>
      <c r="U40" s="103"/>
      <c r="V40" s="103"/>
      <c r="W40" s="103"/>
      <c r="X40" s="103"/>
    </row>
    <row r="41" spans="1:24" x14ac:dyDescent="0.2">
      <c r="A41" s="103" t="s">
        <v>1415</v>
      </c>
      <c r="B41" s="103" t="s">
        <v>250</v>
      </c>
      <c r="C41" s="103" t="s">
        <v>1414</v>
      </c>
      <c r="D41" s="103">
        <v>0</v>
      </c>
      <c r="E41" s="103">
        <v>50</v>
      </c>
      <c r="F41" s="103">
        <v>60</v>
      </c>
      <c r="G41" s="103">
        <v>852503</v>
      </c>
      <c r="H41" s="103">
        <v>1</v>
      </c>
      <c r="I41" s="103" t="s">
        <v>997</v>
      </c>
      <c r="J41" s="103" t="s">
        <v>1413</v>
      </c>
      <c r="K41" s="101" t="str">
        <f t="shared" si="0"/>
        <v>SpellData.create(SIDSUMMONGHOUL,"食尸鬼仆从",50,0,60,852503,1,ORDER_TYPE_IMMEDIATE).setCCC2(0,0,45).setCCC3(0,0,30);</v>
      </c>
      <c r="L41" s="103"/>
      <c r="M41" s="103"/>
      <c r="N41" s="103"/>
      <c r="O41" s="103"/>
      <c r="P41" s="103"/>
      <c r="Q41" s="103"/>
      <c r="R41" s="103"/>
      <c r="S41" s="103"/>
      <c r="T41" s="103"/>
      <c r="U41" s="103"/>
      <c r="V41" s="103"/>
      <c r="W41" s="103"/>
      <c r="X41" s="103"/>
    </row>
    <row r="42" spans="1:24" x14ac:dyDescent="0.2">
      <c r="A42" s="103" t="s">
        <v>1412</v>
      </c>
      <c r="B42" s="103" t="s">
        <v>264</v>
      </c>
      <c r="C42" s="103" t="s">
        <v>1411</v>
      </c>
      <c r="D42" s="103">
        <v>0</v>
      </c>
      <c r="E42" s="103">
        <v>0</v>
      </c>
      <c r="F42" s="103">
        <v>1</v>
      </c>
      <c r="G42" s="103">
        <v>0</v>
      </c>
      <c r="H42" s="103">
        <v>1</v>
      </c>
      <c r="I42" s="103" t="s">
        <v>997</v>
      </c>
      <c r="J42" s="103"/>
      <c r="K42" s="101" t="str">
        <f t="shared" si="0"/>
        <v>SpellData.create(SIDLIFELEECH,"生命偷取",0,0,1,0,1,ORDER_TYPE_IMMEDIATE);</v>
      </c>
      <c r="L42" s="103"/>
      <c r="M42" s="103"/>
      <c r="N42" s="103"/>
      <c r="O42" s="103"/>
      <c r="P42" s="103"/>
      <c r="Q42" s="103"/>
      <c r="R42" s="103"/>
      <c r="S42" s="103"/>
      <c r="T42" s="103"/>
      <c r="U42" s="103"/>
      <c r="V42" s="103"/>
      <c r="W42" s="103"/>
      <c r="X42" s="103"/>
    </row>
    <row r="43" spans="1:24" x14ac:dyDescent="0.2">
      <c r="A43" s="107" t="s">
        <v>849</v>
      </c>
      <c r="B43" s="107" t="s">
        <v>316</v>
      </c>
      <c r="C43" s="107" t="s">
        <v>1410</v>
      </c>
      <c r="D43" s="107">
        <v>0</v>
      </c>
      <c r="E43" s="107">
        <v>0</v>
      </c>
      <c r="F43" s="107">
        <v>1</v>
      </c>
      <c r="G43" s="107" t="s">
        <v>1409</v>
      </c>
      <c r="H43" s="107">
        <v>1</v>
      </c>
      <c r="I43" s="107" t="s">
        <v>997</v>
      </c>
      <c r="J43" s="107"/>
      <c r="K43" s="101" t="str">
        <f t="shared" si="0"/>
        <v>SpellData.create(SIDHEROICSTRIKE,"英勇打击",0,0,1,OID_IMMOLATIONON,1,ORDER_TYPE_IMMEDIATE);</v>
      </c>
      <c r="L43" s="107"/>
      <c r="M43" s="107"/>
      <c r="N43" s="107"/>
      <c r="O43" s="107"/>
      <c r="P43" s="107"/>
      <c r="Q43" s="107"/>
      <c r="R43" s="107"/>
      <c r="S43" s="107"/>
      <c r="T43" s="107"/>
      <c r="U43" s="107"/>
      <c r="V43" s="107"/>
      <c r="W43" s="107"/>
      <c r="X43" s="107"/>
    </row>
    <row r="44" spans="1:24" x14ac:dyDescent="0.2">
      <c r="A44" s="107" t="s">
        <v>850</v>
      </c>
      <c r="B44" s="107" t="s">
        <v>305</v>
      </c>
      <c r="C44" s="107" t="s">
        <v>1408</v>
      </c>
      <c r="D44" s="107">
        <v>0</v>
      </c>
      <c r="E44" s="107">
        <v>30</v>
      </c>
      <c r="F44" s="107">
        <v>6</v>
      </c>
      <c r="G44" s="107" t="s">
        <v>1407</v>
      </c>
      <c r="H44" s="107">
        <v>1</v>
      </c>
      <c r="I44" s="107" t="s">
        <v>1194</v>
      </c>
      <c r="J44" s="107"/>
      <c r="K44" s="101" t="str">
        <f t="shared" si="0"/>
        <v>SpellData.create(SIDREND,"撕裂",30,0,6,OrderId("whirlwind"),1,ORDER_TYPE_TARGET);</v>
      </c>
      <c r="L44" s="107"/>
      <c r="M44" s="107"/>
      <c r="N44" s="107"/>
      <c r="O44" s="107"/>
      <c r="P44" s="107"/>
      <c r="Q44" s="107"/>
      <c r="R44" s="107"/>
      <c r="S44" s="107"/>
      <c r="T44" s="107"/>
      <c r="U44" s="107"/>
      <c r="V44" s="107"/>
      <c r="W44" s="107"/>
      <c r="X44" s="107"/>
    </row>
    <row r="45" spans="1:24" x14ac:dyDescent="0.2">
      <c r="A45" s="107" t="s">
        <v>851</v>
      </c>
      <c r="B45" s="107" t="s">
        <v>330</v>
      </c>
      <c r="C45" s="107" t="s">
        <v>1239</v>
      </c>
      <c r="D45" s="107">
        <v>0</v>
      </c>
      <c r="E45" s="107">
        <v>0</v>
      </c>
      <c r="F45" s="107">
        <v>3.5</v>
      </c>
      <c r="G45" s="107" t="s">
        <v>1406</v>
      </c>
      <c r="H45" s="107">
        <v>1</v>
      </c>
      <c r="I45" s="107" t="s">
        <v>1194</v>
      </c>
      <c r="J45" s="107"/>
      <c r="K45" s="101" t="str">
        <f t="shared" si="0"/>
        <v>SpellData.create(SIDOVERPOWER,"压制",0,0,3.5,OrderId("windwalk"),1,ORDER_TYPE_TARGET);</v>
      </c>
      <c r="L45" s="107"/>
      <c r="M45" s="107"/>
      <c r="N45" s="107"/>
      <c r="O45" s="107"/>
      <c r="P45" s="107"/>
      <c r="Q45" s="107"/>
      <c r="R45" s="107"/>
      <c r="S45" s="107"/>
      <c r="T45" s="107"/>
      <c r="U45" s="107"/>
      <c r="V45" s="107"/>
      <c r="W45" s="107"/>
      <c r="X45" s="107"/>
    </row>
    <row r="46" spans="1:24" x14ac:dyDescent="0.2">
      <c r="A46" s="107" t="s">
        <v>852</v>
      </c>
      <c r="B46" s="107" t="s">
        <v>336</v>
      </c>
      <c r="C46" s="107" t="s">
        <v>1241</v>
      </c>
      <c r="D46" s="107">
        <v>0</v>
      </c>
      <c r="E46" s="107">
        <v>15</v>
      </c>
      <c r="F46" s="107">
        <v>9</v>
      </c>
      <c r="G46" s="107" t="s">
        <v>1405</v>
      </c>
      <c r="H46" s="107">
        <v>1</v>
      </c>
      <c r="I46" s="107" t="s">
        <v>1194</v>
      </c>
      <c r="J46" s="107" t="s">
        <v>1404</v>
      </c>
      <c r="K46" s="101" t="str">
        <f t="shared" si="0"/>
        <v>SpellData.create(SIDMORTALSTRIKE,"致死打击",15,0,9,OrderId("drunkenhaze"),1,ORDER_TYPE_TARGET).setCCC2(25,0,8).setCCC3(35,0,7);</v>
      </c>
      <c r="L46" s="107"/>
      <c r="M46" s="107"/>
      <c r="N46" s="107"/>
      <c r="O46" s="107"/>
      <c r="P46" s="107"/>
      <c r="Q46" s="107"/>
      <c r="R46" s="107"/>
      <c r="S46" s="107"/>
      <c r="T46" s="107"/>
      <c r="U46" s="107"/>
      <c r="V46" s="107"/>
      <c r="W46" s="107"/>
      <c r="X46" s="107"/>
    </row>
    <row r="47" spans="1:24" x14ac:dyDescent="0.2">
      <c r="A47" s="107" t="s">
        <v>853</v>
      </c>
      <c r="B47" s="107" t="s">
        <v>341</v>
      </c>
      <c r="C47" s="107" t="s">
        <v>1394</v>
      </c>
      <c r="D47" s="107">
        <v>0</v>
      </c>
      <c r="E47" s="107">
        <v>0</v>
      </c>
      <c r="F47" s="107">
        <v>1</v>
      </c>
      <c r="G47" s="107" t="s">
        <v>1403</v>
      </c>
      <c r="H47" s="107">
        <v>1</v>
      </c>
      <c r="I47" s="107" t="s">
        <v>1194</v>
      </c>
      <c r="J47" s="107"/>
      <c r="K47" s="101" t="str">
        <f t="shared" si="0"/>
        <v>SpellData.create(SIDEXECUTELEARN,"斩杀",0,0,1,OrderId("massteleport"),1,ORDER_TYPE_TARGET);</v>
      </c>
      <c r="L47" s="107"/>
      <c r="M47" s="107"/>
      <c r="N47" s="107"/>
      <c r="O47" s="107"/>
      <c r="P47" s="107"/>
      <c r="Q47" s="107"/>
      <c r="R47" s="107"/>
      <c r="S47" s="107"/>
      <c r="T47" s="107"/>
      <c r="U47" s="107"/>
      <c r="V47" s="107"/>
      <c r="W47" s="107"/>
      <c r="X47" s="107"/>
    </row>
    <row r="48" spans="1:24" x14ac:dyDescent="0.2">
      <c r="A48" s="107" t="s">
        <v>1402</v>
      </c>
      <c r="B48" s="107" t="s">
        <v>341</v>
      </c>
      <c r="C48" s="107" t="s">
        <v>1394</v>
      </c>
      <c r="D48" s="107">
        <v>0</v>
      </c>
      <c r="E48" s="107">
        <v>0</v>
      </c>
      <c r="F48" s="107">
        <v>1</v>
      </c>
      <c r="G48" s="107" t="s">
        <v>1401</v>
      </c>
      <c r="H48" s="107">
        <v>1</v>
      </c>
      <c r="I48" s="107" t="s">
        <v>1194</v>
      </c>
      <c r="J48" s="107"/>
      <c r="K48" s="101" t="str">
        <f t="shared" si="0"/>
        <v>SpellData.create(SIDEXECUTESTART,"斩杀",0,0,1,OrderId("spiritwolf"),1,ORDER_TYPE_TARGET);</v>
      </c>
      <c r="L48" s="107"/>
      <c r="M48" s="107"/>
      <c r="N48" s="107"/>
      <c r="O48" s="107"/>
      <c r="P48" s="107"/>
      <c r="Q48" s="107"/>
      <c r="R48" s="107"/>
      <c r="S48" s="107"/>
      <c r="T48" s="107"/>
      <c r="U48" s="107"/>
      <c r="V48" s="107"/>
      <c r="W48" s="107"/>
      <c r="X48" s="107"/>
    </row>
    <row r="49" spans="1:24" x14ac:dyDescent="0.2">
      <c r="A49" s="107" t="s">
        <v>1400</v>
      </c>
      <c r="B49" s="107" t="s">
        <v>341</v>
      </c>
      <c r="C49" s="107" t="s">
        <v>1394</v>
      </c>
      <c r="D49" s="107">
        <v>0</v>
      </c>
      <c r="E49" s="107">
        <v>0</v>
      </c>
      <c r="F49" s="107">
        <v>1</v>
      </c>
      <c r="G49" s="107" t="s">
        <v>1221</v>
      </c>
      <c r="H49" s="107">
        <v>1</v>
      </c>
      <c r="I49" s="107" t="s">
        <v>1194</v>
      </c>
      <c r="J49" s="107"/>
      <c r="K49" s="101" t="str">
        <f t="shared" si="0"/>
        <v>SpellData.create(SIDEXECUTE1,"斩杀",0,0,1,OrderId("stomp"),1,ORDER_TYPE_TARGET);</v>
      </c>
      <c r="L49" s="107"/>
      <c r="M49" s="107"/>
      <c r="N49" s="107"/>
      <c r="O49" s="107"/>
      <c r="P49" s="107"/>
      <c r="Q49" s="107"/>
      <c r="R49" s="107"/>
      <c r="S49" s="107"/>
      <c r="T49" s="107"/>
      <c r="U49" s="107"/>
      <c r="V49" s="107"/>
      <c r="W49" s="107"/>
      <c r="X49" s="107"/>
    </row>
    <row r="50" spans="1:24" x14ac:dyDescent="0.2">
      <c r="A50" s="107" t="s">
        <v>1399</v>
      </c>
      <c r="B50" s="107" t="s">
        <v>341</v>
      </c>
      <c r="C50" s="107" t="s">
        <v>1394</v>
      </c>
      <c r="D50" s="107">
        <v>0</v>
      </c>
      <c r="E50" s="107">
        <v>0</v>
      </c>
      <c r="F50" s="107">
        <v>1</v>
      </c>
      <c r="G50" s="107" t="s">
        <v>1201</v>
      </c>
      <c r="H50" s="107">
        <v>1</v>
      </c>
      <c r="I50" s="107" t="s">
        <v>1194</v>
      </c>
      <c r="J50" s="107"/>
      <c r="K50" s="101" t="str">
        <f t="shared" si="0"/>
        <v>SpellData.create(SIDEXECUTE2,"斩杀",0,0,1,OrderId("slow"),1,ORDER_TYPE_TARGET);</v>
      </c>
      <c r="L50" s="107"/>
      <c r="M50" s="107"/>
      <c r="N50" s="107"/>
      <c r="O50" s="107"/>
      <c r="P50" s="107"/>
      <c r="Q50" s="107"/>
      <c r="R50" s="107"/>
      <c r="S50" s="107"/>
      <c r="T50" s="107"/>
      <c r="U50" s="107"/>
      <c r="V50" s="107"/>
      <c r="W50" s="107"/>
      <c r="X50" s="107"/>
    </row>
    <row r="51" spans="1:24" x14ac:dyDescent="0.2">
      <c r="A51" s="107" t="s">
        <v>1398</v>
      </c>
      <c r="B51" s="107" t="s">
        <v>341</v>
      </c>
      <c r="C51" s="107" t="s">
        <v>1394</v>
      </c>
      <c r="D51" s="107">
        <v>0</v>
      </c>
      <c r="E51" s="107">
        <v>0</v>
      </c>
      <c r="F51" s="107">
        <v>1</v>
      </c>
      <c r="G51" s="107" t="s">
        <v>998</v>
      </c>
      <c r="H51" s="107">
        <v>1</v>
      </c>
      <c r="I51" s="107" t="s">
        <v>1194</v>
      </c>
      <c r="J51" s="107"/>
      <c r="K51" s="101" t="str">
        <f t="shared" si="0"/>
        <v>SpellData.create(SIDEXECUTE3,"斩杀",0,0,1,OrderId("channel"),1,ORDER_TYPE_TARGET);</v>
      </c>
      <c r="L51" s="107"/>
      <c r="M51" s="107"/>
      <c r="N51" s="107"/>
      <c r="O51" s="107"/>
      <c r="P51" s="107"/>
      <c r="Q51" s="107"/>
      <c r="R51" s="107"/>
      <c r="S51" s="107"/>
      <c r="T51" s="107"/>
      <c r="U51" s="107"/>
      <c r="V51" s="107"/>
      <c r="W51" s="107"/>
      <c r="X51" s="107"/>
    </row>
    <row r="52" spans="1:24" x14ac:dyDescent="0.2">
      <c r="A52" s="107" t="s">
        <v>1397</v>
      </c>
      <c r="B52" s="107" t="s">
        <v>341</v>
      </c>
      <c r="C52" s="107" t="s">
        <v>1394</v>
      </c>
      <c r="D52" s="107">
        <v>0</v>
      </c>
      <c r="E52" s="107">
        <v>0</v>
      </c>
      <c r="F52" s="107">
        <v>1</v>
      </c>
      <c r="G52" s="107" t="s">
        <v>1396</v>
      </c>
      <c r="H52" s="107">
        <v>1</v>
      </c>
      <c r="I52" s="107" t="s">
        <v>1194</v>
      </c>
      <c r="J52" s="107"/>
      <c r="K52" s="101" t="str">
        <f t="shared" si="0"/>
        <v>SpellData.create(SIDEXECUTE4,"斩杀",0,0,1,OrderId("voodoo"),1,ORDER_TYPE_TARGET);</v>
      </c>
      <c r="L52" s="107"/>
      <c r="M52" s="107"/>
      <c r="N52" s="107"/>
      <c r="O52" s="107"/>
      <c r="P52" s="107"/>
      <c r="Q52" s="107"/>
      <c r="R52" s="107"/>
      <c r="S52" s="107"/>
      <c r="T52" s="107"/>
      <c r="U52" s="107"/>
      <c r="V52" s="107"/>
      <c r="W52" s="107"/>
      <c r="X52" s="107"/>
    </row>
    <row r="53" spans="1:24" x14ac:dyDescent="0.2">
      <c r="A53" s="107" t="s">
        <v>1395</v>
      </c>
      <c r="B53" s="107" t="s">
        <v>341</v>
      </c>
      <c r="C53" s="107" t="s">
        <v>1394</v>
      </c>
      <c r="D53" s="107">
        <v>0</v>
      </c>
      <c r="E53" s="107">
        <v>0</v>
      </c>
      <c r="F53" s="107">
        <v>1</v>
      </c>
      <c r="G53" s="107" t="s">
        <v>1372</v>
      </c>
      <c r="H53" s="107">
        <v>1</v>
      </c>
      <c r="I53" s="107" t="s">
        <v>1194</v>
      </c>
      <c r="J53" s="107"/>
      <c r="K53" s="101" t="str">
        <f t="shared" si="0"/>
        <v>SpellData.create(SIDEXECUTEEND,"斩杀",0,0,1,OrderId("frostarmor"),1,ORDER_TYPE_TARGET);</v>
      </c>
      <c r="L53" s="107"/>
      <c r="M53" s="107"/>
      <c r="N53" s="107"/>
      <c r="O53" s="107"/>
      <c r="P53" s="107"/>
      <c r="Q53" s="107"/>
      <c r="R53" s="107"/>
      <c r="S53" s="107"/>
      <c r="T53" s="107"/>
      <c r="U53" s="107"/>
      <c r="V53" s="107"/>
      <c r="W53" s="107"/>
      <c r="X53" s="107"/>
    </row>
    <row r="54" spans="1:24" x14ac:dyDescent="0.2">
      <c r="A54" s="104" t="s">
        <v>854</v>
      </c>
      <c r="B54" s="104" t="s">
        <v>358</v>
      </c>
      <c r="C54" s="104" t="s">
        <v>1233</v>
      </c>
      <c r="D54" s="104">
        <v>2</v>
      </c>
      <c r="E54" s="104">
        <v>15</v>
      </c>
      <c r="F54" s="104">
        <v>0</v>
      </c>
      <c r="G54" s="104" t="s">
        <v>1198</v>
      </c>
      <c r="H54" s="104">
        <v>1</v>
      </c>
      <c r="I54" s="104" t="s">
        <v>1194</v>
      </c>
      <c r="J54" s="104" t="s">
        <v>1393</v>
      </c>
      <c r="K54" s="101" t="str">
        <f t="shared" si="0"/>
        <v>SpellData.create(SIDFROSTBOLT,"寒冰箭",15,2,0,OrderId("heal"),1,ORDER_TYPE_TARGET).setCCC2(30,2,0).setCCC3(45,2,0);</v>
      </c>
      <c r="L54" s="104"/>
      <c r="M54" s="104"/>
      <c r="N54" s="104"/>
      <c r="O54" s="104"/>
      <c r="P54" s="104"/>
      <c r="Q54" s="104"/>
      <c r="R54" s="104"/>
      <c r="S54" s="104"/>
      <c r="T54" s="104"/>
      <c r="U54" s="104"/>
      <c r="V54" s="104"/>
      <c r="W54" s="104"/>
      <c r="X54" s="104"/>
    </row>
    <row r="55" spans="1:24" x14ac:dyDescent="0.2">
      <c r="A55" s="104" t="s">
        <v>855</v>
      </c>
      <c r="B55" s="104" t="s">
        <v>364</v>
      </c>
      <c r="C55" s="104" t="s">
        <v>1391</v>
      </c>
      <c r="D55" s="104">
        <v>5</v>
      </c>
      <c r="E55" s="104">
        <v>100</v>
      </c>
      <c r="F55" s="104">
        <v>0</v>
      </c>
      <c r="G55" s="104" t="s">
        <v>1366</v>
      </c>
      <c r="H55" s="104">
        <v>1</v>
      </c>
      <c r="I55" s="104" t="s">
        <v>1292</v>
      </c>
      <c r="J55" s="104"/>
      <c r="K55" s="101" t="str">
        <f t="shared" si="0"/>
        <v>SpellData.create(SIDBLIZZARD,"暴风雪",100,5,0,OrderId("blizzard"),1,ORDER_TYPE_POINT);</v>
      </c>
      <c r="L55" s="104"/>
      <c r="M55" s="104"/>
      <c r="N55" s="104"/>
      <c r="O55" s="104"/>
      <c r="P55" s="104"/>
      <c r="Q55" s="104"/>
      <c r="R55" s="104"/>
      <c r="S55" s="104"/>
      <c r="T55" s="104"/>
      <c r="U55" s="104"/>
      <c r="V55" s="104"/>
      <c r="W55" s="104"/>
      <c r="X55" s="104"/>
    </row>
    <row r="56" spans="1:24" x14ac:dyDescent="0.2">
      <c r="A56" s="104" t="s">
        <v>1392</v>
      </c>
      <c r="B56" s="104" t="s">
        <v>364</v>
      </c>
      <c r="C56" s="104" t="s">
        <v>1391</v>
      </c>
      <c r="D56" s="104">
        <v>0</v>
      </c>
      <c r="E56" s="104">
        <v>170</v>
      </c>
      <c r="F56" s="104">
        <v>5</v>
      </c>
      <c r="G56" s="104" t="s">
        <v>1366</v>
      </c>
      <c r="H56" s="104">
        <v>1</v>
      </c>
      <c r="I56" s="104" t="s">
        <v>1292</v>
      </c>
      <c r="J56" s="104"/>
      <c r="K56" s="101" t="str">
        <f t="shared" si="0"/>
        <v>SpellData.create(SIDBLIZZARD1,"暴风雪",170,0,5,OrderId("blizzard"),1,ORDER_TYPE_POINT);</v>
      </c>
      <c r="L56" s="104"/>
      <c r="M56" s="104"/>
      <c r="N56" s="104"/>
      <c r="O56" s="104"/>
      <c r="P56" s="104"/>
      <c r="Q56" s="104"/>
      <c r="R56" s="104"/>
      <c r="S56" s="104"/>
      <c r="T56" s="104"/>
      <c r="U56" s="104"/>
      <c r="V56" s="104"/>
      <c r="W56" s="104"/>
      <c r="X56" s="104"/>
    </row>
    <row r="57" spans="1:24" x14ac:dyDescent="0.2">
      <c r="A57" s="104" t="s">
        <v>856</v>
      </c>
      <c r="B57" s="104" t="s">
        <v>376</v>
      </c>
      <c r="C57" s="104" t="s">
        <v>1390</v>
      </c>
      <c r="D57" s="104">
        <v>0</v>
      </c>
      <c r="E57" s="104">
        <v>70</v>
      </c>
      <c r="F57" s="104">
        <v>15</v>
      </c>
      <c r="G57" s="104" t="s">
        <v>1389</v>
      </c>
      <c r="H57" s="104">
        <v>1</v>
      </c>
      <c r="I57" s="104" t="s">
        <v>997</v>
      </c>
      <c r="J57" s="104"/>
      <c r="K57" s="101" t="str">
        <f t="shared" si="0"/>
        <v>SpellData.create(SIDFROSTNOVA,"冰冻新星",70,0,15,OrderId("frostnova"),1,ORDER_TYPE_IMMEDIATE);</v>
      </c>
      <c r="L57" s="104"/>
      <c r="M57" s="104"/>
      <c r="N57" s="104"/>
      <c r="O57" s="104"/>
      <c r="P57" s="104"/>
      <c r="Q57" s="104"/>
      <c r="R57" s="104"/>
      <c r="S57" s="104"/>
      <c r="T57" s="104"/>
      <c r="U57" s="104"/>
      <c r="V57" s="104"/>
      <c r="W57" s="104"/>
      <c r="X57" s="104"/>
    </row>
    <row r="58" spans="1:24" x14ac:dyDescent="0.2">
      <c r="A58" s="104" t="s">
        <v>857</v>
      </c>
      <c r="B58" s="104" t="s">
        <v>392</v>
      </c>
      <c r="C58" s="104" t="s">
        <v>1231</v>
      </c>
      <c r="D58" s="104">
        <v>0</v>
      </c>
      <c r="E58" s="104">
        <v>25</v>
      </c>
      <c r="F58" s="104">
        <v>30</v>
      </c>
      <c r="G58" s="104" t="s">
        <v>1388</v>
      </c>
      <c r="H58" s="104">
        <v>1</v>
      </c>
      <c r="I58" s="104" t="s">
        <v>1194</v>
      </c>
      <c r="J58" s="104" t="s">
        <v>1387</v>
      </c>
      <c r="K58" s="101" t="str">
        <f t="shared" si="0"/>
        <v>SpellData.create(SIDPOLYMORPH,"变形术",25,0,30,OrderId("polymorph"),1,ORDER_TYPE_TARGET).setCCC2(25,0,22).setCCC3(25,0,14);</v>
      </c>
      <c r="L58" s="104"/>
      <c r="M58" s="104"/>
      <c r="N58" s="104"/>
      <c r="O58" s="104"/>
      <c r="P58" s="104"/>
      <c r="Q58" s="104"/>
      <c r="R58" s="104"/>
      <c r="S58" s="104"/>
      <c r="T58" s="104"/>
      <c r="U58" s="104"/>
      <c r="V58" s="104"/>
      <c r="W58" s="104"/>
      <c r="X58" s="104"/>
    </row>
    <row r="59" spans="1:24" x14ac:dyDescent="0.2">
      <c r="A59" s="104" t="s">
        <v>1386</v>
      </c>
      <c r="B59" s="104" t="s">
        <v>392</v>
      </c>
      <c r="C59" s="104" t="s">
        <v>1231</v>
      </c>
      <c r="D59" s="104">
        <v>0</v>
      </c>
      <c r="E59" s="104">
        <v>25</v>
      </c>
      <c r="F59" s="104">
        <v>5</v>
      </c>
      <c r="G59" s="104" t="s">
        <v>1261</v>
      </c>
      <c r="H59" s="104">
        <v>1</v>
      </c>
      <c r="I59" s="104" t="s">
        <v>1194</v>
      </c>
      <c r="J59" s="104"/>
      <c r="K59" s="101" t="str">
        <f t="shared" si="0"/>
        <v>SpellData.create(SIDPOLYMORPHDUMMY,"变形术",25,0,5,OrderId("hex"),1,ORDER_TYPE_TARGET);</v>
      </c>
      <c r="L59" s="104"/>
      <c r="M59" s="104"/>
      <c r="N59" s="104"/>
      <c r="O59" s="104"/>
      <c r="P59" s="104"/>
      <c r="Q59" s="104"/>
      <c r="R59" s="104"/>
      <c r="S59" s="104"/>
      <c r="T59" s="104"/>
      <c r="U59" s="104"/>
      <c r="V59" s="104"/>
      <c r="W59" s="104"/>
      <c r="X59" s="104"/>
    </row>
    <row r="60" spans="1:24" x14ac:dyDescent="0.2">
      <c r="A60" s="104" t="s">
        <v>858</v>
      </c>
      <c r="B60" s="104" t="s">
        <v>406</v>
      </c>
      <c r="C60" s="104" t="s">
        <v>1385</v>
      </c>
      <c r="D60" s="104">
        <v>0</v>
      </c>
      <c r="E60" s="104">
        <v>70</v>
      </c>
      <c r="F60" s="104">
        <v>6</v>
      </c>
      <c r="G60" s="104" t="s">
        <v>1340</v>
      </c>
      <c r="H60" s="104">
        <v>1</v>
      </c>
      <c r="I60" s="104" t="s">
        <v>1194</v>
      </c>
      <c r="J60" s="104" t="s">
        <v>1384</v>
      </c>
      <c r="K60" s="101" t="str">
        <f t="shared" si="0"/>
        <v>SpellData.create(SIDSPELLTRANSFER,"法术转移",70,0,6,OrderId("dispel"),1,ORDER_TYPE_TARGET).setCCC2(210,0,3).setCCC3(350,0,1);</v>
      </c>
      <c r="L60" s="104"/>
      <c r="M60" s="104"/>
      <c r="N60" s="104"/>
      <c r="O60" s="104"/>
      <c r="P60" s="104"/>
      <c r="Q60" s="104"/>
      <c r="R60" s="104"/>
      <c r="S60" s="104"/>
      <c r="T60" s="104"/>
      <c r="U60" s="104"/>
      <c r="V60" s="104"/>
      <c r="W60" s="104"/>
      <c r="X60" s="104"/>
    </row>
    <row r="61" spans="1:24" x14ac:dyDescent="0.2">
      <c r="A61" s="104" t="s">
        <v>1383</v>
      </c>
      <c r="B61" s="104" t="s">
        <v>416</v>
      </c>
      <c r="C61" s="104" t="s">
        <v>1382</v>
      </c>
      <c r="D61" s="104">
        <v>0</v>
      </c>
      <c r="E61" s="104">
        <v>0</v>
      </c>
      <c r="F61" s="104">
        <v>1</v>
      </c>
      <c r="G61" s="104" t="s">
        <v>998</v>
      </c>
      <c r="H61" s="104">
        <v>1</v>
      </c>
      <c r="I61" s="104" t="s">
        <v>1194</v>
      </c>
      <c r="J61" s="104"/>
      <c r="K61" s="101" t="str">
        <f t="shared" si="0"/>
        <v>SpellData.create(SIDINTELLIGENCECHANNEL,"智慧导能",0,0,1,OrderId("channel"),1,ORDER_TYPE_TARGET);</v>
      </c>
      <c r="L61" s="104"/>
      <c r="M61" s="104"/>
      <c r="N61" s="104"/>
      <c r="O61" s="104"/>
      <c r="P61" s="104"/>
      <c r="Q61" s="104"/>
      <c r="R61" s="104"/>
      <c r="S61" s="104"/>
      <c r="T61" s="104"/>
      <c r="U61" s="104"/>
      <c r="V61" s="104"/>
      <c r="W61" s="104"/>
      <c r="X61" s="104"/>
    </row>
    <row r="62" spans="1:24" x14ac:dyDescent="0.2">
      <c r="A62" s="103" t="s">
        <v>859</v>
      </c>
      <c r="B62" s="103" t="s">
        <v>585</v>
      </c>
      <c r="C62" s="103" t="s">
        <v>1381</v>
      </c>
      <c r="D62" s="103">
        <v>2</v>
      </c>
      <c r="E62" s="103">
        <v>10</v>
      </c>
      <c r="F62" s="103">
        <v>0</v>
      </c>
      <c r="G62" s="103" t="s">
        <v>1376</v>
      </c>
      <c r="H62" s="103">
        <v>1</v>
      </c>
      <c r="I62" s="103" t="s">
        <v>1194</v>
      </c>
      <c r="J62" s="103" t="s">
        <v>1380</v>
      </c>
      <c r="K62" s="101" t="str">
        <f t="shared" si="0"/>
        <v>SpellData.create(SID_STORM_LASH,"风暴鞭笞",10,2,0,OrderId("forkedlightning"),1,ORDER_TYPE_TARGET).setCCC2(13,2,0).setCCC3(16,2,0);</v>
      </c>
      <c r="L62" s="103"/>
      <c r="M62" s="103"/>
      <c r="N62" s="103"/>
      <c r="O62" s="103"/>
      <c r="P62" s="103"/>
      <c r="Q62" s="103"/>
      <c r="R62" s="103"/>
      <c r="S62" s="103"/>
      <c r="T62" s="103"/>
      <c r="U62" s="103"/>
      <c r="V62" s="103"/>
      <c r="W62" s="103"/>
      <c r="X62" s="103"/>
    </row>
    <row r="63" spans="1:24" x14ac:dyDescent="0.2">
      <c r="A63" s="103" t="s">
        <v>1379</v>
      </c>
      <c r="B63" s="103" t="s">
        <v>1378</v>
      </c>
      <c r="C63" s="103" t="s">
        <v>1377</v>
      </c>
      <c r="D63" s="103">
        <v>0</v>
      </c>
      <c r="E63" s="103">
        <v>0</v>
      </c>
      <c r="F63" s="103">
        <v>1</v>
      </c>
      <c r="G63" s="103" t="s">
        <v>1376</v>
      </c>
      <c r="H63" s="103">
        <v>1</v>
      </c>
      <c r="I63" s="103" t="s">
        <v>1194</v>
      </c>
      <c r="J63" s="103"/>
      <c r="K63" s="101" t="str">
        <f t="shared" si="0"/>
        <v>SpellData.create(SIDSTORMSTRIKE,"风暴打击",0,0,1,OrderId("forkedlightning"),1,ORDER_TYPE_TARGET);</v>
      </c>
      <c r="L63" s="103"/>
      <c r="M63" s="103"/>
      <c r="N63" s="103"/>
      <c r="O63" s="103"/>
      <c r="P63" s="103"/>
      <c r="Q63" s="103"/>
      <c r="R63" s="103"/>
      <c r="S63" s="103"/>
      <c r="T63" s="103"/>
      <c r="U63" s="103"/>
      <c r="V63" s="103"/>
      <c r="W63" s="103"/>
      <c r="X63" s="103"/>
    </row>
    <row r="64" spans="1:24" x14ac:dyDescent="0.2">
      <c r="A64" s="103" t="s">
        <v>860</v>
      </c>
      <c r="B64" s="103" t="s">
        <v>224</v>
      </c>
      <c r="C64" s="103" t="s">
        <v>1373</v>
      </c>
      <c r="D64" s="103">
        <v>0</v>
      </c>
      <c r="E64" s="103">
        <v>85</v>
      </c>
      <c r="F64" s="103">
        <v>9</v>
      </c>
      <c r="G64" s="103" t="s">
        <v>1343</v>
      </c>
      <c r="H64" s="103">
        <v>1</v>
      </c>
      <c r="I64" s="103" t="s">
        <v>1194</v>
      </c>
      <c r="J64" s="103" t="s">
        <v>1375</v>
      </c>
      <c r="K64" s="101" t="str">
        <f t="shared" si="0"/>
        <v>SpellData.create(SIDEARTHSHOCK,"大地震击",85,0,9,OrderId("thunderbolt"),1,ORDER_TYPE_TARGET).setCCC2(95,0,9).setCCC3(105,0,9);</v>
      </c>
      <c r="L64" s="103"/>
      <c r="M64" s="103"/>
      <c r="N64" s="103"/>
      <c r="O64" s="103"/>
      <c r="P64" s="103"/>
      <c r="Q64" s="103"/>
      <c r="R64" s="103"/>
      <c r="S64" s="103"/>
      <c r="T64" s="103"/>
      <c r="U64" s="103"/>
      <c r="V64" s="103"/>
      <c r="W64" s="103"/>
      <c r="X64" s="103"/>
    </row>
    <row r="65" spans="1:24" x14ac:dyDescent="0.2">
      <c r="A65" s="103" t="s">
        <v>1374</v>
      </c>
      <c r="B65" s="103" t="s">
        <v>224</v>
      </c>
      <c r="C65" s="103" t="s">
        <v>1373</v>
      </c>
      <c r="D65" s="103">
        <v>0</v>
      </c>
      <c r="E65" s="103">
        <v>0</v>
      </c>
      <c r="F65" s="103">
        <v>9</v>
      </c>
      <c r="G65" s="103" t="s">
        <v>1372</v>
      </c>
      <c r="H65" s="103">
        <v>1</v>
      </c>
      <c r="I65" s="103" t="s">
        <v>1194</v>
      </c>
      <c r="J65" s="103" t="s">
        <v>1371</v>
      </c>
      <c r="K65" s="101" t="str">
        <f t="shared" si="0"/>
        <v>SpellData.create(SIDEARTHSHOCK1,"大地震击",0,0,9,OrderId("frostarmor"),1,ORDER_TYPE_TARGET).setCCC2(0,0,9).setCCC3(0,0,9);</v>
      </c>
      <c r="L65" s="103"/>
      <c r="M65" s="103"/>
      <c r="N65" s="103"/>
      <c r="O65" s="103"/>
      <c r="P65" s="103"/>
      <c r="Q65" s="103"/>
      <c r="R65" s="103"/>
      <c r="S65" s="103"/>
      <c r="T65" s="103"/>
      <c r="U65" s="103"/>
      <c r="V65" s="103"/>
      <c r="W65" s="103"/>
      <c r="X65" s="103"/>
    </row>
    <row r="66" spans="1:24" x14ac:dyDescent="0.2">
      <c r="A66" s="103" t="s">
        <v>861</v>
      </c>
      <c r="B66" s="103" t="s">
        <v>225</v>
      </c>
      <c r="C66" s="103" t="s">
        <v>1370</v>
      </c>
      <c r="D66" s="103">
        <v>0</v>
      </c>
      <c r="E66" s="103">
        <v>15</v>
      </c>
      <c r="F66" s="103">
        <v>15</v>
      </c>
      <c r="G66" s="103" t="s">
        <v>1369</v>
      </c>
      <c r="H66" s="103">
        <v>1</v>
      </c>
      <c r="I66" s="103" t="s">
        <v>1194</v>
      </c>
      <c r="J66" s="103"/>
      <c r="K66" s="101" t="str">
        <f t="shared" si="0"/>
        <v>SpellData.create(SIDPURGE,"净化术",15,0,15,OrderId("purge"),1,ORDER_TYPE_TARGET);</v>
      </c>
      <c r="L66" s="103"/>
      <c r="M66" s="103"/>
      <c r="N66" s="103"/>
      <c r="O66" s="103"/>
      <c r="P66" s="103"/>
      <c r="Q66" s="103"/>
      <c r="R66" s="103"/>
      <c r="S66" s="103"/>
      <c r="T66" s="103"/>
      <c r="U66" s="103"/>
      <c r="V66" s="103"/>
      <c r="W66" s="103"/>
      <c r="X66" s="103"/>
    </row>
    <row r="67" spans="1:24" x14ac:dyDescent="0.2">
      <c r="A67" s="103" t="s">
        <v>862</v>
      </c>
      <c r="B67" s="103" t="s">
        <v>598</v>
      </c>
      <c r="C67" s="103" t="s">
        <v>1368</v>
      </c>
      <c r="D67" s="103">
        <v>0</v>
      </c>
      <c r="E67" s="103">
        <v>0</v>
      </c>
      <c r="F67" s="103">
        <v>1</v>
      </c>
      <c r="G67" s="103" t="s">
        <v>1210</v>
      </c>
      <c r="H67" s="103">
        <v>1</v>
      </c>
      <c r="I67" s="103" t="s">
        <v>997</v>
      </c>
      <c r="J67" s="103"/>
      <c r="K67" s="101" t="str">
        <f t="shared" ref="K67:K130" si="1">IF(B67="N/A","//",CONCATENATE("SpellData.create(",A67,",",CHAR(34),B67,CHAR(34),",",E67,",",D67,",",F67,",",G67,",",H67,",",I67,")",J67,";"))</f>
        <v>SpellData.create(SIDENCHANTEDTOTEM,"附魔图腾",0,0,1,OrderId("healingward"),1,ORDER_TYPE_IMMEDIATE);</v>
      </c>
      <c r="L67" s="103"/>
      <c r="M67" s="103"/>
      <c r="N67" s="103"/>
      <c r="O67" s="103"/>
      <c r="P67" s="103"/>
      <c r="Q67" s="103"/>
      <c r="R67" s="103"/>
      <c r="S67" s="103"/>
      <c r="T67" s="103"/>
      <c r="U67" s="103"/>
      <c r="V67" s="103"/>
      <c r="W67" s="103"/>
      <c r="X67" s="103"/>
    </row>
    <row r="68" spans="1:24" x14ac:dyDescent="0.2">
      <c r="A68" s="103" t="s">
        <v>1367</v>
      </c>
      <c r="B68" s="103" t="s">
        <v>712</v>
      </c>
      <c r="C68" s="103" t="s">
        <v>1229</v>
      </c>
      <c r="D68" s="103">
        <v>0</v>
      </c>
      <c r="E68" s="103">
        <v>0</v>
      </c>
      <c r="F68" s="103">
        <v>10</v>
      </c>
      <c r="G68" s="103" t="s">
        <v>1366</v>
      </c>
      <c r="H68" s="103">
        <v>1</v>
      </c>
      <c r="I68" s="103" t="s">
        <v>1292</v>
      </c>
      <c r="J68" s="103"/>
      <c r="K68" s="101" t="str">
        <f t="shared" si="1"/>
        <v>SpellData.create(SIDLIGHTNINGTOTEM,"闪电图腾",0,0,10,OrderId("blizzard"),1,ORDER_TYPE_POINT);</v>
      </c>
      <c r="L68" s="103"/>
      <c r="M68" s="103"/>
      <c r="N68" s="103"/>
      <c r="O68" s="103"/>
      <c r="P68" s="103"/>
      <c r="Q68" s="103"/>
      <c r="R68" s="103"/>
      <c r="S68" s="103"/>
      <c r="T68" s="103"/>
      <c r="U68" s="103"/>
      <c r="V68" s="103"/>
      <c r="W68" s="103"/>
      <c r="X68" s="103"/>
    </row>
    <row r="69" spans="1:24" x14ac:dyDescent="0.2">
      <c r="A69" s="103" t="s">
        <v>1365</v>
      </c>
      <c r="B69" s="103" t="s">
        <v>1364</v>
      </c>
      <c r="C69" s="103" t="s">
        <v>1363</v>
      </c>
      <c r="D69" s="103">
        <v>0</v>
      </c>
      <c r="E69" s="103">
        <v>0</v>
      </c>
      <c r="F69" s="103">
        <v>10</v>
      </c>
      <c r="G69" s="103" t="s">
        <v>1362</v>
      </c>
      <c r="H69" s="103">
        <v>1</v>
      </c>
      <c r="I69" s="103" t="s">
        <v>1292</v>
      </c>
      <c r="J69" s="103"/>
      <c r="K69" s="101" t="str">
        <f t="shared" si="1"/>
        <v>SpellData.create(SIDTORRENTTOTEM,"激流图腾",0,0,10,OrderId("flamestrike"),1,ORDER_TYPE_POINT);</v>
      </c>
      <c r="L69" s="103"/>
      <c r="M69" s="103"/>
      <c r="N69" s="103"/>
      <c r="O69" s="103"/>
      <c r="P69" s="103"/>
      <c r="Q69" s="103"/>
      <c r="R69" s="103"/>
      <c r="S69" s="103"/>
      <c r="T69" s="103"/>
      <c r="U69" s="103"/>
      <c r="V69" s="103"/>
      <c r="W69" s="103"/>
      <c r="X69" s="103"/>
    </row>
    <row r="70" spans="1:24" x14ac:dyDescent="0.2">
      <c r="A70" s="103" t="s">
        <v>1361</v>
      </c>
      <c r="B70" s="103" t="s">
        <v>1360</v>
      </c>
      <c r="C70" s="103" t="s">
        <v>1359</v>
      </c>
      <c r="D70" s="103">
        <v>0</v>
      </c>
      <c r="E70" s="103">
        <v>0</v>
      </c>
      <c r="F70" s="103">
        <v>10</v>
      </c>
      <c r="G70" s="103" t="s">
        <v>1340</v>
      </c>
      <c r="H70" s="103">
        <v>1</v>
      </c>
      <c r="I70" s="103" t="s">
        <v>1292</v>
      </c>
      <c r="J70" s="103"/>
      <c r="K70" s="101" t="str">
        <f t="shared" si="1"/>
        <v>SpellData.create(SIDEARTHBINDTOTEM,"地缚图腾",0,0,10,OrderId("dispel"),1,ORDER_TYPE_POINT);</v>
      </c>
      <c r="L70" s="103"/>
      <c r="M70" s="103"/>
      <c r="N70" s="103"/>
      <c r="O70" s="103"/>
      <c r="P70" s="103"/>
      <c r="Q70" s="103"/>
      <c r="R70" s="103"/>
      <c r="S70" s="103"/>
      <c r="T70" s="103"/>
      <c r="U70" s="103"/>
      <c r="V70" s="103"/>
      <c r="W70" s="103"/>
      <c r="X70" s="103"/>
    </row>
    <row r="71" spans="1:24" x14ac:dyDescent="0.2">
      <c r="A71" s="103" t="s">
        <v>863</v>
      </c>
      <c r="B71" s="103" t="s">
        <v>226</v>
      </c>
      <c r="C71" s="103" t="s">
        <v>1358</v>
      </c>
      <c r="D71" s="103">
        <v>0</v>
      </c>
      <c r="E71" s="103">
        <v>25</v>
      </c>
      <c r="F71" s="103">
        <v>40</v>
      </c>
      <c r="G71" s="103" t="s">
        <v>1357</v>
      </c>
      <c r="H71" s="103">
        <v>1</v>
      </c>
      <c r="I71" s="103" t="s">
        <v>997</v>
      </c>
      <c r="J71" s="103"/>
      <c r="K71" s="101" t="str">
        <f t="shared" si="1"/>
        <v>SpellData.create(SID_ASCENDANCE,"升腾",25,0,40,OrderId("metamorphosis"),1,ORDER_TYPE_IMMEDIATE);</v>
      </c>
      <c r="L71" s="103"/>
      <c r="M71" s="103"/>
      <c r="N71" s="103"/>
      <c r="O71" s="103"/>
      <c r="P71" s="103"/>
      <c r="Q71" s="103"/>
      <c r="R71" s="103"/>
      <c r="S71" s="103"/>
      <c r="T71" s="103"/>
      <c r="U71" s="103"/>
      <c r="V71" s="103"/>
      <c r="W71" s="103"/>
      <c r="X71" s="103"/>
    </row>
    <row r="72" spans="1:24" x14ac:dyDescent="0.2">
      <c r="A72" s="106" t="s">
        <v>864</v>
      </c>
      <c r="B72" s="106" t="s">
        <v>749</v>
      </c>
      <c r="C72" s="106" t="s">
        <v>1356</v>
      </c>
      <c r="D72" s="106">
        <v>0</v>
      </c>
      <c r="E72" s="106">
        <v>0</v>
      </c>
      <c r="F72" s="106">
        <v>2</v>
      </c>
      <c r="G72" s="106" t="s">
        <v>1201</v>
      </c>
      <c r="H72" s="106">
        <v>1</v>
      </c>
      <c r="I72" s="106" t="s">
        <v>1194</v>
      </c>
      <c r="J72" s="106"/>
      <c r="K72" s="101" t="str">
        <f t="shared" si="1"/>
        <v>SpellData.create(SIDSINISTERSTRIKE,"邪恶攻击",0,0,2,OrderId("slow"),1,ORDER_TYPE_TARGET);</v>
      </c>
      <c r="L72" s="106"/>
      <c r="M72" s="106"/>
      <c r="N72" s="106"/>
      <c r="O72" s="106"/>
      <c r="P72" s="106"/>
      <c r="Q72" s="106"/>
      <c r="R72" s="106"/>
      <c r="S72" s="106"/>
      <c r="T72" s="106"/>
      <c r="U72" s="106"/>
      <c r="V72" s="106"/>
      <c r="W72" s="106"/>
      <c r="X72" s="106"/>
    </row>
    <row r="73" spans="1:24" x14ac:dyDescent="0.2">
      <c r="A73" s="106" t="s">
        <v>865</v>
      </c>
      <c r="B73" s="106" t="s">
        <v>759</v>
      </c>
      <c r="C73" s="106" t="s">
        <v>1355</v>
      </c>
      <c r="D73" s="106">
        <v>0</v>
      </c>
      <c r="E73" s="106">
        <v>0</v>
      </c>
      <c r="F73" s="106">
        <v>2</v>
      </c>
      <c r="G73" s="106" t="s">
        <v>1280</v>
      </c>
      <c r="H73" s="106">
        <v>1</v>
      </c>
      <c r="I73" s="106" t="s">
        <v>1194</v>
      </c>
      <c r="J73" s="106"/>
      <c r="K73" s="101" t="str">
        <f t="shared" si="1"/>
        <v>SpellData.create(SIDEVISCERATE,"剔骨",0,0,2,OrderId("impale"),1,ORDER_TYPE_TARGET);</v>
      </c>
      <c r="L73" s="106"/>
      <c r="M73" s="106"/>
      <c r="N73" s="106"/>
      <c r="O73" s="106"/>
      <c r="P73" s="106"/>
      <c r="Q73" s="106"/>
      <c r="R73" s="106"/>
      <c r="S73" s="106"/>
      <c r="T73" s="106"/>
      <c r="U73" s="106"/>
      <c r="V73" s="106"/>
      <c r="W73" s="106"/>
      <c r="X73" s="106"/>
    </row>
    <row r="74" spans="1:24" x14ac:dyDescent="0.2">
      <c r="A74" s="106" t="s">
        <v>866</v>
      </c>
      <c r="B74" s="106" t="s">
        <v>768</v>
      </c>
      <c r="C74" s="106" t="s">
        <v>1354</v>
      </c>
      <c r="D74" s="106">
        <v>0</v>
      </c>
      <c r="E74" s="106">
        <v>0</v>
      </c>
      <c r="F74" s="106">
        <v>16</v>
      </c>
      <c r="G74" s="106" t="s">
        <v>1353</v>
      </c>
      <c r="H74" s="106">
        <v>1</v>
      </c>
      <c r="I74" s="106" t="s">
        <v>1194</v>
      </c>
      <c r="J74" s="106"/>
      <c r="K74" s="101" t="str">
        <f t="shared" si="1"/>
        <v>SpellData.create(SIDASSAULT,"突袭",0,0,16,OrderId("deathcoil"),1,ORDER_TYPE_TARGET);</v>
      </c>
      <c r="L74" s="106"/>
      <c r="M74" s="106"/>
      <c r="N74" s="106"/>
      <c r="O74" s="106"/>
      <c r="P74" s="106"/>
      <c r="Q74" s="106"/>
      <c r="R74" s="106"/>
      <c r="S74" s="106"/>
      <c r="T74" s="106"/>
      <c r="U74" s="106"/>
      <c r="V74" s="106"/>
      <c r="W74" s="106"/>
      <c r="X74" s="106"/>
    </row>
    <row r="75" spans="1:24" x14ac:dyDescent="0.2">
      <c r="A75" s="106" t="s">
        <v>867</v>
      </c>
      <c r="B75" s="106" t="s">
        <v>731</v>
      </c>
      <c r="C75" s="106" t="s">
        <v>1219</v>
      </c>
      <c r="D75" s="106">
        <v>0</v>
      </c>
      <c r="E75" s="106">
        <v>0</v>
      </c>
      <c r="F75" s="106">
        <v>30</v>
      </c>
      <c r="G75" s="106" t="s">
        <v>1352</v>
      </c>
      <c r="H75" s="106">
        <v>1</v>
      </c>
      <c r="I75" s="106" t="s">
        <v>997</v>
      </c>
      <c r="J75" s="106" t="s">
        <v>1351</v>
      </c>
      <c r="K75" s="101" t="str">
        <f t="shared" si="1"/>
        <v>SpellData.create(SIDBLADEFLURRY,"剑舞",0,0,30,OrderId("starfall"),1,ORDER_TYPE_IMMEDIATE).setCCC2(0,0,26).setCCC2(0,0,22);</v>
      </c>
      <c r="L75" s="106"/>
      <c r="M75" s="106"/>
      <c r="N75" s="106"/>
      <c r="O75" s="106"/>
      <c r="P75" s="106"/>
      <c r="Q75" s="106"/>
      <c r="R75" s="106"/>
      <c r="S75" s="106"/>
      <c r="T75" s="106"/>
      <c r="U75" s="106"/>
      <c r="V75" s="106"/>
      <c r="W75" s="106"/>
      <c r="X75" s="106"/>
    </row>
    <row r="76" spans="1:24" x14ac:dyDescent="0.2">
      <c r="A76" s="106" t="s">
        <v>868</v>
      </c>
      <c r="B76" s="106" t="s">
        <v>727</v>
      </c>
      <c r="C76" s="106" t="s">
        <v>1225</v>
      </c>
      <c r="D76" s="106">
        <v>0</v>
      </c>
      <c r="E76" s="106">
        <v>0</v>
      </c>
      <c r="F76" s="106">
        <v>45</v>
      </c>
      <c r="G76" s="106" t="s">
        <v>1350</v>
      </c>
      <c r="H76" s="106">
        <v>1</v>
      </c>
      <c r="I76" s="106" t="s">
        <v>997</v>
      </c>
      <c r="J76" s="106" t="s">
        <v>1349</v>
      </c>
      <c r="K76" s="101" t="str">
        <f t="shared" si="1"/>
        <v>SpellData.create(SIDSTEALTH,"潜行",0,0,45,OrderId("cyclone"),1,ORDER_TYPE_IMMEDIATE).setCCC2(0,0,35).setCCC2(0,0,25);</v>
      </c>
      <c r="L76" s="106"/>
      <c r="M76" s="106"/>
      <c r="N76" s="106"/>
      <c r="O76" s="106"/>
      <c r="P76" s="106"/>
      <c r="Q76" s="106"/>
      <c r="R76" s="106"/>
      <c r="S76" s="106"/>
      <c r="T76" s="106"/>
      <c r="U76" s="106"/>
      <c r="V76" s="106"/>
      <c r="W76" s="106"/>
      <c r="X76" s="106"/>
    </row>
    <row r="77" spans="1:24" x14ac:dyDescent="0.2">
      <c r="A77" s="106" t="s">
        <v>1348</v>
      </c>
      <c r="B77" s="106" t="s">
        <v>1347</v>
      </c>
      <c r="C77" s="106" t="s">
        <v>1346</v>
      </c>
      <c r="D77" s="106">
        <v>0</v>
      </c>
      <c r="E77" s="106">
        <v>0</v>
      </c>
      <c r="F77" s="106">
        <v>1</v>
      </c>
      <c r="G77" s="106" t="s">
        <v>1345</v>
      </c>
      <c r="H77" s="106">
        <v>1</v>
      </c>
      <c r="I77" s="106" t="s">
        <v>1194</v>
      </c>
      <c r="J77" s="106"/>
      <c r="K77" s="101" t="str">
        <f t="shared" si="1"/>
        <v>SpellData.create(SIDGARROTE,"绞喉",0,0,1,OrderId("shadowstrike"),1,ORDER_TYPE_TARGET);</v>
      </c>
      <c r="L77" s="106"/>
      <c r="M77" s="106"/>
      <c r="N77" s="106"/>
      <c r="O77" s="106"/>
      <c r="P77" s="106"/>
      <c r="Q77" s="106"/>
      <c r="R77" s="106"/>
      <c r="S77" s="106"/>
      <c r="T77" s="106"/>
      <c r="U77" s="106"/>
      <c r="V77" s="106"/>
      <c r="W77" s="106"/>
      <c r="X77" s="106"/>
    </row>
    <row r="78" spans="1:24" x14ac:dyDescent="0.2">
      <c r="A78" s="106" t="s">
        <v>1344</v>
      </c>
      <c r="B78" s="106" t="s">
        <v>1223</v>
      </c>
      <c r="C78" s="106" t="s">
        <v>1222</v>
      </c>
      <c r="D78" s="106">
        <v>0</v>
      </c>
      <c r="E78" s="106">
        <v>0</v>
      </c>
      <c r="F78" s="106">
        <v>1</v>
      </c>
      <c r="G78" s="106" t="s">
        <v>1343</v>
      </c>
      <c r="H78" s="106">
        <v>1</v>
      </c>
      <c r="I78" s="106" t="s">
        <v>1194</v>
      </c>
      <c r="J78" s="106"/>
      <c r="K78" s="101" t="str">
        <f t="shared" si="1"/>
        <v>SpellData.create(SIDAMBUSH,"伏击",0,0,1,OrderId("thunderbolt"),1,ORDER_TYPE_TARGET);</v>
      </c>
      <c r="L78" s="106"/>
      <c r="M78" s="106"/>
      <c r="N78" s="106"/>
      <c r="O78" s="106"/>
      <c r="P78" s="106"/>
      <c r="Q78" s="106"/>
      <c r="R78" s="106"/>
      <c r="S78" s="106"/>
      <c r="T78" s="106"/>
      <c r="U78" s="106"/>
      <c r="V78" s="106"/>
      <c r="W78" s="106"/>
      <c r="X78" s="106"/>
    </row>
    <row r="79" spans="1:24" x14ac:dyDescent="0.2">
      <c r="A79" s="102" t="s">
        <v>869</v>
      </c>
      <c r="B79" s="102" t="s">
        <v>792</v>
      </c>
      <c r="C79" s="102" t="s">
        <v>1217</v>
      </c>
      <c r="D79" s="102">
        <v>0</v>
      </c>
      <c r="E79" s="102">
        <v>100</v>
      </c>
      <c r="F79" s="102">
        <v>2</v>
      </c>
      <c r="G79" s="102" t="s">
        <v>1201</v>
      </c>
      <c r="H79" s="102">
        <v>1</v>
      </c>
      <c r="I79" s="102" t="s">
        <v>1194</v>
      </c>
      <c r="J79" s="102" t="s">
        <v>1342</v>
      </c>
      <c r="K79" s="101" t="str">
        <f t="shared" si="1"/>
        <v>SpellData.create(SIDPAIN,"暗言字：痛",100,0,2,OrderId("slow"),1,ORDER_TYPE_TARGET).setCCC2(115,0,2).setCCC3(130,0,2);</v>
      </c>
      <c r="L79" s="102"/>
      <c r="M79" s="102"/>
      <c r="N79" s="102"/>
      <c r="O79" s="102"/>
      <c r="P79" s="102"/>
      <c r="Q79" s="102"/>
      <c r="R79" s="102"/>
      <c r="S79" s="102"/>
      <c r="T79" s="102"/>
      <c r="U79" s="102"/>
      <c r="V79" s="102"/>
      <c r="W79" s="102"/>
      <c r="X79" s="102"/>
    </row>
    <row r="80" spans="1:24" x14ac:dyDescent="0.2">
      <c r="A80" s="102" t="s">
        <v>870</v>
      </c>
      <c r="B80" s="102" t="s">
        <v>797</v>
      </c>
      <c r="C80" s="102" t="s">
        <v>1341</v>
      </c>
      <c r="D80" s="102">
        <v>2.2999999999999998</v>
      </c>
      <c r="E80" s="102">
        <v>70</v>
      </c>
      <c r="F80" s="102">
        <v>0</v>
      </c>
      <c r="G80" s="102" t="s">
        <v>1340</v>
      </c>
      <c r="H80" s="102">
        <v>1</v>
      </c>
      <c r="I80" s="102" t="s">
        <v>1194</v>
      </c>
      <c r="J80" s="102" t="s">
        <v>1339</v>
      </c>
      <c r="K80" s="101" t="str">
        <f t="shared" si="1"/>
        <v>SpellData.create(SIDMARROWSQUEEZE,"精髓榨取",70,2.3,0,OrderId("dispel"),1,ORDER_TYPE_TARGET).setCCC2(130,2.0,0).setCCC3(190,1.7,0);</v>
      </c>
      <c r="L80" s="102"/>
      <c r="M80" s="102"/>
      <c r="N80" s="102"/>
      <c r="O80" s="102"/>
      <c r="P80" s="102"/>
      <c r="Q80" s="102"/>
      <c r="R80" s="102"/>
      <c r="S80" s="102"/>
      <c r="T80" s="102"/>
      <c r="U80" s="102"/>
      <c r="V80" s="102"/>
      <c r="W80" s="102"/>
      <c r="X80" s="102"/>
    </row>
    <row r="81" spans="1:24" x14ac:dyDescent="0.2">
      <c r="A81" s="102" t="s">
        <v>871</v>
      </c>
      <c r="B81" s="102" t="s">
        <v>798</v>
      </c>
      <c r="C81" s="102" t="s">
        <v>1338</v>
      </c>
      <c r="D81" s="102">
        <v>3</v>
      </c>
      <c r="E81" s="102">
        <v>50</v>
      </c>
      <c r="F81" s="102">
        <v>0</v>
      </c>
      <c r="G81" s="102" t="s">
        <v>1198</v>
      </c>
      <c r="H81" s="102">
        <v>1</v>
      </c>
      <c r="I81" s="102" t="s">
        <v>1194</v>
      </c>
      <c r="J81" s="102"/>
      <c r="K81" s="101" t="str">
        <f t="shared" si="1"/>
        <v>SpellData.create(SIDMINDFLAY,"精神鞭笞",50,3,0,OrderId("heal"),1,ORDER_TYPE_TARGET);</v>
      </c>
      <c r="L81" s="102"/>
      <c r="M81" s="102"/>
      <c r="N81" s="102"/>
      <c r="O81" s="102"/>
      <c r="P81" s="102"/>
      <c r="Q81" s="102"/>
      <c r="R81" s="102"/>
      <c r="S81" s="102"/>
      <c r="T81" s="102"/>
      <c r="U81" s="102"/>
      <c r="V81" s="102"/>
      <c r="W81" s="102"/>
      <c r="X81" s="102"/>
    </row>
    <row r="82" spans="1:24" x14ac:dyDescent="0.2">
      <c r="A82" s="102" t="s">
        <v>872</v>
      </c>
      <c r="B82" s="102" t="s">
        <v>800</v>
      </c>
      <c r="C82" s="102" t="s">
        <v>1337</v>
      </c>
      <c r="D82" s="102">
        <v>0</v>
      </c>
      <c r="E82" s="102">
        <v>0</v>
      </c>
      <c r="F82" s="102">
        <v>7</v>
      </c>
      <c r="G82" s="102" t="s">
        <v>1336</v>
      </c>
      <c r="H82" s="102">
        <v>1</v>
      </c>
      <c r="I82" s="102" t="s">
        <v>1194</v>
      </c>
      <c r="J82" s="102"/>
      <c r="K82" s="101" t="str">
        <f t="shared" si="1"/>
        <v>SpellData.create(SIDDEATH,"暗言字：死",0,0,7,OrderId("innerfire"),1,ORDER_TYPE_TARGET);</v>
      </c>
      <c r="L82" s="102"/>
      <c r="M82" s="102"/>
      <c r="N82" s="102"/>
      <c r="O82" s="102"/>
      <c r="P82" s="102"/>
      <c r="Q82" s="102"/>
      <c r="R82" s="102"/>
      <c r="S82" s="102"/>
      <c r="T82" s="102"/>
      <c r="U82" s="102"/>
      <c r="V82" s="102"/>
      <c r="W82" s="102"/>
      <c r="X82" s="102"/>
    </row>
    <row r="83" spans="1:24" x14ac:dyDescent="0.2">
      <c r="A83" s="102" t="s">
        <v>873</v>
      </c>
      <c r="B83" s="102" t="s">
        <v>805</v>
      </c>
      <c r="C83" s="102" t="s">
        <v>1215</v>
      </c>
      <c r="D83" s="102">
        <v>0</v>
      </c>
      <c r="E83" s="102">
        <v>75</v>
      </c>
      <c r="F83" s="102">
        <v>12</v>
      </c>
      <c r="G83" s="102" t="s">
        <v>1207</v>
      </c>
      <c r="H83" s="102">
        <v>1</v>
      </c>
      <c r="I83" s="102" t="s">
        <v>997</v>
      </c>
      <c r="J83" s="102"/>
      <c r="K83" s="101" t="str">
        <f t="shared" si="1"/>
        <v>SpellData.create(SIDTERROR,"暗言字：惧",75,0,12,OrderId("unholyfrenzy"),1,ORDER_TYPE_IMMEDIATE);</v>
      </c>
      <c r="L83" s="102"/>
      <c r="M83" s="102"/>
      <c r="N83" s="102"/>
      <c r="O83" s="102"/>
      <c r="P83" s="102"/>
      <c r="Q83" s="102"/>
      <c r="R83" s="102"/>
      <c r="S83" s="102"/>
      <c r="T83" s="102"/>
      <c r="U83" s="102"/>
      <c r="V83" s="102"/>
      <c r="W83" s="102"/>
      <c r="X83" s="102"/>
    </row>
    <row r="84" spans="1:24" x14ac:dyDescent="0.2">
      <c r="A84" s="106" t="s">
        <v>1335</v>
      </c>
      <c r="B84" s="106" t="s">
        <v>278</v>
      </c>
      <c r="C84" s="106" t="s">
        <v>279</v>
      </c>
      <c r="D84" s="106">
        <v>0</v>
      </c>
      <c r="E84" s="106">
        <v>0</v>
      </c>
      <c r="F84" s="106">
        <v>200</v>
      </c>
      <c r="G84" s="106" t="s">
        <v>998</v>
      </c>
      <c r="H84" s="106">
        <v>1</v>
      </c>
      <c r="I84" s="106" t="s">
        <v>997</v>
      </c>
      <c r="J84" s="106"/>
      <c r="K84" s="101" t="str">
        <f t="shared" si="1"/>
        <v>SpellData.create(SIDFRENZYCREEP,"激怒",0,0,200,OrderId("channel"),1,ORDER_TYPE_IMMEDIATE);</v>
      </c>
      <c r="L84" s="106"/>
      <c r="M84" s="106"/>
      <c r="N84" s="106"/>
      <c r="O84" s="106"/>
      <c r="P84" s="106"/>
      <c r="Q84" s="106"/>
      <c r="R84" s="106"/>
      <c r="S84" s="106"/>
      <c r="T84" s="106"/>
      <c r="U84" s="106"/>
      <c r="V84" s="106"/>
      <c r="W84" s="106"/>
      <c r="X84" s="106"/>
    </row>
    <row r="85" spans="1:24" x14ac:dyDescent="0.2">
      <c r="A85" s="106" t="s">
        <v>1334</v>
      </c>
      <c r="B85" s="106" t="s">
        <v>283</v>
      </c>
      <c r="C85" s="106" t="s">
        <v>284</v>
      </c>
      <c r="D85" s="106">
        <v>0</v>
      </c>
      <c r="E85" s="106">
        <v>0</v>
      </c>
      <c r="F85" s="106">
        <v>200</v>
      </c>
      <c r="G85" s="106" t="s">
        <v>1273</v>
      </c>
      <c r="H85" s="106">
        <v>1</v>
      </c>
      <c r="I85" s="106" t="s">
        <v>997</v>
      </c>
      <c r="J85" s="106"/>
      <c r="K85" s="101" t="str">
        <f t="shared" si="1"/>
        <v>SpellData.create(SIDRAGECREEP,"狂暴",0,0,200,OrderId("charm"),1,ORDER_TYPE_IMMEDIATE);</v>
      </c>
      <c r="L85" s="106"/>
      <c r="M85" s="106"/>
      <c r="N85" s="106"/>
      <c r="O85" s="106"/>
      <c r="P85" s="106"/>
      <c r="Q85" s="106"/>
      <c r="R85" s="106"/>
      <c r="S85" s="106"/>
      <c r="T85" s="106"/>
      <c r="U85" s="106"/>
      <c r="V85" s="106"/>
      <c r="W85" s="106"/>
      <c r="X85" s="106"/>
    </row>
    <row r="86" spans="1:24" x14ac:dyDescent="0.2">
      <c r="A86" s="102" t="s">
        <v>1333</v>
      </c>
      <c r="B86" s="102" t="s">
        <v>114</v>
      </c>
      <c r="C86" s="102" t="s">
        <v>1332</v>
      </c>
      <c r="D86" s="102">
        <v>0</v>
      </c>
      <c r="E86" s="102">
        <v>0</v>
      </c>
      <c r="F86" s="102">
        <v>1</v>
      </c>
      <c r="G86" s="102" t="s">
        <v>1196</v>
      </c>
      <c r="H86" s="102">
        <v>1</v>
      </c>
      <c r="I86" s="102" t="s">
        <v>1194</v>
      </c>
      <c r="J86" s="102"/>
      <c r="K86" s="101" t="str">
        <f t="shared" si="1"/>
        <v>SpellData.create(SID_GRIP_OF_STATIC_ELECTRICITY,"静电之握",0,0,1,OrderId("healingwave"),1,ORDER_TYPE_TARGET);</v>
      </c>
      <c r="L86" s="102"/>
      <c r="M86" s="102"/>
      <c r="N86" s="102"/>
      <c r="O86" s="102"/>
      <c r="P86" s="102"/>
      <c r="Q86" s="102"/>
      <c r="R86" s="102"/>
      <c r="S86" s="102"/>
      <c r="T86" s="102"/>
      <c r="U86" s="102"/>
      <c r="V86" s="102"/>
      <c r="W86" s="102"/>
      <c r="X86" s="102"/>
    </row>
    <row r="87" spans="1:24" x14ac:dyDescent="0.2">
      <c r="A87" s="102" t="s">
        <v>1331</v>
      </c>
      <c r="B87" s="102" t="s">
        <v>121</v>
      </c>
      <c r="C87" s="102" t="s">
        <v>1330</v>
      </c>
      <c r="D87" s="102">
        <v>0</v>
      </c>
      <c r="E87" s="102">
        <v>0</v>
      </c>
      <c r="F87" s="102">
        <v>10</v>
      </c>
      <c r="G87" s="102" t="s">
        <v>1273</v>
      </c>
      <c r="H87" s="102">
        <v>1</v>
      </c>
      <c r="I87" s="102" t="s">
        <v>1194</v>
      </c>
      <c r="J87" s="102"/>
      <c r="K87" s="101" t="str">
        <f t="shared" si="1"/>
        <v>SpellData.create(SID_PULSE_BOMB,"脉冲爆弹",0,0,10,OrderId("charm"),1,ORDER_TYPE_TARGET);</v>
      </c>
      <c r="L87" s="102"/>
      <c r="M87" s="102"/>
      <c r="N87" s="102"/>
      <c r="O87" s="102"/>
      <c r="P87" s="102"/>
      <c r="Q87" s="102"/>
      <c r="R87" s="102"/>
      <c r="S87" s="102"/>
      <c r="T87" s="102"/>
      <c r="U87" s="102"/>
      <c r="V87" s="102"/>
      <c r="W87" s="102"/>
      <c r="X87" s="102"/>
    </row>
    <row r="88" spans="1:24" x14ac:dyDescent="0.2">
      <c r="A88" s="102" t="s">
        <v>1329</v>
      </c>
      <c r="B88" s="102" t="s">
        <v>127</v>
      </c>
      <c r="C88" s="102" t="s">
        <v>1328</v>
      </c>
      <c r="D88" s="102">
        <v>10</v>
      </c>
      <c r="E88" s="102">
        <v>0</v>
      </c>
      <c r="F88" s="102">
        <v>25</v>
      </c>
      <c r="G88" s="102" t="s">
        <v>1198</v>
      </c>
      <c r="H88" s="102">
        <v>2</v>
      </c>
      <c r="I88" s="102" t="s">
        <v>1194</v>
      </c>
      <c r="J88" s="102"/>
      <c r="K88" s="101" t="str">
        <f t="shared" si="1"/>
        <v>SpellData.create(SID_LASER_BEAM,"激光射线",0,10,25,OrderId("heal"),2,ORDER_TYPE_TARGET);</v>
      </c>
      <c r="L88" s="102"/>
      <c r="M88" s="102"/>
      <c r="N88" s="102"/>
      <c r="O88" s="102"/>
      <c r="P88" s="102"/>
      <c r="Q88" s="102"/>
      <c r="R88" s="102"/>
      <c r="S88" s="102"/>
      <c r="T88" s="102"/>
      <c r="U88" s="102"/>
      <c r="V88" s="102"/>
      <c r="W88" s="102"/>
      <c r="X88" s="102"/>
    </row>
    <row r="89" spans="1:24" x14ac:dyDescent="0.2">
      <c r="A89" s="102" t="s">
        <v>1327</v>
      </c>
      <c r="B89" s="102" t="s">
        <v>133</v>
      </c>
      <c r="C89" s="102" t="s">
        <v>1326</v>
      </c>
      <c r="D89" s="102">
        <v>0</v>
      </c>
      <c r="E89" s="102">
        <v>0</v>
      </c>
      <c r="F89" s="102">
        <v>0</v>
      </c>
      <c r="G89" s="102" t="s">
        <v>1299</v>
      </c>
      <c r="H89" s="102">
        <v>1</v>
      </c>
      <c r="I89" s="102" t="s">
        <v>997</v>
      </c>
      <c r="J89" s="102"/>
      <c r="K89" s="101" t="str">
        <f t="shared" si="1"/>
        <v>SpellData.create(SID_TINKER_MORPH,"坦克形态",0,0,0,OID_BEARFORM,1,ORDER_TYPE_IMMEDIATE);</v>
      </c>
      <c r="L89" s="102"/>
      <c r="M89" s="102"/>
      <c r="N89" s="102"/>
      <c r="O89" s="102"/>
      <c r="P89" s="102"/>
      <c r="Q89" s="102"/>
      <c r="R89" s="102"/>
      <c r="S89" s="102"/>
      <c r="T89" s="102"/>
      <c r="U89" s="102"/>
      <c r="V89" s="102"/>
      <c r="W89" s="102"/>
      <c r="X89" s="102"/>
    </row>
    <row r="90" spans="1:24" x14ac:dyDescent="0.2">
      <c r="A90" s="102" t="s">
        <v>1325</v>
      </c>
      <c r="B90" s="102" t="s">
        <v>137</v>
      </c>
      <c r="C90" s="102" t="s">
        <v>1324</v>
      </c>
      <c r="D90" s="102">
        <v>0</v>
      </c>
      <c r="E90" s="102">
        <v>0</v>
      </c>
      <c r="F90" s="102">
        <v>1</v>
      </c>
      <c r="G90" s="102" t="s">
        <v>1323</v>
      </c>
      <c r="H90" s="102">
        <v>1</v>
      </c>
      <c r="I90" s="102" t="s">
        <v>997</v>
      </c>
      <c r="J90" s="102"/>
      <c r="K90" s="101" t="str">
        <f t="shared" si="1"/>
        <v>SpellData.create(SID_LIGHTNING_SHIELD,"闪电护盾",0,0,1,OrderId("lightningshield"),1,ORDER_TYPE_IMMEDIATE);</v>
      </c>
      <c r="L90" s="102"/>
      <c r="M90" s="102"/>
      <c r="N90" s="102"/>
      <c r="O90" s="102"/>
      <c r="P90" s="102"/>
      <c r="Q90" s="102"/>
      <c r="R90" s="102"/>
      <c r="S90" s="102"/>
      <c r="T90" s="102"/>
      <c r="U90" s="102"/>
      <c r="V90" s="102"/>
      <c r="W90" s="102"/>
      <c r="X90" s="102"/>
    </row>
    <row r="91" spans="1:24" x14ac:dyDescent="0.2">
      <c r="A91" s="102" t="s">
        <v>1322</v>
      </c>
      <c r="B91" s="102" t="s">
        <v>141</v>
      </c>
      <c r="C91" s="102" t="s">
        <v>1321</v>
      </c>
      <c r="D91" s="102">
        <v>0</v>
      </c>
      <c r="E91" s="102">
        <v>0</v>
      </c>
      <c r="F91" s="102">
        <v>10</v>
      </c>
      <c r="G91" s="102" t="s">
        <v>1317</v>
      </c>
      <c r="H91" s="102">
        <v>1</v>
      </c>
      <c r="I91" s="102" t="s">
        <v>997</v>
      </c>
      <c r="J91" s="102"/>
      <c r="K91" s="101" t="str">
        <f t="shared" si="1"/>
        <v>SpellData.create(SID_POCKET_FACTORY,"口袋工厂",0,0,10,OrderId("summonfactory"),1,ORDER_TYPE_IMMEDIATE);</v>
      </c>
      <c r="L91" s="102"/>
      <c r="M91" s="102"/>
      <c r="N91" s="102"/>
      <c r="O91" s="102"/>
      <c r="P91" s="102"/>
      <c r="Q91" s="102"/>
      <c r="R91" s="102"/>
      <c r="S91" s="102"/>
      <c r="T91" s="102"/>
      <c r="U91" s="102"/>
      <c r="V91" s="102"/>
      <c r="W91" s="102"/>
      <c r="X91" s="102"/>
    </row>
    <row r="92" spans="1:24" x14ac:dyDescent="0.2">
      <c r="A92" s="102" t="s">
        <v>1320</v>
      </c>
      <c r="B92" s="102" t="s">
        <v>1319</v>
      </c>
      <c r="C92" s="102" t="s">
        <v>1318</v>
      </c>
      <c r="D92" s="102">
        <v>4</v>
      </c>
      <c r="E92" s="102">
        <v>0</v>
      </c>
      <c r="F92" s="102">
        <v>1</v>
      </c>
      <c r="G92" s="102" t="s">
        <v>1317</v>
      </c>
      <c r="H92" s="102">
        <v>2</v>
      </c>
      <c r="I92" s="102" t="s">
        <v>997</v>
      </c>
      <c r="J92" s="102"/>
      <c r="K92" s="101" t="str">
        <f t="shared" si="1"/>
        <v>SpellData.create(SID_SUMMON_CLOCKWORK_GOBLIN,"生产人工地精",0,4,1,OrderId("summonfactory"),2,ORDER_TYPE_IMMEDIATE);</v>
      </c>
      <c r="L92" s="102"/>
      <c r="M92" s="102"/>
      <c r="N92" s="102"/>
      <c r="O92" s="102"/>
      <c r="P92" s="102"/>
      <c r="Q92" s="102"/>
      <c r="R92" s="102"/>
      <c r="S92" s="102"/>
      <c r="T92" s="102"/>
      <c r="U92" s="102"/>
      <c r="V92" s="102"/>
      <c r="W92" s="102"/>
      <c r="X92" s="102"/>
    </row>
    <row r="93" spans="1:24" x14ac:dyDescent="0.2">
      <c r="A93" s="102" t="s">
        <v>1316</v>
      </c>
      <c r="B93" s="102" t="s">
        <v>1315</v>
      </c>
      <c r="C93" s="102" t="s">
        <v>1314</v>
      </c>
      <c r="D93" s="102">
        <v>3</v>
      </c>
      <c r="E93" s="102">
        <v>0</v>
      </c>
      <c r="F93" s="102">
        <v>1</v>
      </c>
      <c r="G93" s="102" t="s">
        <v>1313</v>
      </c>
      <c r="H93" s="102">
        <v>2</v>
      </c>
      <c r="I93" s="102" t="s">
        <v>1194</v>
      </c>
      <c r="J93" s="102"/>
      <c r="K93" s="101" t="str">
        <f t="shared" si="1"/>
        <v>SpellData.create(SID_SELF_DESTRUCT,"自爆",0,3,1,OrderId("selfdestruct"),2,ORDER_TYPE_TARGET);</v>
      </c>
      <c r="L93" s="102"/>
      <c r="M93" s="102"/>
      <c r="N93" s="102"/>
      <c r="O93" s="102"/>
      <c r="P93" s="102"/>
      <c r="Q93" s="102"/>
      <c r="R93" s="102"/>
      <c r="S93" s="102"/>
      <c r="T93" s="102"/>
      <c r="U93" s="102"/>
      <c r="V93" s="102"/>
      <c r="W93" s="102"/>
      <c r="X93" s="102"/>
    </row>
    <row r="94" spans="1:24" x14ac:dyDescent="0.2">
      <c r="A94" s="102" t="s">
        <v>1312</v>
      </c>
      <c r="B94" s="102" t="s">
        <v>209</v>
      </c>
      <c r="C94" s="102" t="s">
        <v>1311</v>
      </c>
      <c r="D94" s="102">
        <v>1</v>
      </c>
      <c r="E94" s="102">
        <v>0</v>
      </c>
      <c r="F94" s="102">
        <v>1</v>
      </c>
      <c r="G94" s="102" t="s">
        <v>1310</v>
      </c>
      <c r="H94" s="102">
        <v>2</v>
      </c>
      <c r="I94" s="102" t="s">
        <v>997</v>
      </c>
      <c r="J94" s="102"/>
      <c r="K94" s="101" t="str">
        <f t="shared" si="1"/>
        <v>SpellData.create(SID_CLUSTER_ROCKETS,"火箭群",0,1,1,OrderId("clusterrockets"),2,ORDER_TYPE_IMMEDIATE);</v>
      </c>
      <c r="L94" s="102"/>
      <c r="M94" s="102"/>
      <c r="N94" s="102"/>
      <c r="O94" s="102"/>
      <c r="P94" s="102"/>
      <c r="Q94" s="102"/>
      <c r="R94" s="102"/>
      <c r="S94" s="102"/>
      <c r="T94" s="102"/>
      <c r="U94" s="102"/>
      <c r="V94" s="102"/>
      <c r="W94" s="102"/>
      <c r="X94" s="102"/>
    </row>
    <row r="95" spans="1:24" x14ac:dyDescent="0.2">
      <c r="A95" s="103" t="s">
        <v>1309</v>
      </c>
      <c r="B95" s="103" t="s">
        <v>252</v>
      </c>
      <c r="C95" s="103" t="s">
        <v>253</v>
      </c>
      <c r="D95" s="103">
        <v>0</v>
      </c>
      <c r="E95" s="103">
        <v>100</v>
      </c>
      <c r="F95" s="103">
        <v>7</v>
      </c>
      <c r="G95" s="103">
        <v>852063</v>
      </c>
      <c r="H95" s="103">
        <v>1</v>
      </c>
      <c r="I95" s="103" t="s">
        <v>1194</v>
      </c>
      <c r="J95" s="103"/>
      <c r="K95" s="101" t="str">
        <f t="shared" si="1"/>
        <v>SpellData.create(SID_FUCKED_LIGHTNING,"叉状闪电",100,0,7,852063,1,ORDER_TYPE_TARGET);</v>
      </c>
      <c r="L95" s="103"/>
      <c r="M95" s="103"/>
      <c r="N95" s="103"/>
      <c r="O95" s="103"/>
      <c r="P95" s="103"/>
      <c r="Q95" s="103"/>
      <c r="R95" s="103"/>
      <c r="S95" s="103"/>
      <c r="T95" s="103"/>
      <c r="U95" s="103"/>
      <c r="V95" s="103"/>
      <c r="W95" s="103"/>
      <c r="X95" s="103"/>
    </row>
    <row r="96" spans="1:24" x14ac:dyDescent="0.2">
      <c r="A96" s="103" t="s">
        <v>1308</v>
      </c>
      <c r="B96" s="103" t="s">
        <v>259</v>
      </c>
      <c r="C96" s="103" t="s">
        <v>260</v>
      </c>
      <c r="D96" s="103">
        <v>0</v>
      </c>
      <c r="E96" s="103">
        <v>100</v>
      </c>
      <c r="F96" s="103">
        <v>14</v>
      </c>
      <c r="G96" s="103">
        <v>852555</v>
      </c>
      <c r="H96" s="103">
        <v>1</v>
      </c>
      <c r="I96" s="103" t="s">
        <v>1194</v>
      </c>
      <c r="J96" s="103"/>
      <c r="K96" s="101" t="str">
        <f t="shared" si="1"/>
        <v>SpellData.create(SID_STRONG_BREEZE,"强风",100,0,14,852555,1,ORDER_TYPE_TARGET);</v>
      </c>
      <c r="L96" s="103"/>
      <c r="M96" s="103"/>
      <c r="N96" s="103"/>
      <c r="O96" s="103"/>
      <c r="P96" s="103"/>
      <c r="Q96" s="103"/>
      <c r="R96" s="103"/>
      <c r="S96" s="103"/>
      <c r="T96" s="103"/>
      <c r="U96" s="103"/>
      <c r="V96" s="103"/>
      <c r="W96" s="103"/>
      <c r="X96" s="103"/>
    </row>
    <row r="97" spans="1:24" x14ac:dyDescent="0.2">
      <c r="A97" s="103" t="s">
        <v>1307</v>
      </c>
      <c r="B97" s="103" t="s">
        <v>265</v>
      </c>
      <c r="C97" s="103" t="s">
        <v>266</v>
      </c>
      <c r="D97" s="103">
        <v>0</v>
      </c>
      <c r="E97" s="103">
        <v>100</v>
      </c>
      <c r="F97" s="103">
        <v>30</v>
      </c>
      <c r="G97" s="103">
        <v>852066</v>
      </c>
      <c r="H97" s="103">
        <v>1</v>
      </c>
      <c r="I97" s="103" t="s">
        <v>997</v>
      </c>
      <c r="J97" s="103"/>
      <c r="K97" s="101" t="str">
        <f t="shared" si="1"/>
        <v>SpellData.create(SID_SUMMON_SERPENTS,"召唤飞蛇",100,0,30,852066,1,ORDER_TYPE_IMMEDIATE);</v>
      </c>
      <c r="L97" s="103"/>
      <c r="M97" s="103"/>
      <c r="N97" s="103"/>
      <c r="O97" s="103"/>
      <c r="P97" s="103"/>
      <c r="Q97" s="103"/>
      <c r="R97" s="103"/>
      <c r="S97" s="103"/>
      <c r="T97" s="103"/>
      <c r="U97" s="103"/>
      <c r="V97" s="103"/>
      <c r="W97" s="103"/>
      <c r="X97" s="103"/>
    </row>
    <row r="98" spans="1:24" x14ac:dyDescent="0.2">
      <c r="A98" s="103" t="s">
        <v>1306</v>
      </c>
      <c r="B98" s="103" t="s">
        <v>269</v>
      </c>
      <c r="C98" s="103" t="s">
        <v>270</v>
      </c>
      <c r="D98" s="103">
        <v>10</v>
      </c>
      <c r="E98" s="103">
        <v>0</v>
      </c>
      <c r="F98" s="103">
        <v>40</v>
      </c>
      <c r="G98" s="103">
        <v>852069</v>
      </c>
      <c r="H98" s="103">
        <v>2</v>
      </c>
      <c r="I98" s="103" t="s">
        <v>1194</v>
      </c>
      <c r="J98" s="103"/>
      <c r="K98" s="101" t="str">
        <f t="shared" si="1"/>
        <v>SpellData.create(SID_THUNDER_STORM,"雷电风暴",0,10,40,852069,2,ORDER_TYPE_TARGET);</v>
      </c>
      <c r="L98" s="103"/>
      <c r="M98" s="103"/>
      <c r="N98" s="103"/>
      <c r="O98" s="103"/>
      <c r="P98" s="103"/>
      <c r="Q98" s="103"/>
      <c r="R98" s="103"/>
      <c r="S98" s="103"/>
      <c r="T98" s="103"/>
      <c r="U98" s="103"/>
      <c r="V98" s="103"/>
      <c r="W98" s="103"/>
      <c r="X98" s="103"/>
    </row>
    <row r="99" spans="1:24" x14ac:dyDescent="0.2">
      <c r="A99" s="105" t="s">
        <v>1305</v>
      </c>
      <c r="B99" s="105" t="s">
        <v>294</v>
      </c>
      <c r="C99" s="105" t="s">
        <v>1304</v>
      </c>
      <c r="D99" s="105">
        <v>3.5</v>
      </c>
      <c r="E99" s="105">
        <v>0</v>
      </c>
      <c r="F99" s="105">
        <v>5</v>
      </c>
      <c r="G99" s="105" t="s">
        <v>1198</v>
      </c>
      <c r="H99" s="105">
        <v>1</v>
      </c>
      <c r="I99" s="105" t="s">
        <v>1194</v>
      </c>
      <c r="J99" s="105"/>
      <c r="K99" s="101" t="str">
        <f t="shared" si="1"/>
        <v>SpellData.create(SIDALKALINEWATER,"盐碱之水",0,3.5,5,OrderId("heal"),1,ORDER_TYPE_TARGET);</v>
      </c>
      <c r="L99" s="105"/>
      <c r="M99" s="105"/>
      <c r="N99" s="105"/>
      <c r="O99" s="105"/>
      <c r="P99" s="105"/>
      <c r="Q99" s="105"/>
      <c r="R99" s="105"/>
      <c r="S99" s="105"/>
      <c r="T99" s="105"/>
      <c r="U99" s="105"/>
      <c r="V99" s="105"/>
      <c r="W99" s="105"/>
      <c r="X99" s="105"/>
    </row>
    <row r="100" spans="1:24" x14ac:dyDescent="0.2">
      <c r="A100" s="105" t="s">
        <v>1303</v>
      </c>
      <c r="B100" s="105" t="s">
        <v>299</v>
      </c>
      <c r="C100" s="105" t="s">
        <v>300</v>
      </c>
      <c r="D100" s="105">
        <v>0</v>
      </c>
      <c r="E100" s="105">
        <v>0</v>
      </c>
      <c r="F100" s="105">
        <v>12</v>
      </c>
      <c r="G100" s="105" t="s">
        <v>1201</v>
      </c>
      <c r="H100" s="105">
        <v>1</v>
      </c>
      <c r="I100" s="105" t="s">
        <v>1194</v>
      </c>
      <c r="J100" s="105"/>
      <c r="K100" s="101" t="str">
        <f t="shared" si="1"/>
        <v>SpellData.create(SIDTIDE,"潮汐",0,0,12,OrderId("slow"),1,ORDER_TYPE_TARGET);</v>
      </c>
      <c r="L100" s="105"/>
      <c r="M100" s="105"/>
      <c r="N100" s="105"/>
      <c r="O100" s="105"/>
      <c r="P100" s="105"/>
      <c r="Q100" s="105"/>
      <c r="R100" s="105"/>
      <c r="S100" s="105"/>
      <c r="T100" s="105"/>
      <c r="U100" s="105"/>
      <c r="V100" s="105"/>
      <c r="W100" s="105"/>
      <c r="X100" s="105"/>
    </row>
    <row r="101" spans="1:24" x14ac:dyDescent="0.2">
      <c r="A101" s="105" t="s">
        <v>1302</v>
      </c>
      <c r="B101" s="105" t="s">
        <v>1301</v>
      </c>
      <c r="C101" s="105" t="s">
        <v>1300</v>
      </c>
      <c r="D101" s="105">
        <v>0</v>
      </c>
      <c r="E101" s="105">
        <v>0</v>
      </c>
      <c r="F101" s="105">
        <v>35</v>
      </c>
      <c r="G101" s="105" t="s">
        <v>1299</v>
      </c>
      <c r="H101" s="105">
        <v>1</v>
      </c>
      <c r="I101" s="105" t="s">
        <v>997</v>
      </c>
      <c r="J101" s="105"/>
      <c r="K101" s="101" t="str">
        <f t="shared" si="1"/>
        <v>SpellData.create(SIDTIDEBARONMORPH,"潮汐形态",0,0,35,OID_BEARFORM,1,ORDER_TYPE_IMMEDIATE);</v>
      </c>
      <c r="L101" s="105"/>
      <c r="M101" s="105"/>
      <c r="N101" s="105"/>
      <c r="O101" s="105"/>
      <c r="P101" s="105"/>
      <c r="Q101" s="105"/>
      <c r="R101" s="105"/>
      <c r="S101" s="105"/>
      <c r="T101" s="105"/>
      <c r="U101" s="105"/>
      <c r="V101" s="105"/>
      <c r="W101" s="105"/>
      <c r="X101" s="105"/>
    </row>
    <row r="102" spans="1:24" x14ac:dyDescent="0.2">
      <c r="A102" s="105" t="s">
        <v>1298</v>
      </c>
      <c r="B102" s="105" t="s">
        <v>305</v>
      </c>
      <c r="C102" s="105" t="s">
        <v>1297</v>
      </c>
      <c r="D102" s="105">
        <v>0</v>
      </c>
      <c r="E102" s="105">
        <v>0</v>
      </c>
      <c r="F102" s="105">
        <v>12</v>
      </c>
      <c r="G102" s="105" t="s">
        <v>1201</v>
      </c>
      <c r="H102" s="105">
        <v>1</v>
      </c>
      <c r="I102" s="105" t="s">
        <v>1194</v>
      </c>
      <c r="J102" s="105"/>
      <c r="K102" s="101" t="str">
        <f t="shared" si="1"/>
        <v>SpellData.create(SIDTEARUP,"撕裂",0,0,12,OrderId("slow"),1,ORDER_TYPE_TARGET);</v>
      </c>
      <c r="L102" s="105"/>
      <c r="M102" s="105"/>
      <c r="N102" s="105"/>
      <c r="O102" s="105"/>
      <c r="P102" s="105"/>
      <c r="Q102" s="105"/>
      <c r="R102" s="105"/>
      <c r="S102" s="105"/>
      <c r="T102" s="105"/>
      <c r="U102" s="105"/>
      <c r="V102" s="105"/>
      <c r="W102" s="105"/>
      <c r="X102" s="105"/>
    </row>
    <row r="103" spans="1:24" x14ac:dyDescent="0.2">
      <c r="A103" s="105" t="s">
        <v>1296</v>
      </c>
      <c r="B103" s="105" t="s">
        <v>310</v>
      </c>
      <c r="C103" s="105" t="s">
        <v>311</v>
      </c>
      <c r="D103" s="105">
        <v>0</v>
      </c>
      <c r="E103" s="105">
        <v>0</v>
      </c>
      <c r="F103" s="105">
        <v>15</v>
      </c>
      <c r="G103" s="105" t="s">
        <v>998</v>
      </c>
      <c r="H103" s="105">
        <v>1</v>
      </c>
      <c r="I103" s="105" t="s">
        <v>1194</v>
      </c>
      <c r="J103" s="105"/>
      <c r="K103" s="101" t="str">
        <f t="shared" si="1"/>
        <v>SpellData.create(SIDLANCINATE,"刺裂",0,0,15,OrderId("channel"),1,ORDER_TYPE_TARGET);</v>
      </c>
      <c r="L103" s="105"/>
      <c r="M103" s="105"/>
      <c r="N103" s="105"/>
      <c r="O103" s="105"/>
      <c r="P103" s="105"/>
      <c r="Q103" s="105"/>
      <c r="R103" s="105"/>
      <c r="S103" s="105"/>
      <c r="T103" s="105"/>
      <c r="U103" s="105"/>
      <c r="V103" s="105"/>
      <c r="W103" s="105"/>
      <c r="X103" s="105"/>
    </row>
    <row r="104" spans="1:24" x14ac:dyDescent="0.2">
      <c r="A104" s="105" t="s">
        <v>1295</v>
      </c>
      <c r="B104" s="105" t="s">
        <v>315</v>
      </c>
      <c r="C104" s="105" t="s">
        <v>317</v>
      </c>
      <c r="D104" s="105">
        <v>0</v>
      </c>
      <c r="E104" s="105">
        <v>0</v>
      </c>
      <c r="F104" s="105">
        <v>25</v>
      </c>
      <c r="G104" s="105" t="s">
        <v>1280</v>
      </c>
      <c r="H104" s="105">
        <v>1</v>
      </c>
      <c r="I104" s="105" t="s">
        <v>997</v>
      </c>
      <c r="J104" s="105"/>
      <c r="K104" s="101" t="str">
        <f t="shared" si="1"/>
        <v>SpellData.create(SIDRASPYROAR,"刺耳咆哮",0,0,25,OrderId("impale"),1,ORDER_TYPE_IMMEDIATE);</v>
      </c>
      <c r="L104" s="105"/>
      <c r="M104" s="105"/>
      <c r="N104" s="105"/>
      <c r="O104" s="105"/>
      <c r="P104" s="105"/>
      <c r="Q104" s="105"/>
      <c r="R104" s="105"/>
      <c r="S104" s="105"/>
      <c r="T104" s="105"/>
      <c r="U104" s="105"/>
      <c r="V104" s="105"/>
      <c r="W104" s="105"/>
      <c r="X104" s="105"/>
    </row>
    <row r="105" spans="1:24" x14ac:dyDescent="0.2">
      <c r="A105" s="105" t="s">
        <v>1294</v>
      </c>
      <c r="B105" s="105" t="s">
        <v>315</v>
      </c>
      <c r="C105" s="105" t="s">
        <v>317</v>
      </c>
      <c r="D105" s="105">
        <v>0</v>
      </c>
      <c r="E105" s="105">
        <v>0</v>
      </c>
      <c r="F105" s="105">
        <v>1</v>
      </c>
      <c r="G105" s="105" t="s">
        <v>1293</v>
      </c>
      <c r="H105" s="105">
        <v>1</v>
      </c>
      <c r="I105" s="105" t="s">
        <v>1292</v>
      </c>
      <c r="J105" s="105"/>
      <c r="K105" s="101" t="str">
        <f t="shared" si="1"/>
        <v>SpellData.create(SIDRASPYROARDUMMY,"刺耳咆哮",0,0,1,OrderId("silence"),1,ORDER_TYPE_POINT);</v>
      </c>
      <c r="L105" s="105"/>
      <c r="M105" s="105"/>
      <c r="N105" s="105"/>
      <c r="O105" s="105"/>
      <c r="P105" s="105"/>
      <c r="Q105" s="105"/>
      <c r="R105" s="105"/>
      <c r="S105" s="105"/>
      <c r="T105" s="105"/>
      <c r="U105" s="105"/>
      <c r="V105" s="105"/>
      <c r="W105" s="105"/>
      <c r="X105" s="105"/>
    </row>
    <row r="106" spans="1:24" x14ac:dyDescent="0.2">
      <c r="A106" s="104" t="s">
        <v>1291</v>
      </c>
      <c r="B106" s="104" t="s">
        <v>324</v>
      </c>
      <c r="C106" s="104" t="s">
        <v>1290</v>
      </c>
      <c r="D106" s="104">
        <v>0</v>
      </c>
      <c r="E106" s="104">
        <v>100</v>
      </c>
      <c r="F106" s="104">
        <v>5</v>
      </c>
      <c r="G106" s="104" t="s">
        <v>1205</v>
      </c>
      <c r="H106" s="104">
        <v>1</v>
      </c>
      <c r="I106" s="104" t="s">
        <v>1194</v>
      </c>
      <c r="J106" s="104"/>
      <c r="K106" s="101" t="str">
        <f t="shared" si="1"/>
        <v>SpellData.create(SIDFLAMETHROW,"火焰喷射",100,0,5,OrderId("sleep"),1,ORDER_TYPE_TARGET);</v>
      </c>
      <c r="L106" s="104"/>
      <c r="M106" s="104"/>
      <c r="N106" s="104"/>
      <c r="O106" s="104"/>
      <c r="P106" s="104"/>
      <c r="Q106" s="104"/>
      <c r="R106" s="104"/>
      <c r="S106" s="104"/>
      <c r="T106" s="104"/>
      <c r="U106" s="104"/>
      <c r="V106" s="104"/>
      <c r="W106" s="104"/>
      <c r="X106" s="104"/>
    </row>
    <row r="107" spans="1:24" x14ac:dyDescent="0.2">
      <c r="A107" s="104" t="s">
        <v>1289</v>
      </c>
      <c r="B107" s="104" t="s">
        <v>328</v>
      </c>
      <c r="C107" s="104" t="s">
        <v>1288</v>
      </c>
      <c r="D107" s="104">
        <v>10</v>
      </c>
      <c r="E107" s="104">
        <v>100</v>
      </c>
      <c r="F107" s="104">
        <v>40</v>
      </c>
      <c r="G107" s="104" t="s">
        <v>1201</v>
      </c>
      <c r="H107" s="104">
        <v>2</v>
      </c>
      <c r="I107" s="104" t="s">
        <v>997</v>
      </c>
      <c r="J107" s="104"/>
      <c r="K107" s="101" t="str">
        <f t="shared" si="1"/>
        <v>SpellData.create(SIDFLAMEBOMB,"火焰炸弹",100,10,40,OrderId("slow"),2,ORDER_TYPE_IMMEDIATE);</v>
      </c>
      <c r="L107" s="104"/>
      <c r="M107" s="104"/>
      <c r="N107" s="104"/>
      <c r="O107" s="104"/>
      <c r="P107" s="104"/>
      <c r="Q107" s="104"/>
      <c r="R107" s="104"/>
      <c r="S107" s="104"/>
      <c r="T107" s="104"/>
      <c r="U107" s="104"/>
      <c r="V107" s="104"/>
      <c r="W107" s="104"/>
      <c r="X107" s="104"/>
    </row>
    <row r="108" spans="1:24" x14ac:dyDescent="0.2">
      <c r="A108" s="104" t="s">
        <v>1287</v>
      </c>
      <c r="B108" s="104" t="s">
        <v>334</v>
      </c>
      <c r="C108" s="104" t="s">
        <v>1286</v>
      </c>
      <c r="D108" s="104">
        <v>10</v>
      </c>
      <c r="E108" s="104">
        <v>100</v>
      </c>
      <c r="F108" s="104">
        <v>30</v>
      </c>
      <c r="G108" s="104" t="s">
        <v>1285</v>
      </c>
      <c r="H108" s="104">
        <v>1</v>
      </c>
      <c r="I108" s="104" t="s">
        <v>997</v>
      </c>
      <c r="J108" s="104"/>
      <c r="K108" s="101" t="str">
        <f t="shared" si="1"/>
        <v>SpellData.create(SIDSUMMONLAVASPAWN,"召唤炎魔",100,10,30,OrderId("soulburn"),1,ORDER_TYPE_IMMEDIATE);</v>
      </c>
      <c r="L108" s="104"/>
      <c r="M108" s="104"/>
      <c r="N108" s="104"/>
      <c r="O108" s="104"/>
      <c r="P108" s="104"/>
      <c r="Q108" s="104"/>
      <c r="R108" s="104"/>
      <c r="S108" s="104"/>
      <c r="T108" s="104"/>
      <c r="U108" s="104"/>
      <c r="V108" s="104"/>
      <c r="W108" s="104"/>
      <c r="X108" s="104"/>
    </row>
    <row r="109" spans="1:24" x14ac:dyDescent="0.2">
      <c r="A109" s="104" t="s">
        <v>1284</v>
      </c>
      <c r="B109" s="104" t="s">
        <v>278</v>
      </c>
      <c r="C109" s="104" t="s">
        <v>279</v>
      </c>
      <c r="D109" s="104">
        <v>0</v>
      </c>
      <c r="E109" s="104">
        <v>0</v>
      </c>
      <c r="F109" s="104">
        <v>200</v>
      </c>
      <c r="G109" s="104" t="s">
        <v>1221</v>
      </c>
      <c r="H109" s="104">
        <v>1</v>
      </c>
      <c r="I109" s="104" t="s">
        <v>997</v>
      </c>
      <c r="J109" s="104"/>
      <c r="K109" s="101" t="str">
        <f t="shared" si="1"/>
        <v>SpellData.create(SIDFRENZYWARLOCK,"激怒",0,0,200,OrderId("stomp"),1,ORDER_TYPE_IMMEDIATE);</v>
      </c>
      <c r="L109" s="104"/>
      <c r="M109" s="104"/>
      <c r="N109" s="104"/>
      <c r="O109" s="104"/>
      <c r="P109" s="104"/>
      <c r="Q109" s="104"/>
      <c r="R109" s="104"/>
      <c r="S109" s="104"/>
      <c r="T109" s="104"/>
      <c r="U109" s="104"/>
      <c r="V109" s="104"/>
      <c r="W109" s="104"/>
      <c r="X109" s="104"/>
    </row>
    <row r="110" spans="1:24" x14ac:dyDescent="0.2">
      <c r="A110" s="103" t="s">
        <v>1283</v>
      </c>
      <c r="B110" s="103" t="s">
        <v>1282</v>
      </c>
      <c r="C110" s="103" t="s">
        <v>1281</v>
      </c>
      <c r="D110" s="103">
        <v>0</v>
      </c>
      <c r="E110" s="103">
        <v>0</v>
      </c>
      <c r="F110" s="103">
        <v>15</v>
      </c>
      <c r="G110" s="103" t="s">
        <v>1280</v>
      </c>
      <c r="H110" s="103">
        <v>1</v>
      </c>
      <c r="I110" s="103" t="s">
        <v>1194</v>
      </c>
      <c r="J110" s="103"/>
      <c r="K110" s="101" t="str">
        <f t="shared" si="1"/>
        <v>SpellData.create(SID_IMPALE,"穿刺",0,0,15,OrderId("impale"),1,ORDER_TYPE_TARGET);</v>
      </c>
      <c r="L110" s="103"/>
      <c r="M110" s="103"/>
      <c r="N110" s="103"/>
      <c r="O110" s="103"/>
      <c r="P110" s="103"/>
      <c r="Q110" s="103"/>
      <c r="R110" s="103"/>
      <c r="S110" s="103"/>
      <c r="T110" s="103"/>
      <c r="U110" s="103"/>
      <c r="V110" s="103"/>
      <c r="W110" s="103"/>
      <c r="X110" s="103"/>
    </row>
    <row r="111" spans="1:24" x14ac:dyDescent="0.2">
      <c r="A111" s="103" t="s">
        <v>1279</v>
      </c>
      <c r="B111" s="103" t="s">
        <v>1278</v>
      </c>
      <c r="C111" s="103" t="s">
        <v>1277</v>
      </c>
      <c r="D111" s="103">
        <v>0</v>
      </c>
      <c r="E111" s="103">
        <v>0</v>
      </c>
      <c r="F111" s="103">
        <v>25</v>
      </c>
      <c r="G111" s="103" t="s">
        <v>1201</v>
      </c>
      <c r="H111" s="103">
        <v>1</v>
      </c>
      <c r="I111" s="103" t="s">
        <v>997</v>
      </c>
      <c r="J111" s="103"/>
      <c r="K111" s="101" t="str">
        <f t="shared" si="1"/>
        <v>SpellData.create(SID_SUMMON_POISONOUS_CRAWLER,"召唤剧毒爬行者",0,0,25,OrderId("slow"),1,ORDER_TYPE_IMMEDIATE);</v>
      </c>
      <c r="L111" s="103"/>
      <c r="M111" s="103"/>
      <c r="N111" s="103"/>
      <c r="O111" s="103"/>
      <c r="P111" s="103"/>
      <c r="Q111" s="103"/>
      <c r="R111" s="103"/>
      <c r="S111" s="103"/>
      <c r="T111" s="103"/>
      <c r="U111" s="103"/>
      <c r="V111" s="103"/>
      <c r="W111" s="103"/>
      <c r="X111" s="103"/>
    </row>
    <row r="112" spans="1:24" x14ac:dyDescent="0.2">
      <c r="A112" s="103" t="s">
        <v>1276</v>
      </c>
      <c r="B112" s="103" t="s">
        <v>1275</v>
      </c>
      <c r="C112" s="103" t="s">
        <v>1274</v>
      </c>
      <c r="D112" s="103">
        <v>0</v>
      </c>
      <c r="E112" s="103">
        <v>0</v>
      </c>
      <c r="F112" s="103">
        <v>15</v>
      </c>
      <c r="G112" s="103" t="s">
        <v>1273</v>
      </c>
      <c r="H112" s="103">
        <v>1</v>
      </c>
      <c r="I112" s="103" t="s">
        <v>997</v>
      </c>
      <c r="J112" s="103"/>
      <c r="K112" s="101" t="str">
        <f t="shared" si="1"/>
        <v>SpellData.create(SID_SUMMON_ABOMINATION,"召唤憎恶",0,0,15,OrderId("charm"),1,ORDER_TYPE_IMMEDIATE);</v>
      </c>
      <c r="L112" s="103"/>
      <c r="M112" s="103"/>
      <c r="N112" s="103"/>
      <c r="O112" s="103"/>
      <c r="P112" s="103"/>
      <c r="Q112" s="103"/>
      <c r="R112" s="103"/>
      <c r="S112" s="103"/>
      <c r="T112" s="103"/>
      <c r="U112" s="103"/>
      <c r="V112" s="103"/>
      <c r="W112" s="103"/>
      <c r="X112" s="103"/>
    </row>
    <row r="113" spans="1:24" x14ac:dyDescent="0.2">
      <c r="A113" s="103" t="s">
        <v>1272</v>
      </c>
      <c r="B113" s="103" t="s">
        <v>1271</v>
      </c>
      <c r="C113" s="103" t="s">
        <v>1270</v>
      </c>
      <c r="D113" s="103">
        <v>0</v>
      </c>
      <c r="E113" s="103">
        <v>0</v>
      </c>
      <c r="F113" s="103">
        <v>15</v>
      </c>
      <c r="G113" s="103" t="s">
        <v>1269</v>
      </c>
      <c r="H113" s="103">
        <v>1</v>
      </c>
      <c r="I113" s="103" t="s">
        <v>997</v>
      </c>
      <c r="J113" s="103"/>
      <c r="K113" s="101" t="str">
        <f t="shared" si="1"/>
        <v>SpellData.create(SID_SUMMON_WRAITH,"召唤怨灵",0,0,15,OrderId("invisibility"),1,ORDER_TYPE_IMMEDIATE);</v>
      </c>
      <c r="L113" s="103"/>
      <c r="M113" s="103"/>
      <c r="N113" s="103"/>
      <c r="O113" s="103"/>
      <c r="P113" s="103"/>
      <c r="Q113" s="103"/>
      <c r="R113" s="103"/>
      <c r="S113" s="103"/>
      <c r="T113" s="103"/>
      <c r="U113" s="103"/>
      <c r="V113" s="103"/>
      <c r="W113" s="103"/>
      <c r="X113" s="103"/>
    </row>
    <row r="114" spans="1:24" x14ac:dyDescent="0.2">
      <c r="A114" s="103" t="s">
        <v>1268</v>
      </c>
      <c r="B114" s="103" t="s">
        <v>1267</v>
      </c>
      <c r="C114" s="103" t="s">
        <v>1266</v>
      </c>
      <c r="D114" s="103">
        <v>5</v>
      </c>
      <c r="E114" s="103">
        <v>0</v>
      </c>
      <c r="F114" s="103">
        <v>25</v>
      </c>
      <c r="G114" s="103" t="s">
        <v>1205</v>
      </c>
      <c r="H114" s="103">
        <v>2</v>
      </c>
      <c r="I114" s="103" t="s">
        <v>997</v>
      </c>
      <c r="J114" s="103"/>
      <c r="K114" s="101" t="str">
        <f t="shared" si="1"/>
        <v>SpellData.create(SID_LIFE_SIPHON,"生命虹吸",0,5,25,OrderId("sleep"),2,ORDER_TYPE_IMMEDIATE);</v>
      </c>
      <c r="L114" s="103"/>
      <c r="M114" s="103"/>
      <c r="N114" s="103"/>
      <c r="O114" s="103"/>
      <c r="P114" s="103"/>
      <c r="Q114" s="103"/>
      <c r="R114" s="103"/>
      <c r="S114" s="103"/>
      <c r="T114" s="103"/>
      <c r="U114" s="103"/>
      <c r="V114" s="103"/>
      <c r="W114" s="103"/>
      <c r="X114" s="103"/>
    </row>
    <row r="115" spans="1:24" x14ac:dyDescent="0.2">
      <c r="A115" s="102" t="s">
        <v>1265</v>
      </c>
      <c r="B115" s="102" t="s">
        <v>621</v>
      </c>
      <c r="C115" s="102" t="s">
        <v>1264</v>
      </c>
      <c r="D115" s="102">
        <v>10</v>
      </c>
      <c r="E115" s="102">
        <v>50</v>
      </c>
      <c r="F115" s="102">
        <v>40</v>
      </c>
      <c r="G115" s="102" t="s">
        <v>1198</v>
      </c>
      <c r="H115" s="102">
        <v>2</v>
      </c>
      <c r="I115" s="102" t="s">
        <v>997</v>
      </c>
      <c r="J115" s="102"/>
      <c r="K115" s="101" t="str">
        <f t="shared" si="1"/>
        <v>SpellData.create(SIDSPIRITBOLT,"灵魂之箭",50,10,40,OrderId("heal"),2,ORDER_TYPE_IMMEDIATE);</v>
      </c>
      <c r="L115" s="102"/>
      <c r="M115" s="102"/>
      <c r="N115" s="102"/>
      <c r="O115" s="102"/>
      <c r="P115" s="102"/>
      <c r="Q115" s="102"/>
      <c r="R115" s="102"/>
      <c r="S115" s="102"/>
      <c r="T115" s="102"/>
      <c r="U115" s="102"/>
      <c r="V115" s="102"/>
      <c r="W115" s="102"/>
      <c r="X115" s="102"/>
    </row>
    <row r="116" spans="1:24" x14ac:dyDescent="0.2">
      <c r="A116" s="102" t="s">
        <v>1263</v>
      </c>
      <c r="B116" s="102" t="s">
        <v>626</v>
      </c>
      <c r="C116" s="102" t="s">
        <v>1262</v>
      </c>
      <c r="D116" s="102">
        <v>0</v>
      </c>
      <c r="E116" s="102">
        <v>0</v>
      </c>
      <c r="F116" s="102">
        <v>35</v>
      </c>
      <c r="G116" s="102" t="s">
        <v>1261</v>
      </c>
      <c r="H116" s="102">
        <v>1</v>
      </c>
      <c r="I116" s="102" t="s">
        <v>997</v>
      </c>
      <c r="J116" s="102"/>
      <c r="K116" s="101" t="str">
        <f t="shared" si="1"/>
        <v>SpellData.create(SIDSPIRITHARVEST,"灵魂收割",0,0,35,OrderId("hex"),1,ORDER_TYPE_IMMEDIATE);</v>
      </c>
      <c r="L116" s="102"/>
      <c r="M116" s="102"/>
      <c r="N116" s="102"/>
      <c r="O116" s="102"/>
      <c r="P116" s="102"/>
      <c r="Q116" s="102"/>
      <c r="R116" s="102"/>
      <c r="S116" s="102"/>
      <c r="T116" s="102"/>
      <c r="U116" s="102"/>
      <c r="V116" s="102"/>
      <c r="W116" s="102"/>
      <c r="X116" s="102"/>
    </row>
    <row r="117" spans="1:24" x14ac:dyDescent="0.2">
      <c r="A117" s="102" t="s">
        <v>1260</v>
      </c>
      <c r="B117" s="102" t="s">
        <v>21</v>
      </c>
      <c r="C117" s="102" t="s">
        <v>875</v>
      </c>
      <c r="D117" s="102">
        <v>0</v>
      </c>
      <c r="E117" s="102">
        <v>100</v>
      </c>
      <c r="F117" s="102">
        <v>10</v>
      </c>
      <c r="G117" s="102" t="s">
        <v>1201</v>
      </c>
      <c r="H117" s="102">
        <v>1</v>
      </c>
      <c r="I117" s="102" t="s">
        <v>997</v>
      </c>
      <c r="J117" s="102"/>
      <c r="K117" s="101" t="str">
        <f t="shared" si="1"/>
        <v>SpellData.create(SIDSUNFIRESTORMHEX,"阳炎风暴",100,0,10,OrderId("slow"),1,ORDER_TYPE_IMMEDIATE);</v>
      </c>
      <c r="L117" s="102"/>
      <c r="M117" s="102"/>
      <c r="N117" s="102"/>
      <c r="O117" s="102"/>
      <c r="P117" s="102"/>
      <c r="Q117" s="102"/>
      <c r="R117" s="102"/>
      <c r="S117" s="102"/>
      <c r="T117" s="102"/>
      <c r="U117" s="102"/>
      <c r="V117" s="102"/>
      <c r="W117" s="102"/>
      <c r="X117" s="102"/>
    </row>
    <row r="118" spans="1:24" x14ac:dyDescent="0.2">
      <c r="A118" s="102" t="s">
        <v>1259</v>
      </c>
      <c r="B118" s="102" t="s">
        <v>37</v>
      </c>
      <c r="C118" s="102" t="s">
        <v>878</v>
      </c>
      <c r="D118" s="102">
        <v>0</v>
      </c>
      <c r="E118" s="102">
        <v>0</v>
      </c>
      <c r="F118" s="102">
        <v>10</v>
      </c>
      <c r="G118" s="102" t="s">
        <v>1205</v>
      </c>
      <c r="H118" s="102">
        <v>1</v>
      </c>
      <c r="I118" s="102" t="s">
        <v>997</v>
      </c>
      <c r="J118" s="102"/>
      <c r="K118" s="101" t="str">
        <f t="shared" si="1"/>
        <v>SpellData.create(SIDSHIELDOFSINDOREIHEX,"辛多雷之盾",0,0,10,OrderId("sleep"),1,ORDER_TYPE_IMMEDIATE);</v>
      </c>
      <c r="L118" s="102"/>
      <c r="M118" s="102"/>
      <c r="N118" s="102"/>
      <c r="O118" s="102"/>
      <c r="P118" s="102"/>
      <c r="Q118" s="102"/>
      <c r="R118" s="102"/>
      <c r="S118" s="102"/>
      <c r="T118" s="102"/>
      <c r="U118" s="102"/>
      <c r="V118" s="102"/>
      <c r="W118" s="102"/>
      <c r="X118" s="102"/>
    </row>
    <row r="119" spans="1:24" x14ac:dyDescent="0.2">
      <c r="A119" s="102" t="s">
        <v>1258</v>
      </c>
      <c r="B119" s="102" t="s">
        <v>49</v>
      </c>
      <c r="C119" s="102" t="s">
        <v>1257</v>
      </c>
      <c r="D119" s="102">
        <v>0</v>
      </c>
      <c r="E119" s="102">
        <v>0</v>
      </c>
      <c r="F119" s="102">
        <v>10</v>
      </c>
      <c r="G119" s="102" t="s">
        <v>1205</v>
      </c>
      <c r="H119" s="102">
        <v>1</v>
      </c>
      <c r="I119" s="102" t="s">
        <v>997</v>
      </c>
      <c r="J119" s="102"/>
      <c r="K119" s="101" t="str">
        <f t="shared" si="1"/>
        <v>SpellData.create(SID_SAVAGE_ROAR_HEX,"野蛮咆哮",0,0,10,OrderId("sleep"),1,ORDER_TYPE_IMMEDIATE);</v>
      </c>
      <c r="L119" s="102"/>
      <c r="M119" s="102"/>
      <c r="N119" s="102"/>
      <c r="O119" s="102"/>
      <c r="P119" s="102"/>
      <c r="Q119" s="102"/>
      <c r="R119" s="102"/>
      <c r="S119" s="102"/>
      <c r="T119" s="102"/>
      <c r="U119" s="102"/>
      <c r="V119" s="102"/>
      <c r="W119" s="102"/>
      <c r="X119" s="102"/>
    </row>
    <row r="120" spans="1:24" x14ac:dyDescent="0.2">
      <c r="A120" s="102" t="s">
        <v>1256</v>
      </c>
      <c r="B120" s="102" t="s">
        <v>59</v>
      </c>
      <c r="C120" s="102" t="s">
        <v>1255</v>
      </c>
      <c r="D120" s="102">
        <v>0</v>
      </c>
      <c r="E120" s="102">
        <v>0</v>
      </c>
      <c r="F120" s="102">
        <v>12</v>
      </c>
      <c r="G120" s="102" t="s">
        <v>1201</v>
      </c>
      <c r="H120" s="102">
        <v>1</v>
      </c>
      <c r="I120" s="102" t="s">
        <v>997</v>
      </c>
      <c r="J120" s="102"/>
      <c r="K120" s="101" t="str">
        <f t="shared" si="1"/>
        <v>SpellData.create(SID_NATURAL_REFLEX_HEX,"自然反射",0,0,12,OrderId("slow"),1,ORDER_TYPE_IMMEDIATE);</v>
      </c>
      <c r="L120" s="102"/>
      <c r="M120" s="102"/>
      <c r="N120" s="102"/>
      <c r="O120" s="102"/>
      <c r="P120" s="102"/>
      <c r="Q120" s="102"/>
      <c r="R120" s="102"/>
      <c r="S120" s="102"/>
      <c r="T120" s="102"/>
      <c r="U120" s="102"/>
      <c r="V120" s="102"/>
      <c r="W120" s="102"/>
      <c r="X120" s="102"/>
    </row>
    <row r="121" spans="1:24" x14ac:dyDescent="0.2">
      <c r="A121" s="102" t="s">
        <v>1254</v>
      </c>
      <c r="B121" s="102" t="s">
        <v>99</v>
      </c>
      <c r="C121" s="102" t="s">
        <v>1253</v>
      </c>
      <c r="D121" s="102">
        <v>8</v>
      </c>
      <c r="E121" s="102">
        <v>100</v>
      </c>
      <c r="F121" s="102">
        <v>10</v>
      </c>
      <c r="G121" s="102" t="s">
        <v>1201</v>
      </c>
      <c r="H121" s="102">
        <v>1</v>
      </c>
      <c r="I121" s="102" t="s">
        <v>997</v>
      </c>
      <c r="J121" s="102"/>
      <c r="K121" s="101" t="str">
        <f t="shared" si="1"/>
        <v>SpellData.create(SIDTRANQUILITYHEX,"宁静",100,8,10,OrderId("slow"),1,ORDER_TYPE_IMMEDIATE);</v>
      </c>
      <c r="L121" s="102"/>
      <c r="M121" s="102"/>
      <c r="N121" s="102"/>
      <c r="O121" s="102"/>
      <c r="P121" s="102"/>
      <c r="Q121" s="102"/>
      <c r="R121" s="102"/>
      <c r="S121" s="102"/>
      <c r="T121" s="102"/>
      <c r="U121" s="102"/>
      <c r="V121" s="102"/>
      <c r="W121" s="102"/>
      <c r="X121" s="102"/>
    </row>
    <row r="122" spans="1:24" x14ac:dyDescent="0.2">
      <c r="A122" s="102" t="s">
        <v>1252</v>
      </c>
      <c r="B122" s="102" t="s">
        <v>79</v>
      </c>
      <c r="C122" s="102" t="s">
        <v>1251</v>
      </c>
      <c r="D122" s="102">
        <v>0</v>
      </c>
      <c r="E122" s="102">
        <v>25</v>
      </c>
      <c r="F122" s="102">
        <v>10</v>
      </c>
      <c r="G122" s="102" t="s">
        <v>1205</v>
      </c>
      <c r="H122" s="102">
        <v>1</v>
      </c>
      <c r="I122" s="102" t="s">
        <v>1194</v>
      </c>
      <c r="J122" s="102"/>
      <c r="K122" s="101" t="str">
        <f t="shared" si="1"/>
        <v>SpellData.create(SIDLIFEBLOOMHEX,"生命绽放",25,0,10,OrderId("sleep"),1,ORDER_TYPE_TARGET);</v>
      </c>
      <c r="L122" s="102"/>
      <c r="M122" s="102"/>
      <c r="N122" s="102"/>
      <c r="O122" s="102"/>
      <c r="P122" s="102"/>
      <c r="Q122" s="102"/>
      <c r="R122" s="102"/>
      <c r="S122" s="102"/>
      <c r="T122" s="102"/>
      <c r="U122" s="102"/>
      <c r="V122" s="102"/>
      <c r="W122" s="102"/>
      <c r="X122" s="102"/>
    </row>
    <row r="123" spans="1:24" x14ac:dyDescent="0.2">
      <c r="A123" s="102" t="s">
        <v>1250</v>
      </c>
      <c r="B123" s="102" t="s">
        <v>157</v>
      </c>
      <c r="C123" s="102" t="s">
        <v>1249</v>
      </c>
      <c r="D123" s="102">
        <v>4</v>
      </c>
      <c r="E123" s="102">
        <v>100</v>
      </c>
      <c r="F123" s="102">
        <v>10</v>
      </c>
      <c r="G123" s="102" t="s">
        <v>1201</v>
      </c>
      <c r="H123" s="102">
        <v>1</v>
      </c>
      <c r="I123" s="102" t="s">
        <v>1194</v>
      </c>
      <c r="J123" s="102"/>
      <c r="K123" s="101" t="str">
        <f t="shared" si="1"/>
        <v>SpellData.create(SIDHOLYBOLTHEX,"圣光术",100,4,10,OrderId("slow"),1,ORDER_TYPE_TARGET);</v>
      </c>
      <c r="L123" s="102"/>
      <c r="M123" s="102"/>
      <c r="N123" s="102"/>
      <c r="O123" s="102"/>
      <c r="P123" s="102"/>
      <c r="Q123" s="102"/>
      <c r="R123" s="102"/>
      <c r="S123" s="102"/>
      <c r="T123" s="102"/>
      <c r="U123" s="102"/>
      <c r="V123" s="102"/>
      <c r="W123" s="102"/>
      <c r="X123" s="102"/>
    </row>
    <row r="124" spans="1:24" x14ac:dyDescent="0.2">
      <c r="A124" s="102" t="s">
        <v>1248</v>
      </c>
      <c r="B124" s="102" t="s">
        <v>162</v>
      </c>
      <c r="C124" s="102" t="s">
        <v>1247</v>
      </c>
      <c r="D124" s="102">
        <v>0</v>
      </c>
      <c r="E124" s="102">
        <v>50</v>
      </c>
      <c r="F124" s="102">
        <v>10</v>
      </c>
      <c r="G124" s="102" t="s">
        <v>1205</v>
      </c>
      <c r="H124" s="102">
        <v>1</v>
      </c>
      <c r="I124" s="102" t="s">
        <v>1194</v>
      </c>
      <c r="J124" s="102"/>
      <c r="K124" s="101" t="str">
        <f t="shared" si="1"/>
        <v>SpellData.create(SIDHOLYSHOCKHEX,"神圣震击",50,0,10,OrderId("sleep"),1,ORDER_TYPE_TARGET);</v>
      </c>
      <c r="L124" s="102"/>
      <c r="M124" s="102"/>
      <c r="N124" s="102"/>
      <c r="O124" s="102"/>
      <c r="P124" s="102"/>
      <c r="Q124" s="102"/>
      <c r="R124" s="102"/>
      <c r="S124" s="102"/>
      <c r="T124" s="102"/>
      <c r="U124" s="102"/>
      <c r="V124" s="102"/>
      <c r="W124" s="102"/>
      <c r="X124" s="102"/>
    </row>
    <row r="125" spans="1:24" x14ac:dyDescent="0.2">
      <c r="A125" s="102" t="s">
        <v>1246</v>
      </c>
      <c r="B125" s="102" t="s">
        <v>183</v>
      </c>
      <c r="C125" s="102" t="s">
        <v>1245</v>
      </c>
      <c r="D125" s="102">
        <v>0</v>
      </c>
      <c r="E125" s="102">
        <v>50</v>
      </c>
      <c r="F125" s="102">
        <v>10</v>
      </c>
      <c r="G125" s="102" t="s">
        <v>1201</v>
      </c>
      <c r="H125" s="102">
        <v>1</v>
      </c>
      <c r="I125" s="102" t="s">
        <v>1194</v>
      </c>
      <c r="J125" s="102"/>
      <c r="K125" s="101" t="str">
        <f t="shared" si="1"/>
        <v>SpellData.create(SIDHEALHEX,"医疗术",50,0,10,OrderId("slow"),1,ORDER_TYPE_TARGET);</v>
      </c>
      <c r="L125" s="102"/>
      <c r="M125" s="102"/>
      <c r="N125" s="102"/>
      <c r="O125" s="102"/>
      <c r="P125" s="102"/>
      <c r="Q125" s="102"/>
      <c r="R125" s="102"/>
      <c r="S125" s="102"/>
      <c r="T125" s="102"/>
      <c r="U125" s="102"/>
      <c r="V125" s="102"/>
      <c r="W125" s="102"/>
      <c r="X125" s="102"/>
    </row>
    <row r="126" spans="1:24" x14ac:dyDescent="0.2">
      <c r="A126" s="102" t="s">
        <v>1244</v>
      </c>
      <c r="B126" s="102" t="s">
        <v>194</v>
      </c>
      <c r="C126" s="102" t="s">
        <v>1243</v>
      </c>
      <c r="D126" s="102">
        <v>0</v>
      </c>
      <c r="E126" s="102">
        <v>100</v>
      </c>
      <c r="F126" s="102">
        <v>10</v>
      </c>
      <c r="G126" s="102" t="s">
        <v>1205</v>
      </c>
      <c r="H126" s="102">
        <v>1</v>
      </c>
      <c r="I126" s="102" t="s">
        <v>1194</v>
      </c>
      <c r="J126" s="102"/>
      <c r="K126" s="101" t="str">
        <f t="shared" si="1"/>
        <v>SpellData.create(SIDSHIELDHEX,"护盾术",100,0,10,OrderId("sleep"),1,ORDER_TYPE_TARGET);</v>
      </c>
      <c r="L126" s="102"/>
      <c r="M126" s="102"/>
      <c r="N126" s="102"/>
      <c r="O126" s="102"/>
      <c r="P126" s="102"/>
      <c r="Q126" s="102"/>
      <c r="R126" s="102"/>
      <c r="S126" s="102"/>
      <c r="T126" s="102"/>
      <c r="U126" s="102"/>
      <c r="V126" s="102"/>
      <c r="W126" s="102"/>
      <c r="X126" s="102"/>
    </row>
    <row r="127" spans="1:24" x14ac:dyDescent="0.2">
      <c r="A127" s="102" t="s">
        <v>1242</v>
      </c>
      <c r="B127" s="102" t="s">
        <v>336</v>
      </c>
      <c r="C127" s="102" t="s">
        <v>1241</v>
      </c>
      <c r="D127" s="102">
        <v>0</v>
      </c>
      <c r="E127" s="102">
        <v>0</v>
      </c>
      <c r="F127" s="102">
        <v>10</v>
      </c>
      <c r="G127" s="102" t="s">
        <v>1201</v>
      </c>
      <c r="H127" s="102">
        <v>1</v>
      </c>
      <c r="I127" s="102" t="s">
        <v>1194</v>
      </c>
      <c r="J127" s="102"/>
      <c r="K127" s="101" t="str">
        <f t="shared" si="1"/>
        <v>SpellData.create(SIDMORTALSTRIKEHEX,"致死打击",0,0,10,OrderId("slow"),1,ORDER_TYPE_TARGET);</v>
      </c>
      <c r="L127" s="102"/>
      <c r="M127" s="102"/>
      <c r="N127" s="102"/>
      <c r="O127" s="102"/>
      <c r="P127" s="102"/>
      <c r="Q127" s="102"/>
      <c r="R127" s="102"/>
      <c r="S127" s="102"/>
      <c r="T127" s="102"/>
      <c r="U127" s="102"/>
      <c r="V127" s="102"/>
      <c r="W127" s="102"/>
      <c r="X127" s="102"/>
    </row>
    <row r="128" spans="1:24" x14ac:dyDescent="0.2">
      <c r="A128" s="102" t="s">
        <v>1240</v>
      </c>
      <c r="B128" s="102" t="s">
        <v>330</v>
      </c>
      <c r="C128" s="102" t="s">
        <v>1239</v>
      </c>
      <c r="D128" s="102">
        <v>0</v>
      </c>
      <c r="E128" s="102">
        <v>0</v>
      </c>
      <c r="F128" s="102">
        <v>7</v>
      </c>
      <c r="G128" s="102" t="s">
        <v>1205</v>
      </c>
      <c r="H128" s="102">
        <v>1</v>
      </c>
      <c r="I128" s="102" t="s">
        <v>1194</v>
      </c>
      <c r="J128" s="102"/>
      <c r="K128" s="101" t="str">
        <f t="shared" si="1"/>
        <v>SpellData.create(SIDOVERPOWERHEX,"压制",0,0,7,OrderId("sleep"),1,ORDER_TYPE_TARGET);</v>
      </c>
      <c r="L128" s="102"/>
      <c r="M128" s="102"/>
      <c r="N128" s="102"/>
      <c r="O128" s="102"/>
      <c r="P128" s="102"/>
      <c r="Q128" s="102"/>
      <c r="R128" s="102"/>
      <c r="S128" s="102"/>
      <c r="T128" s="102"/>
      <c r="U128" s="102"/>
      <c r="V128" s="102"/>
      <c r="W128" s="102"/>
      <c r="X128" s="102"/>
    </row>
    <row r="129" spans="1:24" x14ac:dyDescent="0.2">
      <c r="A129" s="102" t="s">
        <v>1238</v>
      </c>
      <c r="B129" s="102" t="s">
        <v>228</v>
      </c>
      <c r="C129" s="102" t="s">
        <v>1237</v>
      </c>
      <c r="D129" s="102">
        <v>0</v>
      </c>
      <c r="E129" s="102">
        <v>0</v>
      </c>
      <c r="F129" s="102">
        <v>4</v>
      </c>
      <c r="G129" s="102" t="s">
        <v>1201</v>
      </c>
      <c r="H129" s="102">
        <v>1</v>
      </c>
      <c r="I129" s="102" t="s">
        <v>1194</v>
      </c>
      <c r="J129" s="102"/>
      <c r="K129" s="101" t="str">
        <f t="shared" si="1"/>
        <v>SpellData.create(SIDDARKARROWHEX,"黑箭",0,0,4,OrderId("slow"),1,ORDER_TYPE_TARGET);</v>
      </c>
      <c r="L129" s="102"/>
      <c r="M129" s="102"/>
      <c r="N129" s="102"/>
      <c r="O129" s="102"/>
      <c r="P129" s="102"/>
      <c r="Q129" s="102"/>
      <c r="R129" s="102"/>
      <c r="S129" s="102"/>
      <c r="T129" s="102"/>
      <c r="U129" s="102"/>
      <c r="V129" s="102"/>
      <c r="W129" s="102"/>
      <c r="X129" s="102"/>
    </row>
    <row r="130" spans="1:24" x14ac:dyDescent="0.2">
      <c r="A130" s="102" t="s">
        <v>1236</v>
      </c>
      <c r="B130" s="102" t="s">
        <v>239</v>
      </c>
      <c r="C130" s="102" t="s">
        <v>1235</v>
      </c>
      <c r="D130" s="102">
        <v>0</v>
      </c>
      <c r="E130" s="102">
        <v>0</v>
      </c>
      <c r="F130" s="102">
        <v>10</v>
      </c>
      <c r="G130" s="102" t="s">
        <v>1205</v>
      </c>
      <c r="H130" s="102">
        <v>1</v>
      </c>
      <c r="I130" s="102" t="s">
        <v>997</v>
      </c>
      <c r="J130" s="102"/>
      <c r="K130" s="101" t="str">
        <f t="shared" si="1"/>
        <v>SpellData.create(SIDFREEZINGTRAPHEX,"冰冻陷阱",0,0,10,OrderId("sleep"),1,ORDER_TYPE_IMMEDIATE);</v>
      </c>
      <c r="L130" s="102"/>
      <c r="M130" s="102"/>
      <c r="N130" s="102"/>
      <c r="O130" s="102"/>
      <c r="P130" s="102"/>
      <c r="Q130" s="102"/>
      <c r="R130" s="102"/>
      <c r="S130" s="102"/>
      <c r="T130" s="102"/>
      <c r="U130" s="102"/>
      <c r="V130" s="102"/>
      <c r="W130" s="102"/>
      <c r="X130" s="102"/>
    </row>
    <row r="131" spans="1:24" x14ac:dyDescent="0.2">
      <c r="A131" s="102" t="s">
        <v>1234</v>
      </c>
      <c r="B131" s="102" t="s">
        <v>358</v>
      </c>
      <c r="C131" s="102" t="s">
        <v>1233</v>
      </c>
      <c r="D131" s="102">
        <v>3</v>
      </c>
      <c r="E131" s="102">
        <v>50</v>
      </c>
      <c r="F131" s="102">
        <v>5</v>
      </c>
      <c r="G131" s="102" t="s">
        <v>1201</v>
      </c>
      <c r="H131" s="102">
        <v>1</v>
      </c>
      <c r="I131" s="102" t="s">
        <v>1194</v>
      </c>
      <c r="J131" s="102"/>
      <c r="K131" s="101" t="str">
        <f t="shared" ref="K131:K200" si="2">IF(B131="N/A","//",CONCATENATE("SpellData.create(",A131,",",CHAR(34),B131,CHAR(34),",",E131,",",D131,",",F131,",",G131,",",H131,",",I131,")",J131,";"))</f>
        <v>SpellData.create(SIDFROSTBOLTHEX,"寒冰箭",50,3,5,OrderId("slow"),1,ORDER_TYPE_TARGET);</v>
      </c>
      <c r="L131" s="102"/>
      <c r="M131" s="102"/>
      <c r="N131" s="102"/>
      <c r="O131" s="102"/>
      <c r="P131" s="102"/>
      <c r="Q131" s="102"/>
      <c r="R131" s="102"/>
      <c r="S131" s="102"/>
      <c r="T131" s="102"/>
      <c r="U131" s="102"/>
      <c r="V131" s="102"/>
      <c r="W131" s="102"/>
      <c r="X131" s="102"/>
    </row>
    <row r="132" spans="1:24" x14ac:dyDescent="0.2">
      <c r="A132" s="102" t="s">
        <v>1232</v>
      </c>
      <c r="B132" s="102" t="s">
        <v>392</v>
      </c>
      <c r="C132" s="102" t="s">
        <v>1231</v>
      </c>
      <c r="D132" s="102">
        <v>0</v>
      </c>
      <c r="E132" s="102">
        <v>50</v>
      </c>
      <c r="F132" s="102">
        <v>10</v>
      </c>
      <c r="G132" s="102" t="s">
        <v>1205</v>
      </c>
      <c r="H132" s="102">
        <v>1</v>
      </c>
      <c r="I132" s="102" t="s">
        <v>1194</v>
      </c>
      <c r="J132" s="102"/>
      <c r="K132" s="101" t="str">
        <f t="shared" si="2"/>
        <v>SpellData.create(SIDPOLYMORPHHEX,"变形术",50,0,10,OrderId("sleep"),1,ORDER_TYPE_TARGET);</v>
      </c>
      <c r="L132" s="102"/>
      <c r="M132" s="102"/>
      <c r="N132" s="102"/>
      <c r="O132" s="102"/>
      <c r="P132" s="102"/>
      <c r="Q132" s="102"/>
      <c r="R132" s="102"/>
      <c r="S132" s="102"/>
      <c r="T132" s="102"/>
      <c r="U132" s="102"/>
      <c r="V132" s="102"/>
      <c r="W132" s="102"/>
      <c r="X132" s="102"/>
    </row>
    <row r="133" spans="1:24" x14ac:dyDescent="0.2">
      <c r="A133" s="102" t="s">
        <v>1230</v>
      </c>
      <c r="B133" s="102" t="s">
        <v>712</v>
      </c>
      <c r="C133" s="102" t="s">
        <v>1229</v>
      </c>
      <c r="D133" s="102">
        <v>0</v>
      </c>
      <c r="E133" s="102">
        <v>0</v>
      </c>
      <c r="F133" s="102">
        <v>10</v>
      </c>
      <c r="G133" s="102" t="s">
        <v>1201</v>
      </c>
      <c r="H133" s="102">
        <v>1</v>
      </c>
      <c r="I133" s="102" t="s">
        <v>997</v>
      </c>
      <c r="J133" s="102"/>
      <c r="K133" s="101" t="str">
        <f t="shared" si="2"/>
        <v>SpellData.create(SIDLIGHTNINGTOTEMHEX,"闪电图腾",0,0,10,OrderId("slow"),1,ORDER_TYPE_IMMEDIATE);</v>
      </c>
      <c r="L133" s="102"/>
      <c r="M133" s="102"/>
      <c r="N133" s="102"/>
      <c r="O133" s="102"/>
      <c r="P133" s="102"/>
      <c r="Q133" s="102"/>
      <c r="R133" s="102"/>
      <c r="S133" s="102"/>
      <c r="T133" s="102"/>
      <c r="U133" s="102"/>
      <c r="V133" s="102"/>
      <c r="W133" s="102"/>
      <c r="X133" s="102"/>
    </row>
    <row r="134" spans="1:24" x14ac:dyDescent="0.2">
      <c r="A134" s="102" t="s">
        <v>1228</v>
      </c>
      <c r="B134" s="102" t="s">
        <v>719</v>
      </c>
      <c r="C134" s="102" t="s">
        <v>1227</v>
      </c>
      <c r="D134" s="102">
        <v>0</v>
      </c>
      <c r="E134" s="102">
        <v>100</v>
      </c>
      <c r="F134" s="102">
        <v>15</v>
      </c>
      <c r="G134" s="102" t="s">
        <v>1205</v>
      </c>
      <c r="H134" s="102">
        <v>1</v>
      </c>
      <c r="I134" s="102" t="s">
        <v>997</v>
      </c>
      <c r="J134" s="102"/>
      <c r="K134" s="101" t="str">
        <f t="shared" si="2"/>
        <v>SpellData.create(SIDCHARGEHEX,"充能",100,0,15,OrderId("sleep"),1,ORDER_TYPE_IMMEDIATE);</v>
      </c>
      <c r="L134" s="102"/>
      <c r="M134" s="102"/>
      <c r="N134" s="102"/>
      <c r="O134" s="102"/>
      <c r="P134" s="102"/>
      <c r="Q134" s="102"/>
      <c r="R134" s="102"/>
      <c r="S134" s="102"/>
      <c r="T134" s="102"/>
      <c r="U134" s="102"/>
      <c r="V134" s="102"/>
      <c r="W134" s="102"/>
      <c r="X134" s="102"/>
    </row>
    <row r="135" spans="1:24" x14ac:dyDescent="0.2">
      <c r="A135" s="102" t="s">
        <v>1226</v>
      </c>
      <c r="B135" s="102" t="s">
        <v>727</v>
      </c>
      <c r="C135" s="102" t="s">
        <v>1225</v>
      </c>
      <c r="D135" s="102">
        <v>0</v>
      </c>
      <c r="E135" s="102">
        <v>0</v>
      </c>
      <c r="F135" s="102">
        <v>15</v>
      </c>
      <c r="G135" s="102" t="s">
        <v>1201</v>
      </c>
      <c r="H135" s="102">
        <v>1</v>
      </c>
      <c r="I135" s="102" t="s">
        <v>1194</v>
      </c>
      <c r="J135" s="102"/>
      <c r="K135" s="101" t="str">
        <f t="shared" si="2"/>
        <v>SpellData.create(SIDSTEALTHHEX,"潜行",0,0,15,OrderId("slow"),1,ORDER_TYPE_TARGET);</v>
      </c>
      <c r="L135" s="102"/>
      <c r="M135" s="102"/>
      <c r="N135" s="102"/>
      <c r="O135" s="102"/>
      <c r="P135" s="102"/>
      <c r="Q135" s="102"/>
      <c r="R135" s="102"/>
      <c r="S135" s="102"/>
      <c r="T135" s="102"/>
      <c r="U135" s="102"/>
      <c r="V135" s="102"/>
      <c r="W135" s="102"/>
      <c r="X135" s="102"/>
    </row>
    <row r="136" spans="1:24" x14ac:dyDescent="0.2">
      <c r="A136" s="102" t="s">
        <v>1224</v>
      </c>
      <c r="B136" s="102" t="s">
        <v>1223</v>
      </c>
      <c r="C136" s="102" t="s">
        <v>1222</v>
      </c>
      <c r="D136" s="102">
        <v>0</v>
      </c>
      <c r="E136" s="102">
        <v>0</v>
      </c>
      <c r="F136" s="102">
        <v>1</v>
      </c>
      <c r="G136" s="102" t="s">
        <v>1221</v>
      </c>
      <c r="H136" s="102">
        <v>1</v>
      </c>
      <c r="I136" s="102" t="s">
        <v>1194</v>
      </c>
      <c r="J136" s="102"/>
      <c r="K136" s="101" t="str">
        <f t="shared" si="2"/>
        <v>SpellData.create(SIDSTEALTHAMBUSH,"伏击",0,0,1,OrderId("stomp"),1,ORDER_TYPE_TARGET);</v>
      </c>
      <c r="L136" s="102"/>
      <c r="M136" s="102"/>
      <c r="N136" s="102"/>
      <c r="O136" s="102"/>
      <c r="P136" s="102"/>
      <c r="Q136" s="102"/>
      <c r="R136" s="102"/>
      <c r="S136" s="102"/>
      <c r="T136" s="102"/>
      <c r="U136" s="102"/>
      <c r="V136" s="102"/>
      <c r="W136" s="102"/>
      <c r="X136" s="102"/>
    </row>
    <row r="137" spans="1:24" x14ac:dyDescent="0.2">
      <c r="A137" s="102" t="s">
        <v>1220</v>
      </c>
      <c r="B137" s="102" t="s">
        <v>731</v>
      </c>
      <c r="C137" s="102" t="s">
        <v>1219</v>
      </c>
      <c r="D137" s="102">
        <v>0</v>
      </c>
      <c r="E137" s="102">
        <v>0</v>
      </c>
      <c r="F137" s="102">
        <v>10</v>
      </c>
      <c r="G137" s="102" t="s">
        <v>1205</v>
      </c>
      <c r="H137" s="102">
        <v>1</v>
      </c>
      <c r="I137" s="102" t="s">
        <v>997</v>
      </c>
      <c r="J137" s="102"/>
      <c r="K137" s="101" t="str">
        <f t="shared" si="2"/>
        <v>SpellData.create(SIDBLADEFLURRYHEX,"剑舞",0,0,10,OrderId("sleep"),1,ORDER_TYPE_IMMEDIATE);</v>
      </c>
      <c r="L137" s="102"/>
      <c r="M137" s="102"/>
      <c r="N137" s="102"/>
      <c r="O137" s="102"/>
      <c r="P137" s="102"/>
      <c r="Q137" s="102"/>
      <c r="R137" s="102"/>
      <c r="S137" s="102"/>
      <c r="T137" s="102"/>
      <c r="U137" s="102"/>
      <c r="V137" s="102"/>
      <c r="W137" s="102"/>
      <c r="X137" s="102"/>
    </row>
    <row r="138" spans="1:24" x14ac:dyDescent="0.2">
      <c r="A138" s="102" t="s">
        <v>1218</v>
      </c>
      <c r="B138" s="102" t="s">
        <v>792</v>
      </c>
      <c r="C138" s="102" t="s">
        <v>1217</v>
      </c>
      <c r="D138" s="102">
        <v>0</v>
      </c>
      <c r="E138" s="102">
        <v>100</v>
      </c>
      <c r="F138" s="102">
        <v>15</v>
      </c>
      <c r="G138" s="102" t="s">
        <v>1201</v>
      </c>
      <c r="H138" s="102">
        <v>1</v>
      </c>
      <c r="I138" s="102" t="s">
        <v>1194</v>
      </c>
      <c r="J138" s="102"/>
      <c r="K138" s="101" t="str">
        <f t="shared" si="2"/>
        <v>SpellData.create(SIDPAINHEX,"暗言字：痛",100,0,15,OrderId("slow"),1,ORDER_TYPE_TARGET);</v>
      </c>
      <c r="L138" s="102"/>
      <c r="M138" s="102"/>
      <c r="N138" s="102"/>
      <c r="O138" s="102"/>
      <c r="P138" s="102"/>
      <c r="Q138" s="102"/>
      <c r="R138" s="102"/>
      <c r="S138" s="102"/>
      <c r="T138" s="102"/>
      <c r="U138" s="102"/>
      <c r="V138" s="102"/>
      <c r="W138" s="102"/>
      <c r="X138" s="102"/>
    </row>
    <row r="139" spans="1:24" x14ac:dyDescent="0.2">
      <c r="A139" s="102" t="s">
        <v>1216</v>
      </c>
      <c r="B139" s="102" t="s">
        <v>805</v>
      </c>
      <c r="C139" s="102" t="s">
        <v>1215</v>
      </c>
      <c r="D139" s="102">
        <v>0</v>
      </c>
      <c r="E139" s="102">
        <v>100</v>
      </c>
      <c r="F139" s="102">
        <v>10</v>
      </c>
      <c r="G139" s="102" t="s">
        <v>1205</v>
      </c>
      <c r="H139" s="102">
        <v>1</v>
      </c>
      <c r="I139" s="102" t="s">
        <v>997</v>
      </c>
      <c r="J139" s="102"/>
      <c r="K139" s="101" t="str">
        <f t="shared" si="2"/>
        <v>SpellData.create(SIDTERRORHEX,"暗言字：惧",100,0,10,OrderId("sleep"),1,ORDER_TYPE_IMMEDIATE);</v>
      </c>
      <c r="L139" s="102"/>
      <c r="M139" s="102"/>
      <c r="N139" s="102"/>
      <c r="O139" s="102"/>
      <c r="P139" s="102"/>
      <c r="Q139" s="102"/>
      <c r="R139" s="102"/>
      <c r="S139" s="102"/>
      <c r="T139" s="102"/>
      <c r="U139" s="102"/>
      <c r="V139" s="102"/>
      <c r="W139" s="102"/>
      <c r="X139" s="102"/>
    </row>
    <row r="140" spans="1:24" x14ac:dyDescent="0.2">
      <c r="A140" s="103" t="s">
        <v>1214</v>
      </c>
      <c r="B140" s="130" t="str">
        <f>CreepAbilities!E2</f>
        <v>闪电箭</v>
      </c>
      <c r="C140" s="130" t="str">
        <f>CreepAbilities!F2</f>
        <v>Lightning Bolt</v>
      </c>
      <c r="D140" s="130">
        <f>IF(CreepAbilities!K2="",0,CreepAbilities!K2)</f>
        <v>3</v>
      </c>
      <c r="E140" s="130">
        <f>IF(CreepAbilities!O2="",0,CreepAbilities!O2)</f>
        <v>75</v>
      </c>
      <c r="F140" s="130">
        <f>IF(CreepAbilities!Q2="",0,CreepAbilities!Q2)</f>
        <v>2</v>
      </c>
      <c r="G140" s="130" t="str">
        <f>IF(CreepAbilities!X2=0,0,CONCATENATE("OrderId(",CHAR(34),CreepAbilities!X2,CHAR(34),")"))</f>
        <v>OrderId("heal")</v>
      </c>
      <c r="H140" s="103">
        <v>1</v>
      </c>
      <c r="I140" s="103" t="s">
        <v>1194</v>
      </c>
      <c r="J140" s="103"/>
      <c r="K140" s="101" t="str">
        <f t="shared" si="2"/>
        <v>SpellData.create(SID_LIGHTNING_BOLT,"闪电箭",75,3,2,OrderId("heal"),1,ORDER_TYPE_TARGET);</v>
      </c>
      <c r="L140" s="103"/>
      <c r="M140" s="103"/>
      <c r="N140" s="103"/>
      <c r="O140" s="103"/>
      <c r="P140" s="103"/>
      <c r="Q140" s="103"/>
      <c r="R140" s="103"/>
      <c r="S140" s="103"/>
      <c r="T140" s="103"/>
      <c r="U140" s="103"/>
      <c r="V140" s="103"/>
      <c r="W140" s="103"/>
      <c r="X140" s="103"/>
    </row>
    <row r="141" spans="1:24" x14ac:dyDescent="0.2">
      <c r="A141" s="103" t="s">
        <v>1213</v>
      </c>
      <c r="B141" s="130" t="str">
        <f>CreepAbilities!E3</f>
        <v>冰霜冲击</v>
      </c>
      <c r="C141" s="130" t="str">
        <f>CreepAbilities!F3</f>
        <v>Frost Shock</v>
      </c>
      <c r="D141" s="130">
        <f>IF(CreepAbilities!K3="",0,CreepAbilities!K3)</f>
        <v>0</v>
      </c>
      <c r="E141" s="130">
        <f>IF(CreepAbilities!O3="",0,CreepAbilities!O3)</f>
        <v>0</v>
      </c>
      <c r="F141" s="130">
        <f>IF(CreepAbilities!Q3="",0,CreepAbilities!Q3)</f>
        <v>8</v>
      </c>
      <c r="G141" s="130" t="str">
        <f>IF(CreepAbilities!X3=0,0,CONCATENATE("OrderId(",CHAR(34),CreepAbilities!X3,CHAR(34),")"))</f>
        <v>OrderId("freezingbreath")</v>
      </c>
      <c r="H141" s="103">
        <v>1</v>
      </c>
      <c r="I141" s="103" t="s">
        <v>1194</v>
      </c>
      <c r="J141" s="103"/>
      <c r="K141" s="101" t="str">
        <f t="shared" si="2"/>
        <v>SpellData.create(SID_FROST_SHOCK,"冰霜冲击",0,0,8,OrderId("freezingbreath"),1,ORDER_TYPE_TARGET);</v>
      </c>
      <c r="L141" s="103"/>
      <c r="M141" s="103"/>
      <c r="N141" s="103"/>
      <c r="O141" s="103"/>
      <c r="P141" s="103"/>
      <c r="Q141" s="103"/>
      <c r="R141" s="103"/>
      <c r="S141" s="103"/>
      <c r="T141" s="103"/>
      <c r="U141" s="103"/>
      <c r="V141" s="103"/>
      <c r="W141" s="103"/>
      <c r="X141" s="103"/>
    </row>
    <row r="142" spans="1:24" x14ac:dyDescent="0.2">
      <c r="A142" s="103" t="s">
        <v>1212</v>
      </c>
      <c r="B142" s="130" t="str">
        <f>CreepAbilities!E4</f>
        <v>治疗链</v>
      </c>
      <c r="C142" s="130" t="str">
        <f>CreepAbilities!F4</f>
        <v>Chain Healing</v>
      </c>
      <c r="D142" s="130">
        <f>IF(CreepAbilities!K4="",0,CreepAbilities!K4)</f>
        <v>3</v>
      </c>
      <c r="E142" s="130">
        <f>IF(CreepAbilities!O4="",0,CreepAbilities!O4)</f>
        <v>200</v>
      </c>
      <c r="F142" s="130">
        <f>IF(CreepAbilities!Q4="",0,CreepAbilities!Q4)</f>
        <v>5</v>
      </c>
      <c r="G142" s="130" t="str">
        <f>IF(CreepAbilities!X4=0,0,CONCATENATE("OrderId(",CHAR(34),CreepAbilities!X4,CHAR(34),")"))</f>
        <v>OrderId("healingwave")</v>
      </c>
      <c r="H142" s="103">
        <v>1</v>
      </c>
      <c r="I142" s="103" t="s">
        <v>1194</v>
      </c>
      <c r="J142" s="103"/>
      <c r="K142" s="101" t="str">
        <f t="shared" si="2"/>
        <v>SpellData.create(SID_CHAIN_HEALING,"治疗链",200,3,5,OrderId("healingwave"),1,ORDER_TYPE_TARGET);</v>
      </c>
      <c r="L142" s="103"/>
      <c r="M142" s="103"/>
      <c r="N142" s="103"/>
      <c r="O142" s="103"/>
      <c r="P142" s="103"/>
      <c r="Q142" s="103"/>
      <c r="R142" s="103"/>
      <c r="S142" s="103"/>
      <c r="T142" s="103"/>
      <c r="U142" s="103"/>
      <c r="V142" s="103"/>
      <c r="W142" s="103"/>
      <c r="X142" s="103"/>
    </row>
    <row r="143" spans="1:24" x14ac:dyDescent="0.2">
      <c r="A143" s="103" t="s">
        <v>1211</v>
      </c>
      <c r="B143" s="130" t="str">
        <f>CreepAbilities!E5</f>
        <v>治疗守卫</v>
      </c>
      <c r="C143" s="130" t="str">
        <f>CreepAbilities!F5</f>
        <v>Healing Ward</v>
      </c>
      <c r="D143" s="130">
        <f>IF(CreepAbilities!K5="",0,CreepAbilities!K5)</f>
        <v>0</v>
      </c>
      <c r="E143" s="130">
        <f>IF(CreepAbilities!O5="",0,CreepAbilities!O5)</f>
        <v>100</v>
      </c>
      <c r="F143" s="130">
        <f>IF(CreepAbilities!Q5="",0,CreepAbilities!Q5)</f>
        <v>15</v>
      </c>
      <c r="G143" s="130" t="str">
        <f>IF(CreepAbilities!X5=0,0,CONCATENATE("OrderId(",CHAR(34),CreepAbilities!X5,CHAR(34),")"))</f>
        <v>OrderId("healingward")</v>
      </c>
      <c r="H143" s="103">
        <v>1</v>
      </c>
      <c r="I143" s="103" t="s">
        <v>997</v>
      </c>
      <c r="J143" s="103"/>
      <c r="K143" s="101" t="str">
        <f t="shared" si="2"/>
        <v>SpellData.create(SID_HEALING_WARD,"治疗守卫",100,0,15,OrderId("healingward"),1,ORDER_TYPE_IMMEDIATE);</v>
      </c>
      <c r="L143" s="103"/>
      <c r="M143" s="103"/>
      <c r="N143" s="103"/>
      <c r="O143" s="103"/>
      <c r="P143" s="103"/>
      <c r="Q143" s="103"/>
      <c r="R143" s="103"/>
      <c r="S143" s="103"/>
      <c r="T143" s="103"/>
      <c r="U143" s="103"/>
      <c r="V143" s="103"/>
      <c r="W143" s="103"/>
      <c r="X143" s="103"/>
    </row>
    <row r="144" spans="1:24" x14ac:dyDescent="0.2">
      <c r="A144" s="103" t="s">
        <v>1209</v>
      </c>
      <c r="B144" s="130" t="str">
        <f>CreepAbilities!E6</f>
        <v>防护守卫</v>
      </c>
      <c r="C144" s="130" t="str">
        <f>CreepAbilities!F6</f>
        <v>Protection Ward</v>
      </c>
      <c r="D144" s="130">
        <f>IF(CreepAbilities!K6="",0,CreepAbilities!K6)</f>
        <v>0</v>
      </c>
      <c r="E144" s="130">
        <f>IF(CreepAbilities!O6="",0,CreepAbilities!O6)</f>
        <v>100</v>
      </c>
      <c r="F144" s="130">
        <f>IF(CreepAbilities!Q6="",0,CreepAbilities!Q6)</f>
        <v>30</v>
      </c>
      <c r="G144" s="130" t="str">
        <f>IF(CreepAbilities!X6=0,0,CONCATENATE("OrderId(",CHAR(34),CreepAbilities!X6,CHAR(34),")"))</f>
        <v>OrderId("evileye")</v>
      </c>
      <c r="H144" s="103">
        <v>1</v>
      </c>
      <c r="I144" s="103" t="s">
        <v>997</v>
      </c>
      <c r="J144" s="103"/>
      <c r="K144" s="101" t="str">
        <f t="shared" si="2"/>
        <v>SpellData.create(SID_PROTECTION_WARD,"防护守卫",100,0,30,OrderId("evileye"),1,ORDER_TYPE_IMMEDIATE);</v>
      </c>
      <c r="L144" s="103"/>
      <c r="M144" s="103"/>
      <c r="N144" s="103"/>
      <c r="O144" s="103"/>
      <c r="P144" s="103"/>
      <c r="Q144" s="103"/>
      <c r="R144" s="103"/>
      <c r="S144" s="103"/>
      <c r="T144" s="103"/>
      <c r="U144" s="103"/>
      <c r="V144" s="103"/>
      <c r="W144" s="103"/>
      <c r="X144" s="103"/>
    </row>
    <row r="145" spans="1:24" x14ac:dyDescent="0.2">
      <c r="A145" s="103" t="s">
        <v>1208</v>
      </c>
      <c r="B145" s="130" t="str">
        <f>CreepAbilities!E7</f>
        <v>狂乱</v>
      </c>
      <c r="C145" s="130" t="str">
        <f>CreepAbilities!F7</f>
        <v>Naga Frenzy</v>
      </c>
      <c r="D145" s="130">
        <f>IF(CreepAbilities!K7="",0,CreepAbilities!K7)</f>
        <v>0</v>
      </c>
      <c r="E145" s="130">
        <f>IF(CreepAbilities!O7="",0,CreepAbilities!O7)</f>
        <v>0</v>
      </c>
      <c r="F145" s="130">
        <f>IF(CreepAbilities!Q7="",0,CreepAbilities!Q7)</f>
        <v>20</v>
      </c>
      <c r="G145" s="130" t="str">
        <f>IF(CreepAbilities!X7=0,0,CONCATENATE("OrderId(",CHAR(34),CreepAbilities!X7,CHAR(34),")"))</f>
        <v>OrderId("unholyfrenzy")</v>
      </c>
      <c r="H145" s="103">
        <v>1</v>
      </c>
      <c r="I145" s="103" t="s">
        <v>997</v>
      </c>
      <c r="J145" s="103"/>
      <c r="K145" s="101" t="str">
        <f t="shared" si="2"/>
        <v>SpellData.create(SID_NAGA_FRENZY,"狂乱",0,0,20,OrderId("unholyfrenzy"),1,ORDER_TYPE_IMMEDIATE);</v>
      </c>
      <c r="L145" s="103"/>
      <c r="M145" s="103"/>
      <c r="N145" s="103"/>
      <c r="O145" s="103"/>
      <c r="P145" s="103"/>
      <c r="Q145" s="103"/>
      <c r="R145" s="103"/>
      <c r="S145" s="103"/>
      <c r="T145" s="103"/>
      <c r="U145" s="103"/>
      <c r="V145" s="103"/>
      <c r="W145" s="103"/>
      <c r="X145" s="103"/>
    </row>
    <row r="146" spans="1:24" x14ac:dyDescent="0.2">
      <c r="A146" s="103" t="s">
        <v>1206</v>
      </c>
      <c r="B146" s="130" t="str">
        <f>CreepAbilities!E8</f>
        <v>压碎护甲</v>
      </c>
      <c r="C146" s="130" t="str">
        <f>CreepAbilities!F8</f>
        <v>Armor Crushing</v>
      </c>
      <c r="D146" s="130">
        <f>IF(CreepAbilities!K8="",0,CreepAbilities!K8)</f>
        <v>0</v>
      </c>
      <c r="E146" s="130">
        <f>IF(CreepAbilities!O8="",0,CreepAbilities!O8)</f>
        <v>0</v>
      </c>
      <c r="F146" s="130">
        <f>IF(CreepAbilities!Q8="",0,CreepAbilities!Q8)</f>
        <v>20</v>
      </c>
      <c r="G146" s="130" t="str">
        <f>IF(CreepAbilities!X8=0,0,CONCATENATE("OrderId(",CHAR(34),CreepAbilities!X8,CHAR(34),")"))</f>
        <v>OrderId("sleep")</v>
      </c>
      <c r="H146" s="103">
        <v>1</v>
      </c>
      <c r="I146" s="103" t="s">
        <v>1194</v>
      </c>
      <c r="J146" s="103"/>
      <c r="K146" s="101" t="str">
        <f t="shared" si="2"/>
        <v>SpellData.create(SID_ARMOR_CRUSHING,"压碎护甲",0,0,20,OrderId("sleep"),1,ORDER_TYPE_TARGET);</v>
      </c>
      <c r="L146" s="103"/>
      <c r="M146" s="103"/>
      <c r="N146" s="103"/>
      <c r="O146" s="103"/>
      <c r="P146" s="103"/>
      <c r="Q146" s="103"/>
      <c r="R146" s="103"/>
      <c r="S146" s="103"/>
      <c r="T146" s="103"/>
      <c r="U146" s="103"/>
      <c r="V146" s="103"/>
      <c r="W146" s="103"/>
      <c r="X146" s="103"/>
    </row>
    <row r="147" spans="1:24" x14ac:dyDescent="0.2">
      <c r="A147" s="103" t="s">
        <v>1204</v>
      </c>
      <c r="B147" s="130" t="str">
        <f>CreepAbilities!E9</f>
        <v>雷霆一击</v>
      </c>
      <c r="C147" s="130" t="str">
        <f>CreepAbilities!F9</f>
        <v>Thunder Clap</v>
      </c>
      <c r="D147" s="130">
        <f>IF(CreepAbilities!K9="",0,CreepAbilities!K9)</f>
        <v>0</v>
      </c>
      <c r="E147" s="130">
        <f>IF(CreepAbilities!O9="",0,CreepAbilities!O9)</f>
        <v>0</v>
      </c>
      <c r="F147" s="130">
        <f>IF(CreepAbilities!Q9="",0,CreepAbilities!Q9)</f>
        <v>12</v>
      </c>
      <c r="G147" s="130" t="str">
        <f>IF(CreepAbilities!X9=0,0,CONCATENATE("OrderId(",CHAR(34),CreepAbilities!X9,CHAR(34),")"))</f>
        <v>OrderId("thunderclap")</v>
      </c>
      <c r="H147" s="103">
        <v>1</v>
      </c>
      <c r="I147" s="103" t="s">
        <v>997</v>
      </c>
      <c r="J147" s="103"/>
      <c r="K147" s="101" t="str">
        <f t="shared" si="2"/>
        <v>SpellData.create(SID_THUNDER_CLAP,"雷霆一击",0,0,12,OrderId("thunderclap"),1,ORDER_TYPE_IMMEDIATE);</v>
      </c>
      <c r="L147" s="103"/>
      <c r="M147" s="103"/>
      <c r="N147" s="103"/>
      <c r="O147" s="103"/>
      <c r="P147" s="103"/>
      <c r="Q147" s="103"/>
      <c r="R147" s="103"/>
      <c r="S147" s="103"/>
      <c r="T147" s="103"/>
      <c r="U147" s="103"/>
      <c r="V147" s="103"/>
      <c r="W147" s="103"/>
      <c r="X147" s="103"/>
    </row>
    <row r="148" spans="1:24" x14ac:dyDescent="0.2">
      <c r="A148" s="103" t="s">
        <v>1202</v>
      </c>
      <c r="B148" s="130" t="str">
        <f>CreepAbilities!E10</f>
        <v>狂怒咆哮</v>
      </c>
      <c r="C148" s="130" t="str">
        <f>CreepAbilities!F10</f>
        <v>Rage Roar</v>
      </c>
      <c r="D148" s="130">
        <f>IF(CreepAbilities!K10="",0,CreepAbilities!K10)</f>
        <v>0</v>
      </c>
      <c r="E148" s="130">
        <f>IF(CreepAbilities!O10="",0,CreepAbilities!O10)</f>
        <v>0</v>
      </c>
      <c r="F148" s="130">
        <f>IF(CreepAbilities!Q10="",0,CreepAbilities!Q10)</f>
        <v>20</v>
      </c>
      <c r="G148" s="130" t="str">
        <f>IF(CreepAbilities!X10=0,0,CONCATENATE("OrderId(",CHAR(34),CreepAbilities!X10,CHAR(34),")"))</f>
        <v>OrderId("slow")</v>
      </c>
      <c r="H148" s="103">
        <v>1</v>
      </c>
      <c r="I148" s="103" t="s">
        <v>997</v>
      </c>
      <c r="J148" s="103"/>
      <c r="K148" s="101" t="str">
        <f t="shared" si="2"/>
        <v>SpellData.create(SID_RAGE_ROAR,"狂怒咆哮",0,0,20,OrderId("slow"),1,ORDER_TYPE_IMMEDIATE);</v>
      </c>
      <c r="L148" s="103"/>
      <c r="M148" s="103"/>
      <c r="N148" s="103"/>
      <c r="O148" s="103"/>
      <c r="P148" s="103"/>
      <c r="Q148" s="103"/>
      <c r="R148" s="103"/>
      <c r="S148" s="103"/>
      <c r="T148" s="103"/>
      <c r="U148" s="103"/>
      <c r="V148" s="103"/>
      <c r="W148" s="103"/>
      <c r="X148" s="103"/>
    </row>
    <row r="149" spans="1:24" x14ac:dyDescent="0.2">
      <c r="A149" s="103" t="s">
        <v>1200</v>
      </c>
      <c r="B149" s="130" t="str">
        <f>CreepAbilities!E11</f>
        <v>毒刺(被动)</v>
      </c>
      <c r="C149" s="130" t="str">
        <f>CreepAbilities!F11</f>
        <v>Sting</v>
      </c>
      <c r="D149" s="130">
        <f>IF(CreepAbilities!K11="",0,CreepAbilities!K11)</f>
        <v>0</v>
      </c>
      <c r="E149" s="130">
        <f>IF(CreepAbilities!O11="",0,CreepAbilities!O11)</f>
        <v>0</v>
      </c>
      <c r="F149" s="130">
        <f>IF(CreepAbilities!Q11="",0,CreepAbilities!Q11)</f>
        <v>1</v>
      </c>
      <c r="G149" s="130">
        <f>IF(CreepAbilities!X11=0,0,CONCATENATE("OrderId(",CHAR(34),CreepAbilities!X11,CHAR(34),")"))</f>
        <v>0</v>
      </c>
      <c r="H149" s="103">
        <v>1</v>
      </c>
      <c r="I149" s="103" t="s">
        <v>997</v>
      </c>
      <c r="J149" s="103"/>
      <c r="K149" s="101" t="str">
        <f t="shared" si="2"/>
        <v>SpellData.create(SID_STING,"毒刺(被动)",0,0,1,0,1,ORDER_TYPE_IMMEDIATE);</v>
      </c>
      <c r="L149" s="103"/>
      <c r="M149" s="103"/>
      <c r="N149" s="103"/>
      <c r="O149" s="103"/>
      <c r="P149" s="103"/>
      <c r="Q149" s="103"/>
      <c r="R149" s="103"/>
      <c r="S149" s="103"/>
      <c r="T149" s="103"/>
      <c r="U149" s="103"/>
      <c r="V149" s="103"/>
      <c r="W149" s="103"/>
      <c r="X149" s="103"/>
    </row>
    <row r="150" spans="1:24" x14ac:dyDescent="0.2">
      <c r="A150" s="103"/>
      <c r="B150" s="130" t="str">
        <f>CreepAbilities!E12</f>
        <v>N/A</v>
      </c>
      <c r="C150" s="130" t="str">
        <f>CreepAbilities!F12</f>
        <v>N/A</v>
      </c>
      <c r="D150" s="130">
        <f>IF(CreepAbilities!K12="",0,CreepAbilities!K12)</f>
        <v>0</v>
      </c>
      <c r="E150" s="130">
        <f>IF(CreepAbilities!O12="",0,CreepAbilities!O12)</f>
        <v>0</v>
      </c>
      <c r="F150" s="130">
        <f>IF(CreepAbilities!Q12="",0,CreepAbilities!Q12)</f>
        <v>0</v>
      </c>
      <c r="G150" s="130">
        <f>IF(CreepAbilities!X12=0,0,CONCATENATE("OrderId(",CHAR(34),CreepAbilities!X12,CHAR(34),")"))</f>
        <v>0</v>
      </c>
      <c r="H150" s="103"/>
      <c r="I150" s="103"/>
      <c r="J150" s="103"/>
      <c r="K150" s="101" t="str">
        <f t="shared" si="2"/>
        <v>//</v>
      </c>
      <c r="L150" s="103"/>
      <c r="M150" s="103"/>
      <c r="N150" s="103"/>
      <c r="O150" s="103"/>
      <c r="P150" s="103"/>
      <c r="Q150" s="103"/>
      <c r="R150" s="103"/>
      <c r="S150" s="103"/>
      <c r="T150" s="103"/>
      <c r="U150" s="103"/>
      <c r="V150" s="103"/>
      <c r="W150" s="103"/>
      <c r="X150" s="103"/>
    </row>
    <row r="151" spans="1:24" x14ac:dyDescent="0.2">
      <c r="A151" s="103" t="s">
        <v>1199</v>
      </c>
      <c r="B151" s="130" t="str">
        <f>CreepAbilities!E13</f>
        <v>充能之息</v>
      </c>
      <c r="C151" s="130" t="str">
        <f>CreepAbilities!F13</f>
        <v>Charged Breath</v>
      </c>
      <c r="D151" s="130">
        <f>IF(CreepAbilities!K13="",0,CreepAbilities!K13)</f>
        <v>0</v>
      </c>
      <c r="E151" s="130">
        <f>IF(CreepAbilities!O13="",0,CreepAbilities!O13)</f>
        <v>0</v>
      </c>
      <c r="F151" s="130">
        <f>IF(CreepAbilities!Q13="",0,CreepAbilities!Q13)</f>
        <v>5</v>
      </c>
      <c r="G151" s="130" t="str">
        <f>IF(CreepAbilities!X13=0,0,CONCATENATE("OrderId(",CHAR(34),CreepAbilities!X13,CHAR(34),")"))</f>
        <v>OrderId("heal")</v>
      </c>
      <c r="H151" s="103">
        <v>1</v>
      </c>
      <c r="I151" s="103" t="s">
        <v>997</v>
      </c>
      <c r="J151" s="103"/>
      <c r="K151" s="101" t="str">
        <f t="shared" si="2"/>
        <v>SpellData.create(SID_CHARGED_BREATH,"充能之息",0,0,5,OrderId("heal"),1,ORDER_TYPE_IMMEDIATE);</v>
      </c>
      <c r="L151" s="103"/>
      <c r="M151" s="103"/>
      <c r="N151" s="103"/>
      <c r="O151" s="103"/>
      <c r="P151" s="103"/>
      <c r="Q151" s="103"/>
      <c r="R151" s="103"/>
      <c r="S151" s="103"/>
      <c r="T151" s="103"/>
      <c r="U151" s="103"/>
      <c r="V151" s="103"/>
      <c r="W151" s="103"/>
      <c r="X151" s="103"/>
    </row>
    <row r="152" spans="1:24" x14ac:dyDescent="0.2">
      <c r="A152" s="103" t="s">
        <v>1197</v>
      </c>
      <c r="B152" s="130" t="str">
        <f>CreepAbilities!E14</f>
        <v>法力汲取</v>
      </c>
      <c r="C152" s="130" t="str">
        <f>CreepAbilities!F14</f>
        <v>Mana Leech</v>
      </c>
      <c r="D152" s="130">
        <f>IF(CreepAbilities!K14="",0,CreepAbilities!K14)</f>
        <v>0</v>
      </c>
      <c r="E152" s="130">
        <f>IF(CreepAbilities!O14="",0,CreepAbilities!O14)</f>
        <v>0</v>
      </c>
      <c r="F152" s="130">
        <f>IF(CreepAbilities!Q14="",0,CreepAbilities!Q14)</f>
        <v>5</v>
      </c>
      <c r="G152" s="130" t="str">
        <f>IF(CreepAbilities!X14=0,0,CONCATENATE("OrderId(",CHAR(34),CreepAbilities!X14,CHAR(34),")"))</f>
        <v>OrderId("healingwave")</v>
      </c>
      <c r="H152" s="103">
        <v>1</v>
      </c>
      <c r="I152" s="103" t="s">
        <v>1194</v>
      </c>
      <c r="J152" s="103"/>
      <c r="K152" s="101" t="str">
        <f t="shared" si="2"/>
        <v>SpellData.create(SID_MANA_LEECH,"法力汲取",0,0,5,OrderId("healingwave"),1,ORDER_TYPE_TARGET);</v>
      </c>
      <c r="L152" s="103"/>
      <c r="M152" s="103"/>
      <c r="N152" s="103"/>
      <c r="O152" s="103"/>
      <c r="P152" s="103"/>
      <c r="Q152" s="103"/>
      <c r="R152" s="103"/>
      <c r="S152" s="103"/>
      <c r="T152" s="103"/>
      <c r="U152" s="103"/>
      <c r="V152" s="103"/>
      <c r="W152" s="103"/>
      <c r="X152" s="103"/>
    </row>
    <row r="153" spans="1:24" x14ac:dyDescent="0.2">
      <c r="A153" s="103" t="s">
        <v>1614</v>
      </c>
      <c r="B153" s="130" t="str">
        <f>CreepAbilities!E15</f>
        <v>邪恶狂热</v>
      </c>
      <c r="C153" s="130" t="str">
        <f>CreepAbilities!F15</f>
        <v>Unholy Frenzy</v>
      </c>
      <c r="D153" s="130">
        <f>IF(CreepAbilities!K15="",0,CreepAbilities!K15)</f>
        <v>0</v>
      </c>
      <c r="E153" s="130">
        <f>IF(CreepAbilities!O15="",0,CreepAbilities!O15)</f>
        <v>0</v>
      </c>
      <c r="F153" s="130">
        <f>IF(CreepAbilities!Q15="",0,CreepAbilities!Q15)</f>
        <v>12</v>
      </c>
      <c r="G153" s="130" t="str">
        <f>IF(CreepAbilities!X15=0,0,CONCATENATE("OrderId(",CHAR(34),CreepAbilities!X15,CHAR(34),")"))</f>
        <v>OrderId("sleep")</v>
      </c>
      <c r="H153" s="103">
        <v>1</v>
      </c>
      <c r="I153" s="103" t="s">
        <v>997</v>
      </c>
      <c r="J153" s="103"/>
      <c r="K153" s="101" t="str">
        <f t="shared" si="2"/>
        <v>SpellData.create(SID_UNHOLY_FRENZY,"邪恶狂热",0,0,12,OrderId("sleep"),1,ORDER_TYPE_IMMEDIATE);</v>
      </c>
      <c r="L153" s="103"/>
      <c r="M153" s="103"/>
      <c r="N153" s="103"/>
      <c r="O153" s="103"/>
      <c r="P153" s="103"/>
      <c r="Q153" s="103"/>
      <c r="R153" s="103"/>
      <c r="S153" s="103"/>
      <c r="T153" s="103"/>
      <c r="U153" s="103"/>
      <c r="V153" s="103"/>
      <c r="W153" s="103"/>
      <c r="X153" s="103"/>
    </row>
    <row r="154" spans="1:24" x14ac:dyDescent="0.2">
      <c r="A154" s="103" t="s">
        <v>1618</v>
      </c>
      <c r="B154" s="130" t="str">
        <f>CreepAbilities!E16</f>
        <v>混乱跳跃</v>
      </c>
      <c r="C154" s="130" t="str">
        <f>CreepAbilities!F16</f>
        <v>Chaos Leap</v>
      </c>
      <c r="D154" s="130">
        <f>IF(CreepAbilities!K16="",0,CreepAbilities!K16)</f>
        <v>0</v>
      </c>
      <c r="E154" s="130">
        <f>IF(CreepAbilities!O16="",0,CreepAbilities!O16)</f>
        <v>0</v>
      </c>
      <c r="F154" s="130">
        <f>IF(CreepAbilities!Q16="",0,CreepAbilities!Q16)</f>
        <v>20</v>
      </c>
      <c r="G154" s="130" t="str">
        <f>IF(CreepAbilities!X16=0,0,CONCATENATE("OrderId(",CHAR(34),CreepAbilities!X16,CHAR(34),")"))</f>
        <v>OrderId("sleep")</v>
      </c>
      <c r="H154" s="103">
        <v>1</v>
      </c>
      <c r="I154" s="103" t="s">
        <v>1194</v>
      </c>
      <c r="J154" s="103"/>
      <c r="K154" s="101" t="str">
        <f t="shared" si="2"/>
        <v>SpellData.create(SID_CHAOS_LEAP,"混乱跳跃",0,0,20,OrderId("sleep"),1,ORDER_TYPE_TARGET);</v>
      </c>
      <c r="L154" s="103"/>
      <c r="M154" s="103"/>
      <c r="N154" s="103"/>
      <c r="O154" s="103"/>
      <c r="P154" s="103"/>
      <c r="Q154" s="103"/>
      <c r="R154" s="103"/>
      <c r="S154" s="103"/>
      <c r="T154" s="103"/>
      <c r="U154" s="103"/>
      <c r="V154" s="103"/>
      <c r="W154" s="103"/>
      <c r="X154" s="103"/>
    </row>
    <row r="155" spans="1:24" x14ac:dyDescent="0.2">
      <c r="A155" s="103" t="s">
        <v>1626</v>
      </c>
      <c r="B155" s="130" t="str">
        <f>CreepAbilities!E17</f>
        <v>战争践踏</v>
      </c>
      <c r="C155" s="130" t="str">
        <f>CreepAbilities!F17</f>
        <v>War Stomp</v>
      </c>
      <c r="D155" s="130">
        <f>IF(CreepAbilities!K17="",0,CreepAbilities!K17)</f>
        <v>4</v>
      </c>
      <c r="E155" s="130">
        <f>IF(CreepAbilities!O17="",0,CreepAbilities!O17)</f>
        <v>0</v>
      </c>
      <c r="F155" s="130">
        <f>IF(CreepAbilities!Q17="",0,CreepAbilities!Q17)</f>
        <v>8</v>
      </c>
      <c r="G155" s="130" t="str">
        <f>IF(CreepAbilities!X17=0,0,CONCATENATE("OrderId(",CHAR(34),CreepAbilities!X17,CHAR(34),")"))</f>
        <v>OrderId("sleep")</v>
      </c>
      <c r="H155" s="103">
        <v>1</v>
      </c>
      <c r="I155" s="103" t="s">
        <v>997</v>
      </c>
      <c r="J155" s="103"/>
      <c r="K155" s="101" t="str">
        <f t="shared" si="2"/>
        <v>SpellData.create(SID_WAR_STOMP,"战争践踏",0,4,8,OrderId("sleep"),1,ORDER_TYPE_IMMEDIATE);</v>
      </c>
      <c r="L155" s="103"/>
      <c r="M155" s="103"/>
      <c r="N155" s="103"/>
      <c r="O155" s="103"/>
      <c r="P155" s="103"/>
      <c r="Q155" s="103"/>
      <c r="R155" s="103"/>
      <c r="S155" s="103"/>
      <c r="T155" s="103"/>
      <c r="U155" s="103"/>
      <c r="V155" s="103"/>
      <c r="W155" s="103"/>
      <c r="X155" s="103"/>
    </row>
    <row r="156" spans="1:24" x14ac:dyDescent="0.2">
      <c r="A156" s="103" t="s">
        <v>1628</v>
      </c>
      <c r="B156" s="130" t="str">
        <f>CreepAbilities!E18</f>
        <v>战斗命令</v>
      </c>
      <c r="C156" s="130" t="str">
        <f>CreepAbilities!F18</f>
        <v>Battle Command</v>
      </c>
      <c r="D156" s="130">
        <f>IF(CreepAbilities!K18="",0,CreepAbilities!K18)</f>
        <v>0</v>
      </c>
      <c r="E156" s="130">
        <f>IF(CreepAbilities!O18="",0,CreepAbilities!O18)</f>
        <v>0</v>
      </c>
      <c r="F156" s="130">
        <f>IF(CreepAbilities!Q18="",0,CreepAbilities!Q18)</f>
        <v>6</v>
      </c>
      <c r="G156" s="130" t="str">
        <f>IF(CreepAbilities!X18=0,0,CONCATENATE("OrderId(",CHAR(34),CreepAbilities!X18,CHAR(34),")"))</f>
        <v>OrderId("slow")</v>
      </c>
      <c r="H156" s="103">
        <v>1</v>
      </c>
      <c r="I156" s="103" t="s">
        <v>1194</v>
      </c>
      <c r="J156" s="103"/>
      <c r="K156" s="101" t="str">
        <f t="shared" si="2"/>
        <v>SpellData.create(SID_BATTLE_COMMAND,"战斗命令",0,0,6,OrderId("slow"),1,ORDER_TYPE_TARGET);</v>
      </c>
      <c r="L156" s="103"/>
      <c r="M156" s="103"/>
      <c r="N156" s="103"/>
      <c r="O156" s="103"/>
      <c r="P156" s="103"/>
      <c r="Q156" s="103"/>
      <c r="R156" s="103"/>
      <c r="S156" s="103"/>
      <c r="T156" s="103"/>
      <c r="U156" s="103"/>
      <c r="V156" s="103"/>
      <c r="W156" s="103"/>
      <c r="X156" s="103"/>
    </row>
    <row r="157" spans="1:24" s="126" customFormat="1" x14ac:dyDescent="0.2">
      <c r="A157" s="129" t="s">
        <v>1195</v>
      </c>
      <c r="B157" s="130" t="str">
        <f>CreepAbilities!E19</f>
        <v>炽热疾速</v>
      </c>
      <c r="C157" s="130" t="str">
        <f>CreepAbilities!F19</f>
        <v>Blazing Haste</v>
      </c>
      <c r="D157" s="130">
        <f>IF(CreepAbilities!K19="",0,CreepAbilities!K19)</f>
        <v>0</v>
      </c>
      <c r="E157" s="130">
        <f>IF(CreepAbilities!O19="",0,CreepAbilities!O19)</f>
        <v>75</v>
      </c>
      <c r="F157" s="130">
        <f>IF(CreepAbilities!Q19="",0,CreepAbilities!Q19)</f>
        <v>5</v>
      </c>
      <c r="G157" s="130" t="str">
        <f>IF(CreepAbilities!X19=0,0,CONCATENATE("OrderId(",CHAR(34),CreepAbilities!X19,CHAR(34),")"))</f>
        <v>OrderId("heal")</v>
      </c>
      <c r="H157" s="129">
        <v>1</v>
      </c>
      <c r="I157" s="129" t="s">
        <v>1194</v>
      </c>
      <c r="J157" s="129"/>
      <c r="K157" s="101" t="str">
        <f t="shared" si="2"/>
        <v>SpellData.create(SID_BLAZING_HASTE,"炽热疾速",75,0,5,OrderId("heal"),1,ORDER_TYPE_TARGET);</v>
      </c>
      <c r="L157" s="129"/>
      <c r="M157" s="129"/>
      <c r="N157" s="129"/>
      <c r="O157" s="129"/>
      <c r="P157" s="129"/>
      <c r="Q157" s="129"/>
      <c r="R157" s="129"/>
      <c r="S157" s="129"/>
      <c r="T157" s="129"/>
      <c r="U157" s="129"/>
      <c r="V157" s="129"/>
      <c r="W157" s="129"/>
      <c r="X157" s="129"/>
    </row>
    <row r="158" spans="1:24" s="126" customFormat="1" x14ac:dyDescent="0.2">
      <c r="A158" s="129" t="s">
        <v>1633</v>
      </c>
      <c r="B158" s="130" t="str">
        <f>CreepAbilities!E20</f>
        <v>连珠火球</v>
      </c>
      <c r="C158" s="130" t="str">
        <f>CreepAbilities!F20</f>
        <v>Fire Ball</v>
      </c>
      <c r="D158" s="130">
        <f>IF(CreepAbilities!K20="",0,CreepAbilities!K20)</f>
        <v>3</v>
      </c>
      <c r="E158" s="130">
        <f>IF(CreepAbilities!O20="",0,CreepAbilities!O20)</f>
        <v>100</v>
      </c>
      <c r="F158" s="130">
        <f>IF(CreepAbilities!Q20="",0,CreepAbilities!Q20)</f>
        <v>1</v>
      </c>
      <c r="G158" s="130" t="str">
        <f>IF(CreepAbilities!X20=0,0,CONCATENATE("OrderId(",CHAR(34),CreepAbilities!X20,CHAR(34),")"))</f>
        <v>OrderId("sleep")</v>
      </c>
      <c r="H158" s="129">
        <v>1</v>
      </c>
      <c r="I158" s="103" t="s">
        <v>997</v>
      </c>
      <c r="J158" s="129"/>
      <c r="K158" s="101" t="str">
        <f t="shared" si="2"/>
        <v>SpellData.create(SID_FIRE_BALL,"连珠火球",100,3,1,OrderId("sleep"),1,ORDER_TYPE_IMMEDIATE);</v>
      </c>
      <c r="L158" s="129"/>
      <c r="M158" s="129"/>
      <c r="N158" s="129"/>
      <c r="O158" s="129"/>
      <c r="P158" s="129"/>
      <c r="Q158" s="129"/>
      <c r="R158" s="129"/>
      <c r="S158" s="129"/>
      <c r="T158" s="129"/>
      <c r="U158" s="129"/>
      <c r="V158" s="129"/>
      <c r="W158" s="129"/>
      <c r="X158" s="129"/>
    </row>
    <row r="159" spans="1:24" s="126" customFormat="1" x14ac:dyDescent="0.2">
      <c r="A159" s="129" t="s">
        <v>1634</v>
      </c>
      <c r="B159" s="130" t="str">
        <f>CreepAbilities!E21</f>
        <v>烈焰震击</v>
      </c>
      <c r="C159" s="130" t="str">
        <f>CreepAbilities!F21</f>
        <v>Flame Shock</v>
      </c>
      <c r="D159" s="130">
        <f>IF(CreepAbilities!K21="",0,CreepAbilities!K21)</f>
        <v>0</v>
      </c>
      <c r="E159" s="130">
        <f>IF(CreepAbilities!O21="",0,CreepAbilities!O21)</f>
        <v>50</v>
      </c>
      <c r="F159" s="130">
        <f>IF(CreepAbilities!Q21="",0,CreepAbilities!Q21)</f>
        <v>5</v>
      </c>
      <c r="G159" s="130" t="str">
        <f>IF(CreepAbilities!X21=0,0,CONCATENATE("OrderId(",CHAR(34),CreepAbilities!X21,CHAR(34),")"))</f>
        <v>OrderId("slow")</v>
      </c>
      <c r="H159" s="129">
        <v>1</v>
      </c>
      <c r="I159" s="129" t="s">
        <v>1194</v>
      </c>
      <c r="J159" s="129"/>
      <c r="K159" s="101" t="str">
        <f t="shared" si="2"/>
        <v>SpellData.create(SID_FLAME_SHOCK,"烈焰震击",50,0,5,OrderId("slow"),1,ORDER_TYPE_TARGET);</v>
      </c>
      <c r="L159" s="129"/>
      <c r="M159" s="129"/>
      <c r="N159" s="129"/>
      <c r="O159" s="129"/>
      <c r="P159" s="129"/>
      <c r="Q159" s="129"/>
      <c r="R159" s="129"/>
      <c r="S159" s="129"/>
      <c r="T159" s="129"/>
      <c r="U159" s="129"/>
      <c r="V159" s="129"/>
      <c r="W159" s="129"/>
      <c r="X159" s="129"/>
    </row>
    <row r="160" spans="1:24" s="128" customFormat="1" x14ac:dyDescent="0.2">
      <c r="A160" s="127" t="s">
        <v>1193</v>
      </c>
      <c r="B160" s="127" t="s">
        <v>1192</v>
      </c>
      <c r="C160" s="127" t="s">
        <v>1191</v>
      </c>
      <c r="D160" s="127">
        <v>0</v>
      </c>
      <c r="E160" s="127">
        <v>0</v>
      </c>
      <c r="F160" s="127">
        <v>1</v>
      </c>
      <c r="G160" s="127" t="s">
        <v>998</v>
      </c>
      <c r="H160" s="127">
        <v>1</v>
      </c>
      <c r="I160" s="127" t="s">
        <v>997</v>
      </c>
      <c r="J160" s="127"/>
      <c r="K160" s="101" t="str">
        <f t="shared" si="2"/>
        <v>SpellData.create(SIDCALLTOARMS,"战斗召唤",0,0,1,OrderId("channel"),1,ORDER_TYPE_IMMEDIATE);</v>
      </c>
      <c r="L160" s="127"/>
      <c r="M160" s="127"/>
      <c r="N160" s="127"/>
      <c r="O160" s="127"/>
      <c r="P160" s="127"/>
      <c r="Q160" s="127"/>
      <c r="R160" s="127"/>
      <c r="S160" s="127"/>
      <c r="T160" s="127"/>
      <c r="U160" s="127"/>
      <c r="V160" s="127"/>
      <c r="W160" s="127"/>
      <c r="X160" s="127"/>
    </row>
    <row r="161" spans="1:24" s="128" customFormat="1" x14ac:dyDescent="0.2">
      <c r="A161" s="127" t="s">
        <v>1190</v>
      </c>
      <c r="B161" s="127" t="s">
        <v>1189</v>
      </c>
      <c r="C161" s="127" t="s">
        <v>1188</v>
      </c>
      <c r="D161" s="127">
        <v>0</v>
      </c>
      <c r="E161" s="127">
        <v>0</v>
      </c>
      <c r="F161" s="127">
        <v>1</v>
      </c>
      <c r="G161" s="127" t="s">
        <v>998</v>
      </c>
      <c r="H161" s="127">
        <v>1</v>
      </c>
      <c r="I161" s="127" t="s">
        <v>997</v>
      </c>
      <c r="J161" s="127"/>
      <c r="K161" s="101" t="str">
        <f t="shared" si="2"/>
        <v>SpellData.create(SID_CTHUNS_DERANGEMENT,"上古狂乱",0,0,1,OrderId("channel"),1,ORDER_TYPE_IMMEDIATE);</v>
      </c>
      <c r="L161" s="127"/>
      <c r="M161" s="127"/>
      <c r="N161" s="127"/>
      <c r="O161" s="127"/>
      <c r="P161" s="127"/>
      <c r="Q161" s="127"/>
      <c r="R161" s="127"/>
      <c r="S161" s="127"/>
      <c r="T161" s="127"/>
      <c r="U161" s="127"/>
      <c r="V161" s="127"/>
      <c r="W161" s="127"/>
      <c r="X161" s="127"/>
    </row>
    <row r="162" spans="1:24" s="128" customFormat="1" x14ac:dyDescent="0.2">
      <c r="A162" s="127" t="s">
        <v>1187</v>
      </c>
      <c r="B162" s="127" t="s">
        <v>1186</v>
      </c>
      <c r="C162" s="127" t="s">
        <v>1185</v>
      </c>
      <c r="D162" s="127">
        <v>0</v>
      </c>
      <c r="E162" s="127">
        <v>0</v>
      </c>
      <c r="F162" s="127">
        <v>1</v>
      </c>
      <c r="G162" s="127" t="s">
        <v>998</v>
      </c>
      <c r="H162" s="127">
        <v>1</v>
      </c>
      <c r="I162" s="127" t="s">
        <v>997</v>
      </c>
      <c r="J162" s="127"/>
      <c r="K162" s="101" t="str">
        <f t="shared" si="2"/>
        <v>SpellData.create(SIDENIGMA,"谜团",0,0,1,OrderId("channel"),1,ORDER_TYPE_IMMEDIATE);</v>
      </c>
      <c r="L162" s="127"/>
      <c r="M162" s="127"/>
      <c r="N162" s="127"/>
      <c r="O162" s="127"/>
      <c r="P162" s="127"/>
      <c r="Q162" s="127"/>
      <c r="R162" s="127"/>
      <c r="S162" s="127"/>
      <c r="T162" s="127"/>
      <c r="U162" s="127"/>
      <c r="V162" s="127"/>
      <c r="W162" s="127"/>
      <c r="X162" s="127"/>
    </row>
    <row r="163" spans="1:24" s="128" customFormat="1" x14ac:dyDescent="0.2">
      <c r="A163" s="127" t="s">
        <v>1184</v>
      </c>
      <c r="B163" s="127" t="s">
        <v>1183</v>
      </c>
      <c r="C163" s="127" t="s">
        <v>1182</v>
      </c>
      <c r="D163" s="127">
        <v>0</v>
      </c>
      <c r="E163" s="127">
        <v>0</v>
      </c>
      <c r="F163" s="127">
        <v>1</v>
      </c>
      <c r="G163" s="127" t="s">
        <v>998</v>
      </c>
      <c r="H163" s="127">
        <v>1</v>
      </c>
      <c r="I163" s="127" t="s">
        <v>997</v>
      </c>
      <c r="J163" s="127"/>
      <c r="K163" s="101" t="str">
        <f t="shared" si="2"/>
        <v>SpellData.create(SID_GOBLIN_ROCKET_BOOTS_LIMITED_EDITION,"地精火箭靴",0,0,1,OrderId("channel"),1,ORDER_TYPE_IMMEDIATE);</v>
      </c>
      <c r="L163" s="127"/>
      <c r="M163" s="127"/>
      <c r="N163" s="127"/>
      <c r="O163" s="127"/>
      <c r="P163" s="127"/>
      <c r="Q163" s="127"/>
      <c r="R163" s="127"/>
      <c r="S163" s="127"/>
      <c r="T163" s="127"/>
      <c r="U163" s="127"/>
      <c r="V163" s="127"/>
      <c r="W163" s="127"/>
      <c r="X163" s="127"/>
    </row>
    <row r="164" spans="1:24" s="128" customFormat="1" x14ac:dyDescent="0.2">
      <c r="A164" s="127" t="s">
        <v>1181</v>
      </c>
      <c r="B164" s="127" t="s">
        <v>1180</v>
      </c>
      <c r="C164" s="127" t="s">
        <v>1179</v>
      </c>
      <c r="D164" s="127">
        <v>0</v>
      </c>
      <c r="E164" s="127">
        <v>0</v>
      </c>
      <c r="F164" s="127">
        <v>1</v>
      </c>
      <c r="G164" s="127" t="s">
        <v>998</v>
      </c>
      <c r="H164" s="127">
        <v>1</v>
      </c>
      <c r="I164" s="127" t="s">
        <v>997</v>
      </c>
      <c r="J164" s="127"/>
      <c r="K164" s="101" t="str">
        <f t="shared" si="2"/>
        <v>SpellData.create(SID_HEALTH_STONE,"医疗石",0,0,1,OrderId("channel"),1,ORDER_TYPE_IMMEDIATE);</v>
      </c>
      <c r="L164" s="127"/>
      <c r="M164" s="127"/>
      <c r="N164" s="127"/>
      <c r="O164" s="127"/>
      <c r="P164" s="127"/>
      <c r="Q164" s="127"/>
      <c r="R164" s="127"/>
      <c r="S164" s="127"/>
      <c r="T164" s="127"/>
      <c r="U164" s="127"/>
      <c r="V164" s="127"/>
      <c r="W164" s="127"/>
      <c r="X164" s="127"/>
    </row>
    <row r="165" spans="1:24" s="128" customFormat="1" x14ac:dyDescent="0.2">
      <c r="A165" s="127" t="s">
        <v>1178</v>
      </c>
      <c r="B165" s="127" t="s">
        <v>1177</v>
      </c>
      <c r="C165" s="127" t="s">
        <v>1176</v>
      </c>
      <c r="D165" s="127">
        <v>0</v>
      </c>
      <c r="E165" s="127">
        <v>0</v>
      </c>
      <c r="F165" s="127">
        <v>1</v>
      </c>
      <c r="G165" s="127" t="s">
        <v>998</v>
      </c>
      <c r="H165" s="127">
        <v>1</v>
      </c>
      <c r="I165" s="127" t="s">
        <v>997</v>
      </c>
      <c r="J165" s="127"/>
      <c r="K165" s="101" t="str">
        <f t="shared" si="2"/>
        <v>SpellData.create(SID_MANA_STONE,"魔法石",0,0,1,OrderId("channel"),1,ORDER_TYPE_IMMEDIATE);</v>
      </c>
      <c r="L165" s="127"/>
      <c r="M165" s="127"/>
      <c r="N165" s="127"/>
      <c r="O165" s="127"/>
      <c r="P165" s="127"/>
      <c r="Q165" s="127"/>
      <c r="R165" s="127"/>
      <c r="S165" s="127"/>
      <c r="T165" s="127"/>
      <c r="U165" s="127"/>
      <c r="V165" s="127"/>
      <c r="W165" s="127"/>
      <c r="X165" s="127"/>
    </row>
    <row r="166" spans="1:24" s="128" customFormat="1" x14ac:dyDescent="0.2">
      <c r="A166" s="127" t="s">
        <v>1175</v>
      </c>
      <c r="B166" s="127" t="s">
        <v>1174</v>
      </c>
      <c r="C166" s="127" t="s">
        <v>1173</v>
      </c>
      <c r="D166" s="127">
        <v>0</v>
      </c>
      <c r="E166" s="127">
        <v>0</v>
      </c>
      <c r="F166" s="127">
        <v>1</v>
      </c>
      <c r="G166" s="127" t="s">
        <v>998</v>
      </c>
      <c r="H166" s="127">
        <v>1</v>
      </c>
      <c r="I166" s="127" t="s">
        <v>997</v>
      </c>
      <c r="J166" s="127"/>
      <c r="K166" s="101" t="str">
        <f t="shared" si="2"/>
        <v>SpellData.create(SID_HEX_SHRUNKEN_HEAD,"妖术之颅",0,0,1,OrderId("channel"),1,ORDER_TYPE_IMMEDIATE);</v>
      </c>
      <c r="L166" s="127"/>
      <c r="M166" s="127"/>
      <c r="N166" s="127"/>
      <c r="O166" s="127"/>
      <c r="P166" s="127"/>
      <c r="Q166" s="127"/>
      <c r="R166" s="127"/>
      <c r="S166" s="127"/>
      <c r="T166" s="127"/>
      <c r="U166" s="127"/>
      <c r="V166" s="127"/>
      <c r="W166" s="127"/>
      <c r="X166" s="127"/>
    </row>
    <row r="167" spans="1:24" s="128" customFormat="1" x14ac:dyDescent="0.2">
      <c r="A167" s="127" t="s">
        <v>1172</v>
      </c>
      <c r="B167" s="127" t="s">
        <v>1171</v>
      </c>
      <c r="C167" s="127" t="s">
        <v>1170</v>
      </c>
      <c r="D167" s="127">
        <v>0</v>
      </c>
      <c r="E167" s="127">
        <v>0</v>
      </c>
      <c r="F167" s="127">
        <v>1</v>
      </c>
      <c r="G167" s="127" t="s">
        <v>998</v>
      </c>
      <c r="H167" s="127">
        <v>1</v>
      </c>
      <c r="I167" s="127" t="s">
        <v>997</v>
      </c>
      <c r="J167" s="127"/>
      <c r="K167" s="101" t="str">
        <f t="shared" si="2"/>
        <v>SpellData.create(SID_ICON_OF_THE_UNGLAZED_CRESCENT,"无光的新月徽记",0,0,1,OrderId("channel"),1,ORDER_TYPE_IMMEDIATE);</v>
      </c>
      <c r="L167" s="127"/>
      <c r="M167" s="127"/>
      <c r="N167" s="127"/>
      <c r="O167" s="127"/>
      <c r="P167" s="127"/>
      <c r="Q167" s="127"/>
      <c r="R167" s="127"/>
      <c r="S167" s="127"/>
      <c r="T167" s="127"/>
      <c r="U167" s="127"/>
      <c r="V167" s="127"/>
      <c r="W167" s="127"/>
      <c r="X167" s="127"/>
    </row>
    <row r="168" spans="1:24" s="128" customFormat="1" x14ac:dyDescent="0.2">
      <c r="A168" s="127" t="s">
        <v>1169</v>
      </c>
      <c r="B168" s="127" t="s">
        <v>1168</v>
      </c>
      <c r="C168" s="127" t="s">
        <v>1167</v>
      </c>
      <c r="D168" s="127">
        <v>0</v>
      </c>
      <c r="E168" s="127">
        <v>0</v>
      </c>
      <c r="F168" s="127">
        <v>1</v>
      </c>
      <c r="G168" s="127" t="s">
        <v>998</v>
      </c>
      <c r="H168" s="127">
        <v>1</v>
      </c>
      <c r="I168" s="127" t="s">
        <v>997</v>
      </c>
      <c r="J168" s="127"/>
      <c r="K168" s="101" t="str">
        <f t="shared" si="2"/>
        <v>SpellData.create(SIDLIGHTSJUSTICE,"圣光的正义",0,0,1,OrderId("channel"),1,ORDER_TYPE_IMMEDIATE);</v>
      </c>
      <c r="L168" s="127"/>
      <c r="M168" s="127"/>
      <c r="N168" s="127"/>
      <c r="O168" s="127"/>
      <c r="P168" s="127"/>
      <c r="Q168" s="127"/>
      <c r="R168" s="127"/>
      <c r="S168" s="127"/>
      <c r="T168" s="127"/>
      <c r="U168" s="127"/>
      <c r="V168" s="127"/>
      <c r="W168" s="127"/>
      <c r="X168" s="127"/>
    </row>
    <row r="169" spans="1:24" s="128" customFormat="1" x14ac:dyDescent="0.2">
      <c r="A169" s="127" t="s">
        <v>1166</v>
      </c>
      <c r="B169" s="127" t="s">
        <v>1165</v>
      </c>
      <c r="C169" s="127" t="s">
        <v>1164</v>
      </c>
      <c r="D169" s="127">
        <v>0</v>
      </c>
      <c r="E169" s="127">
        <v>0</v>
      </c>
      <c r="F169" s="127">
        <v>1</v>
      </c>
      <c r="G169" s="127" t="s">
        <v>998</v>
      </c>
      <c r="H169" s="127">
        <v>1</v>
      </c>
      <c r="I169" s="127" t="s">
        <v>997</v>
      </c>
      <c r="J169" s="127"/>
      <c r="K169" s="101" t="str">
        <f t="shared" si="2"/>
        <v>SpellData.create(SID_MOROES_LUCKY_GEAR,"莫罗斯的幸运怀表",0,0,1,OrderId("channel"),1,ORDER_TYPE_IMMEDIATE);</v>
      </c>
      <c r="L169" s="127"/>
      <c r="M169" s="127"/>
      <c r="N169" s="127"/>
      <c r="O169" s="127"/>
      <c r="P169" s="127"/>
      <c r="Q169" s="127"/>
      <c r="R169" s="127"/>
      <c r="S169" s="127"/>
      <c r="T169" s="127"/>
      <c r="U169" s="127"/>
      <c r="V169" s="127"/>
      <c r="W169" s="127"/>
      <c r="X169" s="127"/>
    </row>
    <row r="170" spans="1:24" s="128" customFormat="1" x14ac:dyDescent="0.2">
      <c r="A170" s="127" t="s">
        <v>1163</v>
      </c>
      <c r="B170" s="127" t="s">
        <v>1162</v>
      </c>
      <c r="C170" s="127" t="s">
        <v>1161</v>
      </c>
      <c r="D170" s="127">
        <v>0</v>
      </c>
      <c r="E170" s="127">
        <v>0</v>
      </c>
      <c r="F170" s="127">
        <v>1</v>
      </c>
      <c r="G170" s="127" t="s">
        <v>998</v>
      </c>
      <c r="H170" s="127">
        <v>1</v>
      </c>
      <c r="I170" s="127" t="s">
        <v>997</v>
      </c>
      <c r="J170" s="127"/>
      <c r="K170" s="101" t="str">
        <f t="shared" si="2"/>
        <v>SpellData.create(SIDREFORGEDBADGEOFTENACITY,"重铸的坚韧徽章",0,0,1,OrderId("channel"),1,ORDER_TYPE_IMMEDIATE);</v>
      </c>
      <c r="L170" s="127"/>
      <c r="M170" s="127"/>
      <c r="N170" s="127"/>
      <c r="O170" s="127"/>
      <c r="P170" s="127"/>
      <c r="Q170" s="127"/>
      <c r="R170" s="127"/>
      <c r="S170" s="127"/>
      <c r="T170" s="127"/>
      <c r="U170" s="127"/>
      <c r="V170" s="127"/>
      <c r="W170" s="127"/>
      <c r="X170" s="127"/>
    </row>
    <row r="171" spans="1:24" s="128" customFormat="1" x14ac:dyDescent="0.2">
      <c r="A171" s="127" t="s">
        <v>1160</v>
      </c>
      <c r="B171" s="127" t="s">
        <v>1159</v>
      </c>
      <c r="C171" s="127" t="s">
        <v>1158</v>
      </c>
      <c r="D171" s="127">
        <v>0</v>
      </c>
      <c r="E171" s="127">
        <v>0</v>
      </c>
      <c r="F171" s="127">
        <v>1</v>
      </c>
      <c r="G171" s="127" t="s">
        <v>998</v>
      </c>
      <c r="H171" s="127">
        <v>1</v>
      </c>
      <c r="I171" s="127" t="s">
        <v>997</v>
      </c>
      <c r="J171" s="127"/>
      <c r="K171" s="101" t="str">
        <f t="shared" si="2"/>
        <v>SpellData.create(SID_TYRAELS_MIGHT,"正义天使之力",0,0,1,OrderId("channel"),1,ORDER_TYPE_IMMEDIATE);</v>
      </c>
      <c r="L171" s="127"/>
      <c r="M171" s="127"/>
      <c r="N171" s="127"/>
      <c r="O171" s="127"/>
      <c r="P171" s="127"/>
      <c r="Q171" s="127"/>
      <c r="R171" s="127"/>
      <c r="S171" s="127"/>
      <c r="T171" s="127"/>
      <c r="U171" s="127"/>
      <c r="V171" s="127"/>
      <c r="W171" s="127"/>
      <c r="X171" s="127"/>
    </row>
    <row r="172" spans="1:24" s="128" customFormat="1" x14ac:dyDescent="0.2">
      <c r="A172" s="127" t="s">
        <v>1157</v>
      </c>
      <c r="B172" s="127" t="s">
        <v>1156</v>
      </c>
      <c r="C172" s="127" t="s">
        <v>1155</v>
      </c>
      <c r="D172" s="127">
        <v>0</v>
      </c>
      <c r="E172" s="127">
        <v>0</v>
      </c>
      <c r="F172" s="127">
        <v>1</v>
      </c>
      <c r="G172" s="127" t="s">
        <v>998</v>
      </c>
      <c r="H172" s="127">
        <v>1</v>
      </c>
      <c r="I172" s="127" t="s">
        <v>997</v>
      </c>
      <c r="J172" s="127"/>
      <c r="K172" s="101" t="str">
        <f t="shared" si="2"/>
        <v>SpellData.create(SID_VOODOO_VIAL,"巫毒瓶",0,0,1,OrderId("channel"),1,ORDER_TYPE_IMMEDIATE);</v>
      </c>
      <c r="L172" s="127"/>
      <c r="M172" s="127"/>
      <c r="N172" s="127"/>
      <c r="O172" s="127"/>
      <c r="P172" s="127"/>
      <c r="Q172" s="127"/>
      <c r="R172" s="127"/>
      <c r="S172" s="127"/>
      <c r="T172" s="127"/>
      <c r="U172" s="127"/>
      <c r="V172" s="127"/>
      <c r="W172" s="127"/>
      <c r="X172" s="127"/>
    </row>
    <row r="173" spans="1:24" x14ac:dyDescent="0.2">
      <c r="A173" s="102" t="s">
        <v>1154</v>
      </c>
      <c r="B173" s="102" t="s">
        <v>1153</v>
      </c>
      <c r="C173" s="102" t="s">
        <v>1152</v>
      </c>
      <c r="D173" s="102">
        <v>0</v>
      </c>
      <c r="E173" s="102">
        <v>0</v>
      </c>
      <c r="F173" s="102">
        <v>1</v>
      </c>
      <c r="G173" s="102" t="s">
        <v>998</v>
      </c>
      <c r="H173" s="102">
        <v>1</v>
      </c>
      <c r="I173" s="102" t="s">
        <v>997</v>
      </c>
      <c r="J173" s="102"/>
      <c r="K173" s="101" t="str">
        <f t="shared" si="2"/>
        <v>SpellData.create(SID_ARMAGEDDON_SCROLL,"末日审判",0,0,1,OrderId("channel"),1,ORDER_TYPE_IMMEDIATE);</v>
      </c>
      <c r="L173" s="102"/>
      <c r="M173" s="102"/>
      <c r="N173" s="102"/>
      <c r="O173" s="102"/>
      <c r="P173" s="102"/>
      <c r="Q173" s="102"/>
      <c r="R173" s="102"/>
      <c r="S173" s="102"/>
      <c r="T173" s="102"/>
      <c r="U173" s="102"/>
      <c r="V173" s="102"/>
      <c r="W173" s="102"/>
      <c r="X173" s="102"/>
    </row>
    <row r="174" spans="1:24" x14ac:dyDescent="0.2">
      <c r="A174" s="102" t="s">
        <v>1151</v>
      </c>
      <c r="B174" s="102" t="s">
        <v>1150</v>
      </c>
      <c r="C174" s="102" t="s">
        <v>1149</v>
      </c>
      <c r="D174" s="102">
        <v>0</v>
      </c>
      <c r="E174" s="102">
        <v>0</v>
      </c>
      <c r="F174" s="102">
        <v>1</v>
      </c>
      <c r="G174" s="102" t="s">
        <v>998</v>
      </c>
      <c r="H174" s="102">
        <v>1</v>
      </c>
      <c r="I174" s="102" t="s">
        <v>997</v>
      </c>
      <c r="J174" s="102"/>
      <c r="K174" s="101" t="str">
        <f t="shared" si="2"/>
        <v>SpellData.create(SID_ARANS_COUNTER_SPELL_SCROLL,"埃兰的反制卷轴",0,0,1,OrderId("channel"),1,ORDER_TYPE_IMMEDIATE);</v>
      </c>
      <c r="L174" s="102"/>
      <c r="M174" s="102"/>
      <c r="N174" s="102"/>
      <c r="O174" s="102"/>
      <c r="P174" s="102"/>
      <c r="Q174" s="102"/>
      <c r="R174" s="102"/>
      <c r="S174" s="102"/>
      <c r="T174" s="102"/>
      <c r="U174" s="102"/>
      <c r="V174" s="102"/>
      <c r="W174" s="102"/>
      <c r="X174" s="102"/>
    </row>
    <row r="175" spans="1:24" x14ac:dyDescent="0.2">
      <c r="A175" s="102" t="s">
        <v>1148</v>
      </c>
      <c r="B175" s="102" t="s">
        <v>1147</v>
      </c>
      <c r="C175" s="102" t="s">
        <v>1146</v>
      </c>
      <c r="D175" s="102">
        <v>0</v>
      </c>
      <c r="E175" s="102">
        <v>0</v>
      </c>
      <c r="F175" s="102">
        <v>1</v>
      </c>
      <c r="G175" s="102" t="s">
        <v>998</v>
      </c>
      <c r="H175" s="102">
        <v>1</v>
      </c>
      <c r="I175" s="102" t="s">
        <v>997</v>
      </c>
      <c r="J175" s="102"/>
      <c r="K175" s="101" t="str">
        <f t="shared" si="2"/>
        <v>SpellData.create(SID_BANSHEE_SCROLL,"女妖之嚎卷轴",0,0,1,OrderId("channel"),1,ORDER_TYPE_IMMEDIATE);</v>
      </c>
      <c r="L175" s="102"/>
      <c r="M175" s="102"/>
      <c r="N175" s="102"/>
      <c r="O175" s="102"/>
      <c r="P175" s="102"/>
      <c r="Q175" s="102"/>
      <c r="R175" s="102"/>
      <c r="S175" s="102"/>
      <c r="T175" s="102"/>
      <c r="U175" s="102"/>
      <c r="V175" s="102"/>
      <c r="W175" s="102"/>
      <c r="X175" s="102"/>
    </row>
    <row r="176" spans="1:24" x14ac:dyDescent="0.2">
      <c r="A176" s="102" t="s">
        <v>1145</v>
      </c>
      <c r="B176" s="102" t="s">
        <v>1144</v>
      </c>
      <c r="C176" s="102" t="s">
        <v>1143</v>
      </c>
      <c r="D176" s="102">
        <v>0</v>
      </c>
      <c r="E176" s="102">
        <v>0</v>
      </c>
      <c r="F176" s="102">
        <v>1</v>
      </c>
      <c r="G176" s="102" t="s">
        <v>998</v>
      </c>
      <c r="H176" s="102">
        <v>1</v>
      </c>
      <c r="I176" s="102" t="s">
        <v>997</v>
      </c>
      <c r="J176" s="102"/>
      <c r="K176" s="101" t="str">
        <f t="shared" si="2"/>
        <v>SpellData.create(SID_CORRUPTION_SCROLL,"腐蚀卷轴",0,0,1,OrderId("channel"),1,ORDER_TYPE_IMMEDIATE);</v>
      </c>
      <c r="L176" s="102"/>
      <c r="M176" s="102"/>
      <c r="N176" s="102"/>
      <c r="O176" s="102"/>
      <c r="P176" s="102"/>
      <c r="Q176" s="102"/>
      <c r="R176" s="102"/>
      <c r="S176" s="102"/>
      <c r="T176" s="102"/>
      <c r="U176" s="102"/>
      <c r="V176" s="102"/>
      <c r="W176" s="102"/>
      <c r="X176" s="102"/>
    </row>
    <row r="177" spans="1:24" x14ac:dyDescent="0.2">
      <c r="A177" s="102" t="s">
        <v>1142</v>
      </c>
      <c r="B177" s="102" t="s">
        <v>1141</v>
      </c>
      <c r="C177" s="102" t="s">
        <v>1140</v>
      </c>
      <c r="D177" s="102">
        <v>0</v>
      </c>
      <c r="E177" s="102">
        <v>0</v>
      </c>
      <c r="F177" s="102">
        <v>1</v>
      </c>
      <c r="G177" s="102" t="s">
        <v>998</v>
      </c>
      <c r="H177" s="102">
        <v>1</v>
      </c>
      <c r="I177" s="102" t="s">
        <v>997</v>
      </c>
      <c r="J177" s="102"/>
      <c r="K177" s="101" t="str">
        <f t="shared" si="2"/>
        <v>SpellData.create(SID_DEFEND_SCROLL,"守护卷轴",0,0,1,OrderId("channel"),1,ORDER_TYPE_IMMEDIATE);</v>
      </c>
      <c r="L177" s="102"/>
      <c r="M177" s="102"/>
      <c r="N177" s="102"/>
      <c r="O177" s="102"/>
      <c r="P177" s="102"/>
      <c r="Q177" s="102"/>
      <c r="R177" s="102"/>
      <c r="S177" s="102"/>
      <c r="T177" s="102"/>
      <c r="U177" s="102"/>
      <c r="V177" s="102"/>
      <c r="W177" s="102"/>
      <c r="X177" s="102"/>
    </row>
    <row r="178" spans="1:24" x14ac:dyDescent="0.2">
      <c r="A178" s="102" t="s">
        <v>1139</v>
      </c>
      <c r="B178" s="102" t="s">
        <v>1138</v>
      </c>
      <c r="C178" s="102" t="s">
        <v>1137</v>
      </c>
      <c r="D178" s="102">
        <v>0</v>
      </c>
      <c r="E178" s="102">
        <v>0</v>
      </c>
      <c r="F178" s="102">
        <v>1</v>
      </c>
      <c r="G178" s="102" t="s">
        <v>998</v>
      </c>
      <c r="H178" s="102">
        <v>1</v>
      </c>
      <c r="I178" s="102" t="s">
        <v>997</v>
      </c>
      <c r="J178" s="102"/>
      <c r="K178" s="101" t="str">
        <f t="shared" si="2"/>
        <v>SpellData.create(SID_FRENZY_SCROLL,"狂热卷轴",0,0,1,OrderId("channel"),1,ORDER_TYPE_IMMEDIATE);</v>
      </c>
      <c r="L178" s="102"/>
      <c r="M178" s="102"/>
      <c r="N178" s="102"/>
      <c r="O178" s="102"/>
      <c r="P178" s="102"/>
      <c r="Q178" s="102"/>
      <c r="R178" s="102"/>
      <c r="S178" s="102"/>
      <c r="T178" s="102"/>
      <c r="U178" s="102"/>
      <c r="V178" s="102"/>
      <c r="W178" s="102"/>
      <c r="X178" s="102"/>
    </row>
    <row r="179" spans="1:24" x14ac:dyDescent="0.2">
      <c r="A179" s="102" t="s">
        <v>1136</v>
      </c>
      <c r="B179" s="102" t="s">
        <v>1135</v>
      </c>
      <c r="C179" s="102" t="s">
        <v>1134</v>
      </c>
      <c r="D179" s="102">
        <v>0</v>
      </c>
      <c r="E179" s="102">
        <v>0</v>
      </c>
      <c r="F179" s="102">
        <v>1</v>
      </c>
      <c r="G179" s="102" t="s">
        <v>998</v>
      </c>
      <c r="H179" s="102">
        <v>1</v>
      </c>
      <c r="I179" s="102" t="s">
        <v>997</v>
      </c>
      <c r="J179" s="102"/>
      <c r="K179" s="101" t="str">
        <f t="shared" si="2"/>
        <v>SpellData.create(SID_HEAL_SCROLL,"医疗卷轴",0,0,1,OrderId("channel"),1,ORDER_TYPE_IMMEDIATE);</v>
      </c>
      <c r="L179" s="102"/>
      <c r="M179" s="102"/>
      <c r="N179" s="102"/>
      <c r="O179" s="102"/>
      <c r="P179" s="102"/>
      <c r="Q179" s="102"/>
      <c r="R179" s="102"/>
      <c r="S179" s="102"/>
      <c r="T179" s="102"/>
      <c r="U179" s="102"/>
      <c r="V179" s="102"/>
      <c r="W179" s="102"/>
      <c r="X179" s="102"/>
    </row>
    <row r="180" spans="1:24" x14ac:dyDescent="0.2">
      <c r="A180" s="102" t="s">
        <v>1133</v>
      </c>
      <c r="B180" s="102" t="s">
        <v>1132</v>
      </c>
      <c r="C180" s="102" t="s">
        <v>1131</v>
      </c>
      <c r="D180" s="102">
        <v>0</v>
      </c>
      <c r="E180" s="102">
        <v>0</v>
      </c>
      <c r="F180" s="102">
        <v>1</v>
      </c>
      <c r="G180" s="102" t="s">
        <v>998</v>
      </c>
      <c r="H180" s="102">
        <v>1</v>
      </c>
      <c r="I180" s="102" t="s">
        <v>997</v>
      </c>
      <c r="J180" s="102"/>
      <c r="K180" s="101" t="str">
        <f t="shared" si="2"/>
        <v>SpellData.create(SID_MANA_SCROLL,"魔法卷轴",0,0,1,OrderId("channel"),1,ORDER_TYPE_IMMEDIATE);</v>
      </c>
      <c r="L180" s="102"/>
      <c r="M180" s="102"/>
      <c r="N180" s="102"/>
      <c r="O180" s="102"/>
      <c r="P180" s="102"/>
      <c r="Q180" s="102"/>
      <c r="R180" s="102"/>
      <c r="S180" s="102"/>
      <c r="T180" s="102"/>
      <c r="U180" s="102"/>
      <c r="V180" s="102"/>
      <c r="W180" s="102"/>
      <c r="X180" s="102"/>
    </row>
    <row r="181" spans="1:24" x14ac:dyDescent="0.2">
      <c r="A181" s="102" t="s">
        <v>1130</v>
      </c>
      <c r="B181" s="102" t="s">
        <v>1129</v>
      </c>
      <c r="C181" s="102" t="s">
        <v>1128</v>
      </c>
      <c r="D181" s="102">
        <v>0</v>
      </c>
      <c r="E181" s="102">
        <v>0</v>
      </c>
      <c r="F181" s="102">
        <v>1</v>
      </c>
      <c r="G181" s="102" t="s">
        <v>998</v>
      </c>
      <c r="H181" s="102">
        <v>1</v>
      </c>
      <c r="I181" s="102" t="s">
        <v>997</v>
      </c>
      <c r="J181" s="102"/>
      <c r="K181" s="101" t="str">
        <f t="shared" si="2"/>
        <v>SpellData.create(SID_MASS_DISPEL_SCROLL,"大型驱魔卷轴",0,0,1,OrderId("channel"),1,ORDER_TYPE_IMMEDIATE);</v>
      </c>
      <c r="L181" s="102"/>
      <c r="M181" s="102"/>
      <c r="N181" s="102"/>
      <c r="O181" s="102"/>
      <c r="P181" s="102"/>
      <c r="Q181" s="102"/>
      <c r="R181" s="102"/>
      <c r="S181" s="102"/>
      <c r="T181" s="102"/>
      <c r="U181" s="102"/>
      <c r="V181" s="102"/>
      <c r="W181" s="102"/>
      <c r="X181" s="102"/>
    </row>
    <row r="182" spans="1:24" x14ac:dyDescent="0.2">
      <c r="A182" s="102" t="s">
        <v>1127</v>
      </c>
      <c r="B182" s="102" t="s">
        <v>1126</v>
      </c>
      <c r="C182" s="102" t="s">
        <v>1125</v>
      </c>
      <c r="D182" s="102">
        <v>0</v>
      </c>
      <c r="E182" s="102">
        <v>0</v>
      </c>
      <c r="F182" s="102">
        <v>1</v>
      </c>
      <c r="G182" s="102" t="s">
        <v>998</v>
      </c>
      <c r="H182" s="102">
        <v>1</v>
      </c>
      <c r="I182" s="102" t="s">
        <v>997</v>
      </c>
      <c r="J182" s="102"/>
      <c r="K182" s="101" t="str">
        <f t="shared" si="2"/>
        <v>SpellData.create(SID_MASS_TELEPORT_SCROLL,"群体传送卷轴",0,0,1,OrderId("channel"),1,ORDER_TYPE_IMMEDIATE);</v>
      </c>
      <c r="L182" s="102"/>
      <c r="M182" s="102"/>
      <c r="N182" s="102"/>
      <c r="O182" s="102"/>
      <c r="P182" s="102"/>
      <c r="Q182" s="102"/>
      <c r="R182" s="102"/>
      <c r="S182" s="102"/>
      <c r="T182" s="102"/>
      <c r="U182" s="102"/>
      <c r="V182" s="102"/>
      <c r="W182" s="102"/>
      <c r="X182" s="102"/>
    </row>
    <row r="183" spans="1:24" x14ac:dyDescent="0.2">
      <c r="A183" s="102" t="s">
        <v>1124</v>
      </c>
      <c r="B183" s="102" t="s">
        <v>1123</v>
      </c>
      <c r="C183" s="102" t="s">
        <v>1122</v>
      </c>
      <c r="D183" s="102">
        <v>0</v>
      </c>
      <c r="E183" s="102">
        <v>0</v>
      </c>
      <c r="F183" s="102">
        <v>1</v>
      </c>
      <c r="G183" s="102" t="s">
        <v>998</v>
      </c>
      <c r="H183" s="102">
        <v>1</v>
      </c>
      <c r="I183" s="102" t="s">
        <v>997</v>
      </c>
      <c r="J183" s="102"/>
      <c r="K183" s="101" t="str">
        <f t="shared" si="2"/>
        <v>SpellData.create(SID_ROAR_SCROLL,"野兽卷轴",0,0,1,OrderId("channel"),1,ORDER_TYPE_IMMEDIATE);</v>
      </c>
      <c r="L183" s="102"/>
      <c r="M183" s="102"/>
      <c r="N183" s="102"/>
      <c r="O183" s="102"/>
      <c r="P183" s="102"/>
      <c r="Q183" s="102"/>
      <c r="R183" s="102"/>
      <c r="S183" s="102"/>
      <c r="T183" s="102"/>
      <c r="U183" s="102"/>
      <c r="V183" s="102"/>
      <c r="W183" s="102"/>
      <c r="X183" s="102"/>
    </row>
    <row r="184" spans="1:24" x14ac:dyDescent="0.2">
      <c r="A184" s="102" t="s">
        <v>1121</v>
      </c>
      <c r="B184" s="102" t="s">
        <v>1120</v>
      </c>
      <c r="C184" s="102" t="s">
        <v>1119</v>
      </c>
      <c r="D184" s="102">
        <v>0</v>
      </c>
      <c r="E184" s="102">
        <v>0</v>
      </c>
      <c r="F184" s="102">
        <v>1</v>
      </c>
      <c r="G184" s="102" t="s">
        <v>998</v>
      </c>
      <c r="H184" s="102">
        <v>1</v>
      </c>
      <c r="I184" s="102" t="s">
        <v>997</v>
      </c>
      <c r="J184" s="102"/>
      <c r="K184" s="101" t="str">
        <f t="shared" si="2"/>
        <v>SpellData.create(SID_SANCTUARY_SCROLL,"庇护所卷轴",0,0,1,OrderId("channel"),1,ORDER_TYPE_IMMEDIATE);</v>
      </c>
      <c r="L184" s="102"/>
      <c r="M184" s="102"/>
      <c r="N184" s="102"/>
      <c r="O184" s="102"/>
      <c r="P184" s="102"/>
      <c r="Q184" s="102"/>
      <c r="R184" s="102"/>
      <c r="S184" s="102"/>
      <c r="T184" s="102"/>
      <c r="U184" s="102"/>
      <c r="V184" s="102"/>
      <c r="W184" s="102"/>
      <c r="X184" s="102"/>
    </row>
    <row r="185" spans="1:24" x14ac:dyDescent="0.2">
      <c r="A185" s="102" t="s">
        <v>1118</v>
      </c>
      <c r="B185" s="102" t="s">
        <v>1117</v>
      </c>
      <c r="C185" s="102" t="s">
        <v>1116</v>
      </c>
      <c r="D185" s="102">
        <v>0</v>
      </c>
      <c r="E185" s="102">
        <v>0</v>
      </c>
      <c r="F185" s="102">
        <v>1</v>
      </c>
      <c r="G185" s="102" t="s">
        <v>998</v>
      </c>
      <c r="H185" s="102">
        <v>1</v>
      </c>
      <c r="I185" s="102" t="s">
        <v>997</v>
      </c>
      <c r="J185" s="102"/>
      <c r="K185" s="101" t="str">
        <f t="shared" si="2"/>
        <v>SpellData.create(SID_SLAYER_SCROLL,"杀戮卷轴",0,0,1,OrderId("channel"),1,ORDER_TYPE_IMMEDIATE);</v>
      </c>
      <c r="L185" s="102"/>
      <c r="M185" s="102"/>
      <c r="N185" s="102"/>
      <c r="O185" s="102"/>
      <c r="P185" s="102"/>
      <c r="Q185" s="102"/>
      <c r="R185" s="102"/>
      <c r="S185" s="102"/>
      <c r="T185" s="102"/>
      <c r="U185" s="102"/>
      <c r="V185" s="102"/>
      <c r="W185" s="102"/>
      <c r="X185" s="102"/>
    </row>
    <row r="186" spans="1:24" x14ac:dyDescent="0.2">
      <c r="A186" s="102" t="s">
        <v>1115</v>
      </c>
      <c r="B186" s="102" t="s">
        <v>1114</v>
      </c>
      <c r="C186" s="102" t="s">
        <v>1113</v>
      </c>
      <c r="D186" s="102">
        <v>0</v>
      </c>
      <c r="E186" s="102">
        <v>0</v>
      </c>
      <c r="F186" s="102">
        <v>1</v>
      </c>
      <c r="G186" s="102" t="s">
        <v>998</v>
      </c>
      <c r="H186" s="102">
        <v>1</v>
      </c>
      <c r="I186" s="102" t="s">
        <v>997</v>
      </c>
      <c r="J186" s="102"/>
      <c r="K186" s="101" t="str">
        <f t="shared" si="2"/>
        <v>SpellData.create(SID_SPEED_SCROLL,"加速卷轴",0,0,1,OrderId("channel"),1,ORDER_TYPE_IMMEDIATE);</v>
      </c>
      <c r="L186" s="102"/>
      <c r="M186" s="102"/>
      <c r="N186" s="102"/>
      <c r="O186" s="102"/>
      <c r="P186" s="102"/>
      <c r="Q186" s="102"/>
      <c r="R186" s="102"/>
      <c r="S186" s="102"/>
      <c r="T186" s="102"/>
      <c r="U186" s="102"/>
      <c r="V186" s="102"/>
      <c r="W186" s="102"/>
      <c r="X186" s="102"/>
    </row>
    <row r="187" spans="1:24" x14ac:dyDescent="0.2">
      <c r="A187" s="102" t="s">
        <v>1112</v>
      </c>
      <c r="B187" s="102" t="s">
        <v>1111</v>
      </c>
      <c r="C187" s="102" t="s">
        <v>1110</v>
      </c>
      <c r="D187" s="102">
        <v>0</v>
      </c>
      <c r="E187" s="102">
        <v>0</v>
      </c>
      <c r="F187" s="102">
        <v>1</v>
      </c>
      <c r="G187" s="102" t="s">
        <v>998</v>
      </c>
      <c r="H187" s="102">
        <v>1</v>
      </c>
      <c r="I187" s="102" t="s">
        <v>997</v>
      </c>
      <c r="J187" s="102"/>
      <c r="K187" s="101" t="str">
        <f t="shared" si="2"/>
        <v>SpellData.create(SID_SPELL_REFLECTION_SCROLL,"绝缘卷轴",0,0,1,OrderId("channel"),1,ORDER_TYPE_IMMEDIATE);</v>
      </c>
      <c r="L187" s="102"/>
      <c r="M187" s="102"/>
      <c r="N187" s="102"/>
      <c r="O187" s="102"/>
      <c r="P187" s="102"/>
      <c r="Q187" s="102"/>
      <c r="R187" s="102"/>
      <c r="S187" s="102"/>
      <c r="T187" s="102"/>
      <c r="U187" s="102"/>
      <c r="V187" s="102"/>
      <c r="W187" s="102"/>
      <c r="X187" s="102"/>
    </row>
    <row r="188" spans="1:24" x14ac:dyDescent="0.2">
      <c r="A188" s="102" t="s">
        <v>1109</v>
      </c>
      <c r="B188" s="102" t="s">
        <v>1108</v>
      </c>
      <c r="C188" s="102" t="s">
        <v>1107</v>
      </c>
      <c r="D188" s="102">
        <v>0</v>
      </c>
      <c r="E188" s="102">
        <v>0</v>
      </c>
      <c r="F188" s="102">
        <v>1</v>
      </c>
      <c r="G188" s="102" t="s">
        <v>998</v>
      </c>
      <c r="H188" s="102">
        <v>1</v>
      </c>
      <c r="I188" s="102" t="s">
        <v>997</v>
      </c>
      <c r="J188" s="102"/>
      <c r="K188" s="101" t="str">
        <f t="shared" si="2"/>
        <v>SpellData.create(SID_WEAKEN_CURSE_SCROLL,"虚弱诅咒卷轴",0,0,1,OrderId("channel"),1,ORDER_TYPE_IMMEDIATE);</v>
      </c>
      <c r="L188" s="102"/>
      <c r="M188" s="102"/>
      <c r="N188" s="102"/>
      <c r="O188" s="102"/>
      <c r="P188" s="102"/>
      <c r="Q188" s="102"/>
      <c r="R188" s="102"/>
      <c r="S188" s="102"/>
      <c r="T188" s="102"/>
      <c r="U188" s="102"/>
      <c r="V188" s="102"/>
      <c r="W188" s="102"/>
      <c r="X188" s="102"/>
    </row>
    <row r="189" spans="1:24" x14ac:dyDescent="0.2">
      <c r="A189" s="103" t="s">
        <v>1106</v>
      </c>
      <c r="B189" s="103" t="s">
        <v>1105</v>
      </c>
      <c r="C189" s="103" t="s">
        <v>1104</v>
      </c>
      <c r="D189" s="103">
        <v>0</v>
      </c>
      <c r="E189" s="103">
        <v>0</v>
      </c>
      <c r="F189" s="103">
        <v>1</v>
      </c>
      <c r="G189" s="103" t="s">
        <v>998</v>
      </c>
      <c r="H189" s="103">
        <v>1</v>
      </c>
      <c r="I189" s="103" t="s">
        <v>997</v>
      </c>
      <c r="J189" s="103"/>
      <c r="K189" s="101" t="str">
        <f t="shared" si="2"/>
        <v>SpellData.create(SID_LIFE_POTION,"生命药水",0,0,1,OrderId("channel"),1,ORDER_TYPE_IMMEDIATE);</v>
      </c>
      <c r="L189" s="103"/>
      <c r="M189" s="103"/>
      <c r="N189" s="103"/>
      <c r="O189" s="103"/>
      <c r="P189" s="103"/>
      <c r="Q189" s="103"/>
      <c r="R189" s="103"/>
      <c r="S189" s="103"/>
      <c r="T189" s="103"/>
      <c r="U189" s="103"/>
      <c r="V189" s="103"/>
      <c r="W189" s="103"/>
      <c r="X189" s="103"/>
    </row>
    <row r="190" spans="1:24" x14ac:dyDescent="0.2">
      <c r="A190" s="103" t="s">
        <v>1103</v>
      </c>
      <c r="B190" s="103" t="s">
        <v>1102</v>
      </c>
      <c r="C190" s="103" t="s">
        <v>1101</v>
      </c>
      <c r="D190" s="103">
        <v>0</v>
      </c>
      <c r="E190" s="103">
        <v>0</v>
      </c>
      <c r="F190" s="103">
        <v>1</v>
      </c>
      <c r="G190" s="103" t="s">
        <v>998</v>
      </c>
      <c r="H190" s="103">
        <v>1</v>
      </c>
      <c r="I190" s="103" t="s">
        <v>997</v>
      </c>
      <c r="J190" s="103"/>
      <c r="K190" s="101" t="str">
        <f t="shared" si="2"/>
        <v>SpellData.create(SID_MANA_POTION,"魔法药水",0,0,1,OrderId("channel"),1,ORDER_TYPE_IMMEDIATE);</v>
      </c>
      <c r="L190" s="103"/>
      <c r="M190" s="103"/>
      <c r="N190" s="103"/>
      <c r="O190" s="103"/>
      <c r="P190" s="103"/>
      <c r="Q190" s="103"/>
      <c r="R190" s="103"/>
      <c r="S190" s="103"/>
      <c r="T190" s="103"/>
      <c r="U190" s="103"/>
      <c r="V190" s="103"/>
      <c r="W190" s="103"/>
      <c r="X190" s="103"/>
    </row>
    <row r="191" spans="1:24" x14ac:dyDescent="0.2">
      <c r="A191" s="103" t="s">
        <v>1100</v>
      </c>
      <c r="B191" s="103" t="s">
        <v>1099</v>
      </c>
      <c r="C191" s="103" t="s">
        <v>1098</v>
      </c>
      <c r="D191" s="103">
        <v>0</v>
      </c>
      <c r="E191" s="103">
        <v>0</v>
      </c>
      <c r="F191" s="103">
        <v>1</v>
      </c>
      <c r="G191" s="103" t="s">
        <v>998</v>
      </c>
      <c r="H191" s="103">
        <v>1</v>
      </c>
      <c r="I191" s="103" t="s">
        <v>997</v>
      </c>
      <c r="J191" s="103"/>
      <c r="K191" s="101" t="str">
        <f t="shared" si="2"/>
        <v>SpellData.create(SID_LEECH_POTION,"吸血药水",0,0,1,OrderId("channel"),1,ORDER_TYPE_IMMEDIATE);</v>
      </c>
      <c r="L191" s="103"/>
      <c r="M191" s="103"/>
      <c r="N191" s="103"/>
      <c r="O191" s="103"/>
      <c r="P191" s="103"/>
      <c r="Q191" s="103"/>
      <c r="R191" s="103"/>
      <c r="S191" s="103"/>
      <c r="T191" s="103"/>
      <c r="U191" s="103"/>
      <c r="V191" s="103"/>
      <c r="W191" s="103"/>
      <c r="X191" s="103"/>
    </row>
    <row r="192" spans="1:24" x14ac:dyDescent="0.2">
      <c r="A192" s="103" t="s">
        <v>1097</v>
      </c>
      <c r="B192" s="103" t="s">
        <v>1096</v>
      </c>
      <c r="C192" s="103" t="s">
        <v>1095</v>
      </c>
      <c r="D192" s="103">
        <v>0</v>
      </c>
      <c r="E192" s="103">
        <v>0</v>
      </c>
      <c r="F192" s="103">
        <v>1</v>
      </c>
      <c r="G192" s="103" t="s">
        <v>998</v>
      </c>
      <c r="H192" s="103">
        <v>1</v>
      </c>
      <c r="I192" s="103" t="s">
        <v>997</v>
      </c>
      <c r="J192" s="103"/>
      <c r="K192" s="101" t="str">
        <f t="shared" si="2"/>
        <v>SpellData.create(SID_LIFE_REGEN_POTION,"再生药水",0,0,1,OrderId("channel"),1,ORDER_TYPE_IMMEDIATE);</v>
      </c>
      <c r="L192" s="103"/>
      <c r="M192" s="103"/>
      <c r="N192" s="103"/>
      <c r="O192" s="103"/>
      <c r="P192" s="103"/>
      <c r="Q192" s="103"/>
      <c r="R192" s="103"/>
      <c r="S192" s="103"/>
      <c r="T192" s="103"/>
      <c r="U192" s="103"/>
      <c r="V192" s="103"/>
      <c r="W192" s="103"/>
      <c r="X192" s="103"/>
    </row>
    <row r="193" spans="1:24" x14ac:dyDescent="0.2">
      <c r="A193" s="103" t="s">
        <v>1094</v>
      </c>
      <c r="B193" s="103" t="s">
        <v>1093</v>
      </c>
      <c r="C193" s="103" t="s">
        <v>1092</v>
      </c>
      <c r="D193" s="103">
        <v>0</v>
      </c>
      <c r="E193" s="103">
        <v>0</v>
      </c>
      <c r="F193" s="103">
        <v>1</v>
      </c>
      <c r="G193" s="103" t="s">
        <v>998</v>
      </c>
      <c r="H193" s="103">
        <v>1</v>
      </c>
      <c r="I193" s="103" t="s">
        <v>997</v>
      </c>
      <c r="J193" s="103"/>
      <c r="K193" s="101" t="str">
        <f t="shared" si="2"/>
        <v>SpellData.create(SID_MANA_REGEN_POTION,"清晰预兆药水",0,0,1,OrderId("channel"),1,ORDER_TYPE_IMMEDIATE);</v>
      </c>
      <c r="L193" s="103"/>
      <c r="M193" s="103"/>
      <c r="N193" s="103"/>
      <c r="O193" s="103"/>
      <c r="P193" s="103"/>
      <c r="Q193" s="103"/>
      <c r="R193" s="103"/>
      <c r="S193" s="103"/>
      <c r="T193" s="103"/>
      <c r="U193" s="103"/>
      <c r="V193" s="103"/>
      <c r="W193" s="103"/>
      <c r="X193" s="103"/>
    </row>
    <row r="194" spans="1:24" x14ac:dyDescent="0.2">
      <c r="A194" s="103" t="s">
        <v>1091</v>
      </c>
      <c r="B194" s="103" t="s">
        <v>1090</v>
      </c>
      <c r="C194" s="103" t="s">
        <v>1089</v>
      </c>
      <c r="D194" s="103">
        <v>0</v>
      </c>
      <c r="E194" s="103">
        <v>0</v>
      </c>
      <c r="F194" s="103">
        <v>1</v>
      </c>
      <c r="G194" s="103" t="s">
        <v>998</v>
      </c>
      <c r="H194" s="103">
        <v>1</v>
      </c>
      <c r="I194" s="103" t="s">
        <v>997</v>
      </c>
      <c r="J194" s="103"/>
      <c r="K194" s="101" t="str">
        <f t="shared" si="2"/>
        <v>SpellData.create(SID_MANA_SOURCE_POTION,"魔力之源",0,0,1,OrderId("channel"),1,ORDER_TYPE_IMMEDIATE);</v>
      </c>
      <c r="L194" s="103"/>
      <c r="M194" s="103"/>
      <c r="N194" s="103"/>
      <c r="O194" s="103"/>
      <c r="P194" s="103"/>
      <c r="Q194" s="103"/>
      <c r="R194" s="103"/>
      <c r="S194" s="103"/>
      <c r="T194" s="103"/>
      <c r="U194" s="103"/>
      <c r="V194" s="103"/>
      <c r="W194" s="103"/>
      <c r="X194" s="103"/>
    </row>
    <row r="195" spans="1:24" x14ac:dyDescent="0.2">
      <c r="A195" s="103" t="s">
        <v>1088</v>
      </c>
      <c r="B195" s="103" t="s">
        <v>1087</v>
      </c>
      <c r="C195" s="103" t="s">
        <v>1086</v>
      </c>
      <c r="D195" s="103">
        <v>0</v>
      </c>
      <c r="E195" s="103">
        <v>0</v>
      </c>
      <c r="F195" s="103">
        <v>1</v>
      </c>
      <c r="G195" s="103" t="s">
        <v>998</v>
      </c>
      <c r="H195" s="103">
        <v>1</v>
      </c>
      <c r="I195" s="103" t="s">
        <v>997</v>
      </c>
      <c r="J195" s="103"/>
      <c r="K195" s="101" t="str">
        <f t="shared" si="2"/>
        <v>SpellData.create(SID_TRANQUILITY_POTION,"宁静药水",0,0,1,OrderId("channel"),1,ORDER_TYPE_IMMEDIATE);</v>
      </c>
      <c r="L195" s="103"/>
      <c r="M195" s="103"/>
      <c r="N195" s="103"/>
      <c r="O195" s="103"/>
      <c r="P195" s="103"/>
      <c r="Q195" s="103"/>
      <c r="R195" s="103"/>
      <c r="S195" s="103"/>
      <c r="T195" s="103"/>
      <c r="U195" s="103"/>
      <c r="V195" s="103"/>
      <c r="W195" s="103"/>
      <c r="X195" s="103"/>
    </row>
    <row r="196" spans="1:24" x14ac:dyDescent="0.2">
      <c r="A196" s="103" t="s">
        <v>1085</v>
      </c>
      <c r="B196" s="103" t="s">
        <v>1084</v>
      </c>
      <c r="C196" s="103" t="s">
        <v>1083</v>
      </c>
      <c r="D196" s="103">
        <v>0</v>
      </c>
      <c r="E196" s="103">
        <v>0</v>
      </c>
      <c r="F196" s="103">
        <v>1</v>
      </c>
      <c r="G196" s="103" t="s">
        <v>998</v>
      </c>
      <c r="H196" s="103">
        <v>1</v>
      </c>
      <c r="I196" s="103" t="s">
        <v>997</v>
      </c>
      <c r="J196" s="103"/>
      <c r="K196" s="101" t="str">
        <f t="shared" si="2"/>
        <v>SpellData.create(SID_BIG_LIFE_POTION,"大生命药水",0,0,1,OrderId("channel"),1,ORDER_TYPE_IMMEDIATE);</v>
      </c>
      <c r="L196" s="103"/>
      <c r="M196" s="103"/>
      <c r="N196" s="103"/>
      <c r="O196" s="103"/>
      <c r="P196" s="103"/>
      <c r="Q196" s="103"/>
      <c r="R196" s="103"/>
      <c r="S196" s="103"/>
      <c r="T196" s="103"/>
      <c r="U196" s="103"/>
      <c r="V196" s="103"/>
      <c r="W196" s="103"/>
      <c r="X196" s="103"/>
    </row>
    <row r="197" spans="1:24" x14ac:dyDescent="0.2">
      <c r="A197" s="103" t="s">
        <v>1082</v>
      </c>
      <c r="B197" s="103" t="s">
        <v>1081</v>
      </c>
      <c r="C197" s="103" t="s">
        <v>1080</v>
      </c>
      <c r="D197" s="103">
        <v>0</v>
      </c>
      <c r="E197" s="103">
        <v>0</v>
      </c>
      <c r="F197" s="103">
        <v>1</v>
      </c>
      <c r="G197" s="103" t="s">
        <v>998</v>
      </c>
      <c r="H197" s="103">
        <v>1</v>
      </c>
      <c r="I197" s="103" t="s">
        <v>997</v>
      </c>
      <c r="J197" s="103"/>
      <c r="K197" s="101" t="str">
        <f t="shared" si="2"/>
        <v>SpellData.create(SID_ARCH_MAGE_POTION,"魔导师药水",0,0,1,OrderId("channel"),1,ORDER_TYPE_IMMEDIATE);</v>
      </c>
      <c r="L197" s="103"/>
      <c r="M197" s="103"/>
      <c r="N197" s="103"/>
      <c r="O197" s="103"/>
      <c r="P197" s="103"/>
      <c r="Q197" s="103"/>
      <c r="R197" s="103"/>
      <c r="S197" s="103"/>
      <c r="T197" s="103"/>
      <c r="U197" s="103"/>
      <c r="V197" s="103"/>
      <c r="W197" s="103"/>
      <c r="X197" s="103"/>
    </row>
    <row r="198" spans="1:24" x14ac:dyDescent="0.2">
      <c r="A198" s="103" t="s">
        <v>1079</v>
      </c>
      <c r="B198" s="103" t="s">
        <v>1078</v>
      </c>
      <c r="C198" s="103" t="s">
        <v>1077</v>
      </c>
      <c r="D198" s="103">
        <v>0</v>
      </c>
      <c r="E198" s="103">
        <v>0</v>
      </c>
      <c r="F198" s="103">
        <v>1</v>
      </c>
      <c r="G198" s="103" t="s">
        <v>998</v>
      </c>
      <c r="H198" s="103">
        <v>1</v>
      </c>
      <c r="I198" s="103" t="s">
        <v>997</v>
      </c>
      <c r="J198" s="103"/>
      <c r="K198" s="101" t="str">
        <f t="shared" si="2"/>
        <v>SpellData.create(SID_COMBAT_MASTER_POTION,"战斗大师药水",0,0,1,OrderId("channel"),1,ORDER_TYPE_IMMEDIATE);</v>
      </c>
      <c r="L198" s="103"/>
      <c r="M198" s="103"/>
      <c r="N198" s="103"/>
      <c r="O198" s="103"/>
      <c r="P198" s="103"/>
      <c r="Q198" s="103"/>
      <c r="R198" s="103"/>
      <c r="S198" s="103"/>
      <c r="T198" s="103"/>
      <c r="U198" s="103"/>
      <c r="V198" s="103"/>
      <c r="W198" s="103"/>
      <c r="X198" s="103"/>
    </row>
    <row r="199" spans="1:24" x14ac:dyDescent="0.2">
      <c r="A199" s="103" t="s">
        <v>1076</v>
      </c>
      <c r="B199" s="103" t="s">
        <v>1075</v>
      </c>
      <c r="C199" s="103" t="s">
        <v>1074</v>
      </c>
      <c r="D199" s="103">
        <v>0</v>
      </c>
      <c r="E199" s="103">
        <v>0</v>
      </c>
      <c r="F199" s="103">
        <v>1</v>
      </c>
      <c r="G199" s="103" t="s">
        <v>998</v>
      </c>
      <c r="H199" s="103">
        <v>1</v>
      </c>
      <c r="I199" s="103" t="s">
        <v>997</v>
      </c>
      <c r="J199" s="103"/>
      <c r="K199" s="101" t="str">
        <f t="shared" si="2"/>
        <v>SpellData.create(SID_EMPERORS_NEW_POTION,"皇帝的新药",0,0,1,OrderId("channel"),1,ORDER_TYPE_IMMEDIATE);</v>
      </c>
      <c r="L199" s="103"/>
      <c r="M199" s="103"/>
      <c r="N199" s="103"/>
      <c r="O199" s="103"/>
      <c r="P199" s="103"/>
      <c r="Q199" s="103"/>
      <c r="R199" s="103"/>
      <c r="S199" s="103"/>
      <c r="T199" s="103"/>
      <c r="U199" s="103"/>
      <c r="V199" s="103"/>
      <c r="W199" s="103"/>
      <c r="X199" s="103"/>
    </row>
    <row r="200" spans="1:24" x14ac:dyDescent="0.2">
      <c r="A200" s="103" t="s">
        <v>1073</v>
      </c>
      <c r="B200" s="103" t="s">
        <v>1072</v>
      </c>
      <c r="C200" s="103" t="s">
        <v>1071</v>
      </c>
      <c r="D200" s="103">
        <v>0</v>
      </c>
      <c r="E200" s="103">
        <v>0</v>
      </c>
      <c r="F200" s="103">
        <v>1</v>
      </c>
      <c r="G200" s="103" t="s">
        <v>998</v>
      </c>
      <c r="H200" s="103">
        <v>1</v>
      </c>
      <c r="I200" s="103" t="s">
        <v>997</v>
      </c>
      <c r="J200" s="103"/>
      <c r="K200" s="101" t="str">
        <f t="shared" si="2"/>
        <v>SpellData.create(SID_TRANSFER_POTION,"转换药水",0,0,1,OrderId("channel"),1,ORDER_TYPE_IMMEDIATE);</v>
      </c>
      <c r="L200" s="103"/>
      <c r="M200" s="103"/>
      <c r="N200" s="103"/>
      <c r="O200" s="103"/>
      <c r="P200" s="103"/>
      <c r="Q200" s="103"/>
      <c r="R200" s="103"/>
      <c r="S200" s="103"/>
      <c r="T200" s="103"/>
      <c r="U200" s="103"/>
      <c r="V200" s="103"/>
      <c r="W200" s="103"/>
      <c r="X200" s="103"/>
    </row>
    <row r="201" spans="1:24" x14ac:dyDescent="0.2">
      <c r="A201" s="103" t="s">
        <v>1070</v>
      </c>
      <c r="B201" s="103" t="s">
        <v>1069</v>
      </c>
      <c r="C201" s="103" t="s">
        <v>1068</v>
      </c>
      <c r="D201" s="103">
        <v>0</v>
      </c>
      <c r="E201" s="103">
        <v>0</v>
      </c>
      <c r="F201" s="103">
        <v>1</v>
      </c>
      <c r="G201" s="103" t="s">
        <v>998</v>
      </c>
      <c r="H201" s="103">
        <v>1</v>
      </c>
      <c r="I201" s="103" t="s">
        <v>997</v>
      </c>
      <c r="J201" s="103"/>
      <c r="K201" s="101" t="str">
        <f t="shared" ref="K201:K224" si="3">IF(B201="N/A","//",CONCATENATE("SpellData.create(",A201,",",CHAR(34),B201,CHAR(34),",",E201,",",D201,",",F201,",",G201,",",H201,",",I201,")",J201,";"))</f>
        <v>SpellData.create(SID_SHIELD_POTION,"护盾药水",0,0,1,OrderId("channel"),1,ORDER_TYPE_IMMEDIATE);</v>
      </c>
      <c r="L201" s="103"/>
      <c r="M201" s="103"/>
      <c r="N201" s="103"/>
      <c r="O201" s="103"/>
      <c r="P201" s="103"/>
      <c r="Q201" s="103"/>
      <c r="R201" s="103"/>
      <c r="S201" s="103"/>
      <c r="T201" s="103"/>
      <c r="U201" s="103"/>
      <c r="V201" s="103"/>
      <c r="W201" s="103"/>
      <c r="X201" s="103"/>
    </row>
    <row r="202" spans="1:24" x14ac:dyDescent="0.2">
      <c r="A202" s="103" t="s">
        <v>1067</v>
      </c>
      <c r="B202" s="103" t="s">
        <v>1066</v>
      </c>
      <c r="C202" s="103" t="s">
        <v>1065</v>
      </c>
      <c r="D202" s="103">
        <v>0</v>
      </c>
      <c r="E202" s="103">
        <v>0</v>
      </c>
      <c r="F202" s="103">
        <v>1</v>
      </c>
      <c r="G202" s="103" t="s">
        <v>998</v>
      </c>
      <c r="H202" s="103">
        <v>1</v>
      </c>
      <c r="I202" s="103" t="s">
        <v>997</v>
      </c>
      <c r="J202" s="103"/>
      <c r="K202" s="101" t="str">
        <f t="shared" si="3"/>
        <v>SpellData.create(SID_FORTRESS_POTION,"壁垒药水",0,0,1,OrderId("channel"),1,ORDER_TYPE_IMMEDIATE);</v>
      </c>
      <c r="L202" s="103"/>
      <c r="M202" s="103"/>
      <c r="N202" s="103"/>
      <c r="O202" s="103"/>
      <c r="P202" s="103"/>
      <c r="Q202" s="103"/>
      <c r="R202" s="103"/>
      <c r="S202" s="103"/>
      <c r="T202" s="103"/>
      <c r="U202" s="103"/>
      <c r="V202" s="103"/>
      <c r="W202" s="103"/>
      <c r="X202" s="103"/>
    </row>
    <row r="203" spans="1:24" x14ac:dyDescent="0.2">
      <c r="A203" s="103" t="s">
        <v>1064</v>
      </c>
      <c r="B203" s="103" t="s">
        <v>1063</v>
      </c>
      <c r="C203" s="103" t="s">
        <v>1062</v>
      </c>
      <c r="D203" s="103">
        <v>0</v>
      </c>
      <c r="E203" s="103">
        <v>0</v>
      </c>
      <c r="F203" s="103">
        <v>1</v>
      </c>
      <c r="G203" s="103" t="s">
        <v>998</v>
      </c>
      <c r="H203" s="103">
        <v>1</v>
      </c>
      <c r="I203" s="103" t="s">
        <v>997</v>
      </c>
      <c r="J203" s="103"/>
      <c r="K203" s="101" t="str">
        <f t="shared" si="3"/>
        <v>SpellData.create(SID_DODGE_POTION,"闪避药水",0,0,1,OrderId("channel"),1,ORDER_TYPE_IMMEDIATE);</v>
      </c>
      <c r="L203" s="103"/>
      <c r="M203" s="103"/>
      <c r="N203" s="103"/>
      <c r="O203" s="103"/>
      <c r="P203" s="103"/>
      <c r="Q203" s="103"/>
      <c r="R203" s="103"/>
      <c r="S203" s="103"/>
      <c r="T203" s="103"/>
      <c r="U203" s="103"/>
      <c r="V203" s="103"/>
      <c r="W203" s="103"/>
      <c r="X203" s="103"/>
    </row>
    <row r="204" spans="1:24" x14ac:dyDescent="0.2">
      <c r="A204" s="103" t="s">
        <v>1061</v>
      </c>
      <c r="B204" s="103" t="s">
        <v>1060</v>
      </c>
      <c r="C204" s="103" t="s">
        <v>1059</v>
      </c>
      <c r="D204" s="103">
        <v>0</v>
      </c>
      <c r="E204" s="103">
        <v>0</v>
      </c>
      <c r="F204" s="103">
        <v>1</v>
      </c>
      <c r="G204" s="103" t="s">
        <v>998</v>
      </c>
      <c r="H204" s="103">
        <v>1</v>
      </c>
      <c r="I204" s="103" t="s">
        <v>997</v>
      </c>
      <c r="J204" s="103"/>
      <c r="K204" s="101" t="str">
        <f t="shared" si="3"/>
        <v>SpellData.create(SID_SMALL_INVUL_POTION,"小无敌药水",0,0,1,OrderId("channel"),1,ORDER_TYPE_IMMEDIATE);</v>
      </c>
      <c r="L204" s="103"/>
      <c r="M204" s="103"/>
      <c r="N204" s="103"/>
      <c r="O204" s="103"/>
      <c r="P204" s="103"/>
      <c r="Q204" s="103"/>
      <c r="R204" s="103"/>
      <c r="S204" s="103"/>
      <c r="T204" s="103"/>
      <c r="U204" s="103"/>
      <c r="V204" s="103"/>
      <c r="W204" s="103"/>
      <c r="X204" s="103"/>
    </row>
    <row r="205" spans="1:24" x14ac:dyDescent="0.2">
      <c r="A205" s="103" t="s">
        <v>1058</v>
      </c>
      <c r="B205" s="103" t="s">
        <v>1057</v>
      </c>
      <c r="C205" s="103" t="s">
        <v>1056</v>
      </c>
      <c r="D205" s="103">
        <v>0</v>
      </c>
      <c r="E205" s="103">
        <v>0</v>
      </c>
      <c r="F205" s="103">
        <v>1</v>
      </c>
      <c r="G205" s="103" t="s">
        <v>998</v>
      </c>
      <c r="H205" s="103">
        <v>1</v>
      </c>
      <c r="I205" s="103" t="s">
        <v>997</v>
      </c>
      <c r="J205" s="103"/>
      <c r="K205" s="101" t="str">
        <f t="shared" si="3"/>
        <v>SpellData.create(SID_INVUL_POTION,"无敌药水",0,0,1,OrderId("channel"),1,ORDER_TYPE_IMMEDIATE);</v>
      </c>
      <c r="L205" s="103"/>
      <c r="M205" s="103"/>
      <c r="N205" s="103"/>
      <c r="O205" s="103"/>
      <c r="P205" s="103"/>
      <c r="Q205" s="103"/>
      <c r="R205" s="103"/>
      <c r="S205" s="103"/>
      <c r="T205" s="103"/>
      <c r="U205" s="103"/>
      <c r="V205" s="103"/>
      <c r="W205" s="103"/>
      <c r="X205" s="103"/>
    </row>
    <row r="206" spans="1:24" x14ac:dyDescent="0.2">
      <c r="A206" s="103" t="s">
        <v>1055</v>
      </c>
      <c r="B206" s="103" t="s">
        <v>1054</v>
      </c>
      <c r="C206" s="103" t="s">
        <v>1053</v>
      </c>
      <c r="D206" s="103">
        <v>0</v>
      </c>
      <c r="E206" s="103">
        <v>0</v>
      </c>
      <c r="F206" s="103">
        <v>1</v>
      </c>
      <c r="G206" s="103" t="s">
        <v>998</v>
      </c>
      <c r="H206" s="103">
        <v>1</v>
      </c>
      <c r="I206" s="103" t="s">
        <v>997</v>
      </c>
      <c r="J206" s="103"/>
      <c r="K206" s="101" t="str">
        <f t="shared" si="3"/>
        <v>SpellData.create(SID_STONE_SKIN_POTION,"石皮药水",0,0,1,OrderId("channel"),1,ORDER_TYPE_IMMEDIATE);</v>
      </c>
      <c r="L206" s="103"/>
      <c r="M206" s="103"/>
      <c r="N206" s="103"/>
      <c r="O206" s="103"/>
      <c r="P206" s="103"/>
      <c r="Q206" s="103"/>
      <c r="R206" s="103"/>
      <c r="S206" s="103"/>
      <c r="T206" s="103"/>
      <c r="U206" s="103"/>
      <c r="V206" s="103"/>
      <c r="W206" s="103"/>
      <c r="X206" s="103"/>
    </row>
    <row r="207" spans="1:24" x14ac:dyDescent="0.2">
      <c r="A207" s="103" t="s">
        <v>1052</v>
      </c>
      <c r="B207" s="103" t="s">
        <v>1051</v>
      </c>
      <c r="C207" s="103" t="s">
        <v>1050</v>
      </c>
      <c r="D207" s="103">
        <v>0</v>
      </c>
      <c r="E207" s="103">
        <v>0</v>
      </c>
      <c r="F207" s="103">
        <v>1</v>
      </c>
      <c r="G207" s="103" t="s">
        <v>998</v>
      </c>
      <c r="H207" s="103">
        <v>1</v>
      </c>
      <c r="I207" s="103" t="s">
        <v>997</v>
      </c>
      <c r="J207" s="103"/>
      <c r="K207" s="101" t="str">
        <f t="shared" si="3"/>
        <v>SpellData.create(SID_SPELL_POWER_POTION,"法能药水",0,0,1,OrderId("channel"),1,ORDER_TYPE_IMMEDIATE);</v>
      </c>
      <c r="L207" s="103"/>
      <c r="M207" s="103"/>
      <c r="N207" s="103"/>
      <c r="O207" s="103"/>
      <c r="P207" s="103"/>
      <c r="Q207" s="103"/>
      <c r="R207" s="103"/>
      <c r="S207" s="103"/>
      <c r="T207" s="103"/>
      <c r="U207" s="103"/>
      <c r="V207" s="103"/>
      <c r="W207" s="103"/>
      <c r="X207" s="103"/>
    </row>
    <row r="208" spans="1:24" x14ac:dyDescent="0.2">
      <c r="A208" s="103" t="s">
        <v>1049</v>
      </c>
      <c r="B208" s="103" t="s">
        <v>1048</v>
      </c>
      <c r="C208" s="103" t="s">
        <v>1047</v>
      </c>
      <c r="D208" s="103">
        <v>0</v>
      </c>
      <c r="E208" s="103">
        <v>0</v>
      </c>
      <c r="F208" s="103">
        <v>1</v>
      </c>
      <c r="G208" s="103" t="s">
        <v>998</v>
      </c>
      <c r="H208" s="103">
        <v>1</v>
      </c>
      <c r="I208" s="103" t="s">
        <v>997</v>
      </c>
      <c r="J208" s="103"/>
      <c r="K208" s="101" t="str">
        <f t="shared" si="3"/>
        <v>SpellData.create(SID_SPELL_MASTER_POTION,"法术掌控药水",0,0,1,OrderId("channel"),1,ORDER_TYPE_IMMEDIATE);</v>
      </c>
      <c r="L208" s="103"/>
      <c r="M208" s="103"/>
      <c r="N208" s="103"/>
      <c r="O208" s="103"/>
      <c r="P208" s="103"/>
      <c r="Q208" s="103"/>
      <c r="R208" s="103"/>
      <c r="S208" s="103"/>
      <c r="T208" s="103"/>
      <c r="U208" s="103"/>
      <c r="V208" s="103"/>
      <c r="W208" s="103"/>
      <c r="X208" s="103"/>
    </row>
    <row r="209" spans="1:24" x14ac:dyDescent="0.2">
      <c r="A209" s="103" t="s">
        <v>1046</v>
      </c>
      <c r="B209" s="103" t="s">
        <v>1045</v>
      </c>
      <c r="C209" s="103" t="s">
        <v>1044</v>
      </c>
      <c r="D209" s="103">
        <v>0</v>
      </c>
      <c r="E209" s="103">
        <v>0</v>
      </c>
      <c r="F209" s="103">
        <v>1</v>
      </c>
      <c r="G209" s="103" t="s">
        <v>998</v>
      </c>
      <c r="H209" s="103">
        <v>1</v>
      </c>
      <c r="I209" s="103" t="s">
        <v>997</v>
      </c>
      <c r="J209" s="103"/>
      <c r="K209" s="101" t="str">
        <f t="shared" si="3"/>
        <v>SpellData.create(SID_ARCANE_POTION,"秘法药剂",0,0,1,OrderId("channel"),1,ORDER_TYPE_IMMEDIATE);</v>
      </c>
      <c r="L209" s="103"/>
      <c r="M209" s="103"/>
      <c r="N209" s="103"/>
      <c r="O209" s="103"/>
      <c r="P209" s="103"/>
      <c r="Q209" s="103"/>
      <c r="R209" s="103"/>
      <c r="S209" s="103"/>
      <c r="T209" s="103"/>
      <c r="U209" s="103"/>
      <c r="V209" s="103"/>
      <c r="W209" s="103"/>
      <c r="X209" s="103"/>
    </row>
    <row r="210" spans="1:24" x14ac:dyDescent="0.2">
      <c r="A210" s="103" t="s">
        <v>1043</v>
      </c>
      <c r="B210" s="103" t="s">
        <v>1042</v>
      </c>
      <c r="C210" s="103" t="s">
        <v>1041</v>
      </c>
      <c r="D210" s="103">
        <v>0</v>
      </c>
      <c r="E210" s="103">
        <v>0</v>
      </c>
      <c r="F210" s="103">
        <v>1</v>
      </c>
      <c r="G210" s="103" t="s">
        <v>998</v>
      </c>
      <c r="H210" s="103">
        <v>1</v>
      </c>
      <c r="I210" s="103" t="s">
        <v>997</v>
      </c>
      <c r="J210" s="103"/>
      <c r="K210" s="101" t="str">
        <f t="shared" si="3"/>
        <v>SpellData.create(SID_ANGRY_CAST_POTION,"愤怒施法药水",0,0,1,OrderId("channel"),1,ORDER_TYPE_IMMEDIATE);</v>
      </c>
      <c r="L210" s="103"/>
      <c r="M210" s="103"/>
      <c r="N210" s="103"/>
      <c r="O210" s="103"/>
      <c r="P210" s="103"/>
      <c r="Q210" s="103"/>
      <c r="R210" s="103"/>
      <c r="S210" s="103"/>
      <c r="T210" s="103"/>
      <c r="U210" s="103"/>
      <c r="V210" s="103"/>
      <c r="W210" s="103"/>
      <c r="X210" s="103"/>
    </row>
    <row r="211" spans="1:24" x14ac:dyDescent="0.2">
      <c r="A211" s="103" t="s">
        <v>1040</v>
      </c>
      <c r="B211" s="103" t="s">
        <v>1039</v>
      </c>
      <c r="C211" s="103" t="s">
        <v>1038</v>
      </c>
      <c r="D211" s="103">
        <v>0</v>
      </c>
      <c r="E211" s="103">
        <v>0</v>
      </c>
      <c r="F211" s="103">
        <v>1</v>
      </c>
      <c r="G211" s="103" t="s">
        <v>998</v>
      </c>
      <c r="H211" s="103">
        <v>1</v>
      </c>
      <c r="I211" s="103" t="s">
        <v>997</v>
      </c>
      <c r="J211" s="103"/>
      <c r="K211" s="101" t="str">
        <f t="shared" si="3"/>
        <v>SpellData.create(SID_SPELL_PIERCE_POTION,"法术穿透药水",0,0,1,OrderId("channel"),1,ORDER_TYPE_IMMEDIATE);</v>
      </c>
      <c r="L211" s="103"/>
      <c r="M211" s="103"/>
      <c r="N211" s="103"/>
      <c r="O211" s="103"/>
      <c r="P211" s="103"/>
      <c r="Q211" s="103"/>
      <c r="R211" s="103"/>
      <c r="S211" s="103"/>
      <c r="T211" s="103"/>
      <c r="U211" s="103"/>
      <c r="V211" s="103"/>
      <c r="W211" s="103"/>
      <c r="X211" s="103"/>
    </row>
    <row r="212" spans="1:24" x14ac:dyDescent="0.2">
      <c r="A212" s="103" t="s">
        <v>1037</v>
      </c>
      <c r="B212" s="103" t="s">
        <v>1036</v>
      </c>
      <c r="C212" s="103" t="s">
        <v>1035</v>
      </c>
      <c r="D212" s="103">
        <v>0</v>
      </c>
      <c r="E212" s="103">
        <v>0</v>
      </c>
      <c r="F212" s="103">
        <v>1</v>
      </c>
      <c r="G212" s="103" t="s">
        <v>998</v>
      </c>
      <c r="H212" s="103">
        <v>1</v>
      </c>
      <c r="I212" s="103" t="s">
        <v>997</v>
      </c>
      <c r="J212" s="103"/>
      <c r="K212" s="101" t="str">
        <f t="shared" si="3"/>
        <v>SpellData.create(SID_UNSTABLE_POTION,"不稳定的药水",0,0,1,OrderId("channel"),1,ORDER_TYPE_IMMEDIATE);</v>
      </c>
      <c r="L212" s="103"/>
      <c r="M212" s="103"/>
      <c r="N212" s="103"/>
      <c r="O212" s="103"/>
      <c r="P212" s="103"/>
      <c r="Q212" s="103"/>
      <c r="R212" s="103"/>
      <c r="S212" s="103"/>
      <c r="T212" s="103"/>
      <c r="U212" s="103"/>
      <c r="V212" s="103"/>
      <c r="W212" s="103"/>
      <c r="X212" s="103"/>
    </row>
    <row r="213" spans="1:24" x14ac:dyDescent="0.2">
      <c r="A213" s="103" t="s">
        <v>1034</v>
      </c>
      <c r="B213" s="103" t="s">
        <v>1033</v>
      </c>
      <c r="C213" s="103" t="s">
        <v>1032</v>
      </c>
      <c r="D213" s="103">
        <v>0</v>
      </c>
      <c r="E213" s="103">
        <v>0</v>
      </c>
      <c r="F213" s="103">
        <v>1</v>
      </c>
      <c r="G213" s="103" t="s">
        <v>998</v>
      </c>
      <c r="H213" s="103">
        <v>1</v>
      </c>
      <c r="I213" s="103" t="s">
        <v>997</v>
      </c>
      <c r="J213" s="103"/>
      <c r="K213" s="101" t="str">
        <f t="shared" si="3"/>
        <v>SpellData.create(SID_AGILITY_POTION,"敏捷药水",0,0,1,OrderId("channel"),1,ORDER_TYPE_IMMEDIATE);</v>
      </c>
      <c r="L213" s="103"/>
      <c r="M213" s="103"/>
      <c r="N213" s="103"/>
      <c r="O213" s="103"/>
      <c r="P213" s="103"/>
      <c r="Q213" s="103"/>
      <c r="R213" s="103"/>
      <c r="S213" s="103"/>
      <c r="T213" s="103"/>
      <c r="U213" s="103"/>
      <c r="V213" s="103"/>
      <c r="W213" s="103"/>
      <c r="X213" s="103"/>
    </row>
    <row r="214" spans="1:24" x14ac:dyDescent="0.2">
      <c r="A214" s="103" t="s">
        <v>1031</v>
      </c>
      <c r="B214" s="103" t="s">
        <v>1030</v>
      </c>
      <c r="C214" s="103" t="s">
        <v>1029</v>
      </c>
      <c r="D214" s="103">
        <v>0</v>
      </c>
      <c r="E214" s="103">
        <v>0</v>
      </c>
      <c r="F214" s="103">
        <v>1</v>
      </c>
      <c r="G214" s="103" t="s">
        <v>998</v>
      </c>
      <c r="H214" s="103">
        <v>1</v>
      </c>
      <c r="I214" s="103" t="s">
        <v>997</v>
      </c>
      <c r="J214" s="103"/>
      <c r="K214" s="101" t="str">
        <f t="shared" si="3"/>
        <v>SpellData.create(SID_ACUTE_POTION,"敏锐药水",0,0,1,OrderId("channel"),1,ORDER_TYPE_IMMEDIATE);</v>
      </c>
      <c r="L214" s="103"/>
      <c r="M214" s="103"/>
      <c r="N214" s="103"/>
      <c r="O214" s="103"/>
      <c r="P214" s="103"/>
      <c r="Q214" s="103"/>
      <c r="R214" s="103"/>
      <c r="S214" s="103"/>
      <c r="T214" s="103"/>
      <c r="U214" s="103"/>
      <c r="V214" s="103"/>
      <c r="W214" s="103"/>
      <c r="X214" s="103"/>
    </row>
    <row r="215" spans="1:24" x14ac:dyDescent="0.2">
      <c r="A215" s="103" t="s">
        <v>1028</v>
      </c>
      <c r="B215" s="103" t="s">
        <v>1027</v>
      </c>
      <c r="C215" s="103" t="s">
        <v>1026</v>
      </c>
      <c r="D215" s="103">
        <v>0</v>
      </c>
      <c r="E215" s="103">
        <v>0</v>
      </c>
      <c r="F215" s="103">
        <v>1</v>
      </c>
      <c r="G215" s="103" t="s">
        <v>998</v>
      </c>
      <c r="H215" s="103">
        <v>1</v>
      </c>
      <c r="I215" s="103" t="s">
        <v>997</v>
      </c>
      <c r="J215" s="103"/>
      <c r="K215" s="101" t="str">
        <f t="shared" si="3"/>
        <v>SpellData.create(SID_DEXTERITY_POTION,"迅捷药水",0,0,1,OrderId("channel"),1,ORDER_TYPE_IMMEDIATE);</v>
      </c>
      <c r="L215" s="103"/>
      <c r="M215" s="103"/>
      <c r="N215" s="103"/>
      <c r="O215" s="103"/>
      <c r="P215" s="103"/>
      <c r="Q215" s="103"/>
      <c r="R215" s="103"/>
      <c r="S215" s="103"/>
      <c r="T215" s="103"/>
      <c r="U215" s="103"/>
      <c r="V215" s="103"/>
      <c r="W215" s="103"/>
      <c r="X215" s="103"/>
    </row>
    <row r="216" spans="1:24" x14ac:dyDescent="0.2">
      <c r="A216" s="102" t="s">
        <v>1025</v>
      </c>
      <c r="B216" s="102" t="s">
        <v>1024</v>
      </c>
      <c r="C216" s="102" t="s">
        <v>1023</v>
      </c>
      <c r="D216" s="102">
        <v>0</v>
      </c>
      <c r="E216" s="102">
        <v>0</v>
      </c>
      <c r="F216" s="102">
        <v>1</v>
      </c>
      <c r="G216" s="102" t="s">
        <v>998</v>
      </c>
      <c r="H216" s="102">
        <v>1</v>
      </c>
      <c r="I216" s="102" t="s">
        <v>997</v>
      </c>
      <c r="J216" s="102"/>
      <c r="K216" s="101" t="str">
        <f t="shared" si="3"/>
        <v>SpellData.create(SID_CHARM_OF_SIMPLE_HEAL,"简易治疗符咒",0,0,1,OrderId("channel"),1,ORDER_TYPE_IMMEDIATE);</v>
      </c>
      <c r="L216" s="102"/>
      <c r="M216" s="102"/>
      <c r="N216" s="102"/>
      <c r="O216" s="102"/>
      <c r="P216" s="102"/>
      <c r="Q216" s="102"/>
      <c r="R216" s="102"/>
      <c r="S216" s="102"/>
      <c r="T216" s="102"/>
      <c r="U216" s="102"/>
      <c r="V216" s="102"/>
      <c r="W216" s="102"/>
      <c r="X216" s="102"/>
    </row>
    <row r="217" spans="1:24" x14ac:dyDescent="0.2">
      <c r="A217" s="102" t="s">
        <v>1022</v>
      </c>
      <c r="B217" s="102" t="s">
        <v>1021</v>
      </c>
      <c r="C217" s="102" t="s">
        <v>1020</v>
      </c>
      <c r="D217" s="102">
        <v>0</v>
      </c>
      <c r="E217" s="102">
        <v>0</v>
      </c>
      <c r="F217" s="102">
        <v>1</v>
      </c>
      <c r="G217" s="102" t="s">
        <v>998</v>
      </c>
      <c r="H217" s="102">
        <v>1</v>
      </c>
      <c r="I217" s="102" t="s">
        <v>997</v>
      </c>
      <c r="J217" s="102"/>
      <c r="K217" s="101" t="str">
        <f t="shared" si="3"/>
        <v>SpellData.create(SID_CHARM_OF_DISPEL,"驱散术符咒",0,0,1,OrderId("channel"),1,ORDER_TYPE_IMMEDIATE);</v>
      </c>
      <c r="L217" s="102"/>
      <c r="M217" s="102"/>
      <c r="N217" s="102"/>
      <c r="O217" s="102"/>
      <c r="P217" s="102"/>
      <c r="Q217" s="102"/>
      <c r="R217" s="102"/>
      <c r="S217" s="102"/>
      <c r="T217" s="102"/>
      <c r="U217" s="102"/>
      <c r="V217" s="102"/>
      <c r="W217" s="102"/>
      <c r="X217" s="102"/>
    </row>
    <row r="218" spans="1:24" x14ac:dyDescent="0.2">
      <c r="A218" s="102" t="s">
        <v>1019</v>
      </c>
      <c r="B218" s="102" t="s">
        <v>1018</v>
      </c>
      <c r="C218" s="102" t="s">
        <v>1017</v>
      </c>
      <c r="D218" s="102">
        <v>0</v>
      </c>
      <c r="E218" s="102">
        <v>0</v>
      </c>
      <c r="F218" s="102">
        <v>1</v>
      </c>
      <c r="G218" s="102" t="s">
        <v>998</v>
      </c>
      <c r="H218" s="102">
        <v>1</v>
      </c>
      <c r="I218" s="102" t="s">
        <v>997</v>
      </c>
      <c r="J218" s="102"/>
      <c r="K218" s="101" t="str">
        <f t="shared" si="3"/>
        <v>SpellData.create(SID_CHARM_OF_HEALING_WARD,"治疗结界符咒",0,0,1,OrderId("channel"),1,ORDER_TYPE_IMMEDIATE);</v>
      </c>
      <c r="L218" s="102"/>
      <c r="M218" s="102"/>
      <c r="N218" s="102"/>
      <c r="O218" s="102"/>
      <c r="P218" s="102"/>
      <c r="Q218" s="102"/>
      <c r="R218" s="102"/>
      <c r="S218" s="102"/>
      <c r="T218" s="102"/>
      <c r="U218" s="102"/>
      <c r="V218" s="102"/>
      <c r="W218" s="102"/>
      <c r="X218" s="102"/>
    </row>
    <row r="219" spans="1:24" x14ac:dyDescent="0.2">
      <c r="A219" s="102" t="s">
        <v>1016</v>
      </c>
      <c r="B219" s="102" t="s">
        <v>1015</v>
      </c>
      <c r="C219" s="102" t="s">
        <v>1014</v>
      </c>
      <c r="D219" s="102">
        <v>0</v>
      </c>
      <c r="E219" s="102">
        <v>0</v>
      </c>
      <c r="F219" s="102">
        <v>1</v>
      </c>
      <c r="G219" s="102" t="s">
        <v>998</v>
      </c>
      <c r="H219" s="102">
        <v>1</v>
      </c>
      <c r="I219" s="102" t="s">
        <v>997</v>
      </c>
      <c r="J219" s="102"/>
      <c r="K219" s="101" t="str">
        <f t="shared" si="3"/>
        <v>SpellData.create(SID_CHARM_OF_INNER_FIRE,"心灵之火符咒",0,0,1,OrderId("channel"),1,ORDER_TYPE_IMMEDIATE);</v>
      </c>
      <c r="L219" s="102"/>
      <c r="M219" s="102"/>
      <c r="N219" s="102"/>
      <c r="O219" s="102"/>
      <c r="P219" s="102"/>
      <c r="Q219" s="102"/>
      <c r="R219" s="102"/>
      <c r="S219" s="102"/>
      <c r="T219" s="102"/>
      <c r="U219" s="102"/>
      <c r="V219" s="102"/>
      <c r="W219" s="102"/>
      <c r="X219" s="102"/>
    </row>
    <row r="220" spans="1:24" x14ac:dyDescent="0.2">
      <c r="A220" s="102" t="s">
        <v>1013</v>
      </c>
      <c r="B220" s="102" t="s">
        <v>1012</v>
      </c>
      <c r="C220" s="102" t="s">
        <v>1011</v>
      </c>
      <c r="D220" s="102">
        <v>0</v>
      </c>
      <c r="E220" s="102">
        <v>0</v>
      </c>
      <c r="F220" s="102">
        <v>1</v>
      </c>
      <c r="G220" s="102" t="s">
        <v>998</v>
      </c>
      <c r="H220" s="102">
        <v>1</v>
      </c>
      <c r="I220" s="102" t="s">
        <v>997</v>
      </c>
      <c r="J220" s="102"/>
      <c r="K220" s="101" t="str">
        <f t="shared" si="3"/>
        <v>SpellData.create(SID_CHARM_OF_CHAIN_LIGHTNING,"闪电链符咒",0,0,1,OrderId("channel"),1,ORDER_TYPE_IMMEDIATE);</v>
      </c>
      <c r="L220" s="102"/>
      <c r="M220" s="102"/>
      <c r="N220" s="102"/>
      <c r="O220" s="102"/>
      <c r="P220" s="102"/>
      <c r="Q220" s="102"/>
      <c r="R220" s="102"/>
      <c r="S220" s="102"/>
      <c r="T220" s="102"/>
      <c r="U220" s="102"/>
      <c r="V220" s="102"/>
      <c r="W220" s="102"/>
      <c r="X220" s="102"/>
    </row>
    <row r="221" spans="1:24" x14ac:dyDescent="0.2">
      <c r="A221" s="102" t="s">
        <v>1010</v>
      </c>
      <c r="B221" s="102" t="s">
        <v>1009</v>
      </c>
      <c r="C221" s="102" t="s">
        <v>1008</v>
      </c>
      <c r="D221" s="102">
        <v>0</v>
      </c>
      <c r="E221" s="102">
        <v>0</v>
      </c>
      <c r="F221" s="102">
        <v>1</v>
      </c>
      <c r="G221" s="102" t="s">
        <v>998</v>
      </c>
      <c r="H221" s="102">
        <v>1</v>
      </c>
      <c r="I221" s="102" t="s">
        <v>997</v>
      </c>
      <c r="J221" s="102"/>
      <c r="K221" s="101" t="str">
        <f t="shared" si="3"/>
        <v>SpellData.create(SID_CHARM_OF_DEATH_FINGER,"死亡之指符咒",0,0,1,OrderId("channel"),1,ORDER_TYPE_IMMEDIATE);</v>
      </c>
      <c r="L221" s="102"/>
      <c r="M221" s="102"/>
      <c r="N221" s="102"/>
      <c r="O221" s="102"/>
      <c r="P221" s="102"/>
      <c r="Q221" s="102"/>
      <c r="R221" s="102"/>
      <c r="S221" s="102"/>
      <c r="T221" s="102"/>
      <c r="U221" s="102"/>
      <c r="V221" s="102"/>
      <c r="W221" s="102"/>
      <c r="X221" s="102"/>
    </row>
    <row r="222" spans="1:24" x14ac:dyDescent="0.2">
      <c r="A222" s="102" t="s">
        <v>1007</v>
      </c>
      <c r="B222" s="102" t="s">
        <v>1006</v>
      </c>
      <c r="C222" s="102" t="s">
        <v>1005</v>
      </c>
      <c r="D222" s="102">
        <v>0</v>
      </c>
      <c r="E222" s="102">
        <v>0</v>
      </c>
      <c r="F222" s="102">
        <v>1</v>
      </c>
      <c r="G222" s="102" t="s">
        <v>998</v>
      </c>
      <c r="H222" s="102">
        <v>1</v>
      </c>
      <c r="I222" s="102" t="s">
        <v>997</v>
      </c>
      <c r="J222" s="102"/>
      <c r="K222" s="101" t="str">
        <f t="shared" si="3"/>
        <v>SpellData.create(SID_CHARM_OF_SIPHON_LIFE,"生命虹吸符咒",0,0,1,OrderId("channel"),1,ORDER_TYPE_IMMEDIATE);</v>
      </c>
      <c r="L222" s="102"/>
      <c r="M222" s="102"/>
      <c r="N222" s="102"/>
      <c r="O222" s="102"/>
      <c r="P222" s="102"/>
      <c r="Q222" s="102"/>
      <c r="R222" s="102"/>
      <c r="S222" s="102"/>
      <c r="T222" s="102"/>
      <c r="U222" s="102"/>
      <c r="V222" s="102"/>
      <c r="W222" s="102"/>
      <c r="X222" s="102"/>
    </row>
    <row r="223" spans="1:24" x14ac:dyDescent="0.2">
      <c r="A223" s="102" t="s">
        <v>1004</v>
      </c>
      <c r="B223" s="102" t="s">
        <v>1003</v>
      </c>
      <c r="C223" s="102" t="s">
        <v>1002</v>
      </c>
      <c r="D223" s="102">
        <v>0</v>
      </c>
      <c r="E223" s="102">
        <v>0</v>
      </c>
      <c r="F223" s="102">
        <v>1</v>
      </c>
      <c r="G223" s="102" t="s">
        <v>998</v>
      </c>
      <c r="H223" s="102">
        <v>1</v>
      </c>
      <c r="I223" s="102" t="s">
        <v>997</v>
      </c>
      <c r="J223" s="102"/>
      <c r="K223" s="101" t="str">
        <f t="shared" si="3"/>
        <v>SpellData.create(SID_DEMONIC_RUNE,"恶魔符文",0,0,1,OrderId("channel"),1,ORDER_TYPE_IMMEDIATE);</v>
      </c>
      <c r="L223" s="102"/>
      <c r="M223" s="102"/>
      <c r="N223" s="102"/>
      <c r="O223" s="102"/>
      <c r="P223" s="102"/>
      <c r="Q223" s="102"/>
      <c r="R223" s="102"/>
      <c r="S223" s="102"/>
      <c r="T223" s="102"/>
      <c r="U223" s="102"/>
      <c r="V223" s="102"/>
      <c r="W223" s="102"/>
      <c r="X223" s="102"/>
    </row>
    <row r="224" spans="1:24" x14ac:dyDescent="0.2">
      <c r="A224" s="102" t="s">
        <v>1001</v>
      </c>
      <c r="B224" s="102" t="s">
        <v>1000</v>
      </c>
      <c r="C224" s="102" t="s">
        <v>999</v>
      </c>
      <c r="D224" s="102">
        <v>0</v>
      </c>
      <c r="E224" s="102">
        <v>0</v>
      </c>
      <c r="F224" s="102">
        <v>1</v>
      </c>
      <c r="G224" s="102" t="s">
        <v>998</v>
      </c>
      <c r="H224" s="102">
        <v>1</v>
      </c>
      <c r="I224" s="102" t="s">
        <v>997</v>
      </c>
      <c r="J224" s="102"/>
      <c r="K224" s="101" t="str">
        <f t="shared" si="3"/>
        <v>SpellData.create(SID_STRANGE_WAND,"奇异的魔杖",0,0,1,OrderId("channel"),1,ORDER_TYPE_IMMEDIATE);</v>
      </c>
      <c r="L224" s="102"/>
      <c r="M224" s="102"/>
      <c r="N224" s="102"/>
      <c r="O224" s="102"/>
      <c r="P224" s="102"/>
      <c r="Q224" s="102"/>
      <c r="R224" s="102"/>
      <c r="S224" s="102"/>
      <c r="T224" s="102"/>
      <c r="U224" s="102"/>
      <c r="V224" s="102"/>
      <c r="W224" s="102"/>
      <c r="X224" s="102"/>
    </row>
    <row r="225" spans="11:11" x14ac:dyDescent="0.2">
      <c r="K225" s="101"/>
    </row>
    <row r="226" spans="11:11" x14ac:dyDescent="0.2">
      <c r="K226" s="101"/>
    </row>
    <row r="227" spans="11:11" x14ac:dyDescent="0.2">
      <c r="K227" s="101"/>
    </row>
    <row r="228" spans="11:11" x14ac:dyDescent="0.2">
      <c r="K228" s="101"/>
    </row>
    <row r="229" spans="11:11" x14ac:dyDescent="0.2">
      <c r="K229" s="101"/>
    </row>
    <row r="230" spans="11:11" x14ac:dyDescent="0.2">
      <c r="K230" s="101"/>
    </row>
    <row r="231" spans="11:11" x14ac:dyDescent="0.2">
      <c r="K231" s="101"/>
    </row>
    <row r="232" spans="11:11" x14ac:dyDescent="0.2">
      <c r="K232" s="101"/>
    </row>
    <row r="233" spans="11:11" x14ac:dyDescent="0.2">
      <c r="K233" s="101"/>
    </row>
    <row r="234" spans="11:11" x14ac:dyDescent="0.2">
      <c r="K234" s="101"/>
    </row>
    <row r="235" spans="11:11" x14ac:dyDescent="0.2">
      <c r="K235" s="101"/>
    </row>
    <row r="236" spans="11:11" x14ac:dyDescent="0.2">
      <c r="K236" s="101"/>
    </row>
    <row r="237" spans="11:11" x14ac:dyDescent="0.2">
      <c r="K237" s="101"/>
    </row>
    <row r="238" spans="11:11" x14ac:dyDescent="0.2">
      <c r="K238" s="101"/>
    </row>
    <row r="239" spans="11:11" x14ac:dyDescent="0.2">
      <c r="K239" s="101"/>
    </row>
    <row r="240" spans="11:11" x14ac:dyDescent="0.2">
      <c r="K240" s="101"/>
    </row>
    <row r="241" spans="11:11" x14ac:dyDescent="0.2">
      <c r="K241" s="101"/>
    </row>
    <row r="242" spans="11:11" x14ac:dyDescent="0.2">
      <c r="K242" s="101"/>
    </row>
    <row r="243" spans="11:11" x14ac:dyDescent="0.2">
      <c r="K243" s="101"/>
    </row>
    <row r="244" spans="11:11" x14ac:dyDescent="0.2">
      <c r="K244" s="101"/>
    </row>
    <row r="245" spans="11:11" x14ac:dyDescent="0.2">
      <c r="K245" s="101"/>
    </row>
    <row r="246" spans="11:11" x14ac:dyDescent="0.2">
      <c r="K246" s="101"/>
    </row>
    <row r="247" spans="11:11" x14ac:dyDescent="0.2">
      <c r="K247" s="101"/>
    </row>
    <row r="248" spans="11:11" x14ac:dyDescent="0.2">
      <c r="K248" s="101"/>
    </row>
    <row r="249" spans="11:11" x14ac:dyDescent="0.2">
      <c r="K249" s="101"/>
    </row>
    <row r="250" spans="11:11" x14ac:dyDescent="0.2">
      <c r="K250" s="101"/>
    </row>
    <row r="251" spans="11:11" x14ac:dyDescent="0.2">
      <c r="K251" s="101"/>
    </row>
    <row r="252" spans="11:11" x14ac:dyDescent="0.2">
      <c r="K252" s="101"/>
    </row>
    <row r="253" spans="11:11" x14ac:dyDescent="0.2">
      <c r="K253" s="101"/>
    </row>
    <row r="254" spans="11:11" x14ac:dyDescent="0.2">
      <c r="K254" s="101"/>
    </row>
    <row r="255" spans="11:11" x14ac:dyDescent="0.2">
      <c r="K255" s="101"/>
    </row>
    <row r="256" spans="11:11" x14ac:dyDescent="0.2">
      <c r="K256" s="101"/>
    </row>
    <row r="257" spans="11:11" x14ac:dyDescent="0.2">
      <c r="K257" s="101"/>
    </row>
    <row r="258" spans="11:11" x14ac:dyDescent="0.2">
      <c r="K258" s="101"/>
    </row>
    <row r="259" spans="11:11" x14ac:dyDescent="0.2">
      <c r="K259" s="101"/>
    </row>
    <row r="260" spans="11:11" x14ac:dyDescent="0.2">
      <c r="K260" s="101"/>
    </row>
    <row r="261" spans="11:11" x14ac:dyDescent="0.2">
      <c r="K261" s="101"/>
    </row>
    <row r="262" spans="11:11" x14ac:dyDescent="0.2">
      <c r="K262" s="101"/>
    </row>
    <row r="263" spans="11:11" x14ac:dyDescent="0.2">
      <c r="K263" s="101"/>
    </row>
    <row r="264" spans="11:11" x14ac:dyDescent="0.2">
      <c r="K264" s="101"/>
    </row>
    <row r="265" spans="11:11" x14ac:dyDescent="0.2">
      <c r="K265" s="101"/>
    </row>
    <row r="266" spans="11:11" x14ac:dyDescent="0.2">
      <c r="K266" s="101"/>
    </row>
    <row r="267" spans="11:11" x14ac:dyDescent="0.2">
      <c r="K267" s="101"/>
    </row>
    <row r="268" spans="11:11" x14ac:dyDescent="0.2">
      <c r="K268" s="101"/>
    </row>
    <row r="269" spans="11:11" x14ac:dyDescent="0.2">
      <c r="K269" s="101"/>
    </row>
    <row r="270" spans="11:11" x14ac:dyDescent="0.2">
      <c r="K270" s="101"/>
    </row>
    <row r="271" spans="11:11" x14ac:dyDescent="0.2">
      <c r="K271" s="101"/>
    </row>
    <row r="272" spans="11:11" x14ac:dyDescent="0.2">
      <c r="K272" s="101"/>
    </row>
    <row r="273" spans="11:11" x14ac:dyDescent="0.2">
      <c r="K273" s="101"/>
    </row>
    <row r="274" spans="11:11" x14ac:dyDescent="0.2">
      <c r="K274" s="101"/>
    </row>
    <row r="275" spans="11:11" x14ac:dyDescent="0.2">
      <c r="K275" s="101"/>
    </row>
    <row r="276" spans="11:11" x14ac:dyDescent="0.2">
      <c r="K276" s="101"/>
    </row>
    <row r="277" spans="11:11" x14ac:dyDescent="0.2">
      <c r="K277" s="101"/>
    </row>
    <row r="278" spans="11:11" x14ac:dyDescent="0.2">
      <c r="K278" s="101"/>
    </row>
    <row r="279" spans="11:11" x14ac:dyDescent="0.2">
      <c r="K279" s="101"/>
    </row>
    <row r="280" spans="11:11" x14ac:dyDescent="0.2">
      <c r="K280" s="101"/>
    </row>
    <row r="281" spans="11:11" x14ac:dyDescent="0.2">
      <c r="K281" s="101"/>
    </row>
    <row r="282" spans="11:11" x14ac:dyDescent="0.2">
      <c r="K282" s="101"/>
    </row>
    <row r="283" spans="11:11" x14ac:dyDescent="0.2">
      <c r="K283" s="101"/>
    </row>
    <row r="284" spans="11:11" x14ac:dyDescent="0.2">
      <c r="K284" s="101"/>
    </row>
    <row r="285" spans="11:11" x14ac:dyDescent="0.2">
      <c r="K285" s="101"/>
    </row>
    <row r="286" spans="11:11" x14ac:dyDescent="0.2">
      <c r="K286" s="101"/>
    </row>
    <row r="287" spans="11:11" x14ac:dyDescent="0.2">
      <c r="K287" s="101"/>
    </row>
    <row r="288" spans="11:11" x14ac:dyDescent="0.2">
      <c r="K288" s="101"/>
    </row>
    <row r="289" spans="11:11" x14ac:dyDescent="0.2">
      <c r="K289" s="101"/>
    </row>
    <row r="290" spans="11:11" x14ac:dyDescent="0.2">
      <c r="K290" s="101"/>
    </row>
    <row r="291" spans="11:11" x14ac:dyDescent="0.2">
      <c r="K291" s="101"/>
    </row>
    <row r="292" spans="11:11" x14ac:dyDescent="0.2">
      <c r="K292" s="101"/>
    </row>
    <row r="293" spans="11:11" x14ac:dyDescent="0.2">
      <c r="K293" s="101"/>
    </row>
    <row r="294" spans="11:11" x14ac:dyDescent="0.2">
      <c r="K294" s="101"/>
    </row>
    <row r="295" spans="11:11" x14ac:dyDescent="0.2">
      <c r="K295" s="101"/>
    </row>
    <row r="296" spans="11:11" x14ac:dyDescent="0.2">
      <c r="K296" s="101"/>
    </row>
    <row r="297" spans="11:11" x14ac:dyDescent="0.2">
      <c r="K297" s="101"/>
    </row>
    <row r="298" spans="11:11" x14ac:dyDescent="0.2">
      <c r="K298" s="101"/>
    </row>
    <row r="299" spans="11:11" x14ac:dyDescent="0.2">
      <c r="K299" s="101"/>
    </row>
    <row r="300" spans="11:11" x14ac:dyDescent="0.2">
      <c r="K300" s="101"/>
    </row>
    <row r="301" spans="11:11" x14ac:dyDescent="0.2">
      <c r="K301" s="101"/>
    </row>
    <row r="302" spans="11:11" x14ac:dyDescent="0.2">
      <c r="K302" s="101"/>
    </row>
    <row r="303" spans="11:11" x14ac:dyDescent="0.2">
      <c r="K303" s="101"/>
    </row>
    <row r="304" spans="11:11" x14ac:dyDescent="0.2">
      <c r="K304" s="101"/>
    </row>
    <row r="305" spans="11:11" x14ac:dyDescent="0.2">
      <c r="K305" s="101"/>
    </row>
    <row r="306" spans="11:11" x14ac:dyDescent="0.2">
      <c r="K306" s="101"/>
    </row>
    <row r="307" spans="11:11" x14ac:dyDescent="0.2">
      <c r="K307" s="101"/>
    </row>
    <row r="308" spans="11:11" x14ac:dyDescent="0.2">
      <c r="K308" s="101"/>
    </row>
    <row r="309" spans="11:11" x14ac:dyDescent="0.2">
      <c r="K309" s="101"/>
    </row>
    <row r="310" spans="11:11" x14ac:dyDescent="0.2">
      <c r="K310" s="101"/>
    </row>
    <row r="311" spans="11:11" x14ac:dyDescent="0.2">
      <c r="K311" s="101"/>
    </row>
    <row r="312" spans="11:11" x14ac:dyDescent="0.2">
      <c r="K312" s="101"/>
    </row>
    <row r="313" spans="11:11" x14ac:dyDescent="0.2">
      <c r="K313" s="101"/>
    </row>
    <row r="314" spans="11:11" x14ac:dyDescent="0.2">
      <c r="K314" s="101"/>
    </row>
    <row r="315" spans="11:11" x14ac:dyDescent="0.2">
      <c r="K315" s="101"/>
    </row>
    <row r="316" spans="11:11" x14ac:dyDescent="0.2">
      <c r="K316" s="101"/>
    </row>
    <row r="317" spans="11:11" x14ac:dyDescent="0.2">
      <c r="K317" s="101"/>
    </row>
    <row r="318" spans="11:11" x14ac:dyDescent="0.2">
      <c r="K318" s="101"/>
    </row>
    <row r="319" spans="11:11" x14ac:dyDescent="0.2">
      <c r="K319" s="101"/>
    </row>
    <row r="320" spans="11:11" x14ac:dyDescent="0.2">
      <c r="K320" s="101"/>
    </row>
    <row r="321" spans="11:11" x14ac:dyDescent="0.2">
      <c r="K321" s="101"/>
    </row>
    <row r="322" spans="11:11" x14ac:dyDescent="0.2">
      <c r="K322" s="101"/>
    </row>
    <row r="323" spans="11:11" x14ac:dyDescent="0.2">
      <c r="K323" s="101"/>
    </row>
    <row r="324" spans="11:11" x14ac:dyDescent="0.2">
      <c r="K324" s="101"/>
    </row>
    <row r="325" spans="11:11" x14ac:dyDescent="0.2">
      <c r="K325" s="101"/>
    </row>
    <row r="326" spans="11:11" x14ac:dyDescent="0.2">
      <c r="K326" s="101"/>
    </row>
    <row r="327" spans="11:11" x14ac:dyDescent="0.2">
      <c r="K327" s="101"/>
    </row>
    <row r="328" spans="11:11" x14ac:dyDescent="0.2">
      <c r="K328" s="101"/>
    </row>
    <row r="329" spans="11:11" x14ac:dyDescent="0.2">
      <c r="K329" s="101"/>
    </row>
    <row r="330" spans="11:11" x14ac:dyDescent="0.2">
      <c r="K330" s="101"/>
    </row>
    <row r="331" spans="11:11" x14ac:dyDescent="0.2">
      <c r="K331" s="101"/>
    </row>
    <row r="332" spans="11:11" x14ac:dyDescent="0.2">
      <c r="K332" s="101"/>
    </row>
    <row r="333" spans="11:11" x14ac:dyDescent="0.2">
      <c r="K333" s="101"/>
    </row>
    <row r="334" spans="11:11" x14ac:dyDescent="0.2">
      <c r="K334" s="101"/>
    </row>
    <row r="335" spans="11:11" x14ac:dyDescent="0.2">
      <c r="K335" s="101"/>
    </row>
    <row r="336" spans="11:11" x14ac:dyDescent="0.2">
      <c r="K336" s="101"/>
    </row>
    <row r="337" spans="11:11" x14ac:dyDescent="0.2">
      <c r="K337" s="101"/>
    </row>
    <row r="338" spans="11:11" x14ac:dyDescent="0.2">
      <c r="K338" s="101"/>
    </row>
    <row r="339" spans="11:11" x14ac:dyDescent="0.2">
      <c r="K339" s="101"/>
    </row>
    <row r="340" spans="11:11" x14ac:dyDescent="0.2">
      <c r="K340" s="101"/>
    </row>
    <row r="341" spans="11:11" x14ac:dyDescent="0.2">
      <c r="K341" s="101"/>
    </row>
    <row r="342" spans="11:11" x14ac:dyDescent="0.2">
      <c r="K342" s="101"/>
    </row>
    <row r="343" spans="11:11" x14ac:dyDescent="0.2">
      <c r="K343" s="101"/>
    </row>
    <row r="344" spans="11:11" x14ac:dyDescent="0.2">
      <c r="K344" s="101"/>
    </row>
    <row r="345" spans="11:11" x14ac:dyDescent="0.2">
      <c r="K345" s="101"/>
    </row>
    <row r="346" spans="11:11" x14ac:dyDescent="0.2">
      <c r="K346" s="101"/>
    </row>
    <row r="347" spans="11:11" x14ac:dyDescent="0.2">
      <c r="K347" s="101"/>
    </row>
    <row r="348" spans="11:11" x14ac:dyDescent="0.2">
      <c r="K348" s="101"/>
    </row>
    <row r="349" spans="11:11" x14ac:dyDescent="0.2">
      <c r="K349" s="101"/>
    </row>
    <row r="350" spans="11:11" x14ac:dyDescent="0.2">
      <c r="K350" s="101"/>
    </row>
    <row r="351" spans="11:11" x14ac:dyDescent="0.2">
      <c r="K351" s="101"/>
    </row>
    <row r="352" spans="11:11" x14ac:dyDescent="0.2">
      <c r="K352" s="101"/>
    </row>
    <row r="353" spans="11:11" x14ac:dyDescent="0.2">
      <c r="K353" s="101"/>
    </row>
    <row r="354" spans="11:11" x14ac:dyDescent="0.2">
      <c r="K354" s="101"/>
    </row>
    <row r="355" spans="11:11" x14ac:dyDescent="0.2">
      <c r="K355" s="101"/>
    </row>
    <row r="356" spans="11:11" x14ac:dyDescent="0.2">
      <c r="K356" s="101"/>
    </row>
    <row r="357" spans="11:11" x14ac:dyDescent="0.2">
      <c r="K357" s="101"/>
    </row>
    <row r="358" spans="11:11" x14ac:dyDescent="0.2">
      <c r="K358" s="101"/>
    </row>
    <row r="359" spans="11:11" x14ac:dyDescent="0.2">
      <c r="K359" s="101"/>
    </row>
    <row r="360" spans="11:11" x14ac:dyDescent="0.2">
      <c r="K360" s="101"/>
    </row>
    <row r="361" spans="11:11" x14ac:dyDescent="0.2">
      <c r="K361" s="101"/>
    </row>
    <row r="362" spans="11:11" x14ac:dyDescent="0.2">
      <c r="K362" s="101"/>
    </row>
    <row r="363" spans="11:11" x14ac:dyDescent="0.2">
      <c r="K363" s="101"/>
    </row>
    <row r="364" spans="11:11" x14ac:dyDescent="0.2">
      <c r="K364" s="101"/>
    </row>
    <row r="365" spans="11:11" x14ac:dyDescent="0.2">
      <c r="K365" s="101"/>
    </row>
    <row r="366" spans="11:11" x14ac:dyDescent="0.2">
      <c r="K366" s="101"/>
    </row>
    <row r="367" spans="11:11" x14ac:dyDescent="0.2">
      <c r="K367" s="101"/>
    </row>
    <row r="368" spans="11:11" x14ac:dyDescent="0.2">
      <c r="K368" s="101"/>
    </row>
    <row r="369" spans="11:11" x14ac:dyDescent="0.2">
      <c r="K369" s="101"/>
    </row>
    <row r="370" spans="11:11" x14ac:dyDescent="0.2">
      <c r="K370" s="101"/>
    </row>
    <row r="371" spans="11:11" x14ac:dyDescent="0.2">
      <c r="K371" s="101"/>
    </row>
    <row r="372" spans="11:11" x14ac:dyDescent="0.2">
      <c r="K372" s="101"/>
    </row>
    <row r="373" spans="11:11" x14ac:dyDescent="0.2">
      <c r="K373" s="101"/>
    </row>
    <row r="374" spans="11:11" x14ac:dyDescent="0.2">
      <c r="K374" s="101"/>
    </row>
    <row r="375" spans="11:11" x14ac:dyDescent="0.2">
      <c r="K375" s="101"/>
    </row>
    <row r="376" spans="11:11" x14ac:dyDescent="0.2">
      <c r="K376" s="101"/>
    </row>
    <row r="377" spans="11:11" x14ac:dyDescent="0.2">
      <c r="K377" s="101"/>
    </row>
    <row r="378" spans="11:11" x14ac:dyDescent="0.2">
      <c r="K378" s="101"/>
    </row>
    <row r="379" spans="11:11" x14ac:dyDescent="0.2">
      <c r="K379" s="101"/>
    </row>
    <row r="380" spans="11:11" x14ac:dyDescent="0.2">
      <c r="K380" s="101"/>
    </row>
    <row r="381" spans="11:11" x14ac:dyDescent="0.2">
      <c r="K381" s="101"/>
    </row>
    <row r="382" spans="11:11" x14ac:dyDescent="0.2">
      <c r="K382" s="101"/>
    </row>
    <row r="383" spans="11:11" x14ac:dyDescent="0.2">
      <c r="K383" s="101"/>
    </row>
    <row r="384" spans="11:11" x14ac:dyDescent="0.2">
      <c r="K384" s="101"/>
    </row>
    <row r="385" spans="11:11" x14ac:dyDescent="0.2">
      <c r="K385" s="101"/>
    </row>
    <row r="386" spans="11:11" x14ac:dyDescent="0.2">
      <c r="K386" s="101"/>
    </row>
    <row r="387" spans="11:11" x14ac:dyDescent="0.2">
      <c r="K387" s="101"/>
    </row>
    <row r="388" spans="11:11" x14ac:dyDescent="0.2">
      <c r="K388" s="101"/>
    </row>
    <row r="389" spans="11:11" x14ac:dyDescent="0.2">
      <c r="K389" s="101"/>
    </row>
    <row r="390" spans="11:11" x14ac:dyDescent="0.2">
      <c r="K390" s="101"/>
    </row>
    <row r="391" spans="11:11" x14ac:dyDescent="0.2">
      <c r="K391" s="101"/>
    </row>
    <row r="392" spans="11:11" x14ac:dyDescent="0.2">
      <c r="K392" s="101"/>
    </row>
    <row r="393" spans="11:11" x14ac:dyDescent="0.2">
      <c r="K393" s="101"/>
    </row>
    <row r="394" spans="11:11" x14ac:dyDescent="0.2">
      <c r="K394" s="101"/>
    </row>
    <row r="395" spans="11:11" x14ac:dyDescent="0.2">
      <c r="K395" s="101"/>
    </row>
    <row r="396" spans="11:11" x14ac:dyDescent="0.2">
      <c r="K396" s="101"/>
    </row>
    <row r="397" spans="11:11" x14ac:dyDescent="0.2">
      <c r="K397" s="101"/>
    </row>
    <row r="398" spans="11:11" x14ac:dyDescent="0.2">
      <c r="K398" s="101"/>
    </row>
    <row r="399" spans="11:11" x14ac:dyDescent="0.2">
      <c r="K399" s="101"/>
    </row>
    <row r="400" spans="11:11" x14ac:dyDescent="0.2">
      <c r="K400" s="101"/>
    </row>
    <row r="401" spans="11:11" x14ac:dyDescent="0.2">
      <c r="K401" s="101"/>
    </row>
    <row r="402" spans="11:11" x14ac:dyDescent="0.2">
      <c r="K402" s="101"/>
    </row>
    <row r="403" spans="11:11" x14ac:dyDescent="0.2">
      <c r="K403" s="101"/>
    </row>
    <row r="404" spans="11:11" x14ac:dyDescent="0.2">
      <c r="K404" s="101"/>
    </row>
    <row r="405" spans="11:11" x14ac:dyDescent="0.2">
      <c r="K405" s="101"/>
    </row>
    <row r="406" spans="11:11" x14ac:dyDescent="0.2">
      <c r="K406" s="101"/>
    </row>
    <row r="407" spans="11:11" x14ac:dyDescent="0.2">
      <c r="K407" s="101"/>
    </row>
    <row r="408" spans="11:11" x14ac:dyDescent="0.2">
      <c r="K408" s="101"/>
    </row>
    <row r="409" spans="11:11" x14ac:dyDescent="0.2">
      <c r="K409" s="101"/>
    </row>
    <row r="410" spans="11:11" x14ac:dyDescent="0.2">
      <c r="K410" s="101"/>
    </row>
    <row r="411" spans="11:11" x14ac:dyDescent="0.2">
      <c r="K411" s="101"/>
    </row>
    <row r="412" spans="11:11" x14ac:dyDescent="0.2">
      <c r="K412" s="101"/>
    </row>
    <row r="413" spans="11:11" x14ac:dyDescent="0.2">
      <c r="K413" s="101"/>
    </row>
    <row r="414" spans="11:11" x14ac:dyDescent="0.2">
      <c r="K414" s="101"/>
    </row>
    <row r="415" spans="11:11" x14ac:dyDescent="0.2">
      <c r="K415" s="101"/>
    </row>
    <row r="416" spans="11:11" x14ac:dyDescent="0.2">
      <c r="K416" s="101"/>
    </row>
    <row r="417" spans="11:11" x14ac:dyDescent="0.2">
      <c r="K417" s="101"/>
    </row>
    <row r="418" spans="11:11" x14ac:dyDescent="0.2">
      <c r="K418" s="101"/>
    </row>
    <row r="419" spans="11:11" x14ac:dyDescent="0.2">
      <c r="K419" s="101"/>
    </row>
    <row r="420" spans="11:11" x14ac:dyDescent="0.2">
      <c r="K420" s="101"/>
    </row>
    <row r="421" spans="11:11" x14ac:dyDescent="0.2">
      <c r="K421" s="101"/>
    </row>
    <row r="422" spans="11:11" x14ac:dyDescent="0.2">
      <c r="K422" s="101"/>
    </row>
    <row r="423" spans="11:11" x14ac:dyDescent="0.2">
      <c r="K423" s="101"/>
    </row>
    <row r="424" spans="11:11" x14ac:dyDescent="0.2">
      <c r="K424" s="101"/>
    </row>
    <row r="425" spans="11:11" x14ac:dyDescent="0.2">
      <c r="K425" s="101"/>
    </row>
    <row r="426" spans="11:11" x14ac:dyDescent="0.2">
      <c r="K426" s="101"/>
    </row>
    <row r="427" spans="11:11" x14ac:dyDescent="0.2">
      <c r="K427" s="101"/>
    </row>
    <row r="428" spans="11:11" x14ac:dyDescent="0.2">
      <c r="K428" s="101"/>
    </row>
    <row r="429" spans="11:11" x14ac:dyDescent="0.2">
      <c r="K429" s="101"/>
    </row>
    <row r="430" spans="11:11" x14ac:dyDescent="0.2">
      <c r="K430" s="101"/>
    </row>
    <row r="431" spans="11:11" x14ac:dyDescent="0.2">
      <c r="K431" s="101"/>
    </row>
    <row r="432" spans="11:11" x14ac:dyDescent="0.2">
      <c r="K432" s="101"/>
    </row>
    <row r="433" spans="11:11" x14ac:dyDescent="0.2">
      <c r="K433" s="101"/>
    </row>
    <row r="434" spans="11:11" x14ac:dyDescent="0.2">
      <c r="K434" s="101"/>
    </row>
    <row r="435" spans="11:11" x14ac:dyDescent="0.2">
      <c r="K435" s="101"/>
    </row>
    <row r="436" spans="11:11" x14ac:dyDescent="0.2">
      <c r="K436" s="101"/>
    </row>
    <row r="437" spans="11:11" x14ac:dyDescent="0.2">
      <c r="K437" s="101"/>
    </row>
    <row r="438" spans="11:11" x14ac:dyDescent="0.2">
      <c r="K438" s="101"/>
    </row>
    <row r="439" spans="11:11" x14ac:dyDescent="0.2">
      <c r="K439" s="101"/>
    </row>
    <row r="440" spans="11:11" x14ac:dyDescent="0.2">
      <c r="K440" s="101"/>
    </row>
    <row r="441" spans="11:11" x14ac:dyDescent="0.2">
      <c r="K441" s="101"/>
    </row>
    <row r="442" spans="11:11" x14ac:dyDescent="0.2">
      <c r="K442" s="101"/>
    </row>
    <row r="443" spans="11:11" x14ac:dyDescent="0.2">
      <c r="K443" s="101"/>
    </row>
    <row r="444" spans="11:11" x14ac:dyDescent="0.2">
      <c r="K444" s="101"/>
    </row>
    <row r="445" spans="11:11" x14ac:dyDescent="0.2">
      <c r="K445" s="101"/>
    </row>
    <row r="446" spans="11:11" x14ac:dyDescent="0.2">
      <c r="K446" s="101"/>
    </row>
    <row r="447" spans="11:11" x14ac:dyDescent="0.2">
      <c r="K447" s="101"/>
    </row>
    <row r="448" spans="11:11" x14ac:dyDescent="0.2">
      <c r="K448" s="101"/>
    </row>
    <row r="449" spans="11:11" x14ac:dyDescent="0.2">
      <c r="K449" s="101"/>
    </row>
    <row r="450" spans="11:11" x14ac:dyDescent="0.2">
      <c r="K450" s="101"/>
    </row>
    <row r="451" spans="11:11" x14ac:dyDescent="0.2">
      <c r="K451" s="101"/>
    </row>
    <row r="452" spans="11:11" x14ac:dyDescent="0.2">
      <c r="K452" s="101"/>
    </row>
    <row r="453" spans="11:11" x14ac:dyDescent="0.2">
      <c r="K453" s="101"/>
    </row>
    <row r="454" spans="11:11" x14ac:dyDescent="0.2">
      <c r="K454" s="101"/>
    </row>
    <row r="455" spans="11:11" x14ac:dyDescent="0.2">
      <c r="K455" s="101"/>
    </row>
    <row r="456" spans="11:11" x14ac:dyDescent="0.2">
      <c r="K456" s="101"/>
    </row>
    <row r="457" spans="11:11" x14ac:dyDescent="0.2">
      <c r="K457" s="101"/>
    </row>
    <row r="458" spans="11:11" x14ac:dyDescent="0.2">
      <c r="K458" s="101"/>
    </row>
    <row r="459" spans="11:11" x14ac:dyDescent="0.2">
      <c r="K459" s="101"/>
    </row>
    <row r="460" spans="11:11" x14ac:dyDescent="0.2">
      <c r="K460" s="101"/>
    </row>
    <row r="461" spans="11:11" x14ac:dyDescent="0.2">
      <c r="K461" s="101"/>
    </row>
    <row r="462" spans="11:11" x14ac:dyDescent="0.2">
      <c r="K462" s="101"/>
    </row>
    <row r="463" spans="11:11" x14ac:dyDescent="0.2">
      <c r="K463" s="101"/>
    </row>
    <row r="464" spans="11:11" x14ac:dyDescent="0.2">
      <c r="K464" s="101"/>
    </row>
    <row r="465" spans="11:11" x14ac:dyDescent="0.2">
      <c r="K465" s="101"/>
    </row>
    <row r="466" spans="11:11" x14ac:dyDescent="0.2">
      <c r="K466" s="101"/>
    </row>
    <row r="467" spans="11:11" x14ac:dyDescent="0.2">
      <c r="K467" s="101"/>
    </row>
    <row r="468" spans="11:11" x14ac:dyDescent="0.2">
      <c r="K468" s="101"/>
    </row>
    <row r="469" spans="11:11" x14ac:dyDescent="0.2">
      <c r="K469" s="101"/>
    </row>
    <row r="470" spans="11:11" x14ac:dyDescent="0.2">
      <c r="K470" s="101"/>
    </row>
    <row r="471" spans="11:11" x14ac:dyDescent="0.2">
      <c r="K471" s="101"/>
    </row>
    <row r="472" spans="11:11" x14ac:dyDescent="0.2">
      <c r="K472" s="101"/>
    </row>
    <row r="473" spans="11:11" x14ac:dyDescent="0.2">
      <c r="K473" s="101"/>
    </row>
    <row r="474" spans="11:11" x14ac:dyDescent="0.2">
      <c r="K474" s="101"/>
    </row>
    <row r="475" spans="11:11" x14ac:dyDescent="0.2">
      <c r="K475" s="101"/>
    </row>
    <row r="476" spans="11:11" x14ac:dyDescent="0.2">
      <c r="K476" s="101"/>
    </row>
    <row r="477" spans="11:11" x14ac:dyDescent="0.2">
      <c r="K477" s="101"/>
    </row>
    <row r="478" spans="11:11" x14ac:dyDescent="0.2">
      <c r="K478" s="101"/>
    </row>
    <row r="479" spans="11:11" x14ac:dyDescent="0.2">
      <c r="K479" s="101"/>
    </row>
    <row r="480" spans="11:11" x14ac:dyDescent="0.2">
      <c r="K480" s="101"/>
    </row>
    <row r="481" spans="11:11" x14ac:dyDescent="0.2">
      <c r="K481" s="101"/>
    </row>
    <row r="482" spans="11:11" x14ac:dyDescent="0.2">
      <c r="K482" s="101"/>
    </row>
    <row r="483" spans="11:11" x14ac:dyDescent="0.2">
      <c r="K483" s="101"/>
    </row>
    <row r="484" spans="11:11" x14ac:dyDescent="0.2">
      <c r="K484" s="101"/>
    </row>
    <row r="485" spans="11:11" x14ac:dyDescent="0.2">
      <c r="K485" s="101"/>
    </row>
    <row r="486" spans="11:11" x14ac:dyDescent="0.2">
      <c r="K486" s="101"/>
    </row>
    <row r="487" spans="11:11" x14ac:dyDescent="0.2">
      <c r="K487" s="101"/>
    </row>
    <row r="488" spans="11:11" x14ac:dyDescent="0.2">
      <c r="K488" s="101"/>
    </row>
    <row r="489" spans="11:11" x14ac:dyDescent="0.2">
      <c r="K489" s="101"/>
    </row>
    <row r="490" spans="11:11" x14ac:dyDescent="0.2">
      <c r="K490" s="101"/>
    </row>
    <row r="491" spans="11:11" x14ac:dyDescent="0.2">
      <c r="K491" s="101"/>
    </row>
    <row r="492" spans="11:11" x14ac:dyDescent="0.2">
      <c r="K492" s="101"/>
    </row>
    <row r="493" spans="11:11" x14ac:dyDescent="0.2">
      <c r="K493" s="101"/>
    </row>
    <row r="494" spans="11:11" x14ac:dyDescent="0.2">
      <c r="K494" s="101"/>
    </row>
    <row r="495" spans="11:11" x14ac:dyDescent="0.2">
      <c r="K495" s="101"/>
    </row>
    <row r="496" spans="11:11" x14ac:dyDescent="0.2">
      <c r="K496" s="101"/>
    </row>
    <row r="497" spans="11:11" x14ac:dyDescent="0.2">
      <c r="K497" s="101"/>
    </row>
    <row r="498" spans="11:11" x14ac:dyDescent="0.2">
      <c r="K498" s="101"/>
    </row>
    <row r="499" spans="11:11" x14ac:dyDescent="0.2">
      <c r="K499" s="101"/>
    </row>
    <row r="500" spans="11:11" x14ac:dyDescent="0.2">
      <c r="K500" s="101"/>
    </row>
    <row r="501" spans="11:11" x14ac:dyDescent="0.2">
      <c r="K501" s="101"/>
    </row>
    <row r="502" spans="11:11" x14ac:dyDescent="0.2">
      <c r="K502" s="101"/>
    </row>
    <row r="503" spans="11:11" x14ac:dyDescent="0.2">
      <c r="K503" s="101"/>
    </row>
    <row r="504" spans="11:11" x14ac:dyDescent="0.2">
      <c r="K504" s="101"/>
    </row>
    <row r="505" spans="11:11" x14ac:dyDescent="0.2">
      <c r="K505" s="101"/>
    </row>
    <row r="506" spans="11:11" x14ac:dyDescent="0.2">
      <c r="K506" s="101"/>
    </row>
    <row r="507" spans="11:11" x14ac:dyDescent="0.2">
      <c r="K507" s="101"/>
    </row>
    <row r="508" spans="11:11" x14ac:dyDescent="0.2">
      <c r="K508" s="101"/>
    </row>
    <row r="509" spans="11:11" x14ac:dyDescent="0.2">
      <c r="K509" s="101"/>
    </row>
    <row r="510" spans="11:11" x14ac:dyDescent="0.2">
      <c r="K510" s="101"/>
    </row>
    <row r="511" spans="11:11" x14ac:dyDescent="0.2">
      <c r="K511" s="101"/>
    </row>
    <row r="512" spans="11:11" x14ac:dyDescent="0.2">
      <c r="K512" s="101"/>
    </row>
    <row r="513" spans="11:11" x14ac:dyDescent="0.2">
      <c r="K513" s="101"/>
    </row>
    <row r="514" spans="11:11" x14ac:dyDescent="0.2">
      <c r="K514" s="101"/>
    </row>
    <row r="515" spans="11:11" x14ac:dyDescent="0.2">
      <c r="K515" s="101"/>
    </row>
    <row r="516" spans="11:11" x14ac:dyDescent="0.2">
      <c r="K516" s="101"/>
    </row>
    <row r="517" spans="11:11" x14ac:dyDescent="0.2">
      <c r="K517" s="101"/>
    </row>
    <row r="518" spans="11:11" x14ac:dyDescent="0.2">
      <c r="K518" s="101"/>
    </row>
    <row r="519" spans="11:11" x14ac:dyDescent="0.2">
      <c r="K519" s="101"/>
    </row>
    <row r="520" spans="11:11" x14ac:dyDescent="0.2">
      <c r="K520" s="101"/>
    </row>
    <row r="521" spans="11:11" x14ac:dyDescent="0.2">
      <c r="K521" s="101"/>
    </row>
    <row r="522" spans="11:11" x14ac:dyDescent="0.2">
      <c r="K522" s="101"/>
    </row>
    <row r="523" spans="11:11" x14ac:dyDescent="0.2">
      <c r="K523" s="101"/>
    </row>
    <row r="524" spans="11:11" x14ac:dyDescent="0.2">
      <c r="K524" s="101"/>
    </row>
    <row r="525" spans="11:11" x14ac:dyDescent="0.2">
      <c r="K525" s="101"/>
    </row>
    <row r="526" spans="11:11" x14ac:dyDescent="0.2">
      <c r="K526" s="101"/>
    </row>
    <row r="527" spans="11:11" x14ac:dyDescent="0.2">
      <c r="K527" s="101"/>
    </row>
    <row r="528" spans="11:11" x14ac:dyDescent="0.2">
      <c r="K528" s="101"/>
    </row>
    <row r="529" spans="11:11" x14ac:dyDescent="0.2">
      <c r="K529" s="101"/>
    </row>
    <row r="530" spans="11:11" x14ac:dyDescent="0.2">
      <c r="K530" s="101"/>
    </row>
    <row r="531" spans="11:11" x14ac:dyDescent="0.2">
      <c r="K531" s="101"/>
    </row>
    <row r="532" spans="11:11" x14ac:dyDescent="0.2">
      <c r="K532" s="101"/>
    </row>
    <row r="533" spans="11:11" x14ac:dyDescent="0.2">
      <c r="K533" s="101"/>
    </row>
    <row r="534" spans="11:11" x14ac:dyDescent="0.2">
      <c r="K534" s="101"/>
    </row>
    <row r="535" spans="11:11" x14ac:dyDescent="0.2">
      <c r="K535" s="101"/>
    </row>
    <row r="536" spans="11:11" x14ac:dyDescent="0.2">
      <c r="K536" s="101"/>
    </row>
    <row r="537" spans="11:11" x14ac:dyDescent="0.2">
      <c r="K537" s="101"/>
    </row>
    <row r="538" spans="11:11" x14ac:dyDescent="0.2">
      <c r="K538" s="101"/>
    </row>
    <row r="539" spans="11:11" x14ac:dyDescent="0.2">
      <c r="K539" s="101"/>
    </row>
    <row r="540" spans="11:11" x14ac:dyDescent="0.2">
      <c r="K540" s="101"/>
    </row>
    <row r="541" spans="11:11" x14ac:dyDescent="0.2">
      <c r="K541" s="101"/>
    </row>
    <row r="542" spans="11:11" x14ac:dyDescent="0.2">
      <c r="K542" s="101"/>
    </row>
    <row r="543" spans="11:11" x14ac:dyDescent="0.2">
      <c r="K543" s="101"/>
    </row>
    <row r="544" spans="11:11" x14ac:dyDescent="0.2">
      <c r="K544" s="101"/>
    </row>
    <row r="545" spans="11:11" x14ac:dyDescent="0.2">
      <c r="K545" s="101"/>
    </row>
    <row r="546" spans="11:11" x14ac:dyDescent="0.2">
      <c r="K546" s="101"/>
    </row>
    <row r="547" spans="11:11" x14ac:dyDescent="0.2">
      <c r="K547" s="101"/>
    </row>
    <row r="548" spans="11:11" x14ac:dyDescent="0.2">
      <c r="K548" s="101"/>
    </row>
    <row r="549" spans="11:11" x14ac:dyDescent="0.2">
      <c r="K549" s="101"/>
    </row>
    <row r="550" spans="11:11" x14ac:dyDescent="0.2">
      <c r="K550" s="101"/>
    </row>
    <row r="551" spans="11:11" x14ac:dyDescent="0.2">
      <c r="K551" s="101"/>
    </row>
    <row r="552" spans="11:11" x14ac:dyDescent="0.2">
      <c r="K552" s="101"/>
    </row>
    <row r="553" spans="11:11" x14ac:dyDescent="0.2">
      <c r="K553" s="101"/>
    </row>
    <row r="554" spans="11:11" x14ac:dyDescent="0.2">
      <c r="K554" s="101"/>
    </row>
    <row r="555" spans="11:11" x14ac:dyDescent="0.2">
      <c r="K555" s="101"/>
    </row>
    <row r="556" spans="11:11" x14ac:dyDescent="0.2">
      <c r="K556" s="101"/>
    </row>
    <row r="557" spans="11:11" x14ac:dyDescent="0.2">
      <c r="K557" s="101"/>
    </row>
    <row r="558" spans="11:11" x14ac:dyDescent="0.2">
      <c r="K558" s="101"/>
    </row>
    <row r="559" spans="11:11" x14ac:dyDescent="0.2">
      <c r="K559" s="101"/>
    </row>
    <row r="560" spans="11:11" x14ac:dyDescent="0.2">
      <c r="K560" s="101"/>
    </row>
    <row r="561" spans="11:11" x14ac:dyDescent="0.2">
      <c r="K561" s="101"/>
    </row>
    <row r="562" spans="11:11" x14ac:dyDescent="0.2">
      <c r="K562" s="101"/>
    </row>
    <row r="563" spans="11:11" x14ac:dyDescent="0.2">
      <c r="K563" s="101"/>
    </row>
    <row r="564" spans="11:11" x14ac:dyDescent="0.2">
      <c r="K564" s="101"/>
    </row>
    <row r="565" spans="11:11" x14ac:dyDescent="0.2">
      <c r="K565" s="101"/>
    </row>
    <row r="566" spans="11:11" x14ac:dyDescent="0.2">
      <c r="K566" s="101"/>
    </row>
    <row r="567" spans="11:11" x14ac:dyDescent="0.2">
      <c r="K567" s="101"/>
    </row>
    <row r="568" spans="11:11" x14ac:dyDescent="0.2">
      <c r="K568" s="101"/>
    </row>
    <row r="569" spans="11:11" x14ac:dyDescent="0.2">
      <c r="K569" s="101"/>
    </row>
    <row r="570" spans="11:11" x14ac:dyDescent="0.2">
      <c r="K570" s="101"/>
    </row>
    <row r="571" spans="11:11" x14ac:dyDescent="0.2">
      <c r="K571" s="101"/>
    </row>
    <row r="572" spans="11:11" x14ac:dyDescent="0.2">
      <c r="K572" s="101"/>
    </row>
    <row r="573" spans="11:11" x14ac:dyDescent="0.2">
      <c r="K573" s="101"/>
    </row>
    <row r="574" spans="11:11" x14ac:dyDescent="0.2">
      <c r="K574" s="101"/>
    </row>
    <row r="575" spans="11:11" x14ac:dyDescent="0.2">
      <c r="K575" s="101"/>
    </row>
    <row r="576" spans="11:11" x14ac:dyDescent="0.2">
      <c r="K576" s="101"/>
    </row>
    <row r="577" spans="11:11" x14ac:dyDescent="0.2">
      <c r="K577" s="101"/>
    </row>
    <row r="578" spans="11:11" x14ac:dyDescent="0.2">
      <c r="K578" s="101"/>
    </row>
    <row r="579" spans="11:11" x14ac:dyDescent="0.2">
      <c r="K579" s="101"/>
    </row>
    <row r="580" spans="11:11" x14ac:dyDescent="0.2">
      <c r="K580" s="101"/>
    </row>
    <row r="581" spans="11:11" x14ac:dyDescent="0.2">
      <c r="K581" s="101"/>
    </row>
    <row r="582" spans="11:11" x14ac:dyDescent="0.2">
      <c r="K582" s="101"/>
    </row>
    <row r="583" spans="11:11" x14ac:dyDescent="0.2">
      <c r="K583" s="101"/>
    </row>
    <row r="584" spans="11:11" x14ac:dyDescent="0.2">
      <c r="K584" s="101"/>
    </row>
    <row r="585" spans="11:11" x14ac:dyDescent="0.2">
      <c r="K585" s="101"/>
    </row>
    <row r="586" spans="11:11" x14ac:dyDescent="0.2">
      <c r="K586" s="101"/>
    </row>
    <row r="587" spans="11:11" x14ac:dyDescent="0.2">
      <c r="K587" s="101"/>
    </row>
    <row r="588" spans="11:11" x14ac:dyDescent="0.2">
      <c r="K588" s="101"/>
    </row>
    <row r="589" spans="11:11" x14ac:dyDescent="0.2">
      <c r="K589" s="101"/>
    </row>
    <row r="590" spans="11:11" x14ac:dyDescent="0.2">
      <c r="K590" s="101"/>
    </row>
    <row r="591" spans="11:11" x14ac:dyDescent="0.2">
      <c r="K591" s="101"/>
    </row>
    <row r="592" spans="11:11" x14ac:dyDescent="0.2">
      <c r="K592" s="101"/>
    </row>
    <row r="593" spans="11:11" x14ac:dyDescent="0.2">
      <c r="K593" s="101"/>
    </row>
    <row r="594" spans="11:11" x14ac:dyDescent="0.2">
      <c r="K594" s="101"/>
    </row>
    <row r="595" spans="11:11" x14ac:dyDescent="0.2">
      <c r="K595" s="101"/>
    </row>
    <row r="596" spans="11:11" x14ac:dyDescent="0.2">
      <c r="K596" s="101"/>
    </row>
    <row r="597" spans="11:11" x14ac:dyDescent="0.2">
      <c r="K597" s="101"/>
    </row>
    <row r="598" spans="11:11" x14ac:dyDescent="0.2">
      <c r="K598" s="101"/>
    </row>
    <row r="599" spans="11:11" x14ac:dyDescent="0.2">
      <c r="K599" s="101"/>
    </row>
    <row r="600" spans="11:11" x14ac:dyDescent="0.2">
      <c r="K600" s="101"/>
    </row>
    <row r="601" spans="11:11" x14ac:dyDescent="0.2">
      <c r="K601" s="101"/>
    </row>
    <row r="602" spans="11:11" x14ac:dyDescent="0.2">
      <c r="K602" s="101"/>
    </row>
    <row r="603" spans="11:11" x14ac:dyDescent="0.2">
      <c r="K603" s="101"/>
    </row>
    <row r="604" spans="11:11" x14ac:dyDescent="0.2">
      <c r="K604" s="101"/>
    </row>
    <row r="605" spans="11:11" x14ac:dyDescent="0.2">
      <c r="K605" s="101"/>
    </row>
    <row r="606" spans="11:11" x14ac:dyDescent="0.2">
      <c r="K606" s="101"/>
    </row>
    <row r="607" spans="11:11" x14ac:dyDescent="0.2">
      <c r="K607" s="101"/>
    </row>
    <row r="608" spans="11:11" x14ac:dyDescent="0.2">
      <c r="K608" s="101"/>
    </row>
    <row r="609" spans="11:11" x14ac:dyDescent="0.2">
      <c r="K609" s="101"/>
    </row>
    <row r="610" spans="11:11" x14ac:dyDescent="0.2">
      <c r="K610" s="101"/>
    </row>
    <row r="611" spans="11:11" x14ac:dyDescent="0.2">
      <c r="K611" s="101"/>
    </row>
    <row r="612" spans="11:11" x14ac:dyDescent="0.2">
      <c r="K612" s="101"/>
    </row>
    <row r="613" spans="11:11" x14ac:dyDescent="0.2">
      <c r="K613" s="101"/>
    </row>
    <row r="614" spans="11:11" x14ac:dyDescent="0.2">
      <c r="K614" s="101"/>
    </row>
    <row r="615" spans="11:11" x14ac:dyDescent="0.2">
      <c r="K615" s="101"/>
    </row>
    <row r="616" spans="11:11" x14ac:dyDescent="0.2">
      <c r="K616" s="101"/>
    </row>
    <row r="617" spans="11:11" x14ac:dyDescent="0.2">
      <c r="K617" s="101"/>
    </row>
    <row r="618" spans="11:11" x14ac:dyDescent="0.2">
      <c r="K618" s="101"/>
    </row>
    <row r="619" spans="11:11" x14ac:dyDescent="0.2">
      <c r="K619" s="101"/>
    </row>
    <row r="620" spans="11:11" x14ac:dyDescent="0.2">
      <c r="K620" s="101"/>
    </row>
    <row r="621" spans="11:11" x14ac:dyDescent="0.2">
      <c r="K621" s="101"/>
    </row>
    <row r="622" spans="11:11" x14ac:dyDescent="0.2">
      <c r="K622" s="101"/>
    </row>
    <row r="623" spans="11:11" x14ac:dyDescent="0.2">
      <c r="K623" s="101"/>
    </row>
    <row r="624" spans="11:11" x14ac:dyDescent="0.2">
      <c r="K624" s="101"/>
    </row>
    <row r="625" spans="11:11" x14ac:dyDescent="0.2">
      <c r="K625" s="101"/>
    </row>
    <row r="626" spans="11:11" x14ac:dyDescent="0.2">
      <c r="K626" s="101"/>
    </row>
    <row r="627" spans="11:11" x14ac:dyDescent="0.2">
      <c r="K627" s="101"/>
    </row>
    <row r="628" spans="11:11" x14ac:dyDescent="0.2">
      <c r="K628" s="101"/>
    </row>
    <row r="629" spans="11:11" x14ac:dyDescent="0.2">
      <c r="K629" s="101"/>
    </row>
    <row r="630" spans="11:11" x14ac:dyDescent="0.2">
      <c r="K630" s="101"/>
    </row>
    <row r="631" spans="11:11" x14ac:dyDescent="0.2">
      <c r="K631" s="101"/>
    </row>
    <row r="632" spans="11:11" x14ac:dyDescent="0.2">
      <c r="K632" s="101"/>
    </row>
    <row r="633" spans="11:11" x14ac:dyDescent="0.2">
      <c r="K633" s="101"/>
    </row>
    <row r="634" spans="11:11" x14ac:dyDescent="0.2">
      <c r="K634" s="101"/>
    </row>
    <row r="635" spans="11:11" x14ac:dyDescent="0.2">
      <c r="K635" s="101"/>
    </row>
    <row r="636" spans="11:11" x14ac:dyDescent="0.2">
      <c r="K636" s="101"/>
    </row>
    <row r="637" spans="11:11" x14ac:dyDescent="0.2">
      <c r="K637" s="101"/>
    </row>
    <row r="638" spans="11:11" x14ac:dyDescent="0.2">
      <c r="K638" s="101"/>
    </row>
    <row r="639" spans="11:11" x14ac:dyDescent="0.2">
      <c r="K639" s="101"/>
    </row>
    <row r="640" spans="11:11" x14ac:dyDescent="0.2">
      <c r="K640" s="101"/>
    </row>
    <row r="641" spans="11:11" x14ac:dyDescent="0.2">
      <c r="K641" s="101"/>
    </row>
    <row r="642" spans="11:11" x14ac:dyDescent="0.2">
      <c r="K642" s="101"/>
    </row>
    <row r="643" spans="11:11" x14ac:dyDescent="0.2">
      <c r="K643" s="101"/>
    </row>
    <row r="644" spans="11:11" x14ac:dyDescent="0.2">
      <c r="K644" s="101"/>
    </row>
    <row r="645" spans="11:11" x14ac:dyDescent="0.2">
      <c r="K645" s="101"/>
    </row>
    <row r="646" spans="11:11" x14ac:dyDescent="0.2">
      <c r="K646" s="101"/>
    </row>
    <row r="647" spans="11:11" x14ac:dyDescent="0.2">
      <c r="K647" s="101"/>
    </row>
    <row r="648" spans="11:11" x14ac:dyDescent="0.2">
      <c r="K648" s="101"/>
    </row>
    <row r="649" spans="11:11" x14ac:dyDescent="0.2">
      <c r="K649" s="101"/>
    </row>
    <row r="650" spans="11:11" x14ac:dyDescent="0.2">
      <c r="K650" s="101"/>
    </row>
    <row r="651" spans="11:11" x14ac:dyDescent="0.2">
      <c r="K651" s="101"/>
    </row>
    <row r="652" spans="11:11" x14ac:dyDescent="0.2">
      <c r="K652" s="101"/>
    </row>
    <row r="653" spans="11:11" x14ac:dyDescent="0.2">
      <c r="K653" s="101"/>
    </row>
    <row r="654" spans="11:11" x14ac:dyDescent="0.2">
      <c r="K654" s="101"/>
    </row>
    <row r="655" spans="11:11" x14ac:dyDescent="0.2">
      <c r="K655" s="101"/>
    </row>
    <row r="656" spans="11:11" x14ac:dyDescent="0.2">
      <c r="K656" s="101"/>
    </row>
    <row r="657" spans="11:11" x14ac:dyDescent="0.2">
      <c r="K657" s="101"/>
    </row>
    <row r="658" spans="11:11" x14ac:dyDescent="0.2">
      <c r="K658" s="101"/>
    </row>
    <row r="659" spans="11:11" x14ac:dyDescent="0.2">
      <c r="K659" s="101"/>
    </row>
    <row r="660" spans="11:11" x14ac:dyDescent="0.2">
      <c r="K660" s="101"/>
    </row>
    <row r="661" spans="11:11" x14ac:dyDescent="0.2">
      <c r="K661" s="101"/>
    </row>
    <row r="662" spans="11:11" x14ac:dyDescent="0.2">
      <c r="K662" s="101"/>
    </row>
    <row r="663" spans="11:11" x14ac:dyDescent="0.2">
      <c r="K663" s="101"/>
    </row>
    <row r="664" spans="11:11" x14ac:dyDescent="0.2">
      <c r="K664" s="101"/>
    </row>
    <row r="665" spans="11:11" x14ac:dyDescent="0.2">
      <c r="K665" s="101"/>
    </row>
    <row r="666" spans="11:11" x14ac:dyDescent="0.2">
      <c r="K666" s="101"/>
    </row>
    <row r="667" spans="11:11" x14ac:dyDescent="0.2">
      <c r="K667" s="101"/>
    </row>
    <row r="668" spans="11:11" x14ac:dyDescent="0.2">
      <c r="K668" s="101"/>
    </row>
    <row r="669" spans="11:11" x14ac:dyDescent="0.2">
      <c r="K669" s="101"/>
    </row>
    <row r="670" spans="11:11" x14ac:dyDescent="0.2">
      <c r="K670" s="101"/>
    </row>
    <row r="671" spans="11:11" x14ac:dyDescent="0.2">
      <c r="K671" s="101"/>
    </row>
    <row r="672" spans="11:11" x14ac:dyDescent="0.2">
      <c r="K672" s="101"/>
    </row>
    <row r="673" spans="11:11" x14ac:dyDescent="0.2">
      <c r="K673" s="101"/>
    </row>
    <row r="674" spans="11:11" x14ac:dyDescent="0.2">
      <c r="K674" s="101"/>
    </row>
    <row r="675" spans="11:11" x14ac:dyDescent="0.2">
      <c r="K675" s="101"/>
    </row>
    <row r="676" spans="11:11" x14ac:dyDescent="0.2">
      <c r="K676" s="101"/>
    </row>
    <row r="677" spans="11:11" x14ac:dyDescent="0.2">
      <c r="K677" s="101"/>
    </row>
    <row r="678" spans="11:11" x14ac:dyDescent="0.2">
      <c r="K678" s="101"/>
    </row>
    <row r="679" spans="11:11" x14ac:dyDescent="0.2">
      <c r="K679" s="101"/>
    </row>
    <row r="680" spans="11:11" x14ac:dyDescent="0.2">
      <c r="K680" s="101"/>
    </row>
    <row r="681" spans="11:11" x14ac:dyDescent="0.2">
      <c r="K681" s="101"/>
    </row>
    <row r="682" spans="11:11" x14ac:dyDescent="0.2">
      <c r="K682" s="101"/>
    </row>
    <row r="683" spans="11:11" x14ac:dyDescent="0.2">
      <c r="K683" s="101"/>
    </row>
    <row r="684" spans="11:11" x14ac:dyDescent="0.2">
      <c r="K684" s="101"/>
    </row>
    <row r="685" spans="11:11" x14ac:dyDescent="0.2">
      <c r="K685" s="101"/>
    </row>
    <row r="686" spans="11:11" x14ac:dyDescent="0.2">
      <c r="K686" s="101"/>
    </row>
    <row r="687" spans="11:11" x14ac:dyDescent="0.2">
      <c r="K687" s="101"/>
    </row>
    <row r="688" spans="11:11" x14ac:dyDescent="0.2">
      <c r="K688" s="101"/>
    </row>
    <row r="689" spans="11:11" x14ac:dyDescent="0.2">
      <c r="K689" s="101"/>
    </row>
    <row r="690" spans="11:11" x14ac:dyDescent="0.2">
      <c r="K690" s="101"/>
    </row>
    <row r="691" spans="11:11" x14ac:dyDescent="0.2">
      <c r="K691" s="101"/>
    </row>
    <row r="692" spans="11:11" x14ac:dyDescent="0.2">
      <c r="K692" s="101"/>
    </row>
    <row r="693" spans="11:11" x14ac:dyDescent="0.2">
      <c r="K693" s="101"/>
    </row>
    <row r="694" spans="11:11" x14ac:dyDescent="0.2">
      <c r="K694" s="101"/>
    </row>
    <row r="695" spans="11:11" x14ac:dyDescent="0.2">
      <c r="K695" s="101"/>
    </row>
    <row r="696" spans="11:11" x14ac:dyDescent="0.2">
      <c r="K696" s="101"/>
    </row>
    <row r="697" spans="11:11" x14ac:dyDescent="0.2">
      <c r="K697" s="101"/>
    </row>
    <row r="698" spans="11:11" x14ac:dyDescent="0.2">
      <c r="K698" s="101"/>
    </row>
    <row r="699" spans="11:11" x14ac:dyDescent="0.2">
      <c r="K699" s="101"/>
    </row>
    <row r="700" spans="11:11" x14ac:dyDescent="0.2">
      <c r="K700" s="101"/>
    </row>
    <row r="701" spans="11:11" x14ac:dyDescent="0.2">
      <c r="K701" s="101"/>
    </row>
    <row r="702" spans="11:11" x14ac:dyDescent="0.2">
      <c r="K702" s="101"/>
    </row>
    <row r="703" spans="11:11" x14ac:dyDescent="0.2">
      <c r="K703" s="101"/>
    </row>
    <row r="704" spans="11:11" x14ac:dyDescent="0.2">
      <c r="K704" s="101"/>
    </row>
    <row r="705" spans="11:11" x14ac:dyDescent="0.2">
      <c r="K705" s="101"/>
    </row>
    <row r="706" spans="11:11" x14ac:dyDescent="0.2">
      <c r="K706" s="101"/>
    </row>
    <row r="707" spans="11:11" x14ac:dyDescent="0.2">
      <c r="K707" s="101"/>
    </row>
    <row r="708" spans="11:11" x14ac:dyDescent="0.2">
      <c r="K708" s="101"/>
    </row>
    <row r="709" spans="11:11" x14ac:dyDescent="0.2">
      <c r="K709" s="101"/>
    </row>
    <row r="710" spans="11:11" x14ac:dyDescent="0.2">
      <c r="K710" s="101"/>
    </row>
    <row r="711" spans="11:11" x14ac:dyDescent="0.2">
      <c r="K711" s="101"/>
    </row>
    <row r="712" spans="11:11" x14ac:dyDescent="0.2">
      <c r="K712" s="101"/>
    </row>
    <row r="713" spans="11:11" x14ac:dyDescent="0.2">
      <c r="K713" s="101"/>
    </row>
    <row r="714" spans="11:11" x14ac:dyDescent="0.2">
      <c r="K714" s="101"/>
    </row>
    <row r="715" spans="11:11" x14ac:dyDescent="0.2">
      <c r="K715" s="101"/>
    </row>
    <row r="716" spans="11:11" x14ac:dyDescent="0.2">
      <c r="K716" s="101"/>
    </row>
    <row r="717" spans="11:11" x14ac:dyDescent="0.2">
      <c r="K717" s="101"/>
    </row>
    <row r="718" spans="11:11" x14ac:dyDescent="0.2">
      <c r="K718" s="101"/>
    </row>
    <row r="719" spans="11:11" x14ac:dyDescent="0.2">
      <c r="K719" s="101"/>
    </row>
    <row r="720" spans="11:11" x14ac:dyDescent="0.2">
      <c r="K720" s="101"/>
    </row>
    <row r="721" spans="11:11" x14ac:dyDescent="0.2">
      <c r="K721" s="101"/>
    </row>
    <row r="722" spans="11:11" x14ac:dyDescent="0.2">
      <c r="K722" s="101"/>
    </row>
    <row r="723" spans="11:11" x14ac:dyDescent="0.2">
      <c r="K723" s="101"/>
    </row>
    <row r="724" spans="11:11" x14ac:dyDescent="0.2">
      <c r="K724" s="101"/>
    </row>
    <row r="725" spans="11:11" x14ac:dyDescent="0.2">
      <c r="K725" s="101"/>
    </row>
    <row r="726" spans="11:11" x14ac:dyDescent="0.2">
      <c r="K726" s="101"/>
    </row>
    <row r="727" spans="11:11" x14ac:dyDescent="0.2">
      <c r="K727" s="101"/>
    </row>
    <row r="728" spans="11:11" x14ac:dyDescent="0.2">
      <c r="K728" s="101"/>
    </row>
    <row r="729" spans="11:11" x14ac:dyDescent="0.2">
      <c r="K729" s="101"/>
    </row>
    <row r="730" spans="11:11" x14ac:dyDescent="0.2">
      <c r="K730" s="101"/>
    </row>
    <row r="731" spans="11:11" x14ac:dyDescent="0.2">
      <c r="K731" s="101"/>
    </row>
    <row r="732" spans="11:11" x14ac:dyDescent="0.2">
      <c r="K732" s="101"/>
    </row>
    <row r="733" spans="11:11" x14ac:dyDescent="0.2">
      <c r="K733" s="101"/>
    </row>
    <row r="734" spans="11:11" x14ac:dyDescent="0.2">
      <c r="K734" s="101"/>
    </row>
    <row r="735" spans="11:11" x14ac:dyDescent="0.2">
      <c r="K735" s="101"/>
    </row>
    <row r="736" spans="11:11" x14ac:dyDescent="0.2">
      <c r="K736" s="101"/>
    </row>
    <row r="737" spans="11:11" x14ac:dyDescent="0.2">
      <c r="K737" s="101"/>
    </row>
    <row r="738" spans="11:11" x14ac:dyDescent="0.2">
      <c r="K738" s="101"/>
    </row>
    <row r="739" spans="11:11" x14ac:dyDescent="0.2">
      <c r="K739" s="101"/>
    </row>
    <row r="740" spans="11:11" x14ac:dyDescent="0.2">
      <c r="K740" s="101"/>
    </row>
    <row r="741" spans="11:11" x14ac:dyDescent="0.2">
      <c r="K741" s="101"/>
    </row>
    <row r="742" spans="11:11" x14ac:dyDescent="0.2">
      <c r="K742" s="101"/>
    </row>
    <row r="743" spans="11:11" x14ac:dyDescent="0.2">
      <c r="K743" s="101"/>
    </row>
    <row r="744" spans="11:11" x14ac:dyDescent="0.2">
      <c r="K744" s="101"/>
    </row>
    <row r="745" spans="11:11" x14ac:dyDescent="0.2">
      <c r="K745" s="101"/>
    </row>
    <row r="746" spans="11:11" x14ac:dyDescent="0.2">
      <c r="K746" s="101"/>
    </row>
    <row r="747" spans="11:11" x14ac:dyDescent="0.2">
      <c r="K747" s="101"/>
    </row>
    <row r="748" spans="11:11" x14ac:dyDescent="0.2">
      <c r="K748" s="101"/>
    </row>
    <row r="749" spans="11:11" x14ac:dyDescent="0.2">
      <c r="K749" s="101"/>
    </row>
    <row r="750" spans="11:11" x14ac:dyDescent="0.2">
      <c r="K750" s="101"/>
    </row>
    <row r="751" spans="11:11" x14ac:dyDescent="0.2">
      <c r="K751" s="101"/>
    </row>
    <row r="752" spans="11:11" x14ac:dyDescent="0.2">
      <c r="K752" s="101"/>
    </row>
    <row r="753" spans="11:11" x14ac:dyDescent="0.2">
      <c r="K753" s="101"/>
    </row>
    <row r="754" spans="11:11" x14ac:dyDescent="0.2">
      <c r="K754" s="101"/>
    </row>
    <row r="755" spans="11:11" x14ac:dyDescent="0.2">
      <c r="K755" s="101"/>
    </row>
    <row r="756" spans="11:11" x14ac:dyDescent="0.2">
      <c r="K756" s="101"/>
    </row>
    <row r="757" spans="11:11" x14ac:dyDescent="0.2">
      <c r="K757" s="101"/>
    </row>
    <row r="758" spans="11:11" x14ac:dyDescent="0.2">
      <c r="K758" s="101"/>
    </row>
    <row r="759" spans="11:11" x14ac:dyDescent="0.2">
      <c r="K759" s="101"/>
    </row>
    <row r="760" spans="11:11" x14ac:dyDescent="0.2">
      <c r="K760" s="101"/>
    </row>
    <row r="761" spans="11:11" x14ac:dyDescent="0.2">
      <c r="K761" s="101"/>
    </row>
    <row r="762" spans="11:11" x14ac:dyDescent="0.2">
      <c r="K762" s="101"/>
    </row>
    <row r="763" spans="11:11" x14ac:dyDescent="0.2">
      <c r="K763" s="101"/>
    </row>
    <row r="764" spans="11:11" x14ac:dyDescent="0.2">
      <c r="K764" s="101"/>
    </row>
    <row r="765" spans="11:11" x14ac:dyDescent="0.2">
      <c r="K765" s="101"/>
    </row>
    <row r="766" spans="11:11" x14ac:dyDescent="0.2">
      <c r="K766" s="101"/>
    </row>
    <row r="767" spans="11:11" x14ac:dyDescent="0.2">
      <c r="K767" s="101"/>
    </row>
    <row r="768" spans="11:11" x14ac:dyDescent="0.2">
      <c r="K768" s="101"/>
    </row>
    <row r="769" spans="11:11" x14ac:dyDescent="0.2">
      <c r="K769" s="101"/>
    </row>
    <row r="770" spans="11:11" x14ac:dyDescent="0.2">
      <c r="K770" s="101"/>
    </row>
    <row r="771" spans="11:11" x14ac:dyDescent="0.2">
      <c r="K771" s="101"/>
    </row>
    <row r="772" spans="11:11" x14ac:dyDescent="0.2">
      <c r="K772" s="101"/>
    </row>
    <row r="773" spans="11:11" x14ac:dyDescent="0.2">
      <c r="K773" s="101"/>
    </row>
    <row r="774" spans="11:11" x14ac:dyDescent="0.2">
      <c r="K774" s="101"/>
    </row>
    <row r="775" spans="11:11" x14ac:dyDescent="0.2">
      <c r="K775" s="101"/>
    </row>
    <row r="776" spans="11:11" x14ac:dyDescent="0.2">
      <c r="K776" s="101"/>
    </row>
    <row r="777" spans="11:11" x14ac:dyDescent="0.2">
      <c r="K777" s="101"/>
    </row>
    <row r="778" spans="11:11" x14ac:dyDescent="0.2">
      <c r="K778" s="101"/>
    </row>
    <row r="779" spans="11:11" x14ac:dyDescent="0.2">
      <c r="K779" s="101"/>
    </row>
    <row r="780" spans="11:11" x14ac:dyDescent="0.2">
      <c r="K780" s="101"/>
    </row>
    <row r="781" spans="11:11" x14ac:dyDescent="0.2">
      <c r="K781" s="101"/>
    </row>
    <row r="782" spans="11:11" x14ac:dyDescent="0.2">
      <c r="K782" s="101"/>
    </row>
    <row r="783" spans="11:11" x14ac:dyDescent="0.2">
      <c r="K783" s="101"/>
    </row>
    <row r="784" spans="11:11" x14ac:dyDescent="0.2">
      <c r="K784" s="101"/>
    </row>
    <row r="785" spans="11:11" x14ac:dyDescent="0.2">
      <c r="K785" s="101"/>
    </row>
    <row r="786" spans="11:11" x14ac:dyDescent="0.2">
      <c r="K786" s="101"/>
    </row>
    <row r="787" spans="11:11" x14ac:dyDescent="0.2">
      <c r="K787" s="101"/>
    </row>
    <row r="788" spans="11:11" x14ac:dyDescent="0.2">
      <c r="K788" s="101"/>
    </row>
    <row r="789" spans="11:11" x14ac:dyDescent="0.2">
      <c r="K789" s="101"/>
    </row>
    <row r="790" spans="11:11" x14ac:dyDescent="0.2">
      <c r="K790" s="101"/>
    </row>
    <row r="791" spans="11:11" x14ac:dyDescent="0.2">
      <c r="K791" s="101"/>
    </row>
    <row r="792" spans="11:11" x14ac:dyDescent="0.2">
      <c r="K792" s="101"/>
    </row>
    <row r="793" spans="11:11" x14ac:dyDescent="0.2">
      <c r="K793" s="101"/>
    </row>
    <row r="794" spans="11:11" x14ac:dyDescent="0.2">
      <c r="K794" s="101"/>
    </row>
    <row r="795" spans="11:11" x14ac:dyDescent="0.2">
      <c r="K795" s="101"/>
    </row>
    <row r="796" spans="11:11" x14ac:dyDescent="0.2">
      <c r="K796" s="101"/>
    </row>
    <row r="797" spans="11:11" x14ac:dyDescent="0.2">
      <c r="K797" s="101"/>
    </row>
    <row r="798" spans="11:11" x14ac:dyDescent="0.2">
      <c r="K798" s="101"/>
    </row>
    <row r="799" spans="11:11" x14ac:dyDescent="0.2">
      <c r="K799" s="101"/>
    </row>
    <row r="800" spans="11:11" x14ac:dyDescent="0.2">
      <c r="K800" s="101"/>
    </row>
    <row r="801" spans="11:11" x14ac:dyDescent="0.2">
      <c r="K801" s="101"/>
    </row>
    <row r="802" spans="11:11" x14ac:dyDescent="0.2">
      <c r="K802" s="101"/>
    </row>
    <row r="803" spans="11:11" x14ac:dyDescent="0.2">
      <c r="K803" s="101"/>
    </row>
    <row r="804" spans="11:11" x14ac:dyDescent="0.2">
      <c r="K804" s="101"/>
    </row>
    <row r="805" spans="11:11" x14ac:dyDescent="0.2">
      <c r="K805" s="101"/>
    </row>
    <row r="806" spans="11:11" x14ac:dyDescent="0.2">
      <c r="K806" s="101"/>
    </row>
    <row r="807" spans="11:11" x14ac:dyDescent="0.2">
      <c r="K807" s="101"/>
    </row>
    <row r="808" spans="11:11" x14ac:dyDescent="0.2">
      <c r="K808" s="101"/>
    </row>
    <row r="809" spans="11:11" x14ac:dyDescent="0.2">
      <c r="K809" s="101"/>
    </row>
    <row r="810" spans="11:11" x14ac:dyDescent="0.2">
      <c r="K810" s="101"/>
    </row>
    <row r="811" spans="11:11" x14ac:dyDescent="0.2">
      <c r="K811" s="101"/>
    </row>
    <row r="812" spans="11:11" x14ac:dyDescent="0.2">
      <c r="K812" s="101"/>
    </row>
    <row r="813" spans="11:11" x14ac:dyDescent="0.2">
      <c r="K813" s="101"/>
    </row>
    <row r="814" spans="11:11" x14ac:dyDescent="0.2">
      <c r="K814" s="101"/>
    </row>
    <row r="815" spans="11:11" x14ac:dyDescent="0.2">
      <c r="K815" s="101"/>
    </row>
    <row r="816" spans="11:11" x14ac:dyDescent="0.2">
      <c r="K816" s="101"/>
    </row>
    <row r="817" spans="11:11" x14ac:dyDescent="0.2">
      <c r="K817" s="101"/>
    </row>
    <row r="818" spans="11:11" x14ac:dyDescent="0.2">
      <c r="K818" s="101"/>
    </row>
    <row r="819" spans="11:11" x14ac:dyDescent="0.2">
      <c r="K819" s="101"/>
    </row>
    <row r="820" spans="11:11" x14ac:dyDescent="0.2">
      <c r="K820" s="101"/>
    </row>
    <row r="821" spans="11:11" x14ac:dyDescent="0.2">
      <c r="K821" s="101"/>
    </row>
    <row r="822" spans="11:11" x14ac:dyDescent="0.2">
      <c r="K822" s="101"/>
    </row>
    <row r="823" spans="11:11" x14ac:dyDescent="0.2">
      <c r="K823" s="101"/>
    </row>
    <row r="824" spans="11:11" x14ac:dyDescent="0.2">
      <c r="K824" s="101"/>
    </row>
    <row r="825" spans="11:11" x14ac:dyDescent="0.2">
      <c r="K825" s="101"/>
    </row>
    <row r="826" spans="11:11" x14ac:dyDescent="0.2">
      <c r="K826" s="101"/>
    </row>
    <row r="827" spans="11:11" x14ac:dyDescent="0.2">
      <c r="K827" s="101"/>
    </row>
    <row r="828" spans="11:11" x14ac:dyDescent="0.2">
      <c r="K828" s="101"/>
    </row>
    <row r="829" spans="11:11" x14ac:dyDescent="0.2">
      <c r="K829" s="101"/>
    </row>
    <row r="830" spans="11:11" x14ac:dyDescent="0.2">
      <c r="K830" s="101"/>
    </row>
    <row r="831" spans="11:11" x14ac:dyDescent="0.2">
      <c r="K831" s="101"/>
    </row>
    <row r="832" spans="11:11" x14ac:dyDescent="0.2">
      <c r="K832" s="101"/>
    </row>
    <row r="833" spans="11:11" x14ac:dyDescent="0.2">
      <c r="K833" s="101"/>
    </row>
    <row r="834" spans="11:11" x14ac:dyDescent="0.2">
      <c r="K834" s="101"/>
    </row>
    <row r="835" spans="11:11" x14ac:dyDescent="0.2">
      <c r="K835" s="101"/>
    </row>
    <row r="836" spans="11:11" x14ac:dyDescent="0.2">
      <c r="K836" s="101"/>
    </row>
    <row r="837" spans="11:11" x14ac:dyDescent="0.2">
      <c r="K837" s="101"/>
    </row>
    <row r="838" spans="11:11" x14ac:dyDescent="0.2">
      <c r="K838" s="101"/>
    </row>
    <row r="839" spans="11:11" x14ac:dyDescent="0.2">
      <c r="K839" s="101"/>
    </row>
    <row r="840" spans="11:11" x14ac:dyDescent="0.2">
      <c r="K840" s="101"/>
    </row>
    <row r="841" spans="11:11" x14ac:dyDescent="0.2">
      <c r="K841" s="101"/>
    </row>
    <row r="842" spans="11:11" x14ac:dyDescent="0.2">
      <c r="K842" s="101"/>
    </row>
    <row r="843" spans="11:11" x14ac:dyDescent="0.2">
      <c r="K843" s="101"/>
    </row>
    <row r="844" spans="11:11" x14ac:dyDescent="0.2">
      <c r="K844" s="101"/>
    </row>
    <row r="845" spans="11:11" x14ac:dyDescent="0.2">
      <c r="K845" s="101"/>
    </row>
    <row r="846" spans="11:11" x14ac:dyDescent="0.2">
      <c r="K846" s="101"/>
    </row>
    <row r="847" spans="11:11" x14ac:dyDescent="0.2">
      <c r="K847" s="101"/>
    </row>
    <row r="848" spans="11:11" x14ac:dyDescent="0.2">
      <c r="K848" s="101"/>
    </row>
    <row r="849" spans="11:11" x14ac:dyDescent="0.2">
      <c r="K849" s="101"/>
    </row>
    <row r="850" spans="11:11" x14ac:dyDescent="0.2">
      <c r="K850" s="101"/>
    </row>
    <row r="851" spans="11:11" x14ac:dyDescent="0.2">
      <c r="K851" s="101"/>
    </row>
    <row r="852" spans="11:11" x14ac:dyDescent="0.2">
      <c r="K852" s="101"/>
    </row>
    <row r="853" spans="11:11" x14ac:dyDescent="0.2">
      <c r="K853" s="101"/>
    </row>
    <row r="854" spans="11:11" x14ac:dyDescent="0.2">
      <c r="K854" s="101"/>
    </row>
    <row r="855" spans="11:11" x14ac:dyDescent="0.2">
      <c r="K855" s="101"/>
    </row>
    <row r="856" spans="11:11" x14ac:dyDescent="0.2">
      <c r="K856" s="101"/>
    </row>
    <row r="857" spans="11:11" x14ac:dyDescent="0.2">
      <c r="K857" s="101"/>
    </row>
    <row r="858" spans="11:11" x14ac:dyDescent="0.2">
      <c r="K858" s="101"/>
    </row>
    <row r="859" spans="11:11" x14ac:dyDescent="0.2">
      <c r="K859" s="101"/>
    </row>
    <row r="860" spans="11:11" x14ac:dyDescent="0.2">
      <c r="K860" s="101"/>
    </row>
    <row r="861" spans="11:11" x14ac:dyDescent="0.2">
      <c r="K861" s="101"/>
    </row>
    <row r="862" spans="11:11" x14ac:dyDescent="0.2">
      <c r="K862" s="101"/>
    </row>
    <row r="863" spans="11:11" x14ac:dyDescent="0.2">
      <c r="K863" s="101"/>
    </row>
    <row r="864" spans="11:11" x14ac:dyDescent="0.2">
      <c r="K864" s="101"/>
    </row>
    <row r="865" spans="11:11" x14ac:dyDescent="0.2">
      <c r="K865" s="101"/>
    </row>
    <row r="866" spans="11:11" x14ac:dyDescent="0.2">
      <c r="K866" s="101"/>
    </row>
    <row r="867" spans="11:11" x14ac:dyDescent="0.2">
      <c r="K867" s="101"/>
    </row>
    <row r="868" spans="11:11" x14ac:dyDescent="0.2">
      <c r="K868" s="101"/>
    </row>
    <row r="869" spans="11:11" x14ac:dyDescent="0.2">
      <c r="K869" s="101"/>
    </row>
    <row r="870" spans="11:11" x14ac:dyDescent="0.2">
      <c r="K870" s="101"/>
    </row>
    <row r="871" spans="11:11" x14ac:dyDescent="0.2">
      <c r="K871" s="101"/>
    </row>
    <row r="872" spans="11:11" x14ac:dyDescent="0.2">
      <c r="K872" s="101"/>
    </row>
    <row r="873" spans="11:11" x14ac:dyDescent="0.2">
      <c r="K873" s="101"/>
    </row>
    <row r="874" spans="11:11" x14ac:dyDescent="0.2">
      <c r="K874" s="101"/>
    </row>
    <row r="875" spans="11:11" x14ac:dyDescent="0.2">
      <c r="K875" s="101"/>
    </row>
    <row r="876" spans="11:11" x14ac:dyDescent="0.2">
      <c r="K876" s="101"/>
    </row>
    <row r="877" spans="11:11" x14ac:dyDescent="0.2">
      <c r="K877" s="101"/>
    </row>
    <row r="878" spans="11:11" x14ac:dyDescent="0.2">
      <c r="K878" s="101"/>
    </row>
    <row r="879" spans="11:11" x14ac:dyDescent="0.2">
      <c r="K879" s="101"/>
    </row>
    <row r="880" spans="11:11" x14ac:dyDescent="0.2">
      <c r="K880" s="101"/>
    </row>
    <row r="881" spans="11:11" x14ac:dyDescent="0.2">
      <c r="K881" s="101"/>
    </row>
    <row r="882" spans="11:11" x14ac:dyDescent="0.2">
      <c r="K882" s="101"/>
    </row>
    <row r="883" spans="11:11" x14ac:dyDescent="0.2">
      <c r="K883" s="101"/>
    </row>
    <row r="884" spans="11:11" x14ac:dyDescent="0.2">
      <c r="K884" s="101"/>
    </row>
    <row r="885" spans="11:11" x14ac:dyDescent="0.2">
      <c r="K885" s="101"/>
    </row>
    <row r="886" spans="11:11" x14ac:dyDescent="0.2">
      <c r="K886" s="101"/>
    </row>
    <row r="887" spans="11:11" x14ac:dyDescent="0.2">
      <c r="K887" s="101"/>
    </row>
    <row r="888" spans="11:11" x14ac:dyDescent="0.2">
      <c r="K888" s="101"/>
    </row>
    <row r="889" spans="11:11" x14ac:dyDescent="0.2">
      <c r="K889" s="101"/>
    </row>
    <row r="890" spans="11:11" x14ac:dyDescent="0.2">
      <c r="K890" s="101"/>
    </row>
    <row r="891" spans="11:11" x14ac:dyDescent="0.2">
      <c r="K891" s="101"/>
    </row>
    <row r="892" spans="11:11" x14ac:dyDescent="0.2">
      <c r="K892" s="101"/>
    </row>
    <row r="893" spans="11:11" x14ac:dyDescent="0.2">
      <c r="K893" s="101"/>
    </row>
    <row r="894" spans="11:11" x14ac:dyDescent="0.2">
      <c r="K894" s="101"/>
    </row>
    <row r="895" spans="11:11" x14ac:dyDescent="0.2">
      <c r="K895" s="101"/>
    </row>
    <row r="896" spans="11:11" x14ac:dyDescent="0.2">
      <c r="K896" s="101"/>
    </row>
    <row r="897" spans="11:11" x14ac:dyDescent="0.2">
      <c r="K897" s="101"/>
    </row>
    <row r="898" spans="11:11" x14ac:dyDescent="0.2">
      <c r="K898" s="101"/>
    </row>
    <row r="899" spans="11:11" x14ac:dyDescent="0.2">
      <c r="K899" s="101"/>
    </row>
    <row r="900" spans="11:11" x14ac:dyDescent="0.2">
      <c r="K900" s="101"/>
    </row>
    <row r="901" spans="11:11" x14ac:dyDescent="0.2">
      <c r="K901" s="101"/>
    </row>
    <row r="902" spans="11:11" x14ac:dyDescent="0.2">
      <c r="K902" s="101"/>
    </row>
    <row r="903" spans="11:11" x14ac:dyDescent="0.2">
      <c r="K903" s="101"/>
    </row>
    <row r="904" spans="11:11" x14ac:dyDescent="0.2">
      <c r="K904" s="101"/>
    </row>
    <row r="905" spans="11:11" x14ac:dyDescent="0.2">
      <c r="K905" s="101"/>
    </row>
    <row r="906" spans="11:11" x14ac:dyDescent="0.2">
      <c r="K906" s="101"/>
    </row>
    <row r="907" spans="11:11" x14ac:dyDescent="0.2">
      <c r="K907" s="101"/>
    </row>
    <row r="908" spans="11:11" x14ac:dyDescent="0.2">
      <c r="K908" s="101"/>
    </row>
    <row r="909" spans="11:11" x14ac:dyDescent="0.2">
      <c r="K909" s="101"/>
    </row>
    <row r="910" spans="11:11" x14ac:dyDescent="0.2">
      <c r="K910" s="101"/>
    </row>
    <row r="911" spans="11:11" x14ac:dyDescent="0.2">
      <c r="K911" s="101"/>
    </row>
    <row r="912" spans="11:11" x14ac:dyDescent="0.2">
      <c r="K912" s="101"/>
    </row>
    <row r="913" spans="11:11" x14ac:dyDescent="0.2">
      <c r="K913" s="101"/>
    </row>
    <row r="914" spans="11:11" x14ac:dyDescent="0.2">
      <c r="K914" s="101"/>
    </row>
    <row r="915" spans="11:11" x14ac:dyDescent="0.2">
      <c r="K915" s="101"/>
    </row>
    <row r="916" spans="11:11" x14ac:dyDescent="0.2">
      <c r="K916" s="101"/>
    </row>
    <row r="917" spans="11:11" x14ac:dyDescent="0.2">
      <c r="K917" s="101"/>
    </row>
    <row r="918" spans="11:11" x14ac:dyDescent="0.2">
      <c r="K918" s="101"/>
    </row>
    <row r="919" spans="11:11" x14ac:dyDescent="0.2">
      <c r="K919" s="101"/>
    </row>
    <row r="920" spans="11:11" x14ac:dyDescent="0.2">
      <c r="K920" s="101"/>
    </row>
    <row r="921" spans="11:11" x14ac:dyDescent="0.2">
      <c r="K921" s="101"/>
    </row>
    <row r="922" spans="11:11" x14ac:dyDescent="0.2">
      <c r="K922" s="101"/>
    </row>
    <row r="923" spans="11:11" x14ac:dyDescent="0.2">
      <c r="K923" s="101"/>
    </row>
    <row r="924" spans="11:11" x14ac:dyDescent="0.2">
      <c r="K924" s="101"/>
    </row>
    <row r="925" spans="11:11" x14ac:dyDescent="0.2">
      <c r="K925" s="101"/>
    </row>
    <row r="926" spans="11:11" x14ac:dyDescent="0.2">
      <c r="K926" s="101"/>
    </row>
    <row r="927" spans="11:11" x14ac:dyDescent="0.2">
      <c r="K927" s="101"/>
    </row>
    <row r="928" spans="11:11" x14ac:dyDescent="0.2">
      <c r="K928" s="101"/>
    </row>
    <row r="929" spans="11:11" x14ac:dyDescent="0.2">
      <c r="K929" s="101"/>
    </row>
    <row r="930" spans="11:11" x14ac:dyDescent="0.2">
      <c r="K930" s="101"/>
    </row>
    <row r="931" spans="11:11" x14ac:dyDescent="0.2">
      <c r="K931" s="101"/>
    </row>
    <row r="932" spans="11:11" x14ac:dyDescent="0.2">
      <c r="K932" s="101"/>
    </row>
    <row r="933" spans="11:11" x14ac:dyDescent="0.2">
      <c r="K933" s="101"/>
    </row>
    <row r="934" spans="11:11" x14ac:dyDescent="0.2">
      <c r="K934" s="101"/>
    </row>
    <row r="935" spans="11:11" x14ac:dyDescent="0.2">
      <c r="K935" s="101"/>
    </row>
    <row r="936" spans="11:11" x14ac:dyDescent="0.2">
      <c r="K936" s="101"/>
    </row>
    <row r="937" spans="11:11" x14ac:dyDescent="0.2">
      <c r="K937" s="101"/>
    </row>
    <row r="938" spans="11:11" x14ac:dyDescent="0.2">
      <c r="K938" s="101"/>
    </row>
    <row r="939" spans="11:11" x14ac:dyDescent="0.2">
      <c r="K939" s="101"/>
    </row>
    <row r="940" spans="11:11" x14ac:dyDescent="0.2">
      <c r="K940" s="101"/>
    </row>
    <row r="941" spans="11:11" x14ac:dyDescent="0.2">
      <c r="K941" s="101"/>
    </row>
    <row r="942" spans="11:11" x14ac:dyDescent="0.2">
      <c r="K942" s="101"/>
    </row>
    <row r="943" spans="11:11" x14ac:dyDescent="0.2">
      <c r="K943" s="101"/>
    </row>
    <row r="944" spans="11:11" x14ac:dyDescent="0.2">
      <c r="K944" s="101"/>
    </row>
    <row r="945" spans="11:11" x14ac:dyDescent="0.2">
      <c r="K945" s="101"/>
    </row>
    <row r="946" spans="11:11" x14ac:dyDescent="0.2">
      <c r="K946" s="101"/>
    </row>
    <row r="947" spans="11:11" x14ac:dyDescent="0.2">
      <c r="K947" s="101"/>
    </row>
    <row r="948" spans="11:11" x14ac:dyDescent="0.2">
      <c r="K948" s="101"/>
    </row>
    <row r="949" spans="11:11" x14ac:dyDescent="0.2">
      <c r="K949" s="101"/>
    </row>
    <row r="950" spans="11:11" x14ac:dyDescent="0.2">
      <c r="K950" s="101"/>
    </row>
    <row r="951" spans="11:11" x14ac:dyDescent="0.2">
      <c r="K951" s="101"/>
    </row>
    <row r="952" spans="11:11" x14ac:dyDescent="0.2">
      <c r="K952" s="101"/>
    </row>
    <row r="953" spans="11:11" x14ac:dyDescent="0.2">
      <c r="K953" s="101"/>
    </row>
    <row r="954" spans="11:11" x14ac:dyDescent="0.2">
      <c r="K954" s="101"/>
    </row>
    <row r="955" spans="11:11" x14ac:dyDescent="0.2">
      <c r="K955" s="101"/>
    </row>
    <row r="956" spans="11:11" x14ac:dyDescent="0.2">
      <c r="K956" s="101"/>
    </row>
    <row r="957" spans="11:11" x14ac:dyDescent="0.2">
      <c r="K957" s="101"/>
    </row>
    <row r="958" spans="11:11" x14ac:dyDescent="0.2">
      <c r="K958" s="101"/>
    </row>
    <row r="959" spans="11:11" x14ac:dyDescent="0.2">
      <c r="K959" s="101"/>
    </row>
    <row r="960" spans="11:11" x14ac:dyDescent="0.2">
      <c r="K960" s="101"/>
    </row>
    <row r="961" spans="11:11" x14ac:dyDescent="0.2">
      <c r="K961" s="101"/>
    </row>
    <row r="962" spans="11:11" x14ac:dyDescent="0.2">
      <c r="K962" s="101"/>
    </row>
    <row r="963" spans="11:11" x14ac:dyDescent="0.2">
      <c r="K963" s="101"/>
    </row>
    <row r="964" spans="11:11" x14ac:dyDescent="0.2">
      <c r="K964" s="101"/>
    </row>
    <row r="965" spans="11:11" x14ac:dyDescent="0.2">
      <c r="K965" s="101"/>
    </row>
    <row r="966" spans="11:11" x14ac:dyDescent="0.2">
      <c r="K966" s="101"/>
    </row>
    <row r="967" spans="11:11" x14ac:dyDescent="0.2">
      <c r="K967" s="101"/>
    </row>
    <row r="968" spans="11:11" x14ac:dyDescent="0.2">
      <c r="K968" s="101"/>
    </row>
    <row r="969" spans="11:11" x14ac:dyDescent="0.2">
      <c r="K969" s="101"/>
    </row>
    <row r="970" spans="11:11" x14ac:dyDescent="0.2">
      <c r="K970" s="101"/>
    </row>
    <row r="971" spans="11:11" x14ac:dyDescent="0.2">
      <c r="K971" s="101"/>
    </row>
    <row r="972" spans="11:11" x14ac:dyDescent="0.2">
      <c r="K972" s="101"/>
    </row>
    <row r="973" spans="11:11" x14ac:dyDescent="0.2">
      <c r="K973" s="101"/>
    </row>
    <row r="974" spans="11:11" x14ac:dyDescent="0.2">
      <c r="K974" s="101"/>
    </row>
    <row r="975" spans="11:11" x14ac:dyDescent="0.2">
      <c r="K975" s="10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1"/>
  <sheetViews>
    <sheetView workbookViewId="0">
      <pane ySplit="1" topLeftCell="A2" activePane="bottomLeft" state="frozen"/>
      <selection pane="bottomLeft" activeCell="P11" sqref="A10:P11"/>
    </sheetView>
  </sheetViews>
  <sheetFormatPr defaultRowHeight="12.75" x14ac:dyDescent="0.2"/>
  <cols>
    <col min="1" max="1" width="4.140625" style="112" bestFit="1" customWidth="1"/>
    <col min="2" max="2" width="29.7109375" style="112" bestFit="1" customWidth="1"/>
    <col min="3" max="3" width="9.28515625" style="112" bestFit="1" customWidth="1"/>
    <col min="4" max="4" width="8" style="112" bestFit="1" customWidth="1"/>
    <col min="5" max="5" width="4" style="112" bestFit="1" customWidth="1"/>
    <col min="6" max="6" width="4.85546875" style="112" bestFit="1" customWidth="1"/>
    <col min="7" max="8" width="5.140625" style="112" bestFit="1" customWidth="1"/>
    <col min="9" max="9" width="5" style="112" bestFit="1" customWidth="1"/>
    <col min="10" max="10" width="4.85546875" style="112" bestFit="1" customWidth="1"/>
    <col min="11" max="12" width="5" style="112" bestFit="1" customWidth="1"/>
    <col min="13" max="13" width="23.42578125" style="112" bestFit="1" customWidth="1"/>
    <col min="14" max="14" width="66" style="112" bestFit="1" customWidth="1"/>
    <col min="15" max="15" width="12" style="112" bestFit="1" customWidth="1"/>
    <col min="16" max="16" width="15" style="112" customWidth="1"/>
    <col min="17" max="16384" width="9.140625" style="112"/>
  </cols>
  <sheetData>
    <row r="1" spans="1:16" s="123" customFormat="1" x14ac:dyDescent="0.2">
      <c r="A1" s="123" t="s">
        <v>1604</v>
      </c>
      <c r="B1" s="123" t="s">
        <v>1599</v>
      </c>
      <c r="C1" s="123" t="s">
        <v>1598</v>
      </c>
      <c r="D1" s="123" t="s">
        <v>1597</v>
      </c>
      <c r="E1" s="123" t="s">
        <v>1596</v>
      </c>
      <c r="F1" s="123" t="s">
        <v>1595</v>
      </c>
      <c r="G1" s="123" t="s">
        <v>1594</v>
      </c>
      <c r="H1" s="123" t="s">
        <v>1593</v>
      </c>
      <c r="I1" s="123" t="s">
        <v>1592</v>
      </c>
      <c r="J1" s="123" t="s">
        <v>1591</v>
      </c>
      <c r="K1" s="123" t="s">
        <v>1590</v>
      </c>
      <c r="L1" s="123" t="s">
        <v>1589</v>
      </c>
      <c r="M1" s="123" t="s">
        <v>1588</v>
      </c>
      <c r="N1" s="123" t="s">
        <v>1587</v>
      </c>
      <c r="O1" s="123" t="s">
        <v>1586</v>
      </c>
    </row>
    <row r="2" spans="1:16" x14ac:dyDescent="0.2">
      <c r="A2" s="121"/>
      <c r="B2" s="121" t="s">
        <v>1585</v>
      </c>
      <c r="C2" s="121" t="s">
        <v>1486</v>
      </c>
      <c r="D2" s="122">
        <v>49999</v>
      </c>
      <c r="E2" s="122">
        <v>6</v>
      </c>
      <c r="F2" s="122">
        <v>1</v>
      </c>
      <c r="G2" s="122">
        <v>0</v>
      </c>
      <c r="H2" s="122">
        <v>0</v>
      </c>
      <c r="I2" s="122">
        <v>0</v>
      </c>
      <c r="J2" s="122">
        <v>0</v>
      </c>
      <c r="K2" s="122">
        <v>1</v>
      </c>
      <c r="L2" s="122">
        <v>0</v>
      </c>
      <c r="M2" s="121" t="s">
        <v>1485</v>
      </c>
      <c r="N2" s="121" t="s">
        <v>1584</v>
      </c>
      <c r="O2" s="121"/>
      <c r="P2" s="112" t="str">
        <f t="shared" ref="P2:P51" si="0">concatenateModelInfo(B2:O2)</f>
        <v>ModelInfo.rg(UTID_STATIC_TARGET,ATT_NON,49999,6,1,0,0,0,0,1,0,CAREER_TYPE_CREEP,"ReplaceableTextures\\CommandButtons\\BTNHeroPaladin.blp");</v>
      </c>
    </row>
    <row r="3" spans="1:16" x14ac:dyDescent="0.2">
      <c r="A3" s="121"/>
      <c r="B3" s="121" t="s">
        <v>1583</v>
      </c>
      <c r="C3" s="121" t="s">
        <v>1486</v>
      </c>
      <c r="D3" s="122">
        <v>50000</v>
      </c>
      <c r="E3" s="122">
        <v>0</v>
      </c>
      <c r="F3" s="122">
        <v>1</v>
      </c>
      <c r="G3" s="122">
        <v>0</v>
      </c>
      <c r="H3" s="122">
        <v>0</v>
      </c>
      <c r="I3" s="122">
        <v>0</v>
      </c>
      <c r="J3" s="122">
        <v>0</v>
      </c>
      <c r="K3" s="122">
        <v>1</v>
      </c>
      <c r="L3" s="122">
        <v>0</v>
      </c>
      <c r="M3" s="121" t="s">
        <v>1485</v>
      </c>
      <c r="N3" s="121" t="s">
        <v>1582</v>
      </c>
      <c r="O3" s="121"/>
      <c r="P3" s="112" t="str">
        <f t="shared" si="0"/>
        <v>ModelInfo.rg(UTID_TARGET,ATT_NON,50000,0,1,0,0,0,0,1,0,CAREER_TYPE_CREEP,"ReplaceableTextures\\CommandButtons\\BTNPeasant.blp");</v>
      </c>
    </row>
    <row r="4" spans="1:16" x14ac:dyDescent="0.2">
      <c r="A4" s="121"/>
      <c r="B4" s="121" t="s">
        <v>1581</v>
      </c>
      <c r="C4" s="121" t="s">
        <v>1486</v>
      </c>
      <c r="D4" s="122">
        <v>49999</v>
      </c>
      <c r="E4" s="122">
        <v>300</v>
      </c>
      <c r="F4" s="122">
        <v>0</v>
      </c>
      <c r="G4" s="122">
        <v>0</v>
      </c>
      <c r="H4" s="122">
        <v>0</v>
      </c>
      <c r="I4" s="122">
        <v>0</v>
      </c>
      <c r="J4" s="122">
        <v>0</v>
      </c>
      <c r="K4" s="122">
        <v>1</v>
      </c>
      <c r="L4" s="122">
        <v>0</v>
      </c>
      <c r="M4" s="121" t="s">
        <v>1485</v>
      </c>
      <c r="N4" s="121" t="s">
        <v>1580</v>
      </c>
      <c r="O4" s="121"/>
      <c r="P4" s="112" t="str">
        <f t="shared" si="0"/>
        <v>ModelInfo.rg(UTID_TANK_TESTER,ATT_NON,49999,300,0,0,0,0,0,1,0,CAREER_TYPE_CREEP,"ReplaceableTextures\\CommandButtons\\BTNVengeanceIncarnate.blp");</v>
      </c>
    </row>
    <row r="5" spans="1:16" x14ac:dyDescent="0.2">
      <c r="A5" s="121"/>
      <c r="B5" s="121" t="s">
        <v>1579</v>
      </c>
      <c r="C5" s="121" t="s">
        <v>1486</v>
      </c>
      <c r="D5" s="122">
        <v>49999</v>
      </c>
      <c r="E5" s="122">
        <v>300</v>
      </c>
      <c r="F5" s="122">
        <v>0</v>
      </c>
      <c r="G5" s="122">
        <v>0</v>
      </c>
      <c r="H5" s="122">
        <v>0</v>
      </c>
      <c r="I5" s="122">
        <v>0</v>
      </c>
      <c r="J5" s="122">
        <v>0</v>
      </c>
      <c r="K5" s="122">
        <v>1</v>
      </c>
      <c r="L5" s="122">
        <v>0</v>
      </c>
      <c r="M5" s="121" t="s">
        <v>1485</v>
      </c>
      <c r="N5" s="121" t="s">
        <v>1578</v>
      </c>
      <c r="O5" s="121"/>
      <c r="P5" s="112" t="str">
        <f t="shared" si="0"/>
        <v>ModelInfo.rg(UTID_HEALER_TESTER,ATT_NON,49999,300,0,0,0,0,0,1,0,CAREER_TYPE_CREEP,"ReplaceableTextures\\CommandButtons\\BTNPandarenBrewmaster.blp");</v>
      </c>
    </row>
    <row r="6" spans="1:16" x14ac:dyDescent="0.2">
      <c r="A6" s="119"/>
      <c r="B6" s="119" t="s">
        <v>1577</v>
      </c>
      <c r="C6" s="119" t="s">
        <v>1508</v>
      </c>
      <c r="D6" s="120">
        <v>1059</v>
      </c>
      <c r="E6" s="120">
        <v>2</v>
      </c>
      <c r="F6" s="120">
        <v>10</v>
      </c>
      <c r="G6" s="120">
        <v>39</v>
      </c>
      <c r="H6" s="120">
        <v>0.06</v>
      </c>
      <c r="I6" s="120">
        <v>0.19</v>
      </c>
      <c r="J6" s="120">
        <v>12</v>
      </c>
      <c r="K6" s="120">
        <v>0.75</v>
      </c>
      <c r="L6" s="120">
        <v>0.05</v>
      </c>
      <c r="M6" s="119" t="s">
        <v>1574</v>
      </c>
      <c r="N6" s="119" t="s">
        <v>1576</v>
      </c>
      <c r="O6" s="119"/>
      <c r="P6" s="112" t="str">
        <f t="shared" si="0"/>
        <v>ModelInfo.rg(UTIDBLOODELFDEFENDER,ATT_STR,1059,2,10,39,0.06,0.19,12,0.75,0.05,CAREER_TYPE_TANK,"ReplaceableTextures\\CommandButtons\\BTNSpellBreaker.blp");</v>
      </c>
    </row>
    <row r="7" spans="1:16" x14ac:dyDescent="0.2">
      <c r="A7" s="119"/>
      <c r="B7" s="119" t="s">
        <v>1575</v>
      </c>
      <c r="C7" s="119" t="s">
        <v>1533</v>
      </c>
      <c r="D7" s="120">
        <v>1279</v>
      </c>
      <c r="E7" s="120">
        <v>2</v>
      </c>
      <c r="F7" s="120">
        <v>10</v>
      </c>
      <c r="G7" s="120">
        <v>42</v>
      </c>
      <c r="H7" s="120">
        <v>0.15</v>
      </c>
      <c r="I7" s="120">
        <v>0</v>
      </c>
      <c r="J7" s="120">
        <v>0</v>
      </c>
      <c r="K7" s="120">
        <v>0.75</v>
      </c>
      <c r="L7" s="120">
        <v>0.05</v>
      </c>
      <c r="M7" s="119" t="s">
        <v>1574</v>
      </c>
      <c r="N7" s="119" t="s">
        <v>1573</v>
      </c>
      <c r="O7" s="119"/>
      <c r="P7" s="112" t="str">
        <f t="shared" si="0"/>
        <v>ModelInfo.rg(UTIDCLAWDRUID,ATT_AGI,1279,2,10,42,0.15,0,0,0.75,0.05,CAREER_TYPE_TANK,"ReplaceableTextures\\CommandButtons\\BTNGrizzlyBear.blp");</v>
      </c>
    </row>
    <row r="8" spans="1:16" x14ac:dyDescent="0.2">
      <c r="A8" s="119"/>
      <c r="B8" s="119" t="s">
        <v>1572</v>
      </c>
      <c r="C8" s="119" t="s">
        <v>1511</v>
      </c>
      <c r="D8" s="120">
        <v>729</v>
      </c>
      <c r="E8" s="120">
        <v>2</v>
      </c>
      <c r="F8" s="120">
        <v>6</v>
      </c>
      <c r="G8" s="120">
        <v>6</v>
      </c>
      <c r="H8" s="120">
        <v>0.05</v>
      </c>
      <c r="I8" s="120">
        <v>0</v>
      </c>
      <c r="J8" s="120">
        <v>0</v>
      </c>
      <c r="K8" s="120">
        <v>1</v>
      </c>
      <c r="L8" s="120">
        <v>0.05</v>
      </c>
      <c r="M8" s="119" t="s">
        <v>1567</v>
      </c>
      <c r="N8" s="119" t="s">
        <v>1571</v>
      </c>
      <c r="O8" s="119"/>
      <c r="P8" s="112" t="str">
        <f t="shared" si="0"/>
        <v>ModelInfo.rg(UTIDKEEPEROFGROVE,ATT_INT,729,2,6,6,0.05,0,0,1,0.05,CAREER_TYPE_HEALER,"ReplaceableTextures\\CommandButtons\\BTNFurion.blp");</v>
      </c>
    </row>
    <row r="9" spans="1:16" x14ac:dyDescent="0.2">
      <c r="A9" s="119"/>
      <c r="B9" s="119" t="s">
        <v>1570</v>
      </c>
      <c r="C9" s="119" t="s">
        <v>1511</v>
      </c>
      <c r="D9" s="120">
        <v>679</v>
      </c>
      <c r="E9" s="120">
        <v>2</v>
      </c>
      <c r="F9" s="120">
        <v>10</v>
      </c>
      <c r="G9" s="120">
        <v>18</v>
      </c>
      <c r="H9" s="120">
        <v>0.15</v>
      </c>
      <c r="I9" s="120">
        <v>0.2</v>
      </c>
      <c r="J9" s="120">
        <v>20</v>
      </c>
      <c r="K9" s="120">
        <v>1</v>
      </c>
      <c r="L9" s="120">
        <v>0.05</v>
      </c>
      <c r="M9" s="119" t="s">
        <v>1567</v>
      </c>
      <c r="N9" s="119" t="s">
        <v>1569</v>
      </c>
      <c r="O9" s="119"/>
      <c r="P9" s="112" t="str">
        <f t="shared" si="0"/>
        <v>ModelInfo.rg(UTIDPALADIN,ATT_INT,679,2,10,18,0.15,0.2,20,1,0.05,CAREER_TYPE_HEALER,"ReplaceableTextures\\CommandButtons\\BTNArthas.blp");</v>
      </c>
    </row>
    <row r="10" spans="1:16" x14ac:dyDescent="0.2">
      <c r="A10" s="119"/>
      <c r="B10" s="119" t="s">
        <v>1568</v>
      </c>
      <c r="C10" s="119" t="s">
        <v>1511</v>
      </c>
      <c r="D10" s="120">
        <v>649</v>
      </c>
      <c r="E10" s="120">
        <v>2</v>
      </c>
      <c r="F10" s="120">
        <v>6</v>
      </c>
      <c r="G10" s="120">
        <v>3</v>
      </c>
      <c r="H10" s="120">
        <v>0.05</v>
      </c>
      <c r="I10" s="120">
        <v>0</v>
      </c>
      <c r="J10" s="120">
        <v>0</v>
      </c>
      <c r="K10" s="120">
        <v>1</v>
      </c>
      <c r="L10" s="120">
        <v>0.05</v>
      </c>
      <c r="M10" s="119" t="s">
        <v>1567</v>
      </c>
      <c r="N10" s="119" t="s">
        <v>1566</v>
      </c>
      <c r="O10" s="119"/>
      <c r="P10" s="112" t="str">
        <f t="shared" si="0"/>
        <v>ModelInfo.rg(UTIDPRIEST,ATT_INT,649,2,6,3,0.05,0,0,1,0.05,CAREER_TYPE_HEALER,"ReplaceableTextures\\CommandButtons\\BTNPriest.blp");</v>
      </c>
    </row>
    <row r="11" spans="1:16" x14ac:dyDescent="0.2">
      <c r="A11" s="119"/>
      <c r="B11" s="119" t="s">
        <v>1565</v>
      </c>
      <c r="C11" s="119" t="s">
        <v>1508</v>
      </c>
      <c r="D11" s="120">
        <v>719</v>
      </c>
      <c r="E11" s="120">
        <v>44</v>
      </c>
      <c r="F11" s="120">
        <v>56</v>
      </c>
      <c r="G11" s="120">
        <v>10</v>
      </c>
      <c r="H11" s="120">
        <v>0.15</v>
      </c>
      <c r="I11" s="120">
        <v>0</v>
      </c>
      <c r="J11" s="120">
        <v>0</v>
      </c>
      <c r="K11" s="120">
        <v>1</v>
      </c>
      <c r="L11" s="120">
        <v>0.15</v>
      </c>
      <c r="M11" s="119" t="s">
        <v>1543</v>
      </c>
      <c r="N11" s="119" t="s">
        <v>1564</v>
      </c>
      <c r="O11" s="119"/>
      <c r="P11" s="112" t="str">
        <f t="shared" si="0"/>
        <v>ModelInfo.rg(UTIDBLADEMASTER,ATT_STR,719,44,56,10,0.15,0,0,1,0.15,CAREER_TYPE_DPS,"ReplaceableTextures\\CommandButtons\\BTNHeroBlademaster.blp");</v>
      </c>
    </row>
    <row r="12" spans="1:16" x14ac:dyDescent="0.2">
      <c r="A12" s="119"/>
      <c r="B12" s="119" t="s">
        <v>1563</v>
      </c>
      <c r="C12" s="119" t="s">
        <v>1533</v>
      </c>
      <c r="D12" s="120">
        <v>719</v>
      </c>
      <c r="E12" s="120">
        <v>61</v>
      </c>
      <c r="F12" s="120">
        <v>16</v>
      </c>
      <c r="G12" s="120">
        <v>7</v>
      </c>
      <c r="H12" s="120">
        <v>0.1</v>
      </c>
      <c r="I12" s="120">
        <v>0</v>
      </c>
      <c r="J12" s="120">
        <v>0</v>
      </c>
      <c r="K12" s="120">
        <v>1</v>
      </c>
      <c r="L12" s="120">
        <v>0.1</v>
      </c>
      <c r="M12" s="119" t="s">
        <v>1543</v>
      </c>
      <c r="N12" s="119" t="s">
        <v>1562</v>
      </c>
      <c r="O12" s="119"/>
      <c r="P12" s="112" t="str">
        <f t="shared" si="0"/>
        <v>ModelInfo.rg(UTIDDARKRANGER,ATT_AGI,719,61,16,7,0.1,0,0,1,0.1,CAREER_TYPE_DPS,"ReplaceableTextures\\CommandButtons\\BTNBansheeRanger.blp");</v>
      </c>
    </row>
    <row r="13" spans="1:16" x14ac:dyDescent="0.2">
      <c r="A13" s="119"/>
      <c r="B13" s="119" t="s">
        <v>1561</v>
      </c>
      <c r="C13" s="119" t="s">
        <v>1486</v>
      </c>
      <c r="D13" s="120">
        <v>599</v>
      </c>
      <c r="E13" s="120">
        <v>12</v>
      </c>
      <c r="F13" s="120">
        <v>2</v>
      </c>
      <c r="G13" s="120">
        <v>10</v>
      </c>
      <c r="H13" s="120">
        <v>0.25</v>
      </c>
      <c r="I13" s="120">
        <v>0</v>
      </c>
      <c r="J13" s="120">
        <v>0</v>
      </c>
      <c r="K13" s="120">
        <v>0.75</v>
      </c>
      <c r="L13" s="120">
        <v>0.35</v>
      </c>
      <c r="M13" s="119" t="s">
        <v>1548</v>
      </c>
      <c r="N13" s="119" t="s">
        <v>1560</v>
      </c>
      <c r="O13" s="119"/>
      <c r="P13" s="112" t="str">
        <f t="shared" si="0"/>
        <v>ModelInfo.rg(UTIDGHOUL,ATT_NON,599,12,2,10,0.25,0,0,0.75,0.35,CAREER_TYPE_MINION,"ReplaceableTextures\\CommandButtons\\BTNGhoul.blp");</v>
      </c>
    </row>
    <row r="14" spans="1:16" x14ac:dyDescent="0.2">
      <c r="A14" s="119"/>
      <c r="B14" s="119" t="s">
        <v>1559</v>
      </c>
      <c r="C14" s="119" t="s">
        <v>1511</v>
      </c>
      <c r="D14" s="120">
        <v>649</v>
      </c>
      <c r="E14" s="120">
        <v>2</v>
      </c>
      <c r="F14" s="120">
        <v>6</v>
      </c>
      <c r="G14" s="120">
        <v>3</v>
      </c>
      <c r="H14" s="120">
        <v>0.05</v>
      </c>
      <c r="I14" s="120">
        <v>0</v>
      </c>
      <c r="J14" s="120">
        <v>0</v>
      </c>
      <c r="K14" s="120">
        <v>1</v>
      </c>
      <c r="L14" s="120">
        <v>0.05</v>
      </c>
      <c r="M14" s="119" t="s">
        <v>1543</v>
      </c>
      <c r="N14" s="119" t="s">
        <v>1558</v>
      </c>
      <c r="O14" s="119"/>
      <c r="P14" s="112" t="str">
        <f t="shared" si="0"/>
        <v>ModelInfo.rg(UTIDFROSTMAGE,ATT_INT,649,2,6,3,0.05,0,0,1,0.05,CAREER_TYPE_DPS,"ReplaceableTextures\\CommandButtons\\BTNJaina.blp");</v>
      </c>
    </row>
    <row r="15" spans="1:16" x14ac:dyDescent="0.2">
      <c r="A15" s="119"/>
      <c r="B15" s="119" t="s">
        <v>1557</v>
      </c>
      <c r="C15" s="119" t="s">
        <v>1508</v>
      </c>
      <c r="D15" s="120">
        <v>679</v>
      </c>
      <c r="E15" s="120">
        <v>62</v>
      </c>
      <c r="F15" s="120">
        <v>4</v>
      </c>
      <c r="G15" s="120">
        <v>13</v>
      </c>
      <c r="H15" s="120">
        <v>0.15</v>
      </c>
      <c r="I15" s="120">
        <v>0</v>
      </c>
      <c r="J15" s="120">
        <v>0</v>
      </c>
      <c r="K15" s="120">
        <v>1</v>
      </c>
      <c r="L15" s="120">
        <v>0.12</v>
      </c>
      <c r="M15" s="119" t="s">
        <v>1543</v>
      </c>
      <c r="N15" s="119" t="s">
        <v>1556</v>
      </c>
      <c r="O15" s="119"/>
      <c r="P15" s="112" t="str">
        <f t="shared" si="0"/>
        <v>ModelInfo.rg(UTIDEARTHBINDER,ATT_STR,679,62,4,13,0.15,0,0,1,0.12,CAREER_TYPE_DPS,"ReplaceableTextures\\CommandButtons\\BTNSpiritWalker.blp");</v>
      </c>
    </row>
    <row r="16" spans="1:16" x14ac:dyDescent="0.2">
      <c r="A16" s="119"/>
      <c r="B16" s="119" t="s">
        <v>1555</v>
      </c>
      <c r="C16" s="119" t="s">
        <v>1508</v>
      </c>
      <c r="D16" s="120">
        <v>679</v>
      </c>
      <c r="E16" s="120">
        <v>62</v>
      </c>
      <c r="F16" s="120">
        <v>4</v>
      </c>
      <c r="G16" s="120">
        <v>13</v>
      </c>
      <c r="H16" s="120">
        <v>0.15</v>
      </c>
      <c r="I16" s="120">
        <v>0</v>
      </c>
      <c r="J16" s="120">
        <v>0</v>
      </c>
      <c r="K16" s="120">
        <v>1</v>
      </c>
      <c r="L16" s="120">
        <v>0.12</v>
      </c>
      <c r="M16" s="119" t="s">
        <v>1543</v>
      </c>
      <c r="N16" s="119" t="s">
        <v>1554</v>
      </c>
      <c r="O16" s="119"/>
      <c r="P16" s="112" t="str">
        <f t="shared" si="0"/>
        <v>ModelInfo.rg(UTID_EARTH_BINDER_ASC,ATT_STR,679,62,4,13,0.15,0,0,1,0.12,CAREER_TYPE_DPS,"ReplaceableTextures\\CommandButtons\\BTNRevenant.blp");</v>
      </c>
    </row>
    <row r="17" spans="1:16" x14ac:dyDescent="0.2">
      <c r="A17" s="119"/>
      <c r="B17" s="119" t="s">
        <v>1553</v>
      </c>
      <c r="C17" s="119" t="s">
        <v>1486</v>
      </c>
      <c r="D17" s="120">
        <v>99</v>
      </c>
      <c r="E17" s="120">
        <v>0</v>
      </c>
      <c r="F17" s="120">
        <v>0</v>
      </c>
      <c r="G17" s="120">
        <v>0</v>
      </c>
      <c r="H17" s="120">
        <v>0</v>
      </c>
      <c r="I17" s="120">
        <v>0</v>
      </c>
      <c r="J17" s="120">
        <v>0</v>
      </c>
      <c r="K17" s="120">
        <v>1</v>
      </c>
      <c r="L17" s="120">
        <v>0</v>
      </c>
      <c r="M17" s="119" t="s">
        <v>1548</v>
      </c>
      <c r="N17" s="119" t="s">
        <v>1552</v>
      </c>
      <c r="O17" s="119"/>
      <c r="P17" s="112" t="str">
        <f t="shared" si="0"/>
        <v>ModelInfo.rg(UTIDLIGHTNINGTOTEM,ATT_NON,99,0,0,0,0,0,0,1,0,CAREER_TYPE_MINION,"ReplaceableTextures\\CommandButtons\\BTNStasisTrap.blp");</v>
      </c>
    </row>
    <row r="18" spans="1:16" x14ac:dyDescent="0.2">
      <c r="A18" s="119"/>
      <c r="B18" s="119" t="s">
        <v>1551</v>
      </c>
      <c r="C18" s="119" t="s">
        <v>1486</v>
      </c>
      <c r="D18" s="120">
        <v>99</v>
      </c>
      <c r="E18" s="120">
        <v>0</v>
      </c>
      <c r="F18" s="120">
        <v>0</v>
      </c>
      <c r="G18" s="120">
        <v>0</v>
      </c>
      <c r="H18" s="120">
        <v>0</v>
      </c>
      <c r="I18" s="120">
        <v>0</v>
      </c>
      <c r="J18" s="120">
        <v>0</v>
      </c>
      <c r="K18" s="120">
        <v>1</v>
      </c>
      <c r="L18" s="120">
        <v>0</v>
      </c>
      <c r="M18" s="119" t="s">
        <v>1548</v>
      </c>
      <c r="N18" s="119" t="s">
        <v>1550</v>
      </c>
      <c r="O18" s="119"/>
      <c r="P18" s="112" t="str">
        <f t="shared" si="0"/>
        <v>ModelInfo.rg(UTID_EARTH_BIND_TOTEM,ATT_NON,99,0,0,0,0,0,0,1,0,CAREER_TYPE_MINION,"ReplaceableTextures\\CommandButtons\\BTNDryadDispelMagic.blp");</v>
      </c>
    </row>
    <row r="19" spans="1:16" x14ac:dyDescent="0.2">
      <c r="A19" s="119"/>
      <c r="B19" s="119" t="s">
        <v>1549</v>
      </c>
      <c r="C19" s="119" t="s">
        <v>1486</v>
      </c>
      <c r="D19" s="120">
        <v>99</v>
      </c>
      <c r="E19" s="120">
        <v>0</v>
      </c>
      <c r="F19" s="120">
        <v>0</v>
      </c>
      <c r="G19" s="120">
        <v>0</v>
      </c>
      <c r="H19" s="120">
        <v>0</v>
      </c>
      <c r="I19" s="120">
        <v>0</v>
      </c>
      <c r="J19" s="120">
        <v>0</v>
      </c>
      <c r="K19" s="120">
        <v>1</v>
      </c>
      <c r="L19" s="120">
        <v>0</v>
      </c>
      <c r="M19" s="119" t="s">
        <v>1548</v>
      </c>
      <c r="N19" s="119" t="s">
        <v>1547</v>
      </c>
      <c r="O19" s="119"/>
      <c r="P19" s="112" t="str">
        <f t="shared" si="0"/>
        <v>ModelInfo.rg(UTID_TORRENT_TOTEM,ATT_NON,99,0,0,0,0,0,0,1,0,CAREER_TYPE_MINION,"ReplaceableTextures\\CommandButtons\\BTNStaffOfNegation.blp");</v>
      </c>
    </row>
    <row r="20" spans="1:16" x14ac:dyDescent="0.2">
      <c r="A20" s="119"/>
      <c r="B20" s="119" t="s">
        <v>1546</v>
      </c>
      <c r="C20" s="119" t="s">
        <v>1533</v>
      </c>
      <c r="D20" s="120">
        <v>809</v>
      </c>
      <c r="E20" s="120">
        <v>51</v>
      </c>
      <c r="F20" s="120">
        <v>32</v>
      </c>
      <c r="G20" s="120">
        <v>7</v>
      </c>
      <c r="H20" s="120">
        <v>0.1</v>
      </c>
      <c r="I20" s="120">
        <v>0</v>
      </c>
      <c r="J20" s="120">
        <v>0</v>
      </c>
      <c r="K20" s="120">
        <v>1</v>
      </c>
      <c r="L20" s="120">
        <v>0.2</v>
      </c>
      <c r="M20" s="119" t="s">
        <v>1543</v>
      </c>
      <c r="N20" s="119" t="s">
        <v>1545</v>
      </c>
      <c r="O20" s="119"/>
      <c r="P20" s="112" t="str">
        <f t="shared" si="0"/>
        <v>ModelInfo.rg(UTIDROGUE,ATT_AGI,809,51,32,7,0.1,0,0,1,0.2,CAREER_TYPE_DPS,"ReplaceableTextures\\CommandButtons\\BTNHeroDemonHunter.blp");</v>
      </c>
    </row>
    <row r="21" spans="1:16" x14ac:dyDescent="0.2">
      <c r="A21" s="119"/>
      <c r="B21" s="119" t="s">
        <v>1544</v>
      </c>
      <c r="C21" s="119" t="s">
        <v>1511</v>
      </c>
      <c r="D21" s="120">
        <v>619</v>
      </c>
      <c r="E21" s="120">
        <v>2</v>
      </c>
      <c r="F21" s="120">
        <v>6</v>
      </c>
      <c r="G21" s="120">
        <v>3</v>
      </c>
      <c r="H21" s="120">
        <v>0.05</v>
      </c>
      <c r="I21" s="120">
        <v>0</v>
      </c>
      <c r="J21" s="120">
        <v>0</v>
      </c>
      <c r="K21" s="120">
        <v>1</v>
      </c>
      <c r="L21" s="120">
        <v>0.05</v>
      </c>
      <c r="M21" s="119" t="s">
        <v>1543</v>
      </c>
      <c r="N21" s="119" t="s">
        <v>1542</v>
      </c>
      <c r="O21" s="119"/>
      <c r="P21" s="112" t="str">
        <f t="shared" si="0"/>
        <v>ModelInfo.rg(UTIDHEATHEN,ATT_INT,619,2,6,3,0.05,0,0,1,0.05,CAREER_TYPE_DPS,"ReplaceableTextures\\CommandButtons\\BTNKelThuzad.blp");</v>
      </c>
    </row>
    <row r="22" spans="1:16" x14ac:dyDescent="0.2">
      <c r="A22" s="115"/>
      <c r="B22" s="115" t="s">
        <v>1541</v>
      </c>
      <c r="C22" s="115" t="s">
        <v>1511</v>
      </c>
      <c r="D22" s="116">
        <v>42299</v>
      </c>
      <c r="E22" s="116">
        <v>205</v>
      </c>
      <c r="F22" s="116">
        <v>50</v>
      </c>
      <c r="G22" s="116">
        <v>5</v>
      </c>
      <c r="H22" s="116">
        <v>0.05</v>
      </c>
      <c r="I22" s="116">
        <v>0</v>
      </c>
      <c r="J22" s="116">
        <v>0</v>
      </c>
      <c r="K22" s="116">
        <v>1</v>
      </c>
      <c r="L22" s="116">
        <v>0.03</v>
      </c>
      <c r="M22" s="115" t="s">
        <v>1507</v>
      </c>
      <c r="N22" s="115" t="s">
        <v>1539</v>
      </c>
      <c r="O22" s="115" t="s">
        <v>1521</v>
      </c>
      <c r="P22" s="112" t="str">
        <f t="shared" si="0"/>
        <v>ModelInfo.rg(UTID_ARCH_TINKER,ATT_INT,42299,205,50,5,0.05,0,0,1,0.03,CAREER_TYPE_BOSS,"ReplaceableTextures\\CommandButtons\\BTNHeroTinker.blp").setScale(1.7);</v>
      </c>
    </row>
    <row r="23" spans="1:16" x14ac:dyDescent="0.2">
      <c r="A23" s="115"/>
      <c r="B23" s="115" t="s">
        <v>1540</v>
      </c>
      <c r="C23" s="115" t="s">
        <v>1511</v>
      </c>
      <c r="D23" s="116">
        <v>42299</v>
      </c>
      <c r="E23" s="116">
        <v>205</v>
      </c>
      <c r="F23" s="116">
        <v>50</v>
      </c>
      <c r="G23" s="116">
        <v>5</v>
      </c>
      <c r="H23" s="116">
        <v>0.05</v>
      </c>
      <c r="I23" s="116">
        <v>0</v>
      </c>
      <c r="J23" s="116">
        <v>0</v>
      </c>
      <c r="K23" s="116">
        <v>1</v>
      </c>
      <c r="L23" s="116">
        <v>0.03</v>
      </c>
      <c r="M23" s="115" t="s">
        <v>1507</v>
      </c>
      <c r="N23" s="115" t="s">
        <v>1539</v>
      </c>
      <c r="O23" s="115" t="s">
        <v>1521</v>
      </c>
      <c r="P23" s="112" t="str">
        <f t="shared" si="0"/>
        <v>ModelInfo.rg(UTID_ARCH_TINKER_MORPH,ATT_INT,42299,205,50,5,0.05,0,0,1,0.03,CAREER_TYPE_BOSS,"ReplaceableTextures\\CommandButtons\\BTNHeroTinker.blp").setScale(1.7);</v>
      </c>
    </row>
    <row r="24" spans="1:16" x14ac:dyDescent="0.2">
      <c r="A24" s="115"/>
      <c r="B24" s="115" t="s">
        <v>1538</v>
      </c>
      <c r="C24" s="115" t="s">
        <v>1486</v>
      </c>
      <c r="D24" s="116">
        <v>1999</v>
      </c>
      <c r="E24" s="116">
        <v>1</v>
      </c>
      <c r="F24" s="116">
        <v>0</v>
      </c>
      <c r="G24" s="116">
        <v>0</v>
      </c>
      <c r="H24" s="116">
        <v>0</v>
      </c>
      <c r="I24" s="116">
        <v>0</v>
      </c>
      <c r="J24" s="116">
        <v>0</v>
      </c>
      <c r="K24" s="116">
        <v>1</v>
      </c>
      <c r="L24" s="116">
        <v>0</v>
      </c>
      <c r="M24" s="115" t="s">
        <v>1485</v>
      </c>
      <c r="N24" s="115" t="s">
        <v>1537</v>
      </c>
      <c r="O24" s="115"/>
      <c r="P24" s="112" t="str">
        <f t="shared" si="0"/>
        <v>ModelInfo.rg(UTID_POCKET_FACTORY,ATT_NON,1999,1,0,0,0,0,0,1,0,CAREER_TYPE_CREEP,"ReplaceableTextures\\CommandButtons\\BTNPocketFactory.blp");</v>
      </c>
    </row>
    <row r="25" spans="1:16" x14ac:dyDescent="0.2">
      <c r="A25" s="115"/>
      <c r="B25" s="115" t="s">
        <v>1536</v>
      </c>
      <c r="C25" s="115" t="s">
        <v>1486</v>
      </c>
      <c r="D25" s="116">
        <v>9999</v>
      </c>
      <c r="E25" s="116">
        <v>10</v>
      </c>
      <c r="F25" s="116">
        <v>40</v>
      </c>
      <c r="G25" s="116">
        <v>0</v>
      </c>
      <c r="H25" s="116">
        <v>0</v>
      </c>
      <c r="I25" s="116">
        <v>0</v>
      </c>
      <c r="J25" s="116">
        <v>0</v>
      </c>
      <c r="K25" s="116">
        <v>1</v>
      </c>
      <c r="L25" s="116">
        <v>0.1</v>
      </c>
      <c r="M25" s="115" t="s">
        <v>1485</v>
      </c>
      <c r="N25" s="115" t="s">
        <v>1535</v>
      </c>
      <c r="O25" s="115"/>
      <c r="P25" s="112" t="str">
        <f t="shared" si="0"/>
        <v>ModelInfo.rg(UTID_CLOCKWORK_GOBLIN,ATT_NON,9999,10,40,0,0,0,0,1,0.1,CAREER_TYPE_CREEP,"ReplaceableTextures\\CommandButtons\\BTNClockWerkGoblin.blp");</v>
      </c>
    </row>
    <row r="26" spans="1:16" x14ac:dyDescent="0.2">
      <c r="A26" s="117"/>
      <c r="B26" s="117" t="s">
        <v>1534</v>
      </c>
      <c r="C26" s="117" t="s">
        <v>1533</v>
      </c>
      <c r="D26" s="118">
        <v>94899</v>
      </c>
      <c r="E26" s="118">
        <v>340</v>
      </c>
      <c r="F26" s="118">
        <v>150</v>
      </c>
      <c r="G26" s="118">
        <v>5</v>
      </c>
      <c r="H26" s="118">
        <v>0.05</v>
      </c>
      <c r="I26" s="118">
        <v>0</v>
      </c>
      <c r="J26" s="118">
        <v>0</v>
      </c>
      <c r="K26" s="118">
        <v>1</v>
      </c>
      <c r="L26" s="118">
        <v>0.03</v>
      </c>
      <c r="M26" s="117" t="s">
        <v>1507</v>
      </c>
      <c r="N26" s="117" t="s">
        <v>1532</v>
      </c>
      <c r="O26" s="117" t="s">
        <v>1521</v>
      </c>
      <c r="P26" s="112" t="str">
        <f t="shared" si="0"/>
        <v>ModelInfo.rg(UTIDNAGASEAWITCH,ATT_AGI,94899,340,150,5,0.05,0,0,1,0.03,CAREER_TYPE_BOSS,"ReplaceableTextures\\CommandButtons\\BTNNagaSeaWitch.blp").setScale(1.7);</v>
      </c>
    </row>
    <row r="27" spans="1:16" x14ac:dyDescent="0.2">
      <c r="A27" s="117"/>
      <c r="B27" s="117" t="s">
        <v>1531</v>
      </c>
      <c r="C27" s="117" t="s">
        <v>1486</v>
      </c>
      <c r="D27" s="118">
        <v>1499</v>
      </c>
      <c r="E27" s="118">
        <v>21</v>
      </c>
      <c r="F27" s="118">
        <v>59</v>
      </c>
      <c r="G27" s="118">
        <v>5</v>
      </c>
      <c r="H27" s="118">
        <v>0.05</v>
      </c>
      <c r="I27" s="118">
        <v>0</v>
      </c>
      <c r="J27" s="118">
        <v>0</v>
      </c>
      <c r="K27" s="118">
        <v>1</v>
      </c>
      <c r="L27" s="118">
        <v>0.1</v>
      </c>
      <c r="M27" s="117" t="s">
        <v>1485</v>
      </c>
      <c r="N27" s="117" t="s">
        <v>1488</v>
      </c>
      <c r="O27" s="117"/>
      <c r="P27" s="112" t="str">
        <f t="shared" si="0"/>
        <v>ModelInfo.rg(UTID_FLYING_SERPENT,ATT_NON,1499,21,59,5,0.05,0,0,1,0.1,CAREER_TYPE_CREEP,"ReplaceableTextures\\CommandButtons\\BTNWindSerpent.blp");</v>
      </c>
    </row>
    <row r="28" spans="1:16" x14ac:dyDescent="0.2">
      <c r="A28" s="115"/>
      <c r="B28" s="115" t="s">
        <v>1530</v>
      </c>
      <c r="C28" s="115" t="s">
        <v>1508</v>
      </c>
      <c r="D28" s="116">
        <v>149599</v>
      </c>
      <c r="E28" s="116">
        <v>560</v>
      </c>
      <c r="F28" s="116">
        <v>100</v>
      </c>
      <c r="G28" s="116">
        <v>5</v>
      </c>
      <c r="H28" s="116">
        <v>0.05</v>
      </c>
      <c r="I28" s="116">
        <v>0</v>
      </c>
      <c r="J28" s="116">
        <v>0</v>
      </c>
      <c r="K28" s="116">
        <v>1</v>
      </c>
      <c r="L28" s="116">
        <v>0.03</v>
      </c>
      <c r="M28" s="115" t="s">
        <v>1507</v>
      </c>
      <c r="N28" s="115" t="s">
        <v>1494</v>
      </c>
      <c r="O28" s="115"/>
      <c r="P28" s="112" t="str">
        <f t="shared" si="0"/>
        <v>ModelInfo.rg(UTIDTIDEBARON,ATT_STR,149599,560,100,5,0.05,0,0,1,0.03,CAREER_TYPE_BOSS,"ReplaceableTextures\\CommandButtons\\BTNNagaMyrmidonRoyalGuard.blp");</v>
      </c>
    </row>
    <row r="29" spans="1:16" x14ac:dyDescent="0.2">
      <c r="A29" s="115"/>
      <c r="B29" s="115" t="s">
        <v>1529</v>
      </c>
      <c r="C29" s="115" t="s">
        <v>1508</v>
      </c>
      <c r="D29" s="116">
        <v>149599</v>
      </c>
      <c r="E29" s="116">
        <v>160</v>
      </c>
      <c r="F29" s="116">
        <v>100</v>
      </c>
      <c r="G29" s="116">
        <v>40</v>
      </c>
      <c r="H29" s="116">
        <v>0.1</v>
      </c>
      <c r="I29" s="116">
        <v>0</v>
      </c>
      <c r="J29" s="116">
        <v>0</v>
      </c>
      <c r="K29" s="116">
        <v>1</v>
      </c>
      <c r="L29" s="116">
        <v>0.03</v>
      </c>
      <c r="M29" s="115" t="s">
        <v>1507</v>
      </c>
      <c r="N29" s="115" t="s">
        <v>1528</v>
      </c>
      <c r="O29" s="115"/>
      <c r="P29" s="112" t="str">
        <f t="shared" si="0"/>
        <v>ModelInfo.rg(UTIDTIDEBARONWATER,ATT_STR,149599,160,100,40,0.1,0,0,1,0.03,CAREER_TYPE_BOSS,"ReplaceableTextures\\CommandButtons\\BTNSeaElemental.blp");</v>
      </c>
    </row>
    <row r="30" spans="1:16" x14ac:dyDescent="0.2">
      <c r="A30" s="117"/>
      <c r="B30" s="117" t="s">
        <v>1527</v>
      </c>
      <c r="C30" s="117" t="s">
        <v>1511</v>
      </c>
      <c r="D30" s="118">
        <v>199899</v>
      </c>
      <c r="E30" s="118">
        <v>820</v>
      </c>
      <c r="F30" s="118">
        <v>150</v>
      </c>
      <c r="G30" s="118">
        <v>5</v>
      </c>
      <c r="H30" s="118">
        <v>0.05</v>
      </c>
      <c r="I30" s="118">
        <v>0</v>
      </c>
      <c r="J30" s="118">
        <v>0</v>
      </c>
      <c r="K30" s="118">
        <v>1</v>
      </c>
      <c r="L30" s="118">
        <v>0.03</v>
      </c>
      <c r="M30" s="117" t="s">
        <v>1507</v>
      </c>
      <c r="N30" s="117" t="s">
        <v>1526</v>
      </c>
      <c r="O30" s="117"/>
      <c r="P30" s="112" t="str">
        <f t="shared" si="0"/>
        <v>ModelInfo.rg(UTIDWARLOCK,ATT_INT,199899,820,150,5,0.05,0,0,1,0.03,CAREER_TYPE_BOSS,"ReplaceableTextures\\CommandButtons\\BTNOrcWarlock.blp");</v>
      </c>
    </row>
    <row r="31" spans="1:16" x14ac:dyDescent="0.2">
      <c r="A31" s="117"/>
      <c r="B31" s="117" t="s">
        <v>1525</v>
      </c>
      <c r="C31" s="117" t="s">
        <v>1486</v>
      </c>
      <c r="D31" s="118">
        <v>799</v>
      </c>
      <c r="E31" s="118">
        <v>50</v>
      </c>
      <c r="F31" s="118">
        <v>0</v>
      </c>
      <c r="G31" s="118">
        <v>0</v>
      </c>
      <c r="H31" s="118">
        <v>0.05</v>
      </c>
      <c r="I31" s="118">
        <v>0</v>
      </c>
      <c r="J31" s="118">
        <v>0</v>
      </c>
      <c r="K31" s="118">
        <v>1</v>
      </c>
      <c r="L31" s="118">
        <v>0.05</v>
      </c>
      <c r="M31" s="117" t="s">
        <v>1485</v>
      </c>
      <c r="N31" s="117" t="s">
        <v>1524</v>
      </c>
      <c r="O31" s="117"/>
      <c r="P31" s="112" t="str">
        <f t="shared" si="0"/>
        <v>ModelInfo.rg(UTID_LAVA_SPAWN,ATT_NON,799,50,0,0,0.05,0,0,1,0.05,CAREER_TYPE_CREEP,"ReplaceableTextures\\CommandButtons\\BTNLavaSpawn.blp");</v>
      </c>
    </row>
    <row r="32" spans="1:16" x14ac:dyDescent="0.2">
      <c r="A32" s="115"/>
      <c r="B32" s="115" t="s">
        <v>1523</v>
      </c>
      <c r="C32" s="115" t="s">
        <v>1508</v>
      </c>
      <c r="D32" s="116">
        <v>449899</v>
      </c>
      <c r="E32" s="116">
        <v>740</v>
      </c>
      <c r="F32" s="116">
        <v>500</v>
      </c>
      <c r="G32" s="116">
        <v>5</v>
      </c>
      <c r="H32" s="116">
        <v>0.05</v>
      </c>
      <c r="I32" s="116">
        <v>0</v>
      </c>
      <c r="J32" s="116">
        <v>0</v>
      </c>
      <c r="K32" s="116">
        <v>1</v>
      </c>
      <c r="L32" s="116">
        <v>0.03</v>
      </c>
      <c r="M32" s="115" t="s">
        <v>1507</v>
      </c>
      <c r="N32" s="115" t="s">
        <v>1522</v>
      </c>
      <c r="O32" s="115" t="s">
        <v>1521</v>
      </c>
      <c r="P32" s="112" t="str">
        <f t="shared" si="0"/>
        <v>ModelInfo.rg(UTID_PIT_ARCHON,ATT_STR,449899,740,500,5,0.05,0,0,1,0.03,CAREER_TYPE_BOSS,"ReplaceableTextures\\CommandButtons\\BTNHeroCryptLord.blp").setScale(1.7);</v>
      </c>
    </row>
    <row r="33" spans="1:16" x14ac:dyDescent="0.2">
      <c r="A33" s="115"/>
      <c r="B33" s="115" t="s">
        <v>1520</v>
      </c>
      <c r="C33" s="115" t="s">
        <v>1486</v>
      </c>
      <c r="D33" s="116">
        <v>2999</v>
      </c>
      <c r="E33" s="116">
        <v>0</v>
      </c>
      <c r="F33" s="116">
        <v>10</v>
      </c>
      <c r="G33" s="116">
        <v>0</v>
      </c>
      <c r="H33" s="116">
        <v>0</v>
      </c>
      <c r="I33" s="116">
        <v>0</v>
      </c>
      <c r="J33" s="116">
        <v>0</v>
      </c>
      <c r="K33" s="116">
        <v>1</v>
      </c>
      <c r="L33" s="116">
        <v>0</v>
      </c>
      <c r="M33" s="115" t="s">
        <v>1485</v>
      </c>
      <c r="N33" s="115" t="s">
        <v>1519</v>
      </c>
      <c r="O33" s="115"/>
      <c r="P33" s="112" t="str">
        <f t="shared" si="0"/>
        <v>ModelInfo.rg(UTID_SPIKE,ATT_NON,2999,0,10,0,0,0,0,1,0,CAREER_TYPE_CREEP,"ReplaceableTextures\\CommandButtons\\BTNImpale.blp");</v>
      </c>
    </row>
    <row r="34" spans="1:16" x14ac:dyDescent="0.2">
      <c r="A34" s="115"/>
      <c r="B34" s="115" t="s">
        <v>1518</v>
      </c>
      <c r="C34" s="115" t="s">
        <v>1486</v>
      </c>
      <c r="D34" s="116">
        <v>4999</v>
      </c>
      <c r="E34" s="116">
        <v>100</v>
      </c>
      <c r="F34" s="116">
        <v>200</v>
      </c>
      <c r="G34" s="116">
        <v>0</v>
      </c>
      <c r="H34" s="116">
        <v>0</v>
      </c>
      <c r="I34" s="116">
        <v>0</v>
      </c>
      <c r="J34" s="116">
        <v>0</v>
      </c>
      <c r="K34" s="116">
        <v>1</v>
      </c>
      <c r="L34" s="116">
        <v>0.05</v>
      </c>
      <c r="M34" s="115" t="s">
        <v>1485</v>
      </c>
      <c r="N34" s="115" t="s">
        <v>1517</v>
      </c>
      <c r="O34" s="115"/>
      <c r="P34" s="112" t="str">
        <f t="shared" si="0"/>
        <v>ModelInfo.rg(UTID_POISONOUS_CRAWLER,ATT_NON,4999,100,200,0,0,0,0,1,0.05,CAREER_TYPE_CREEP,"ReplaceableTextures\\CommandButtons\\BTNCryptFiend.blp");</v>
      </c>
    </row>
    <row r="35" spans="1:16" x14ac:dyDescent="0.2">
      <c r="A35" s="115"/>
      <c r="B35" s="115" t="s">
        <v>1516</v>
      </c>
      <c r="C35" s="115" t="s">
        <v>1486</v>
      </c>
      <c r="D35" s="116">
        <v>19999</v>
      </c>
      <c r="E35" s="116">
        <v>300</v>
      </c>
      <c r="F35" s="116">
        <v>200</v>
      </c>
      <c r="G35" s="116">
        <v>0</v>
      </c>
      <c r="H35" s="116">
        <v>0</v>
      </c>
      <c r="I35" s="116">
        <v>0</v>
      </c>
      <c r="J35" s="116">
        <v>0</v>
      </c>
      <c r="K35" s="116">
        <v>1</v>
      </c>
      <c r="L35" s="116">
        <v>0.15</v>
      </c>
      <c r="M35" s="115" t="s">
        <v>1485</v>
      </c>
      <c r="N35" s="115" t="s">
        <v>1515</v>
      </c>
      <c r="O35" s="115"/>
      <c r="P35" s="112" t="str">
        <f t="shared" si="0"/>
        <v>ModelInfo.rg(UTID_ABOMINATION,ATT_NON,19999,300,200,0,0,0,0,1,0.15,CAREER_TYPE_CREEP,"ReplaceableTextures\\CommandButtons\\BTNAbomination.blp");</v>
      </c>
    </row>
    <row r="36" spans="1:16" x14ac:dyDescent="0.2">
      <c r="A36" s="115"/>
      <c r="B36" s="115" t="s">
        <v>1514</v>
      </c>
      <c r="C36" s="115" t="s">
        <v>1486</v>
      </c>
      <c r="D36" s="116">
        <v>499</v>
      </c>
      <c r="E36" s="116">
        <v>5</v>
      </c>
      <c r="F36" s="116">
        <v>5</v>
      </c>
      <c r="G36" s="116">
        <v>0</v>
      </c>
      <c r="H36" s="116">
        <v>1</v>
      </c>
      <c r="I36" s="116">
        <v>0</v>
      </c>
      <c r="J36" s="116">
        <v>0</v>
      </c>
      <c r="K36" s="116">
        <v>0</v>
      </c>
      <c r="L36" s="116">
        <v>0</v>
      </c>
      <c r="M36" s="115" t="s">
        <v>1485</v>
      </c>
      <c r="N36" s="115" t="s">
        <v>1513</v>
      </c>
      <c r="O36" s="115"/>
      <c r="P36" s="112" t="str">
        <f t="shared" si="0"/>
        <v>ModelInfo.rg(UTID_WRAITH,ATT_NON,499,5,5,0,1,0,0,0,0,CAREER_TYPE_CREEP,"ReplaceableTextures\\CommandButtons\\BTNShade.blp");</v>
      </c>
    </row>
    <row r="37" spans="1:16" x14ac:dyDescent="0.2">
      <c r="A37" s="117"/>
      <c r="B37" s="117" t="s">
        <v>1512</v>
      </c>
      <c r="C37" s="117" t="s">
        <v>1511</v>
      </c>
      <c r="D37" s="118">
        <v>449899</v>
      </c>
      <c r="E37" s="118">
        <v>350</v>
      </c>
      <c r="F37" s="118">
        <v>350</v>
      </c>
      <c r="G37" s="118">
        <v>5</v>
      </c>
      <c r="H37" s="118">
        <v>0.05</v>
      </c>
      <c r="I37" s="118">
        <v>0</v>
      </c>
      <c r="J37" s="118">
        <v>0</v>
      </c>
      <c r="K37" s="118">
        <v>1</v>
      </c>
      <c r="L37" s="118">
        <v>0.03</v>
      </c>
      <c r="M37" s="117" t="s">
        <v>1507</v>
      </c>
      <c r="N37" s="117" t="s">
        <v>1510</v>
      </c>
      <c r="O37" s="117"/>
      <c r="P37" s="112" t="str">
        <f t="shared" si="0"/>
        <v>ModelInfo.rg(UTIDHEXLORD,ATT_INT,449899,350,350,5,0.05,0,0,1,0.03,CAREER_TYPE_BOSS,"ReplaceableTextures\\CommandButtons\\BTNShadowHunter.blp");</v>
      </c>
    </row>
    <row r="38" spans="1:16" x14ac:dyDescent="0.2">
      <c r="A38" s="115"/>
      <c r="B38" s="115" t="s">
        <v>1509</v>
      </c>
      <c r="C38" s="115" t="s">
        <v>1508</v>
      </c>
      <c r="D38" s="116">
        <v>1199499</v>
      </c>
      <c r="E38" s="116">
        <v>0</v>
      </c>
      <c r="F38" s="116">
        <v>1</v>
      </c>
      <c r="G38" s="116">
        <v>15</v>
      </c>
      <c r="H38" s="116">
        <v>0.05</v>
      </c>
      <c r="I38" s="116">
        <v>0.05</v>
      </c>
      <c r="J38" s="116">
        <v>100</v>
      </c>
      <c r="K38" s="116">
        <v>1</v>
      </c>
      <c r="L38" s="116">
        <v>0</v>
      </c>
      <c r="M38" s="115" t="s">
        <v>1507</v>
      </c>
      <c r="N38" s="115" t="s">
        <v>1506</v>
      </c>
      <c r="O38" s="115"/>
      <c r="P38" s="112" t="str">
        <f t="shared" si="0"/>
        <v>ModelInfo.rg(UTID_GOD_OF_DEATH,ATT_STR,1199499,0,1,15,0.05,0.05,100,1,0,CAREER_TYPE_BOSS,"ReplaceableTextures\\CommandButtons\\BTNForgottenOne.blp");</v>
      </c>
    </row>
    <row r="39" spans="1:16" x14ac:dyDescent="0.2">
      <c r="A39" s="113">
        <v>2</v>
      </c>
      <c r="B39" s="113" t="s">
        <v>1505</v>
      </c>
      <c r="C39" s="113" t="s">
        <v>1486</v>
      </c>
      <c r="D39" s="138">
        <f ca="1">INDIRECT("CreepAbilities!G"&amp;A39)-1-INDIRECT("CreepAbilities!H"&amp;A39)*10</f>
        <v>6499</v>
      </c>
      <c r="E39" s="138">
        <f ca="1">INDIRECT("CreepAbilities!I"&amp;A39)-INDIRECT("CreepAbilities!H"&amp;A39)</f>
        <v>250</v>
      </c>
      <c r="F39" s="138">
        <f ca="1">INDIRECT("CreepAbilities!J"&amp;A39)-INDIRECT("CreepAbilities!I"&amp;A39)</f>
        <v>100</v>
      </c>
      <c r="G39" s="114">
        <v>5</v>
      </c>
      <c r="H39" s="114">
        <v>0.05</v>
      </c>
      <c r="I39" s="114">
        <v>0</v>
      </c>
      <c r="J39" s="114">
        <v>0</v>
      </c>
      <c r="K39" s="114">
        <v>1</v>
      </c>
      <c r="L39" s="114">
        <v>0</v>
      </c>
      <c r="M39" s="113" t="s">
        <v>1485</v>
      </c>
      <c r="N39" s="113" t="s">
        <v>1504</v>
      </c>
      <c r="O39" s="113"/>
      <c r="P39" s="112" t="str">
        <f t="shared" ca="1" si="0"/>
        <v>ModelInfo.rg(UTID_NAGA_SIREN,ATT_NON,6499,250,100,5,0.05,0,0,1,0,CAREER_TYPE_CREEP,"ReplaceableTextures\\CommandButtons\\BTNSeaWitch.blp");</v>
      </c>
    </row>
    <row r="40" spans="1:16" x14ac:dyDescent="0.2">
      <c r="A40" s="113">
        <v>4</v>
      </c>
      <c r="B40" s="113" t="s">
        <v>1503</v>
      </c>
      <c r="C40" s="113" t="s">
        <v>1486</v>
      </c>
      <c r="D40" s="138">
        <f ca="1">INDIRECT("CreepAbilities!G"&amp;A40)-1-INDIRECT("CreepAbilities!H"&amp;A40)*10</f>
        <v>7499</v>
      </c>
      <c r="E40" s="138">
        <f ca="1">INDIRECT("CreepAbilities!I"&amp;A40)-INDIRECT("CreepAbilities!H"&amp;A40)</f>
        <v>200</v>
      </c>
      <c r="F40" s="138">
        <f ca="1">INDIRECT("CreepAbilities!J"&amp;A40)-INDIRECT("CreepAbilities!I"&amp;A40)</f>
        <v>100</v>
      </c>
      <c r="G40" s="114">
        <v>5</v>
      </c>
      <c r="H40" s="114">
        <v>0.05</v>
      </c>
      <c r="I40" s="114">
        <v>0</v>
      </c>
      <c r="J40" s="114">
        <v>0</v>
      </c>
      <c r="K40" s="114">
        <v>1</v>
      </c>
      <c r="L40" s="114">
        <v>0</v>
      </c>
      <c r="M40" s="113" t="s">
        <v>1485</v>
      </c>
      <c r="N40" s="113" t="s">
        <v>1502</v>
      </c>
      <c r="O40" s="113"/>
      <c r="P40" s="112" t="str">
        <f t="shared" ca="1" si="0"/>
        <v>ModelInfo.rg(UTID_NAGA_TIDE_PRIEST,ATT_NON,7499,200,100,5,0.05,0,0,1,0,CAREER_TYPE_CREEP,"ReplaceableTextures\\CommandButtons\\BTNNagaSummoner.blp");</v>
      </c>
    </row>
    <row r="41" spans="1:16" x14ac:dyDescent="0.2">
      <c r="A41" s="113"/>
      <c r="B41" s="113" t="s">
        <v>1501</v>
      </c>
      <c r="C41" s="113" t="s">
        <v>1486</v>
      </c>
      <c r="D41" s="114">
        <v>249</v>
      </c>
      <c r="E41" s="114">
        <v>0</v>
      </c>
      <c r="F41" s="114">
        <v>1</v>
      </c>
      <c r="G41" s="114">
        <v>0</v>
      </c>
      <c r="H41" s="114">
        <v>0</v>
      </c>
      <c r="I41" s="114">
        <v>0</v>
      </c>
      <c r="J41" s="114">
        <v>0</v>
      </c>
      <c r="K41" s="114">
        <v>1</v>
      </c>
      <c r="L41" s="114">
        <v>0</v>
      </c>
      <c r="M41" s="113" t="s">
        <v>1485</v>
      </c>
      <c r="N41" s="113" t="s">
        <v>1500</v>
      </c>
      <c r="O41" s="113"/>
      <c r="P41" s="112" t="str">
        <f t="shared" si="0"/>
        <v>ModelInfo.rg(UTID_NTR_HEALING_WARD,ATT_NON,249,0,1,0,0,0,0,1,0,CAREER_TYPE_CREEP,"ReplaceableTextures\\CommandButtons\\BTNHealingWard.blp");</v>
      </c>
    </row>
    <row r="42" spans="1:16" x14ac:dyDescent="0.2">
      <c r="A42" s="113"/>
      <c r="B42" s="113" t="s">
        <v>1499</v>
      </c>
      <c r="C42" s="113" t="s">
        <v>1486</v>
      </c>
      <c r="D42" s="114">
        <v>249</v>
      </c>
      <c r="E42" s="114">
        <v>0</v>
      </c>
      <c r="F42" s="114">
        <v>1</v>
      </c>
      <c r="G42" s="114">
        <v>0</v>
      </c>
      <c r="H42" s="114">
        <v>0</v>
      </c>
      <c r="I42" s="114">
        <v>0</v>
      </c>
      <c r="J42" s="114">
        <v>0</v>
      </c>
      <c r="K42" s="114">
        <v>1</v>
      </c>
      <c r="L42" s="114">
        <v>0</v>
      </c>
      <c r="M42" s="113" t="s">
        <v>1485</v>
      </c>
      <c r="N42" s="113" t="s">
        <v>1498</v>
      </c>
      <c r="O42" s="113"/>
      <c r="P42" s="112" t="str">
        <f t="shared" si="0"/>
        <v>ModelInfo.rg(UTID_NTR_PROTECTION_WARD,ATT_NON,249,0,1,0,0,0,0,1,0,CAREER_TYPE_CREEP,"ReplaceableTextures\\CommandButtons\\BTNBigBadVoodooSpell.blp");</v>
      </c>
    </row>
    <row r="43" spans="1:16" x14ac:dyDescent="0.2">
      <c r="A43" s="113">
        <v>7</v>
      </c>
      <c r="B43" s="113" t="s">
        <v>1497</v>
      </c>
      <c r="C43" s="113" t="s">
        <v>1486</v>
      </c>
      <c r="D43" s="138">
        <f t="shared" ref="D43:D51" ca="1" si="1">INDIRECT("CreepAbilities!G"&amp;A43)-1-INDIRECT("CreepAbilities!H"&amp;A43)*10</f>
        <v>8199</v>
      </c>
      <c r="E43" s="138">
        <f ca="1">INDIRECT("CreepAbilities!I"&amp;A43)-INDIRECT("CreepAbilities!H"&amp;A43)</f>
        <v>200</v>
      </c>
      <c r="F43" s="138">
        <f t="shared" ref="F43:F51" ca="1" si="2">INDIRECT("CreepAbilities!J"&amp;A43)-INDIRECT("CreepAbilities!I"&amp;A43)</f>
        <v>200</v>
      </c>
      <c r="G43" s="114">
        <v>15</v>
      </c>
      <c r="H43" s="114">
        <v>0.05</v>
      </c>
      <c r="I43" s="114">
        <v>0.1</v>
      </c>
      <c r="J43" s="114">
        <v>30</v>
      </c>
      <c r="K43" s="114">
        <v>1</v>
      </c>
      <c r="L43" s="114">
        <v>0.05</v>
      </c>
      <c r="M43" s="113" t="s">
        <v>1485</v>
      </c>
      <c r="N43" s="113" t="s">
        <v>1496</v>
      </c>
      <c r="O43" s="113"/>
      <c r="P43" s="112" t="str">
        <f t="shared" ca="1" si="0"/>
        <v>ModelInfo.rg(UTID_NAGA_MYRMIDON,ATT_NON,8199,200,200,15,0.05,0.1,30,1,0.05,CAREER_TYPE_CREEP,"ReplaceableTextures\\CommandButtons\\BTNNagaMyrmidon.blp");</v>
      </c>
    </row>
    <row r="44" spans="1:16" x14ac:dyDescent="0.2">
      <c r="A44" s="113">
        <v>9</v>
      </c>
      <c r="B44" s="113" t="s">
        <v>1495</v>
      </c>
      <c r="C44" s="113" t="s">
        <v>1486</v>
      </c>
      <c r="D44" s="138">
        <f t="shared" ca="1" si="1"/>
        <v>9499</v>
      </c>
      <c r="E44" s="138">
        <f t="shared" ref="E44:E51" ca="1" si="3">INDIRECT("CreepAbilities!I"&amp;A44)-INDIRECT("CreepAbilities!H"&amp;A44)</f>
        <v>300</v>
      </c>
      <c r="F44" s="138">
        <f t="shared" ca="1" si="2"/>
        <v>150</v>
      </c>
      <c r="G44" s="114">
        <v>15</v>
      </c>
      <c r="H44" s="114">
        <v>0.05</v>
      </c>
      <c r="I44" s="114">
        <v>0.1</v>
      </c>
      <c r="J44" s="114">
        <v>30</v>
      </c>
      <c r="K44" s="114">
        <v>1</v>
      </c>
      <c r="L44" s="114">
        <v>0.05</v>
      </c>
      <c r="M44" s="113" t="s">
        <v>1485</v>
      </c>
      <c r="N44" s="113" t="s">
        <v>1494</v>
      </c>
      <c r="O44" s="113"/>
      <c r="P44" s="112" t="str">
        <f t="shared" ca="1" si="0"/>
        <v>ModelInfo.rg(UTID_NAGA_ROYAL_GUARD,ATT_NON,9499,300,150,15,0.05,0.1,30,1,0.05,CAREER_TYPE_CREEP,"ReplaceableTextures\\CommandButtons\\BTNNagaMyrmidonRoyalGuard.blp");</v>
      </c>
    </row>
    <row r="45" spans="1:16" x14ac:dyDescent="0.2">
      <c r="A45" s="113">
        <v>11</v>
      </c>
      <c r="B45" s="113" t="s">
        <v>1493</v>
      </c>
      <c r="C45" s="113" t="s">
        <v>1486</v>
      </c>
      <c r="D45" s="138">
        <f t="shared" ca="1" si="1"/>
        <v>7499</v>
      </c>
      <c r="E45" s="138">
        <f t="shared" ca="1" si="3"/>
        <v>150</v>
      </c>
      <c r="F45" s="138">
        <f t="shared" ca="1" si="2"/>
        <v>100</v>
      </c>
      <c r="G45" s="114">
        <v>5</v>
      </c>
      <c r="H45" s="114">
        <v>0.05</v>
      </c>
      <c r="I45" s="114">
        <v>0</v>
      </c>
      <c r="J45" s="114">
        <v>0</v>
      </c>
      <c r="K45" s="114">
        <v>1</v>
      </c>
      <c r="L45" s="114">
        <v>0.05</v>
      </c>
      <c r="M45" s="113" t="s">
        <v>1485</v>
      </c>
      <c r="N45" s="113" t="s">
        <v>1492</v>
      </c>
      <c r="O45" s="113"/>
      <c r="P45" s="112" t="str">
        <f t="shared" ca="1" si="0"/>
        <v>ModelInfo.rg(UTID_SEA_LIZARD,ATT_NON,7499,150,100,5,0.05,0,0,1,0.05,CAREER_TYPE_CREEP,"ReplaceableTextures\\CommandButtons\\BTNSnapDragon.blp");</v>
      </c>
    </row>
    <row r="46" spans="1:16" x14ac:dyDescent="0.2">
      <c r="A46" s="113">
        <v>12</v>
      </c>
      <c r="B46" s="113" t="s">
        <v>1491</v>
      </c>
      <c r="C46" s="113" t="s">
        <v>1486</v>
      </c>
      <c r="D46" s="138">
        <f t="shared" ca="1" si="1"/>
        <v>4999</v>
      </c>
      <c r="E46" s="138">
        <f t="shared" ca="1" si="3"/>
        <v>100</v>
      </c>
      <c r="F46" s="138">
        <f t="shared" ca="1" si="2"/>
        <v>50</v>
      </c>
      <c r="G46" s="114">
        <v>2</v>
      </c>
      <c r="H46" s="114">
        <v>0</v>
      </c>
      <c r="I46" s="114">
        <v>0.05</v>
      </c>
      <c r="J46" s="114">
        <v>20</v>
      </c>
      <c r="K46" s="114">
        <v>1</v>
      </c>
      <c r="L46" s="114">
        <v>0.02</v>
      </c>
      <c r="M46" s="113" t="s">
        <v>1485</v>
      </c>
      <c r="N46" s="113" t="s">
        <v>1490</v>
      </c>
      <c r="O46" s="113"/>
      <c r="P46" s="112" t="str">
        <f t="shared" ca="1" si="0"/>
        <v>ModelInfo.rg(UTID_MURLOC_SLAVE,ATT_NON,4999,100,50,2,0,0.05,20,1,0.02,CAREER_TYPE_CREEP,"ReplaceableTextures\\CommandButtons\\BTNMurgalSlave.blp");</v>
      </c>
    </row>
    <row r="47" spans="1:16" x14ac:dyDescent="0.2">
      <c r="A47" s="113">
        <v>13</v>
      </c>
      <c r="B47" s="113" t="s">
        <v>1489</v>
      </c>
      <c r="C47" s="113" t="s">
        <v>1486</v>
      </c>
      <c r="D47" s="138">
        <f t="shared" ca="1" si="1"/>
        <v>8249</v>
      </c>
      <c r="E47" s="138">
        <f t="shared" ca="1" si="3"/>
        <v>275</v>
      </c>
      <c r="F47" s="138">
        <f t="shared" ca="1" si="2"/>
        <v>125</v>
      </c>
      <c r="G47" s="114">
        <v>7</v>
      </c>
      <c r="H47" s="114">
        <v>0.1</v>
      </c>
      <c r="I47" s="114">
        <v>0</v>
      </c>
      <c r="J47" s="114">
        <v>0</v>
      </c>
      <c r="K47" s="114">
        <v>1</v>
      </c>
      <c r="L47" s="114">
        <v>0.1</v>
      </c>
      <c r="M47" s="113" t="s">
        <v>1485</v>
      </c>
      <c r="N47" s="113" t="s">
        <v>1488</v>
      </c>
      <c r="O47" s="113"/>
      <c r="P47" s="112" t="str">
        <f t="shared" ca="1" si="0"/>
        <v>ModelInfo.rg(UTID_WIND_SERPENT,ATT_NON,8249,275,125,7,0.1,0,0,1,0.1,CAREER_TYPE_CREEP,"ReplaceableTextures\\CommandButtons\\BTNWindSerpent.blp");</v>
      </c>
    </row>
    <row r="48" spans="1:16" x14ac:dyDescent="0.2">
      <c r="A48" s="113">
        <v>15</v>
      </c>
      <c r="B48" s="113" t="s">
        <v>1608</v>
      </c>
      <c r="C48" s="113" t="s">
        <v>1486</v>
      </c>
      <c r="D48" s="138">
        <f t="shared" ca="1" si="1"/>
        <v>21999</v>
      </c>
      <c r="E48" s="138">
        <f t="shared" ca="1" si="3"/>
        <v>650</v>
      </c>
      <c r="F48" s="138">
        <f t="shared" ca="1" si="2"/>
        <v>300</v>
      </c>
      <c r="G48" s="114">
        <v>5</v>
      </c>
      <c r="H48" s="114">
        <v>0.05</v>
      </c>
      <c r="I48" s="114">
        <v>0.05</v>
      </c>
      <c r="J48" s="114">
        <v>100</v>
      </c>
      <c r="K48" s="114">
        <v>0.95</v>
      </c>
      <c r="L48" s="114">
        <v>0.05</v>
      </c>
      <c r="M48" s="113" t="s">
        <v>1485</v>
      </c>
      <c r="N48" s="113" t="s">
        <v>1609</v>
      </c>
      <c r="O48" s="113"/>
      <c r="P48" s="112" t="str">
        <f t="shared" ca="1" si="0"/>
        <v>ModelInfo.rg(UTID_FEL_GRUNT,ATT_NON,21999,650,300,5,0.05,0.05,100,0.95,0.05,CAREER_TYPE_CREEP,"ReplaceableTextures\\CommandButtons\\BTNChaosGrunt.blp");</v>
      </c>
    </row>
    <row r="49" spans="1:16" x14ac:dyDescent="0.2">
      <c r="A49" s="113">
        <v>16</v>
      </c>
      <c r="B49" s="113" t="s">
        <v>1616</v>
      </c>
      <c r="C49" s="113" t="s">
        <v>1486</v>
      </c>
      <c r="D49" s="138">
        <f t="shared" ca="1" si="1"/>
        <v>19499</v>
      </c>
      <c r="E49" s="138">
        <f t="shared" ca="1" si="3"/>
        <v>600</v>
      </c>
      <c r="F49" s="138">
        <f t="shared" ca="1" si="2"/>
        <v>200</v>
      </c>
      <c r="G49" s="114">
        <v>10</v>
      </c>
      <c r="H49" s="114">
        <v>0.05</v>
      </c>
      <c r="I49" s="114">
        <v>0</v>
      </c>
      <c r="J49" s="114">
        <v>0</v>
      </c>
      <c r="K49" s="114">
        <v>1</v>
      </c>
      <c r="L49" s="114">
        <v>0.1</v>
      </c>
      <c r="M49" s="113" t="s">
        <v>1485</v>
      </c>
      <c r="N49" s="113" t="s">
        <v>1617</v>
      </c>
      <c r="O49" s="113"/>
      <c r="P49" s="112" t="str">
        <f t="shared" ca="1" si="0"/>
        <v>ModelInfo.rg(UTID_FEL_RIDER,ATT_NON,19499,600,200,10,0.05,0,0,1,0.1,CAREER_TYPE_CREEP,"ReplaceableTextures\\CommandButtons\\BTNChaosWolfRider.blp");</v>
      </c>
    </row>
    <row r="50" spans="1:16" x14ac:dyDescent="0.2">
      <c r="A50" s="113">
        <v>17</v>
      </c>
      <c r="B50" s="113" t="s">
        <v>1624</v>
      </c>
      <c r="C50" s="113" t="s">
        <v>1486</v>
      </c>
      <c r="D50" s="138">
        <f t="shared" ca="1" si="1"/>
        <v>62999</v>
      </c>
      <c r="E50" s="138">
        <f t="shared" ca="1" si="3"/>
        <v>750</v>
      </c>
      <c r="F50" s="138">
        <f t="shared" ca="1" si="2"/>
        <v>150</v>
      </c>
      <c r="G50" s="114">
        <v>5</v>
      </c>
      <c r="H50" s="114">
        <v>0.05</v>
      </c>
      <c r="I50" s="114">
        <v>0.15</v>
      </c>
      <c r="J50" s="114">
        <v>240</v>
      </c>
      <c r="K50" s="114">
        <v>0.8</v>
      </c>
      <c r="L50" s="114">
        <v>0.05</v>
      </c>
      <c r="M50" s="113" t="s">
        <v>1485</v>
      </c>
      <c r="N50" s="113" t="s">
        <v>1625</v>
      </c>
      <c r="O50" s="113"/>
      <c r="P50" s="112" t="str">
        <f t="shared" ca="1" si="0"/>
        <v>ModelInfo.rg(UTID_FEL_WAR_BRINGER,ATT_NON,62999,750,150,5,0.05,0.15,240,0.8,0.05,CAREER_TYPE_CREEP,"ReplaceableTextures\\CommandButtons\\BTNChaosKotoBeast.blp");</v>
      </c>
    </row>
    <row r="51" spans="1:16" x14ac:dyDescent="0.2">
      <c r="A51" s="113">
        <v>19</v>
      </c>
      <c r="B51" s="113" t="s">
        <v>1487</v>
      </c>
      <c r="C51" s="113" t="s">
        <v>1486</v>
      </c>
      <c r="D51" s="138">
        <f t="shared" ca="1" si="1"/>
        <v>17499</v>
      </c>
      <c r="E51" s="138">
        <f t="shared" ca="1" si="3"/>
        <v>400</v>
      </c>
      <c r="F51" s="138">
        <f t="shared" ca="1" si="2"/>
        <v>200</v>
      </c>
      <c r="G51" s="114">
        <v>5</v>
      </c>
      <c r="H51" s="114">
        <v>0.05</v>
      </c>
      <c r="I51" s="114">
        <v>0</v>
      </c>
      <c r="J51" s="114">
        <v>0</v>
      </c>
      <c r="K51" s="114">
        <v>1</v>
      </c>
      <c r="L51" s="114">
        <v>0.05</v>
      </c>
      <c r="M51" s="113" t="s">
        <v>1485</v>
      </c>
      <c r="N51" s="113" t="s">
        <v>1484</v>
      </c>
      <c r="O51" s="113"/>
      <c r="P51" s="112"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381</v>
      </c>
      <c r="C2" s="2"/>
      <c r="D2" s="2"/>
      <c r="E2" s="2" t="s">
        <v>383</v>
      </c>
      <c r="F2" s="2"/>
      <c r="G2" s="2" t="s">
        <v>385</v>
      </c>
    </row>
    <row r="3" spans="1:7" ht="16.5" customHeight="1" x14ac:dyDescent="0.2">
      <c r="A3" s="1"/>
      <c r="B3" s="1"/>
      <c r="C3" s="2"/>
      <c r="D3" s="2"/>
      <c r="E3" s="2" t="s">
        <v>389</v>
      </c>
      <c r="F3" s="2"/>
      <c r="G3" s="2" t="s">
        <v>391</v>
      </c>
    </row>
    <row r="4" spans="1:7" ht="49.5" customHeight="1" x14ac:dyDescent="0.2">
      <c r="A4" s="1"/>
      <c r="B4" s="1"/>
      <c r="C4" s="2"/>
      <c r="D4" s="2"/>
      <c r="E4" s="2" t="s">
        <v>396</v>
      </c>
      <c r="F4" s="2"/>
      <c r="G4" s="2" t="s">
        <v>391</v>
      </c>
    </row>
    <row r="5" spans="1:7" ht="16.5" customHeight="1" x14ac:dyDescent="0.2">
      <c r="A5" s="1"/>
      <c r="B5" s="1"/>
      <c r="C5" s="2"/>
      <c r="D5" s="2"/>
      <c r="E5" s="2" t="s">
        <v>400</v>
      </c>
      <c r="F5" s="2"/>
      <c r="G5" s="2" t="s">
        <v>385</v>
      </c>
    </row>
    <row r="6" spans="1:7" ht="86.25" customHeight="1" x14ac:dyDescent="0.2">
      <c r="A6" s="8">
        <v>41217</v>
      </c>
      <c r="B6" s="1" t="s">
        <v>403</v>
      </c>
      <c r="C6" s="2"/>
      <c r="D6" s="2"/>
      <c r="E6" s="2" t="s">
        <v>405</v>
      </c>
      <c r="F6" s="2" t="s">
        <v>408</v>
      </c>
      <c r="G6" s="2"/>
    </row>
    <row r="7" spans="1:7" ht="49.5" customHeight="1" x14ac:dyDescent="0.2">
      <c r="A7" s="1"/>
      <c r="B7" s="1"/>
      <c r="C7" s="2"/>
      <c r="D7" s="2"/>
      <c r="E7" s="9" t="s">
        <v>413</v>
      </c>
      <c r="F7" s="2" t="s">
        <v>419</v>
      </c>
      <c r="G7" s="2" t="s">
        <v>391</v>
      </c>
    </row>
    <row r="8" spans="1:7" ht="16.5" customHeight="1" x14ac:dyDescent="0.2">
      <c r="A8" s="1"/>
      <c r="B8" s="1"/>
      <c r="C8" s="2"/>
      <c r="D8" s="2"/>
      <c r="E8" s="2" t="s">
        <v>420</v>
      </c>
      <c r="F8" s="2" t="s">
        <v>421</v>
      </c>
      <c r="G8" s="10" t="s">
        <v>385</v>
      </c>
    </row>
    <row r="9" spans="1:7" ht="16.5" customHeight="1" x14ac:dyDescent="0.2">
      <c r="A9" s="1"/>
      <c r="B9" s="1"/>
      <c r="C9" s="2"/>
      <c r="D9" s="2"/>
      <c r="E9" s="2" t="s">
        <v>428</v>
      </c>
      <c r="F9" s="2" t="s">
        <v>429</v>
      </c>
      <c r="G9" s="2" t="s">
        <v>385</v>
      </c>
    </row>
    <row r="10" spans="1:7" ht="49.5" customHeight="1" x14ac:dyDescent="0.2">
      <c r="A10" s="1"/>
      <c r="B10" s="1"/>
      <c r="C10" s="2"/>
      <c r="D10" s="2"/>
      <c r="E10" s="2" t="s">
        <v>430</v>
      </c>
      <c r="F10" s="2" t="s">
        <v>431</v>
      </c>
      <c r="G10" s="2" t="s">
        <v>391</v>
      </c>
    </row>
    <row r="11" spans="1:7" ht="16.5" customHeight="1" x14ac:dyDescent="0.2">
      <c r="A11" s="8">
        <v>41219</v>
      </c>
      <c r="B11" s="1" t="s">
        <v>403</v>
      </c>
      <c r="C11" s="2"/>
      <c r="D11" s="2"/>
      <c r="E11" s="2" t="s">
        <v>432</v>
      </c>
      <c r="F11" s="2"/>
      <c r="G11" s="11" t="s">
        <v>385</v>
      </c>
    </row>
    <row r="12" spans="1:7" ht="14.25" customHeight="1" x14ac:dyDescent="0.2">
      <c r="A12" s="1"/>
      <c r="B12" s="1"/>
      <c r="C12" s="2"/>
      <c r="D12" s="2"/>
      <c r="E12" s="2"/>
      <c r="F12" s="2"/>
      <c r="G12" s="2"/>
    </row>
    <row r="13" spans="1:7" ht="14.25" customHeight="1" x14ac:dyDescent="0.2">
      <c r="A13" s="8">
        <v>41619</v>
      </c>
      <c r="B13" s="1" t="s">
        <v>403</v>
      </c>
      <c r="C13" s="2"/>
      <c r="D13" s="2"/>
      <c r="E13" s="2" t="s">
        <v>566</v>
      </c>
      <c r="F13" s="2"/>
      <c r="G13" s="2"/>
    </row>
    <row r="14" spans="1:7" ht="14.25" customHeight="1" x14ac:dyDescent="0.2">
      <c r="A14" s="1"/>
      <c r="B14" s="1" t="s">
        <v>403</v>
      </c>
      <c r="C14" s="2"/>
      <c r="D14" s="2"/>
      <c r="E14" s="2" t="s">
        <v>567</v>
      </c>
      <c r="F14" s="2"/>
      <c r="G14" s="11"/>
    </row>
    <row r="15" spans="1:7" ht="14.25" customHeight="1" x14ac:dyDescent="0.2">
      <c r="A15" s="1"/>
      <c r="B15" s="1" t="s">
        <v>403</v>
      </c>
      <c r="C15" s="2"/>
      <c r="D15" s="2"/>
      <c r="E15" s="2" t="s">
        <v>568</v>
      </c>
      <c r="F15" s="2"/>
      <c r="G15" s="11"/>
    </row>
    <row r="16" spans="1:7" ht="14.25" customHeight="1" x14ac:dyDescent="0.2">
      <c r="A16" s="1"/>
      <c r="B16" s="1" t="s">
        <v>403</v>
      </c>
      <c r="C16" s="2"/>
      <c r="D16" s="2"/>
      <c r="E16" s="2" t="s">
        <v>569</v>
      </c>
      <c r="F16" s="2"/>
      <c r="G16" s="11"/>
    </row>
    <row r="17" spans="1:7" ht="14.25" customHeight="1" x14ac:dyDescent="0.2">
      <c r="A17" s="8">
        <v>41620</v>
      </c>
      <c r="B17" s="1"/>
      <c r="C17" s="2" t="s">
        <v>570</v>
      </c>
      <c r="D17" s="2" t="s">
        <v>571</v>
      </c>
      <c r="E17" s="2" t="s">
        <v>572</v>
      </c>
      <c r="F17" s="2"/>
      <c r="G17" s="11"/>
    </row>
    <row r="18" spans="1:7" ht="14.25" customHeight="1" x14ac:dyDescent="0.2">
      <c r="A18" s="1"/>
      <c r="B18" s="1"/>
      <c r="C18" s="2"/>
      <c r="D18" s="2" t="s">
        <v>16</v>
      </c>
      <c r="E18" s="2" t="s">
        <v>573</v>
      </c>
      <c r="F18" s="2"/>
      <c r="G18" s="11"/>
    </row>
    <row r="19" spans="1:7" ht="14.25" customHeight="1" x14ac:dyDescent="0.2">
      <c r="A19" s="1"/>
      <c r="B19" s="1"/>
      <c r="C19" s="2"/>
      <c r="D19" s="2" t="s">
        <v>16</v>
      </c>
      <c r="E19" s="2" t="s">
        <v>574</v>
      </c>
      <c r="F19" s="2"/>
      <c r="G19" s="11"/>
    </row>
    <row r="20" spans="1:7" ht="14.25" customHeight="1" x14ac:dyDescent="0.2">
      <c r="A20" s="2"/>
      <c r="B20" s="2"/>
      <c r="C20" s="2" t="s">
        <v>570</v>
      </c>
      <c r="D20" s="2" t="s">
        <v>16</v>
      </c>
      <c r="E20" s="2" t="s">
        <v>575</v>
      </c>
      <c r="F20" s="2"/>
      <c r="G20" s="11"/>
    </row>
    <row r="21" spans="1:7" ht="14.25" customHeight="1" x14ac:dyDescent="0.2">
      <c r="A21" s="2"/>
      <c r="B21" s="2"/>
      <c r="C21" s="2" t="s">
        <v>570</v>
      </c>
      <c r="D21" s="2" t="s">
        <v>16</v>
      </c>
      <c r="E21" s="2" t="s">
        <v>576</v>
      </c>
      <c r="F21" s="2"/>
      <c r="G21" s="11"/>
    </row>
    <row r="22" spans="1:7" ht="14.25" customHeight="1" x14ac:dyDescent="0.2">
      <c r="A22" s="2"/>
      <c r="B22" s="2"/>
      <c r="C22" s="2"/>
      <c r="D22" s="2" t="s">
        <v>16</v>
      </c>
      <c r="E22" s="2" t="s">
        <v>577</v>
      </c>
      <c r="F22" s="2"/>
      <c r="G22" s="11"/>
    </row>
    <row r="23" spans="1:7" ht="14.25" customHeight="1" x14ac:dyDescent="0.2">
      <c r="A23" s="2"/>
      <c r="B23" s="2"/>
      <c r="C23" s="2"/>
      <c r="D23" s="2" t="s">
        <v>16</v>
      </c>
      <c r="E23" s="2" t="s">
        <v>579</v>
      </c>
      <c r="F23" s="2"/>
      <c r="G23" s="11"/>
    </row>
    <row r="24" spans="1:7" ht="14.25" customHeight="1" x14ac:dyDescent="0.2">
      <c r="A24" s="2"/>
      <c r="B24" s="2"/>
      <c r="C24" s="2"/>
      <c r="D24" s="2"/>
      <c r="E24" s="12" t="s">
        <v>582</v>
      </c>
      <c r="F24" s="2"/>
      <c r="G24" s="2"/>
    </row>
    <row r="25" spans="1:7" ht="14.25" customHeight="1" x14ac:dyDescent="0.2">
      <c r="A25" s="2" t="s">
        <v>661</v>
      </c>
      <c r="B25" s="2" t="s">
        <v>403</v>
      </c>
      <c r="C25" s="2"/>
      <c r="D25" s="2" t="s">
        <v>662</v>
      </c>
      <c r="E25" s="13" t="s">
        <v>665</v>
      </c>
      <c r="F25" s="2"/>
      <c r="G25" s="11"/>
    </row>
    <row r="26" spans="1:7" ht="14.25" customHeight="1" x14ac:dyDescent="0.2">
      <c r="A26" s="2"/>
      <c r="B26" s="2"/>
      <c r="C26" s="2"/>
      <c r="D26" s="2" t="s">
        <v>571</v>
      </c>
      <c r="E26" s="2" t="s">
        <v>687</v>
      </c>
      <c r="F26" s="2"/>
      <c r="G26" s="11"/>
    </row>
    <row r="27" spans="1:7" ht="14.25" customHeight="1" x14ac:dyDescent="0.2">
      <c r="A27" s="2"/>
      <c r="B27" s="2"/>
      <c r="C27" s="2"/>
      <c r="D27" s="2"/>
      <c r="E27" s="2" t="s">
        <v>690</v>
      </c>
      <c r="F27" s="2"/>
      <c r="G27" s="11"/>
    </row>
    <row r="28" spans="1:7" ht="14.25" customHeight="1" x14ac:dyDescent="0.2">
      <c r="A28" s="2"/>
      <c r="B28" s="2"/>
      <c r="C28" s="2"/>
      <c r="D28" s="2" t="s">
        <v>70</v>
      </c>
      <c r="E28" s="2" t="s">
        <v>695</v>
      </c>
      <c r="F28" s="2"/>
      <c r="G28" s="11"/>
    </row>
    <row r="29" spans="1:7" ht="14.25" customHeight="1" x14ac:dyDescent="0.2">
      <c r="A29" s="2"/>
      <c r="B29" s="2"/>
      <c r="C29" s="2"/>
      <c r="D29" s="2" t="s">
        <v>16</v>
      </c>
      <c r="E29" s="2" t="s">
        <v>697</v>
      </c>
      <c r="F29" s="2"/>
      <c r="G29" s="11"/>
    </row>
    <row r="30" spans="1:7" ht="14.25" customHeight="1" x14ac:dyDescent="0.2">
      <c r="A30" s="2"/>
      <c r="B30" s="2"/>
      <c r="C30" s="2"/>
      <c r="D30" s="2" t="s">
        <v>16</v>
      </c>
      <c r="E30" s="2" t="s">
        <v>702</v>
      </c>
      <c r="F30" s="2"/>
      <c r="G30" s="11"/>
    </row>
    <row r="31" spans="1:7" ht="14.25" customHeight="1" x14ac:dyDescent="0.2">
      <c r="A31" s="2"/>
      <c r="B31" s="2"/>
      <c r="C31" s="2"/>
      <c r="D31" s="2" t="s">
        <v>70</v>
      </c>
      <c r="E31" s="2" t="s">
        <v>706</v>
      </c>
      <c r="F31" s="2"/>
      <c r="G31" s="2"/>
    </row>
    <row r="32" spans="1:7" ht="14.25" customHeight="1" x14ac:dyDescent="0.2">
      <c r="A32" s="2"/>
      <c r="B32" s="2"/>
      <c r="C32" s="2"/>
      <c r="D32" s="2" t="s">
        <v>710</v>
      </c>
      <c r="E32" s="2" t="s">
        <v>711</v>
      </c>
      <c r="F32" s="2"/>
      <c r="G32" s="11"/>
    </row>
    <row r="33" spans="1:7" ht="14.25" customHeight="1" x14ac:dyDescent="0.2">
      <c r="A33" s="2"/>
      <c r="B33" s="2"/>
      <c r="C33" s="2"/>
      <c r="D33" s="2"/>
      <c r="E33" s="2" t="s">
        <v>714</v>
      </c>
      <c r="F33" s="2"/>
      <c r="G33" s="2"/>
    </row>
    <row r="34" spans="1:7" ht="14.25" customHeight="1" x14ac:dyDescent="0.2">
      <c r="A34" s="2"/>
      <c r="B34" s="2"/>
      <c r="C34" s="2"/>
      <c r="D34" s="2"/>
      <c r="E34" s="2" t="s">
        <v>718</v>
      </c>
      <c r="F34" s="2"/>
      <c r="G34" s="11"/>
    </row>
    <row r="35" spans="1:7" ht="14.25" customHeight="1" x14ac:dyDescent="0.2">
      <c r="A35" s="2"/>
      <c r="B35" s="2"/>
      <c r="C35" s="2"/>
      <c r="D35" s="2"/>
      <c r="E35" s="2" t="s">
        <v>721</v>
      </c>
      <c r="F35" s="2"/>
      <c r="G35" s="11"/>
    </row>
    <row r="36" spans="1:7" ht="14.25" customHeight="1" x14ac:dyDescent="0.2">
      <c r="A36" s="2"/>
      <c r="B36" s="2"/>
      <c r="C36" s="2"/>
      <c r="D36" s="2"/>
      <c r="E36" s="2" t="s">
        <v>725</v>
      </c>
      <c r="F36" s="2"/>
      <c r="G36" s="2"/>
    </row>
    <row r="37" spans="1:7" ht="14.25" customHeight="1" x14ac:dyDescent="0.2">
      <c r="A37" s="2"/>
      <c r="B37" s="2"/>
      <c r="C37" s="2"/>
      <c r="D37" s="2"/>
      <c r="E37" s="2" t="s">
        <v>728</v>
      </c>
      <c r="F37" s="2"/>
      <c r="G37" s="2"/>
    </row>
    <row r="38" spans="1:7" ht="14.25" customHeight="1" x14ac:dyDescent="0.2">
      <c r="A38" s="2"/>
      <c r="B38" s="2"/>
      <c r="C38" s="2"/>
      <c r="D38" s="2"/>
      <c r="E38" s="2" t="s">
        <v>730</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2016-06-18T19:50:38Z</dcterms:modified>
</cp:coreProperties>
</file>