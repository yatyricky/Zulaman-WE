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B688125D-D9A7-4C71-AD01-C0C7FDF2D19C}" xr6:coauthVersionLast="33" xr6:coauthVersionMax="33" xr10:uidLastSave="{00000000-0000-0000-0000-000000000000}"/>
  <bookViews>
    <workbookView xWindow="0" yWindow="60" windowWidth="20490" windowHeight="7380" activeTab="2"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E103" i="3"/>
  <c r="E102" i="3"/>
  <c r="E101" i="3"/>
  <c r="E100" i="3"/>
  <c r="E99" i="3"/>
  <c r="E98" i="3"/>
  <c r="E93" i="3"/>
  <c r="E92" i="3"/>
  <c r="E91" i="3"/>
  <c r="E90" i="3"/>
  <c r="E89" i="3"/>
  <c r="E84" i="3"/>
  <c r="E83" i="3"/>
  <c r="E82" i="3"/>
  <c r="E81" i="3"/>
  <c r="E80" i="3"/>
  <c r="E75" i="3"/>
  <c r="E74" i="3"/>
  <c r="E73" i="3"/>
  <c r="E72" i="3"/>
  <c r="E71" i="3"/>
  <c r="E66" i="3"/>
  <c r="E65" i="3"/>
  <c r="E64" i="3"/>
  <c r="E63" i="3"/>
  <c r="E62" i="3"/>
  <c r="E61" i="3"/>
  <c r="E56" i="3"/>
  <c r="E55" i="3"/>
  <c r="E54" i="3"/>
  <c r="E53" i="3"/>
  <c r="E52" i="3"/>
  <c r="E51" i="3"/>
  <c r="E50" i="3"/>
  <c r="E46" i="3"/>
  <c r="E45" i="3"/>
  <c r="E44" i="3"/>
  <c r="E43" i="3"/>
  <c r="E42" i="3"/>
  <c r="E37" i="3"/>
  <c r="E36" i="3"/>
  <c r="E35" i="3"/>
  <c r="E34" i="3"/>
  <c r="E33" i="3"/>
  <c r="E28" i="3"/>
  <c r="E27" i="3"/>
  <c r="E26" i="3"/>
  <c r="E25" i="3"/>
  <c r="E24" i="3"/>
  <c r="E23" i="3"/>
  <c r="E19" i="3"/>
  <c r="E18" i="3"/>
  <c r="E17" i="3"/>
  <c r="E16" i="3"/>
  <c r="E15" i="3"/>
  <c r="E14" i="3"/>
  <c r="E13" i="3"/>
  <c r="E8" i="3"/>
  <c r="E7" i="3"/>
  <c r="E6" i="3"/>
  <c r="E5" i="3"/>
  <c r="E4" i="3"/>
  <c r="D69" i="4"/>
  <c r="E69" i="4"/>
  <c r="F69" i="4"/>
  <c r="G69" i="4"/>
  <c r="J2" i="17"/>
  <c r="H55" i="14"/>
  <c r="H54" i="14"/>
  <c r="H58" i="14"/>
  <c r="H57" i="1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H4" i="14"/>
  <c r="H3" i="14"/>
  <c r="H7" i="14"/>
  <c r="H6" i="14"/>
  <c r="H10" i="14"/>
  <c r="H9" i="14"/>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15" i="9"/>
  <c r="H8" i="9"/>
  <c r="H31" i="9"/>
  <c r="H22" i="9"/>
  <c r="H16" i="9"/>
  <c r="H30" i="9"/>
  <c r="H23" i="9"/>
  <c r="H9" i="9"/>
  <c r="H24" i="9"/>
  <c r="H32" i="9"/>
  <c r="H17" i="9"/>
  <c r="H10" i="9"/>
  <c r="I22" i="9" l="1"/>
  <c r="I30" i="9"/>
  <c r="I15" i="9"/>
  <c r="H3" i="9"/>
  <c r="I3" i="9" s="1"/>
  <c r="I8" i="9"/>
  <c r="G40" i="4"/>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K1" i="9"/>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J73" i="17"/>
  <c r="D99" i="3" l="1"/>
  <c r="D98" i="3"/>
  <c r="D91" i="3"/>
  <c r="D90" i="3"/>
  <c r="D89" i="3"/>
  <c r="D82" i="3"/>
  <c r="D81" i="3"/>
  <c r="D80" i="3"/>
  <c r="D73" i="3"/>
  <c r="D72" i="3"/>
  <c r="D71" i="3"/>
  <c r="D64" i="3"/>
  <c r="D63" i="3"/>
  <c r="D62" i="3"/>
  <c r="D61" i="3"/>
  <c r="D53" i="3"/>
  <c r="D52" i="3"/>
  <c r="D51" i="3"/>
  <c r="D50" i="3"/>
  <c r="D45" i="3"/>
  <c r="D44" i="3"/>
  <c r="D43" i="3"/>
  <c r="D42" i="3"/>
  <c r="D35" i="3"/>
  <c r="D34" i="3"/>
  <c r="D33" i="3"/>
  <c r="D26" i="3"/>
  <c r="D25" i="3"/>
  <c r="D24" i="3"/>
  <c r="D23" i="3"/>
  <c r="D13" i="3"/>
  <c r="D103" i="3"/>
  <c r="D102" i="3"/>
  <c r="D101" i="3"/>
  <c r="D100" i="3"/>
  <c r="D93" i="3"/>
  <c r="D92" i="3"/>
  <c r="D84" i="3"/>
  <c r="D83" i="3"/>
  <c r="D75" i="3"/>
  <c r="D74" i="3"/>
  <c r="D66" i="3"/>
  <c r="D65" i="3"/>
  <c r="D56" i="3"/>
  <c r="D55" i="3"/>
  <c r="D54" i="3"/>
  <c r="D46" i="3"/>
  <c r="D37" i="3"/>
  <c r="D36" i="3"/>
  <c r="D28" i="3"/>
  <c r="D27" i="3"/>
  <c r="D18" i="3"/>
  <c r="D17" i="3"/>
  <c r="D16" i="3"/>
  <c r="D15" i="3"/>
  <c r="D14" i="3"/>
  <c r="D8" i="3"/>
  <c r="D7" i="3"/>
  <c r="D19" i="3"/>
  <c r="D6" i="3"/>
  <c r="D5"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J87" i="17"/>
  <c r="I24" i="17"/>
  <c r="I67" i="17"/>
  <c r="I55" i="17"/>
  <c r="I16" i="17"/>
  <c r="J86" i="17"/>
  <c r="I4" i="17"/>
  <c r="J97" i="17"/>
  <c r="J47" i="17"/>
  <c r="J51" i="17"/>
  <c r="J84" i="17"/>
  <c r="J70" i="17"/>
  <c r="I84" i="17"/>
  <c r="I97" i="17"/>
  <c r="J57" i="17"/>
  <c r="I88" i="17"/>
  <c r="J41" i="17"/>
  <c r="J42" i="17"/>
  <c r="I35" i="17"/>
  <c r="J69" i="17"/>
  <c r="I33" i="17"/>
  <c r="J31" i="17"/>
  <c r="I52" i="17"/>
  <c r="I58" i="17"/>
  <c r="J16" i="17"/>
  <c r="I59" i="17"/>
  <c r="J66" i="17"/>
  <c r="J8" i="17"/>
  <c r="I8" i="17"/>
  <c r="J4" i="17"/>
  <c r="J26" i="17"/>
  <c r="J28" i="17"/>
  <c r="J72" i="17"/>
  <c r="I43" i="17"/>
  <c r="I54" i="17"/>
  <c r="J91" i="17"/>
  <c r="I34" i="17"/>
  <c r="I64" i="17"/>
  <c r="I60" i="17"/>
  <c r="J64" i="17"/>
  <c r="I70" i="17"/>
  <c r="I31" i="17"/>
  <c r="J44" i="17"/>
  <c r="J68" i="17"/>
  <c r="J17" i="17"/>
  <c r="I26" i="17"/>
  <c r="J11" i="17"/>
  <c r="J25" i="17"/>
  <c r="I28" i="17"/>
  <c r="J55" i="17"/>
  <c r="J5" i="17"/>
  <c r="J9" i="17"/>
  <c r="J18" i="17"/>
  <c r="I75" i="17"/>
  <c r="I6" i="17"/>
  <c r="I92" i="17"/>
  <c r="I51" i="17"/>
  <c r="J36" i="17"/>
  <c r="I11" i="17"/>
  <c r="J13" i="17"/>
  <c r="I18" i="17"/>
  <c r="J10" i="17"/>
  <c r="I66" i="17"/>
  <c r="J12" i="17"/>
  <c r="J38" i="17"/>
  <c r="I22" i="17"/>
  <c r="I83" i="17"/>
  <c r="J67" i="17"/>
  <c r="I15" i="17"/>
  <c r="J74" i="17"/>
  <c r="I63" i="17"/>
  <c r="J34" i="17"/>
  <c r="J92" i="17"/>
  <c r="J15" i="17"/>
  <c r="J3" i="17"/>
  <c r="J85" i="17"/>
  <c r="J62" i="17"/>
  <c r="J50" i="17"/>
  <c r="J40" i="17"/>
  <c r="I14" i="17"/>
  <c r="I62" i="17"/>
  <c r="J22" i="17"/>
  <c r="I74" i="17"/>
  <c r="I56" i="17"/>
  <c r="I50" i="17"/>
  <c r="I37" i="17"/>
  <c r="I46" i="17"/>
  <c r="J49" i="17"/>
  <c r="J94" i="17"/>
  <c r="I7" i="17"/>
  <c r="I29" i="17"/>
  <c r="J77" i="17"/>
  <c r="I2" i="17"/>
  <c r="J56" i="17"/>
  <c r="I19" i="17"/>
  <c r="J48" i="17"/>
  <c r="J95" i="17"/>
  <c r="J45" i="17"/>
  <c r="I23" i="17"/>
  <c r="J61" i="17"/>
  <c r="J39" i="17"/>
  <c r="I91" i="17"/>
  <c r="I32" i="17"/>
  <c r="I71" i="17"/>
  <c r="J37" i="17"/>
  <c r="J60" i="17"/>
  <c r="J46" i="17"/>
  <c r="I48" i="17"/>
  <c r="I95" i="17"/>
  <c r="I25" i="17"/>
  <c r="I93" i="17"/>
  <c r="I27" i="17"/>
  <c r="J65" i="17"/>
  <c r="J6" i="17"/>
  <c r="I13" i="17"/>
  <c r="J75" i="17"/>
  <c r="J43" i="17"/>
  <c r="I89" i="17"/>
  <c r="I42" i="17"/>
  <c r="J33" i="17"/>
  <c r="J21" i="17"/>
  <c r="I20" i="17"/>
  <c r="I36" i="17"/>
  <c r="I45" i="17"/>
  <c r="J96" i="17"/>
  <c r="J27" i="17"/>
  <c r="J23" i="17"/>
  <c r="I86" i="17"/>
  <c r="I87" i="17"/>
  <c r="J88" i="17"/>
  <c r="I73" i="17"/>
  <c r="I77" i="17"/>
  <c r="I38" i="17"/>
  <c r="J54" i="17"/>
  <c r="I12" i="17"/>
  <c r="I5" i="17"/>
  <c r="J52" i="17"/>
  <c r="J71" i="17"/>
  <c r="I9" i="17"/>
  <c r="I65" i="17"/>
  <c r="J24" i="17"/>
  <c r="I17" i="17"/>
  <c r="J32" i="17"/>
  <c r="I47" i="17"/>
  <c r="I76" i="17"/>
  <c r="I49" i="17"/>
  <c r="J93" i="17"/>
  <c r="I72" i="17"/>
  <c r="I41" i="17"/>
  <c r="J30" i="17"/>
  <c r="J90" i="17"/>
  <c r="I69" i="17"/>
  <c r="I90" i="17"/>
  <c r="J53" i="17"/>
  <c r="J89" i="17"/>
  <c r="J83" i="17"/>
  <c r="I82" i="17"/>
  <c r="I21" i="17"/>
  <c r="J7" i="17"/>
  <c r="I61" i="17"/>
  <c r="I57" i="17"/>
  <c r="J58" i="17"/>
  <c r="J29" i="17"/>
  <c r="I44" i="17"/>
  <c r="I30" i="17"/>
  <c r="I40" i="17"/>
  <c r="J76" i="17"/>
  <c r="J82" i="17"/>
  <c r="J19" i="17"/>
  <c r="J14" i="17"/>
  <c r="I39" i="17"/>
  <c r="I68" i="17"/>
  <c r="J35" i="17"/>
  <c r="J59" i="17"/>
  <c r="I10" i="17"/>
  <c r="I53" i="17"/>
  <c r="I85" i="17"/>
  <c r="I3" i="17"/>
  <c r="I96" i="17"/>
  <c r="J63" i="17"/>
  <c r="J20" i="17"/>
  <c r="I94" i="17"/>
  <c r="I81" i="17"/>
  <c r="J81" i="17"/>
  <c r="I80" i="17"/>
  <c r="J80" i="17"/>
  <c r="J79" i="17"/>
  <c r="I79" i="17"/>
  <c r="J78" i="17"/>
  <c r="I78" i="17"/>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H18" i="14"/>
  <c r="H45" i="14"/>
  <c r="H85" i="14"/>
  <c r="H71" i="14"/>
  <c r="H75" i="14"/>
  <c r="H22" i="14"/>
  <c r="H80" i="14"/>
  <c r="H63" i="14"/>
  <c r="H48" i="14"/>
  <c r="H60" i="14"/>
  <c r="H12" i="14"/>
  <c r="H42" i="14"/>
  <c r="H36" i="14"/>
  <c r="H15" i="14"/>
  <c r="H67" i="14"/>
  <c r="H39" i="14"/>
  <c r="H33" i="14"/>
  <c r="H51" i="14"/>
  <c r="H26" i="14"/>
  <c r="H30" i="14"/>
  <c r="H72" i="14"/>
  <c r="H19" i="14"/>
  <c r="H68" i="14"/>
  <c r="H52" i="14"/>
  <c r="H77" i="14"/>
  <c r="H86" i="14"/>
  <c r="H43" i="14"/>
  <c r="H69" i="14"/>
  <c r="H81" i="14"/>
  <c r="H65" i="14"/>
  <c r="H37" i="14"/>
  <c r="H16" i="14"/>
  <c r="H82" i="14"/>
  <c r="H20" i="14"/>
  <c r="H87" i="14"/>
  <c r="H61" i="14"/>
  <c r="H13" i="14"/>
  <c r="H23" i="14"/>
  <c r="H34" i="14"/>
  <c r="H73" i="14"/>
  <c r="H76" i="14"/>
  <c r="H28" i="14"/>
  <c r="H31" i="14"/>
  <c r="H40" i="14"/>
  <c r="H46" i="14"/>
  <c r="H49" i="14"/>
  <c r="H64" i="14"/>
  <c r="H24" i="14"/>
  <c r="H27" i="14"/>
</calcChain>
</file>

<file path=xl/sharedStrings.xml><?xml version="1.0" encoding="utf-8"?>
<sst xmlns="http://schemas.openxmlformats.org/spreadsheetml/2006/main" count="1148" uniqueCount="900">
  <si>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</si>
  <si>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</si>
  <si>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</si>
  <si>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</si>
  <si>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</si>
  <si>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</si>
  <si>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</si>
  <si>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</si>
  <si>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</si>
  <si>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</si>
  <si>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</si>
  <si>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</si>
  <si>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</si>
  <si>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</si>
  <si>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</si>
  <si>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</si>
  <si>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</si>
  <si>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</si>
  <si>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</si>
  <si>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</si>
  <si>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</si>
  <si>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</si>
  <si>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</si>
  <si>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</si>
  <si>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</si>
  <si>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</si>
  <si>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</si>
  <si>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</si>
  <si>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</si>
  <si>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</si>
  <si>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</si>
  <si>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</si>
  <si>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</si>
  <si>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</si>
  <si>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</si>
  <si>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</si>
  <si>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</si>
  <si>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</si>
  <si>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</si>
  <si>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</si>
  <si>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</si>
  <si>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</si>
  <si>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</si>
  <si>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</si>
  <si>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</si>
  <si>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</si>
  <si>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</si>
  <si>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</si>
  <si>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</si>
  <si>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</si>
  <si>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</si>
  <si>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</si>
  <si>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</si>
  <si>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</si>
  <si>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</si>
  <si>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</si>
  <si>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</si>
  <si>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</si>
  <si>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</si>
  <si>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</si>
  <si>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</si>
  <si>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</si>
  <si>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</si>
  <si>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</si>
  <si>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</si>
  <si>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</si>
  <si>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</si>
  <si>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</si>
  <si>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</si>
  <si>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</si>
  <si>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</si>
  <si>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</si>
  <si>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</si>
  <si>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</si>
  <si>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</si>
  <si>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</si>
  <si>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</si>
  <si>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</si>
  <si>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</si>
  <si>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</si>
  <si>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</si>
  <si>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</si>
  <si>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</si>
  <si>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</si>
  <si>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</si>
  <si>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</si>
  <si>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</si>
  <si>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</si>
  <si>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</si>
  <si>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</si>
  <si>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</si>
  <si>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</si>
  <si>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</si>
  <si>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</si>
  <si>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</si>
  <si>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</si>
  <si>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</si>
  <si>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</si>
  <si>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</si>
  <si>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</si>
  <si>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</si>
  <si>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</si>
  <si>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</si>
  <si>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</si>
  <si>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</si>
  <si>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</si>
  <si>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</si>
  <si>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</si>
  <si>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</si>
  <si>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</si>
  <si>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</si>
  <si>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</si>
  <si>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</si>
  <si>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</si>
  <si>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</si>
  <si>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</si>
  <si>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</si>
  <si>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</si>
  <si>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</si>
  <si>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</si>
  <si>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</si>
  <si>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</si>
  <si>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</si>
  <si>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</si>
  <si>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</si>
  <si>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</si>
  <si>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</si>
  <si>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</si>
  <si>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</si>
  <si>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</si>
  <si>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</si>
  <si>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</si>
  <si>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</si>
  <si>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</si>
  <si>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</si>
  <si>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</si>
  <si>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</si>
  <si>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</si>
  <si>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</si>
  <si>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</si>
  <si>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</si>
  <si>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</si>
  <si>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</si>
  <si>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</si>
  <si>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</si>
  <si>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</si>
  <si>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</si>
  <si>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</si>
  <si>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</si>
  <si>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</si>
  <si>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</si>
  <si>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</si>
  <si>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</si>
  <si>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</si>
  <si>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</si>
  <si>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</si>
  <si>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</si>
  <si>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</si>
  <si>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</si>
  <si>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</si>
  <si>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</si>
  <si>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</si>
  <si>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</si>
  <si>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</si>
  <si>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</si>
  <si>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</si>
  <si>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</si>
  <si>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</si>
  <si>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</si>
  <si>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</si>
  <si>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</si>
  <si>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</si>
  <si>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</si>
  <si>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</si>
  <si>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</si>
  <si>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</si>
  <si>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</si>
  <si>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</si>
  <si>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</si>
  <si>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</si>
  <si>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</si>
  <si>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</si>
  <si>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</si>
  <si>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</si>
  <si>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</si>
  <si>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</si>
  <si>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</si>
  <si>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</si>
  <si>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</si>
  <si>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</si>
  <si>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</si>
  <si>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</si>
  <si>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</si>
  <si>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</si>
  <si>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</si>
  <si>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</si>
  <si>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</si>
  <si>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</si>
  <si>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</si>
  <si>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</si>
  <si>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</si>
  <si>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</si>
  <si>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</si>
  <si>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</si>
  <si>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</si>
  <si>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</si>
  <si>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</si>
  <si>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</si>
  <si>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</si>
  <si>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</si>
  <si>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</si>
  <si>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</si>
  <si>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</si>
  <si>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</si>
  <si>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</si>
  <si>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</si>
  <si>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</si>
  <si>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</si>
  <si>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</si>
  <si>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</si>
  <si>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</si>
  <si>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</si>
  <si>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</si>
  <si>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</si>
  <si>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</si>
  <si>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</si>
  <si>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</si>
  <si>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</si>
  <si>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</si>
  <si>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</si>
  <si>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</si>
  <si>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</si>
  <si>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</si>
  <si>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</si>
  <si>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</si>
  <si>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</si>
  <si>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</si>
  <si>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</si>
  <si>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</si>
  <si>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</si>
  <si>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</si>
  <si>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</si>
  <si>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</si>
  <si>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</si>
  <si>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</si>
  <si>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</si>
  <si>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</si>
  <si>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</si>
  <si>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</si>
  <si>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</si>
  <si>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</si>
  <si>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</si>
  <si>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</si>
  <si>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</si>
  <si>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</si>
  <si>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</si>
  <si>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</si>
  <si>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</si>
  <si>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</si>
  <si>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</si>
  <si>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</si>
  <si>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</si>
  <si>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</si>
  <si>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</si>
  <si>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</si>
  <si>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</si>
  <si>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</si>
  <si>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</si>
  <si>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</si>
  <si>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</si>
  <si>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</si>
  <si>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</si>
  <si>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</si>
  <si>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</si>
  <si>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</si>
  <si>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</si>
  <si>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</si>
  <si>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</si>
  <si>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</si>
  <si>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</si>
  <si>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</si>
  <si>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</si>
  <si>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</si>
  <si>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</si>
  <si>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</si>
  <si>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</si>
  <si>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</si>
  <si>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</si>
  <si>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</si>
  <si>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</si>
  <si>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</si>
  <si>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</si>
  <si>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</si>
  <si>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</si>
  <si>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</si>
  <si>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</si>
  <si>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</si>
  <si>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</si>
  <si>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</si>
  <si>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</si>
  <si>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</si>
  <si>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</si>
  <si>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</si>
  <si>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</si>
  <si>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</si>
  <si>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</si>
  <si>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</si>
  <si>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</si>
  <si>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</si>
  <si>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</si>
  <si>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</si>
  <si>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</si>
  <si>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</si>
  <si>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</si>
  <si>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</si>
  <si>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</si>
  <si>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</si>
  <si>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</si>
  <si>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</si>
  <si>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</si>
  <si>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</si>
  <si>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</si>
  <si>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</si>
  <si>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</si>
  <si>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</si>
  <si>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</si>
  <si>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</si>
  <si>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</si>
  <si>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</si>
  <si>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</si>
  <si>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</si>
  <si>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</si>
  <si>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</si>
  <si>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</si>
  <si>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</si>
  <si>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</si>
  <si>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</si>
  <si>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</si>
  <si>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</si>
  <si>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</si>
  <si>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</si>
  <si>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</si>
  <si>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</si>
  <si>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</si>
  <si>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</si>
  <si>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</si>
  <si>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</si>
  <si>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</si>
  <si>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</si>
  <si>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</si>
  <si>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</si>
  <si>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</si>
  <si>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</si>
  <si>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</si>
  <si>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</si>
  <si>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</si>
  <si>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</si>
  <si>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</si>
  <si>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</si>
  <si>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</si>
  <si>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</si>
  <si>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</si>
  <si>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</si>
  <si>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</si>
  <si>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</si>
  <si>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</si>
  <si>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</si>
  <si>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</si>
  <si>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</si>
  <si>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</si>
  <si>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</si>
  <si>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</si>
  <si>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</si>
  <si>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</si>
  <si>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</si>
  <si>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</si>
  <si>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</si>
  <si>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</si>
  <si>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</si>
  <si>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</si>
  <si>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</si>
  <si>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</si>
  <si>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</si>
  <si>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</si>
  <si>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</si>
  <si>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</si>
  <si>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</si>
  <si>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</si>
  <si>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</si>
  <si>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</si>
  <si>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</si>
  <si>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</si>
  <si>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</si>
  <si>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</si>
  <si>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</si>
  <si>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</si>
  <si>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</si>
  <si>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</si>
  <si>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</si>
  <si>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</si>
  <si>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</si>
  <si>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</si>
  <si>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</si>
  <si>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</si>
  <si>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</si>
  <si>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</si>
  <si>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</si>
  <si>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</si>
  <si>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</si>
  <si>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</si>
  <si>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</si>
  <si>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</si>
  <si>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</si>
  <si>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</si>
  <si>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</si>
  <si>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</si>
  <si>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</si>
  <si>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</si>
  <si>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</si>
  <si>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</si>
  <si>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</si>
  <si>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</si>
  <si>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</si>
  <si>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</si>
  <si>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</si>
  <si>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</si>
  <si>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</si>
  <si>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</si>
  <si>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</si>
  <si>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</si>
  <si>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</si>
  <si>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</si>
  <si>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</si>
  <si>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</si>
  <si>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</si>
  <si>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</si>
  <si>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</si>
  <si>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</si>
  <si>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</si>
  <si>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</si>
  <si>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</si>
  <si>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</si>
  <si>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</si>
  <si>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</si>
  <si>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</si>
  <si>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</si>
  <si>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</si>
  <si>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</si>
  <si>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</si>
  <si>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</si>
  <si>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</si>
  <si>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</si>
  <si>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</si>
  <si>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</si>
  <si>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</si>
  <si>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</si>
  <si>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</si>
  <si>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</si>
  <si>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</si>
  <si>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</si>
  <si>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</si>
  <si>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</si>
  <si>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</si>
  <si>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</si>
  <si>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</si>
  <si>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</si>
  <si>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</si>
  <si>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</si>
  <si>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</si>
  <si>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</si>
  <si>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</si>
  <si>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"Ludwig the Holy Blade"</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</si>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</sst>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6AA84F"/>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4">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0" fontId="17" fillId="0" borderId="0" xfId="0" applyFont="1" applyAlignment="1">
      <alignment wrapText="1"/>
    </xf>
    <xf numFmtId="49" fontId="17" fillId="0" borderId="0" xfId="0" applyNumberFormat="1" applyFont="1" applyAlignment="1">
      <alignment wrapText="1"/>
    </xf>
    <xf numFmtId="49" fontId="16" fillId="0" borderId="0" xfId="0" applyNumberFormat="1" applyFont="1" applyAlignment="1">
      <alignment wrapText="1"/>
    </xf>
    <xf numFmtId="49" fontId="16" fillId="0" borderId="0" xfId="0" applyNumberFormat="1" applyFont="1" applyAlignment="1"/>
    <xf numFmtId="0" fontId="17" fillId="0" borderId="0" xfId="0" applyFont="1" applyAlignment="1"/>
    <xf numFmtId="0" fontId="16" fillId="0" borderId="0" xfId="0"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1" fillId="0" borderId="0" xfId="0" applyNumberFormat="1" applyFont="1" applyFill="1" applyAlignment="1">
      <alignment wrapText="1"/>
    </xf>
    <xf numFmtId="0" fontId="21" fillId="0" borderId="0" xfId="2" applyNumberFormat="1" applyFont="1" applyFill="1" applyAlignment="1">
      <alignment wrapText="1"/>
    </xf>
    <xf numFmtId="0" fontId="21" fillId="9" borderId="0" xfId="2" applyNumberFormat="1" applyFont="1" applyFill="1" applyAlignment="1">
      <alignment wrapText="1"/>
    </xf>
    <xf numFmtId="0" fontId="21"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2" fillId="8" borderId="0" xfId="0" applyFont="1" applyFill="1" applyAlignment="1">
      <alignment wrapText="1"/>
    </xf>
    <xf numFmtId="49" fontId="9"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5"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49" fontId="31"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8" fillId="0" borderId="0" xfId="0" applyFont="1" applyAlignment="1">
      <alignment vertical="center" wrapText="1"/>
    </xf>
    <xf numFmtId="0" fontId="18" fillId="0" borderId="0" xfId="0" applyFont="1" applyAlignment="1">
      <alignment horizontal="center" vertical="center" wrapText="1"/>
    </xf>
    <xf numFmtId="0" fontId="20" fillId="0" borderId="0" xfId="0" applyFont="1" applyAlignment="1">
      <alignment vertical="center" wrapText="1"/>
    </xf>
    <xf numFmtId="49" fontId="26" fillId="0" borderId="0" xfId="0" applyNumberFormat="1" applyFont="1" applyAlignment="1">
      <alignment vertical="center"/>
    </xf>
    <xf numFmtId="0" fontId="16" fillId="3" borderId="0" xfId="0" applyFont="1" applyFill="1" applyAlignment="1">
      <alignment vertical="center" wrapText="1"/>
    </xf>
    <xf numFmtId="0" fontId="20" fillId="7" borderId="0" xfId="0" applyFont="1" applyFill="1" applyAlignment="1">
      <alignment vertical="center" wrapText="1"/>
    </xf>
    <xf numFmtId="0" fontId="27" fillId="7" borderId="0" xfId="0" applyFont="1" applyFill="1" applyAlignment="1">
      <alignment vertical="center" wrapText="1"/>
    </xf>
    <xf numFmtId="0" fontId="28" fillId="7" borderId="0" xfId="0" applyFont="1" applyFill="1" applyAlignment="1">
      <alignment vertical="center" wrapText="1"/>
    </xf>
    <xf numFmtId="49" fontId="32" fillId="0" borderId="0" xfId="0" applyNumberFormat="1" applyFont="1" applyAlignment="1">
      <alignment vertical="center"/>
    </xf>
    <xf numFmtId="0" fontId="27" fillId="0" borderId="0" xfId="0" applyFont="1" applyAlignment="1">
      <alignment vertical="center" wrapText="1"/>
    </xf>
    <xf numFmtId="49" fontId="19" fillId="0" borderId="0" xfId="0" applyNumberFormat="1" applyFont="1" applyAlignment="1">
      <alignment vertical="center"/>
    </xf>
    <xf numFmtId="0" fontId="28" fillId="0" borderId="0" xfId="0" applyFont="1" applyAlignment="1">
      <alignment vertical="center" wrapText="1"/>
    </xf>
    <xf numFmtId="0" fontId="20"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3" fillId="0" borderId="0" xfId="0" applyNumberFormat="1" applyFont="1" applyFill="1" applyAlignment="1"/>
    <xf numFmtId="0" fontId="33" fillId="0" borderId="0" xfId="2" applyNumberFormat="1" applyFont="1" applyFill="1" applyAlignment="1">
      <alignment wrapText="1"/>
    </xf>
    <xf numFmtId="0" fontId="9" fillId="9" borderId="0" xfId="2" applyNumberFormat="1" applyFont="1" applyFill="1" applyAlignment="1"/>
    <xf numFmtId="0" fontId="33"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1"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49" fontId="34" fillId="0" borderId="0" xfId="0" applyNumberFormat="1" applyFont="1" applyAlignment="1"/>
    <xf numFmtId="49" fontId="38" fillId="0" borderId="0" xfId="0" applyNumberFormat="1" applyFont="1" applyAlignment="1"/>
    <xf numFmtId="0" fontId="9" fillId="0" borderId="0" xfId="0" applyFont="1" applyFill="1" applyAlignment="1"/>
    <xf numFmtId="0" fontId="33" fillId="0" borderId="0" xfId="0" applyFont="1" applyFill="1" applyAlignment="1"/>
    <xf numFmtId="0" fontId="33" fillId="0" borderId="0" xfId="2" applyNumberFormat="1" applyFont="1" applyFill="1" applyAlignment="1"/>
    <xf numFmtId="0" fontId="21"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3"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2" fillId="8" borderId="0" xfId="0" applyFont="1" applyFill="1" applyAlignment="1"/>
    <xf numFmtId="49" fontId="35" fillId="8" borderId="0" xfId="0" applyNumberFormat="1" applyFont="1" applyFill="1" applyAlignment="1"/>
    <xf numFmtId="0" fontId="25" fillId="8" borderId="0" xfId="0" applyNumberFormat="1" applyFont="1" applyFill="1" applyAlignment="1"/>
    <xf numFmtId="49" fontId="36" fillId="8" borderId="0" xfId="0" applyNumberFormat="1" applyFont="1" applyFill="1" applyAlignment="1"/>
    <xf numFmtId="49" fontId="37" fillId="8" borderId="0" xfId="0" applyNumberFormat="1" applyFont="1" applyFill="1" applyAlignment="1"/>
    <xf numFmtId="0" fontId="23" fillId="8" borderId="0" xfId="0" applyNumberFormat="1" applyFont="1" applyFill="1" applyAlignment="1"/>
    <xf numFmtId="49" fontId="29" fillId="8" borderId="0" xfId="0" applyNumberFormat="1" applyFont="1" applyFill="1" applyAlignment="1"/>
    <xf numFmtId="0" fontId="30" fillId="8" borderId="0" xfId="0" applyNumberFormat="1" applyFont="1" applyFill="1" applyAlignment="1"/>
    <xf numFmtId="0" fontId="35"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3" fillId="0" borderId="0" xfId="0" applyNumberFormat="1" applyFont="1" applyAlignment="1"/>
    <xf numFmtId="49" fontId="33" fillId="5" borderId="0" xfId="0" applyNumberFormat="1" applyFont="1" applyFill="1" applyAlignment="1"/>
    <xf numFmtId="49" fontId="9" fillId="6" borderId="0" xfId="0" applyNumberFormat="1" applyFont="1" applyFill="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G29" sqref="G29"/>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11" customFormat="1" x14ac:dyDescent="0.25">
      <c r="E1" s="112" t="s">
        <v>332</v>
      </c>
      <c r="F1" s="112" t="s">
        <v>333</v>
      </c>
      <c r="G1" s="112" t="s">
        <v>334</v>
      </c>
      <c r="H1" s="112" t="s">
        <v>335</v>
      </c>
      <c r="I1" s="112" t="s">
        <v>336</v>
      </c>
      <c r="J1" s="111" t="s">
        <v>337</v>
      </c>
      <c r="K1" s="111" t="s">
        <v>338</v>
      </c>
      <c r="L1" s="112" t="s">
        <v>339</v>
      </c>
      <c r="M1" s="111" t="s">
        <v>340</v>
      </c>
      <c r="N1" s="111" t="s">
        <v>341</v>
      </c>
      <c r="O1" s="112" t="s">
        <v>342</v>
      </c>
      <c r="P1" s="112" t="s">
        <v>421</v>
      </c>
      <c r="Q1" s="111" t="s">
        <v>343</v>
      </c>
      <c r="R1" s="111" t="s">
        <v>386</v>
      </c>
    </row>
    <row r="2" spans="1:18" x14ac:dyDescent="0.25">
      <c r="A2" s="17">
        <v>1</v>
      </c>
      <c r="B2" s="18" t="s">
        <v>387</v>
      </c>
      <c r="C2" s="18" t="s">
        <v>447</v>
      </c>
      <c r="D2" s="18" t="s">
        <v>446</v>
      </c>
      <c r="J2" s="18" t="s">
        <v>889</v>
      </c>
    </row>
    <row r="3" spans="1:18" x14ac:dyDescent="0.25">
      <c r="A3" s="17">
        <v>2</v>
      </c>
      <c r="B3" s="18" t="s">
        <v>387</v>
      </c>
      <c r="C3" s="18" t="s">
        <v>429</v>
      </c>
      <c r="D3" s="18" t="s">
        <v>430</v>
      </c>
      <c r="M3" s="18" t="s">
        <v>889</v>
      </c>
    </row>
    <row r="4" spans="1:18" x14ac:dyDescent="0.25">
      <c r="A4" s="17">
        <v>3</v>
      </c>
      <c r="B4" s="18" t="s">
        <v>387</v>
      </c>
      <c r="C4" s="18" t="s">
        <v>445</v>
      </c>
      <c r="D4" s="18" t="s">
        <v>448</v>
      </c>
      <c r="K4" s="18" t="s">
        <v>889</v>
      </c>
    </row>
    <row r="5" spans="1:18" x14ac:dyDescent="0.25">
      <c r="A5" s="17">
        <v>4</v>
      </c>
      <c r="B5" s="18" t="s">
        <v>387</v>
      </c>
      <c r="C5" s="18" t="s">
        <v>427</v>
      </c>
      <c r="D5" s="18" t="s">
        <v>428</v>
      </c>
      <c r="N5" s="18" t="s">
        <v>889</v>
      </c>
    </row>
    <row r="6" spans="1:18" x14ac:dyDescent="0.25">
      <c r="A6" s="17">
        <v>5</v>
      </c>
      <c r="B6" s="18" t="s">
        <v>387</v>
      </c>
      <c r="C6" s="18" t="s">
        <v>344</v>
      </c>
      <c r="D6" s="18" t="s">
        <v>345</v>
      </c>
      <c r="E6" s="18" t="s">
        <v>890</v>
      </c>
    </row>
    <row r="7" spans="1:18" x14ac:dyDescent="0.25">
      <c r="A7" s="17">
        <v>6</v>
      </c>
      <c r="B7" s="18" t="s">
        <v>387</v>
      </c>
      <c r="C7" s="18" t="s">
        <v>346</v>
      </c>
      <c r="D7" s="18" t="s">
        <v>347</v>
      </c>
      <c r="F7" s="18" t="s">
        <v>890</v>
      </c>
    </row>
    <row r="8" spans="1:18" x14ac:dyDescent="0.25">
      <c r="A8" s="17">
        <v>7</v>
      </c>
      <c r="B8" s="18" t="s">
        <v>387</v>
      </c>
      <c r="C8" s="18" t="s">
        <v>348</v>
      </c>
      <c r="D8" s="18" t="s">
        <v>349</v>
      </c>
      <c r="G8" s="18" t="s">
        <v>890</v>
      </c>
    </row>
    <row r="9" spans="1:18" x14ac:dyDescent="0.25">
      <c r="A9" s="17">
        <v>8</v>
      </c>
      <c r="B9" s="18" t="s">
        <v>387</v>
      </c>
      <c r="C9" s="18" t="s">
        <v>433</v>
      </c>
      <c r="D9" s="18" t="s">
        <v>432</v>
      </c>
      <c r="H9" s="18" t="s">
        <v>891</v>
      </c>
    </row>
    <row r="10" spans="1:18" s="113" customFormat="1" x14ac:dyDescent="0.25">
      <c r="A10" s="96">
        <v>9</v>
      </c>
      <c r="B10" s="113" t="s">
        <v>387</v>
      </c>
      <c r="C10" s="113" t="s">
        <v>350</v>
      </c>
      <c r="D10" s="113" t="s">
        <v>351</v>
      </c>
      <c r="E10" s="113" t="s">
        <v>892</v>
      </c>
      <c r="I10" s="113" t="s">
        <v>898</v>
      </c>
    </row>
    <row r="11" spans="1:18" s="113" customFormat="1" x14ac:dyDescent="0.25">
      <c r="A11" s="17">
        <v>10</v>
      </c>
      <c r="B11" s="113" t="s">
        <v>387</v>
      </c>
      <c r="C11" s="113" t="s">
        <v>352</v>
      </c>
      <c r="D11" s="113" t="s">
        <v>353</v>
      </c>
      <c r="E11" s="113" t="s">
        <v>892</v>
      </c>
      <c r="J11" s="113" t="s">
        <v>899</v>
      </c>
    </row>
    <row r="12" spans="1:18" s="113" customFormat="1" x14ac:dyDescent="0.25">
      <c r="A12" s="17">
        <v>11</v>
      </c>
      <c r="B12" s="113" t="s">
        <v>387</v>
      </c>
      <c r="C12" s="113" t="s">
        <v>354</v>
      </c>
      <c r="D12" s="113" t="s">
        <v>355</v>
      </c>
      <c r="F12" s="113" t="s">
        <v>892</v>
      </c>
      <c r="J12" s="113" t="s">
        <v>899</v>
      </c>
    </row>
    <row r="13" spans="1:18" s="113" customFormat="1" x14ac:dyDescent="0.25">
      <c r="A13" s="17">
        <v>12</v>
      </c>
      <c r="B13" s="113" t="s">
        <v>387</v>
      </c>
      <c r="C13" s="113" t="s">
        <v>356</v>
      </c>
      <c r="D13" s="113" t="s">
        <v>434</v>
      </c>
      <c r="F13" s="113" t="s">
        <v>892</v>
      </c>
      <c r="I13" s="113" t="s">
        <v>898</v>
      </c>
    </row>
    <row r="14" spans="1:18" s="113" customFormat="1" x14ac:dyDescent="0.25">
      <c r="A14" s="17">
        <v>13</v>
      </c>
      <c r="B14" s="113" t="s">
        <v>387</v>
      </c>
      <c r="C14" s="113" t="s">
        <v>357</v>
      </c>
      <c r="D14" s="113" t="s">
        <v>358</v>
      </c>
      <c r="G14" s="113" t="s">
        <v>892</v>
      </c>
      <c r="N14" s="113" t="s">
        <v>899</v>
      </c>
    </row>
    <row r="15" spans="1:18" s="113" customFormat="1" x14ac:dyDescent="0.25">
      <c r="A15" s="17">
        <v>14</v>
      </c>
      <c r="B15" s="113" t="s">
        <v>387</v>
      </c>
      <c r="C15" s="113" t="s">
        <v>359</v>
      </c>
      <c r="D15" s="113" t="s">
        <v>360</v>
      </c>
      <c r="G15" s="113" t="s">
        <v>892</v>
      </c>
      <c r="O15" s="113" t="s">
        <v>419</v>
      </c>
    </row>
    <row r="16" spans="1:18" s="113" customFormat="1" x14ac:dyDescent="0.25">
      <c r="A16" s="17">
        <v>15</v>
      </c>
      <c r="B16" s="113" t="s">
        <v>387</v>
      </c>
      <c r="C16" s="113" t="s">
        <v>361</v>
      </c>
      <c r="D16" s="113" t="s">
        <v>362</v>
      </c>
      <c r="H16" s="113" t="s">
        <v>893</v>
      </c>
      <c r="Q16" s="113"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899</v>
      </c>
    </row>
    <row r="19" spans="1:18" x14ac:dyDescent="0.25">
      <c r="A19" s="17">
        <v>18</v>
      </c>
      <c r="B19" s="18" t="s">
        <v>387</v>
      </c>
      <c r="C19" s="18" t="s">
        <v>440</v>
      </c>
      <c r="D19" s="18" t="s">
        <v>439</v>
      </c>
      <c r="P19" s="18" t="s">
        <v>899</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896</v>
      </c>
    </row>
    <row r="22" spans="1:18" x14ac:dyDescent="0.25">
      <c r="A22" s="17">
        <v>21</v>
      </c>
      <c r="B22" s="18" t="s">
        <v>388</v>
      </c>
      <c r="C22" s="18" t="s">
        <v>390</v>
      </c>
      <c r="D22" s="18" t="s">
        <v>389</v>
      </c>
      <c r="E22" s="18" t="s">
        <v>894</v>
      </c>
    </row>
    <row r="23" spans="1:18" x14ac:dyDescent="0.25">
      <c r="A23" s="17">
        <v>22</v>
      </c>
      <c r="B23" s="18" t="s">
        <v>388</v>
      </c>
      <c r="C23" s="18" t="s">
        <v>392</v>
      </c>
      <c r="D23" s="18" t="s">
        <v>391</v>
      </c>
      <c r="E23" s="18" t="s">
        <v>890</v>
      </c>
    </row>
    <row r="24" spans="1:18" x14ac:dyDescent="0.25">
      <c r="A24" s="17">
        <v>23</v>
      </c>
      <c r="B24" s="18" t="s">
        <v>388</v>
      </c>
      <c r="C24" s="18" t="s">
        <v>400</v>
      </c>
      <c r="D24" s="18" t="s">
        <v>393</v>
      </c>
      <c r="F24" s="18" t="s">
        <v>894</v>
      </c>
    </row>
    <row r="25" spans="1:18" x14ac:dyDescent="0.25">
      <c r="A25" s="17">
        <v>24</v>
      </c>
      <c r="B25" s="18" t="s">
        <v>388</v>
      </c>
      <c r="C25" s="18" t="s">
        <v>395</v>
      </c>
      <c r="D25" s="18" t="s">
        <v>394</v>
      </c>
      <c r="F25" s="18" t="s">
        <v>890</v>
      </c>
    </row>
    <row r="26" spans="1:18" x14ac:dyDescent="0.25">
      <c r="A26" s="17">
        <v>25</v>
      </c>
      <c r="B26" s="18" t="s">
        <v>388</v>
      </c>
      <c r="C26" s="18" t="s">
        <v>397</v>
      </c>
      <c r="D26" s="18" t="s">
        <v>396</v>
      </c>
      <c r="G26" s="18" t="s">
        <v>894</v>
      </c>
    </row>
    <row r="27" spans="1:18" x14ac:dyDescent="0.25">
      <c r="A27" s="17">
        <v>26</v>
      </c>
      <c r="B27" s="18" t="s">
        <v>388</v>
      </c>
      <c r="C27" s="18" t="s">
        <v>399</v>
      </c>
      <c r="D27" s="18" t="s">
        <v>398</v>
      </c>
      <c r="G27" s="18" t="s">
        <v>890</v>
      </c>
    </row>
    <row r="28" spans="1:18" x14ac:dyDescent="0.25">
      <c r="A28" s="17">
        <v>27</v>
      </c>
      <c r="B28" s="18" t="s">
        <v>388</v>
      </c>
      <c r="C28" s="18" t="s">
        <v>404</v>
      </c>
      <c r="D28" s="18" t="s">
        <v>401</v>
      </c>
      <c r="H28" s="18" t="s">
        <v>895</v>
      </c>
    </row>
    <row r="29" spans="1:18" x14ac:dyDescent="0.25">
      <c r="A29" s="17">
        <v>28</v>
      </c>
      <c r="B29" s="18" t="s">
        <v>388</v>
      </c>
      <c r="C29" s="18" t="s">
        <v>403</v>
      </c>
      <c r="D29" s="18" t="s">
        <v>402</v>
      </c>
      <c r="H29" s="18" t="s">
        <v>891</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896</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897</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74" activePane="bottomLeft" state="frozen"/>
      <selection pane="bottomLeft" activeCell="G84" sqref="G84"/>
    </sheetView>
  </sheetViews>
  <sheetFormatPr defaultRowHeight="14.25" x14ac:dyDescent="0.25"/>
  <cols>
    <col min="1" max="1" width="4" style="26" bestFit="1" customWidth="1"/>
    <col min="2" max="2" width="5.42578125" style="32" bestFit="1" customWidth="1"/>
    <col min="3" max="3" width="4.85546875" style="26" bestFit="1" customWidth="1"/>
    <col min="4" max="4" width="5.28515625" style="26" customWidth="1"/>
    <col min="5" max="5" width="50.42578125" style="29" hidden="1" customWidth="1"/>
    <col min="6" max="6" width="50.7109375" style="29" customWidth="1"/>
    <col min="7" max="7" width="15.85546875" style="26" bestFit="1" customWidth="1"/>
    <col min="8" max="8" width="11.7109375" style="32" customWidth="1"/>
    <col min="9" max="9" width="9.140625" style="26"/>
    <col min="10" max="10" width="54.140625" style="26" customWidth="1"/>
    <col min="11" max="11" width="4.5703125" style="26" bestFit="1" customWidth="1"/>
    <col min="12" max="12" width="21.7109375" style="32" bestFit="1" customWidth="1"/>
    <col min="13" max="16384" width="9.140625" style="26"/>
  </cols>
  <sheetData>
    <row r="1" spans="1:12" s="27" customFormat="1" x14ac:dyDescent="0.25">
      <c r="A1" s="27" t="s">
        <v>556</v>
      </c>
      <c r="B1" s="31" t="s">
        <v>587</v>
      </c>
      <c r="C1" s="27" t="s">
        <v>668</v>
      </c>
      <c r="D1" s="27" t="s">
        <v>848</v>
      </c>
      <c r="E1" s="28" t="s">
        <v>558</v>
      </c>
      <c r="F1" s="28" t="s">
        <v>559</v>
      </c>
      <c r="G1" s="27" t="s">
        <v>708</v>
      </c>
      <c r="H1" s="31" t="s">
        <v>805</v>
      </c>
      <c r="I1" s="27" t="s">
        <v>671</v>
      </c>
      <c r="J1" s="27" t="s">
        <v>672</v>
      </c>
      <c r="K1" s="27" t="s">
        <v>497</v>
      </c>
      <c r="L1" s="31"/>
    </row>
    <row r="2" spans="1:12" x14ac:dyDescent="0.25">
      <c r="A2" s="26">
        <v>4</v>
      </c>
      <c r="B2" s="32">
        <v>1</v>
      </c>
      <c r="C2" s="26">
        <v>100</v>
      </c>
      <c r="D2" s="26">
        <v>0</v>
      </c>
      <c r="E2" s="29" t="s">
        <v>560</v>
      </c>
      <c r="F2" s="29" t="s">
        <v>620</v>
      </c>
      <c r="G2" s="32" t="s">
        <v>709</v>
      </c>
      <c r="H2" s="32" t="str">
        <f t="shared" ref="H2:H33" si="0">"IATTR_"&amp;G2</f>
        <v>IATTR_STR</v>
      </c>
      <c r="I2" s="32" t="str">
        <f>CodeGenAttrCN($A2:$H2)</f>
        <v>thistype.create(4,100,"0","",thistype.callback+# Strength);</v>
      </c>
      <c r="J2" s="32" t="str">
        <f>CodeGenAttrEN($A2:$H2)</f>
        <v>thistype.put(IATTR_STR,1,100,0,"+"," Strength",thistype.callbackSTR);</v>
      </c>
      <c r="K2" s="26" t="s">
        <v>497</v>
      </c>
      <c r="L2" s="32" t="str">
        <f t="shared" ref="L2:L33" si="1">"public constant integer IATTR_"&amp;G2&amp;" = "&amp;A2&amp;";"</f>
        <v>public constant integer IATTR_STR = 4;</v>
      </c>
    </row>
    <row r="3" spans="1:12" x14ac:dyDescent="0.25">
      <c r="A3" s="26">
        <v>5</v>
      </c>
      <c r="B3" s="32">
        <v>1</v>
      </c>
      <c r="C3" s="26">
        <v>101</v>
      </c>
      <c r="D3" s="26">
        <v>0</v>
      </c>
      <c r="E3" s="29" t="s">
        <v>582</v>
      </c>
      <c r="F3" s="29" t="s">
        <v>679</v>
      </c>
      <c r="G3" s="32" t="s">
        <v>712</v>
      </c>
      <c r="H3" s="32" t="str">
        <f t="shared" si="0"/>
        <v>IATTR_STRPL</v>
      </c>
      <c r="I3" s="32" t="str">
        <f t="shared" ref="I3:I34" si="2">CodeGenAttrCN(A3:H3)</f>
        <v>thistype.create(5,101,"0","",thistype.callback+# Strength/level);</v>
      </c>
      <c r="J3" s="32" t="str">
        <f t="shared" ref="J3:J33" si="3">CodeGenAttrEN($A3:$H3)</f>
        <v>thistype.put(IATTR_STRPL,1,101,0,"+"," Strength/level",thistype.callbackSTRPL);</v>
      </c>
      <c r="K3" s="26" t="s">
        <v>497</v>
      </c>
      <c r="L3" s="32" t="str">
        <f t="shared" si="1"/>
        <v>public constant integer IATTR_STRPL = 5;</v>
      </c>
    </row>
    <row r="4" spans="1:12" x14ac:dyDescent="0.25">
      <c r="A4" s="26">
        <v>13</v>
      </c>
      <c r="B4" s="32">
        <v>1</v>
      </c>
      <c r="C4" s="26">
        <v>102</v>
      </c>
      <c r="D4" s="26">
        <v>0</v>
      </c>
      <c r="E4" s="29" t="s">
        <v>561</v>
      </c>
      <c r="F4" s="29" t="s">
        <v>621</v>
      </c>
      <c r="G4" s="32" t="s">
        <v>710</v>
      </c>
      <c r="H4" s="32" t="str">
        <f t="shared" si="0"/>
        <v>IATTR_AGI</v>
      </c>
      <c r="I4" s="32" t="str">
        <f t="shared" si="2"/>
        <v>thistype.create(13,102,"0","",thistype.callback+# Agility);</v>
      </c>
      <c r="J4" s="32" t="str">
        <f t="shared" si="3"/>
        <v>thistype.put(IATTR_AGI,1,102,0,"+"," Agility",thistype.callbackAGI);</v>
      </c>
      <c r="K4" s="26" t="s">
        <v>497</v>
      </c>
      <c r="L4" s="32" t="str">
        <f t="shared" si="1"/>
        <v>public constant integer IATTR_AGI = 13;</v>
      </c>
    </row>
    <row r="5" spans="1:12" x14ac:dyDescent="0.25">
      <c r="A5" s="26">
        <v>14</v>
      </c>
      <c r="B5" s="32">
        <v>1</v>
      </c>
      <c r="C5" s="26">
        <v>104</v>
      </c>
      <c r="D5" s="26">
        <v>0</v>
      </c>
      <c r="E5" s="29" t="s">
        <v>562</v>
      </c>
      <c r="F5" s="29" t="s">
        <v>622</v>
      </c>
      <c r="G5" s="32" t="s">
        <v>711</v>
      </c>
      <c r="H5" s="32" t="str">
        <f t="shared" si="0"/>
        <v>IATTR_INT</v>
      </c>
      <c r="I5" s="32" t="str">
        <f t="shared" si="2"/>
        <v>thistype.create(14,104,"0","",thistype.callback+# Intelligence);</v>
      </c>
      <c r="J5" s="32" t="str">
        <f t="shared" si="3"/>
        <v>thistype.put(IATTR_INT,1,104,0,"+"," Intelligence",thistype.callbackINT);</v>
      </c>
      <c r="K5" s="26" t="s">
        <v>497</v>
      </c>
      <c r="L5" s="32" t="str">
        <f t="shared" si="1"/>
        <v>public constant integer IATTR_INT = 14;</v>
      </c>
    </row>
    <row r="6" spans="1:12" x14ac:dyDescent="0.25">
      <c r="A6" s="26">
        <v>7</v>
      </c>
      <c r="B6" s="32">
        <v>1</v>
      </c>
      <c r="C6" s="26">
        <v>106</v>
      </c>
      <c r="D6" s="26">
        <v>0</v>
      </c>
      <c r="E6" s="29" t="s">
        <v>563</v>
      </c>
      <c r="F6" s="29" t="s">
        <v>623</v>
      </c>
      <c r="G6" s="32" t="s">
        <v>713</v>
      </c>
      <c r="H6" s="32" t="str">
        <f t="shared" si="0"/>
        <v>IATTR_ALLSTAT</v>
      </c>
      <c r="I6" s="32" t="str">
        <f t="shared" si="2"/>
        <v>thistype.create(7,106,"0","",thistype.callback+# All stats);</v>
      </c>
      <c r="J6" s="32" t="str">
        <f t="shared" si="3"/>
        <v>thistype.put(IATTR_ALLSTAT,1,106,0,"+"," All stats",thistype.callbackALLSTAT);</v>
      </c>
      <c r="K6" s="26" t="s">
        <v>497</v>
      </c>
      <c r="L6" s="32" t="str">
        <f t="shared" si="1"/>
        <v>public constant integer IATTR_ALLSTAT = 7;</v>
      </c>
    </row>
    <row r="7" spans="1:12" x14ac:dyDescent="0.25">
      <c r="A7" s="26">
        <v>21</v>
      </c>
      <c r="B7" s="32">
        <v>1</v>
      </c>
      <c r="C7" s="26">
        <v>110</v>
      </c>
      <c r="D7" s="26">
        <v>0</v>
      </c>
      <c r="E7" s="29" t="s">
        <v>564</v>
      </c>
      <c r="F7" s="29" t="s">
        <v>673</v>
      </c>
      <c r="G7" s="32" t="s">
        <v>714</v>
      </c>
      <c r="H7" s="32" t="str">
        <f t="shared" si="0"/>
        <v>IATTR_HP</v>
      </c>
      <c r="I7" s="32" t="str">
        <f t="shared" si="2"/>
        <v>thistype.create(21,110,"0","",thistype.callback+# Max HP);</v>
      </c>
      <c r="J7" s="32" t="str">
        <f t="shared" si="3"/>
        <v>thistype.put(IATTR_HP,1,110,0,"+"," Max HP",thistype.callbackHP);</v>
      </c>
      <c r="K7" s="26" t="s">
        <v>497</v>
      </c>
      <c r="L7" s="32" t="str">
        <f t="shared" si="1"/>
        <v>public constant integer IATTR_HP = 21;</v>
      </c>
    </row>
    <row r="8" spans="1:12" x14ac:dyDescent="0.25">
      <c r="A8" s="26">
        <v>22</v>
      </c>
      <c r="B8" s="32">
        <v>1</v>
      </c>
      <c r="C8" s="26">
        <v>111</v>
      </c>
      <c r="D8" s="26">
        <v>0</v>
      </c>
      <c r="E8" s="29" t="s">
        <v>564</v>
      </c>
      <c r="F8" s="29" t="s">
        <v>673</v>
      </c>
      <c r="G8" s="32" t="s">
        <v>715</v>
      </c>
      <c r="H8" s="32" t="str">
        <f t="shared" si="0"/>
        <v>IATTR_HPPCT</v>
      </c>
      <c r="I8" s="32" t="str">
        <f t="shared" si="2"/>
        <v>thistype.create(22,111,"0","",thistype.callback+# Max HP);</v>
      </c>
      <c r="J8" s="32" t="str">
        <f t="shared" si="3"/>
        <v>thistype.put(IATTR_HPPCT,1,111,0,"+"," Max HP",thistype.callbackHPPCT);</v>
      </c>
      <c r="K8" s="26" t="s">
        <v>497</v>
      </c>
      <c r="L8" s="32" t="str">
        <f t="shared" si="1"/>
        <v>public constant integer IATTR_HPPCT = 22;</v>
      </c>
    </row>
    <row r="9" spans="1:12" x14ac:dyDescent="0.25">
      <c r="A9" s="26">
        <v>23</v>
      </c>
      <c r="B9" s="32">
        <v>1</v>
      </c>
      <c r="C9" s="26">
        <v>112</v>
      </c>
      <c r="D9" s="26">
        <v>0</v>
      </c>
      <c r="E9" s="29" t="s">
        <v>583</v>
      </c>
      <c r="F9" s="29" t="s">
        <v>680</v>
      </c>
      <c r="G9" s="32" t="s">
        <v>716</v>
      </c>
      <c r="H9" s="32" t="str">
        <f t="shared" si="0"/>
        <v>IATTR_HPPL</v>
      </c>
      <c r="I9" s="32" t="str">
        <f t="shared" si="2"/>
        <v>thistype.create(23,112,"0","",thistype.callback+# Max HP/level);</v>
      </c>
      <c r="J9" s="32" t="str">
        <f t="shared" si="3"/>
        <v>thistype.put(IATTR_HPPL,1,112,0,"+"," Max HP/level",thistype.callbackHPPL);</v>
      </c>
      <c r="K9" s="26" t="s">
        <v>497</v>
      </c>
      <c r="L9" s="32" t="str">
        <f t="shared" si="1"/>
        <v>public constant integer IATTR_HPPL = 23;</v>
      </c>
    </row>
    <row r="10" spans="1:12" x14ac:dyDescent="0.25">
      <c r="A10" s="26">
        <v>17</v>
      </c>
      <c r="B10" s="32">
        <v>1</v>
      </c>
      <c r="C10" s="26">
        <v>114</v>
      </c>
      <c r="D10" s="26">
        <v>0</v>
      </c>
      <c r="E10" s="29" t="s">
        <v>565</v>
      </c>
      <c r="F10" s="29" t="s">
        <v>684</v>
      </c>
      <c r="G10" s="32" t="s">
        <v>717</v>
      </c>
      <c r="H10" s="32" t="str">
        <f t="shared" si="0"/>
        <v>IATTR_MP</v>
      </c>
      <c r="I10" s="32" t="str">
        <f t="shared" si="2"/>
        <v>thistype.create(17,114,"0","",thistype.callback+# Max MP);</v>
      </c>
      <c r="J10" s="32" t="str">
        <f t="shared" si="3"/>
        <v>thistype.put(IATTR_MP,1,114,0,"+"," Max MP",thistype.callbackMP);</v>
      </c>
      <c r="K10" s="26" t="s">
        <v>497</v>
      </c>
      <c r="L10" s="32" t="str">
        <f t="shared" si="1"/>
        <v>public constant integer IATTR_MP = 17;</v>
      </c>
    </row>
    <row r="11" spans="1:12" x14ac:dyDescent="0.25">
      <c r="A11" s="26">
        <v>9</v>
      </c>
      <c r="B11" s="32">
        <v>1</v>
      </c>
      <c r="C11" s="26">
        <v>120</v>
      </c>
      <c r="D11" s="26">
        <v>0</v>
      </c>
      <c r="E11" s="29" t="s">
        <v>566</v>
      </c>
      <c r="F11" s="29" t="s">
        <v>624</v>
      </c>
      <c r="G11" s="32" t="s">
        <v>718</v>
      </c>
      <c r="H11" s="32" t="str">
        <f t="shared" si="0"/>
        <v>IATTR_AP</v>
      </c>
      <c r="I11" s="32" t="str">
        <f t="shared" si="2"/>
        <v>thistype.create(9,120,"0","",thistype.callback+# Attack power);</v>
      </c>
      <c r="J11" s="32" t="str">
        <f t="shared" si="3"/>
        <v>thistype.put(IATTR_AP,1,120,0,"+"," Attack power",thistype.callbackAP);</v>
      </c>
      <c r="K11" s="26" t="s">
        <v>497</v>
      </c>
      <c r="L11" s="32" t="str">
        <f t="shared" si="1"/>
        <v>public constant integer IATTR_AP = 9;</v>
      </c>
    </row>
    <row r="12" spans="1:12" x14ac:dyDescent="0.25">
      <c r="A12" s="26">
        <v>10</v>
      </c>
      <c r="B12" s="32">
        <v>1</v>
      </c>
      <c r="C12" s="26">
        <v>121</v>
      </c>
      <c r="D12" s="26">
        <v>0</v>
      </c>
      <c r="E12" s="29" t="s">
        <v>584</v>
      </c>
      <c r="F12" s="29" t="s">
        <v>681</v>
      </c>
      <c r="G12" s="32" t="s">
        <v>719</v>
      </c>
      <c r="H12" s="32" t="str">
        <f t="shared" si="0"/>
        <v>IATTR_APPL</v>
      </c>
      <c r="I12" s="32" t="str">
        <f t="shared" si="2"/>
        <v>thistype.create(10,121,"0","",thistype.callback+# Attack power/level);</v>
      </c>
      <c r="J12" s="32" t="str">
        <f t="shared" si="3"/>
        <v>thistype.put(IATTR_APPL,1,121,0,"+"," Attack power/level",thistype.callbackAPPL);</v>
      </c>
      <c r="K12" s="26" t="s">
        <v>497</v>
      </c>
      <c r="L12" s="32" t="str">
        <f t="shared" si="1"/>
        <v>public constant integer IATTR_APPL = 10;</v>
      </c>
    </row>
    <row r="13" spans="1:12" x14ac:dyDescent="0.25">
      <c r="A13" s="26">
        <v>11</v>
      </c>
      <c r="B13" s="32">
        <v>1</v>
      </c>
      <c r="C13" s="26">
        <v>122</v>
      </c>
      <c r="D13" s="26">
        <v>0</v>
      </c>
      <c r="E13" s="29" t="s">
        <v>567</v>
      </c>
      <c r="F13" s="29" t="s">
        <v>685</v>
      </c>
      <c r="G13" s="32" t="s">
        <v>720</v>
      </c>
      <c r="H13" s="32" t="str">
        <f t="shared" si="0"/>
        <v>IATTR_CRIT</v>
      </c>
      <c r="I13" s="32" t="str">
        <f t="shared" si="2"/>
        <v>thistype.create(11,122,"0","",thistype.callback+# Attack critical);</v>
      </c>
      <c r="J13" s="32" t="str">
        <f t="shared" si="3"/>
        <v>thistype.put(IATTR_CRIT,1,122,0,"+"," Attack critical",thistype.callbackCRIT);</v>
      </c>
      <c r="K13" s="26" t="s">
        <v>497</v>
      </c>
      <c r="L13" s="32" t="str">
        <f t="shared" si="1"/>
        <v>public constant integer IATTR_CRIT = 11;</v>
      </c>
    </row>
    <row r="14" spans="1:12" x14ac:dyDescent="0.25">
      <c r="A14" s="26">
        <v>12</v>
      </c>
      <c r="B14" s="32">
        <v>1</v>
      </c>
      <c r="C14" s="26">
        <v>124</v>
      </c>
      <c r="D14" s="26">
        <v>0</v>
      </c>
      <c r="E14" s="29" t="s">
        <v>665</v>
      </c>
      <c r="F14" s="29" t="s">
        <v>666</v>
      </c>
      <c r="G14" s="32" t="s">
        <v>721</v>
      </c>
      <c r="H14" s="32" t="str">
        <f t="shared" si="0"/>
        <v>IATTR_IAS</v>
      </c>
      <c r="I14" s="32" t="str">
        <f t="shared" si="2"/>
        <v>thistype.create(12,124,"0","",thistype.callback+#% Attack speed);</v>
      </c>
      <c r="J14" s="32" t="str">
        <f t="shared" si="3"/>
        <v>thistype.put(IATTR_IAS,1,124,0,"+","% Attack speed",thistype.callbackIAS);</v>
      </c>
      <c r="K14" s="26" t="s">
        <v>497</v>
      </c>
      <c r="L14" s="32" t="str">
        <f t="shared" si="1"/>
        <v>public constant integer IATTR_IAS = 12;</v>
      </c>
    </row>
    <row r="15" spans="1:12" x14ac:dyDescent="0.25">
      <c r="A15" s="26">
        <v>18</v>
      </c>
      <c r="B15" s="32">
        <v>1</v>
      </c>
      <c r="C15" s="26">
        <v>130</v>
      </c>
      <c r="D15" s="26">
        <v>0</v>
      </c>
      <c r="E15" s="29" t="s">
        <v>568</v>
      </c>
      <c r="F15" s="29" t="s">
        <v>625</v>
      </c>
      <c r="G15" s="32" t="s">
        <v>722</v>
      </c>
      <c r="H15" s="32" t="str">
        <f t="shared" si="0"/>
        <v>IATTR_SP</v>
      </c>
      <c r="I15" s="32" t="str">
        <f t="shared" si="2"/>
        <v>thistype.create(18,130,"0","",thistype.callback+# Spell power);</v>
      </c>
      <c r="J15" s="32" t="str">
        <f t="shared" si="3"/>
        <v>thistype.put(IATTR_SP,1,130,0,"+"," Spell power",thistype.callbackSP);</v>
      </c>
      <c r="K15" s="26" t="s">
        <v>497</v>
      </c>
      <c r="L15" s="32" t="str">
        <f t="shared" si="1"/>
        <v>public constant integer IATTR_SP = 18;</v>
      </c>
    </row>
    <row r="16" spans="1:12" x14ac:dyDescent="0.25">
      <c r="A16" s="26">
        <v>20</v>
      </c>
      <c r="B16" s="32">
        <v>1</v>
      </c>
      <c r="C16" s="26">
        <v>132</v>
      </c>
      <c r="D16" s="26">
        <v>0</v>
      </c>
      <c r="E16" s="29" t="s">
        <v>569</v>
      </c>
      <c r="F16" s="29" t="s">
        <v>686</v>
      </c>
      <c r="G16" s="32" t="s">
        <v>723</v>
      </c>
      <c r="H16" s="32" t="str">
        <f t="shared" si="0"/>
        <v>IATTR_SCRIT</v>
      </c>
      <c r="I16" s="32" t="str">
        <f t="shared" si="2"/>
        <v>thistype.create(20,132,"0","",thistype.callback+# Spell critical);</v>
      </c>
      <c r="J16" s="32" t="str">
        <f t="shared" si="3"/>
        <v>thistype.put(IATTR_SCRIT,1,132,0,"+"," Spell critical",thistype.callbackSCRIT);</v>
      </c>
      <c r="K16" s="26" t="s">
        <v>497</v>
      </c>
      <c r="L16" s="32" t="str">
        <f t="shared" si="1"/>
        <v>public constant integer IATTR_SCRIT = 20;</v>
      </c>
    </row>
    <row r="17" spans="1:12" x14ac:dyDescent="0.25">
      <c r="A17" s="26">
        <v>19</v>
      </c>
      <c r="B17" s="32">
        <v>1</v>
      </c>
      <c r="C17" s="26">
        <v>134</v>
      </c>
      <c r="D17" s="26">
        <v>0</v>
      </c>
      <c r="E17" s="29" t="s">
        <v>570</v>
      </c>
      <c r="F17" s="29" t="s">
        <v>626</v>
      </c>
      <c r="G17" s="32" t="s">
        <v>724</v>
      </c>
      <c r="H17" s="32" t="str">
        <f t="shared" si="0"/>
        <v>IATTR_SHASTE</v>
      </c>
      <c r="I17" s="32" t="str">
        <f t="shared" si="2"/>
        <v>thistype.create(19,134,"0","",thistype.callback+# Spell haste);</v>
      </c>
      <c r="J17" s="32" t="str">
        <f t="shared" si="3"/>
        <v>thistype.put(IATTR_SHASTE,1,134,0,"+"," Spell haste",thistype.callbackSHASTE);</v>
      </c>
      <c r="K17" s="26" t="s">
        <v>497</v>
      </c>
      <c r="L17" s="32" t="str">
        <f t="shared" si="1"/>
        <v>public constant integer IATTR_SHASTE = 19;</v>
      </c>
    </row>
    <row r="18" spans="1:12" x14ac:dyDescent="0.25">
      <c r="A18" s="26">
        <v>8</v>
      </c>
      <c r="B18" s="32">
        <v>1</v>
      </c>
      <c r="C18" s="26">
        <v>140</v>
      </c>
      <c r="D18" s="26">
        <v>0</v>
      </c>
      <c r="E18" s="29" t="s">
        <v>571</v>
      </c>
      <c r="F18" s="29" t="s">
        <v>627</v>
      </c>
      <c r="G18" s="32" t="s">
        <v>725</v>
      </c>
      <c r="H18" s="32" t="str">
        <f t="shared" si="0"/>
        <v>IATTR_DEF</v>
      </c>
      <c r="I18" s="32" t="str">
        <f t="shared" si="2"/>
        <v>thistype.create(8,140,"0","",thistype.callback+# Armor);</v>
      </c>
      <c r="J18" s="32" t="str">
        <f t="shared" si="3"/>
        <v>thistype.put(IATTR_DEF,1,140,0,"+"," Armor",thistype.callbackDEF);</v>
      </c>
      <c r="K18" s="26" t="s">
        <v>497</v>
      </c>
      <c r="L18" s="32" t="str">
        <f t="shared" si="1"/>
        <v>public constant integer IATTR_DEF = 8;</v>
      </c>
    </row>
    <row r="19" spans="1:12" x14ac:dyDescent="0.25">
      <c r="A19" s="26">
        <v>95</v>
      </c>
      <c r="B19" s="32">
        <v>1</v>
      </c>
      <c r="C19" s="26">
        <v>141</v>
      </c>
      <c r="D19" s="26">
        <v>0</v>
      </c>
      <c r="E19" s="29" t="s">
        <v>667</v>
      </c>
      <c r="F19" s="29" t="s">
        <v>682</v>
      </c>
      <c r="G19" s="32" t="s">
        <v>726</v>
      </c>
      <c r="H19" s="32" t="str">
        <f t="shared" si="0"/>
        <v>IATTR_DEFPL</v>
      </c>
      <c r="I19" s="32" t="str">
        <f t="shared" si="2"/>
        <v>thistype.create(95,141,"0","",thistype.callback+# Armor/level);</v>
      </c>
      <c r="J19" s="32" t="str">
        <f t="shared" si="3"/>
        <v>thistype.put(IATTR_DEFPL,1,141,0,"+"," Armor/level",thistype.callbackDEFPL);</v>
      </c>
      <c r="K19" s="26" t="s">
        <v>497</v>
      </c>
      <c r="L19" s="32" t="str">
        <f t="shared" si="1"/>
        <v>public constant integer IATTR_DEFPL = 95;</v>
      </c>
    </row>
    <row r="20" spans="1:12" x14ac:dyDescent="0.25">
      <c r="A20" s="26">
        <v>16</v>
      </c>
      <c r="B20" s="32">
        <v>1</v>
      </c>
      <c r="C20" s="26">
        <v>142</v>
      </c>
      <c r="D20" s="26">
        <v>0</v>
      </c>
      <c r="E20" s="29" t="s">
        <v>579</v>
      </c>
      <c r="F20" s="29" t="s">
        <v>632</v>
      </c>
      <c r="G20" s="32" t="s">
        <v>727</v>
      </c>
      <c r="H20" s="32" t="str">
        <f t="shared" si="0"/>
        <v>IATTR_BR</v>
      </c>
      <c r="I20" s="32" t="str">
        <f t="shared" si="2"/>
        <v>thistype.create(16,142,"0","",thistype.callback+# Block chance);</v>
      </c>
      <c r="J20" s="32" t="str">
        <f t="shared" si="3"/>
        <v>thistype.put(IATTR_BR,1,142,0,"+"," Block chance",thistype.callbackBR);</v>
      </c>
      <c r="K20" s="26" t="s">
        <v>497</v>
      </c>
      <c r="L20" s="32" t="str">
        <f t="shared" si="1"/>
        <v>public constant integer IATTR_BR = 16;</v>
      </c>
    </row>
    <row r="21" spans="1:12" x14ac:dyDescent="0.25">
      <c r="A21" s="26">
        <v>15</v>
      </c>
      <c r="B21" s="32">
        <v>1</v>
      </c>
      <c r="C21" s="26">
        <v>144</v>
      </c>
      <c r="D21" s="26">
        <v>0</v>
      </c>
      <c r="E21" s="29" t="s">
        <v>580</v>
      </c>
      <c r="F21" s="29" t="s">
        <v>633</v>
      </c>
      <c r="G21" s="32" t="s">
        <v>728</v>
      </c>
      <c r="H21" s="32" t="str">
        <f t="shared" si="0"/>
        <v>IATTR_BP</v>
      </c>
      <c r="I21" s="32" t="str">
        <f t="shared" si="2"/>
        <v>thistype.create(15,144,"0","",thistype.callback+# Block points);</v>
      </c>
      <c r="J21" s="32" t="str">
        <f t="shared" si="3"/>
        <v>thistype.put(IATTR_BP,1,144,0,"+"," Block points",thistype.callbackBP);</v>
      </c>
      <c r="K21" s="26" t="s">
        <v>497</v>
      </c>
      <c r="L21" s="32" t="str">
        <f t="shared" si="1"/>
        <v>public constant integer IATTR_BP = 15;</v>
      </c>
    </row>
    <row r="22" spans="1:12" x14ac:dyDescent="0.25">
      <c r="A22" s="26">
        <v>27</v>
      </c>
      <c r="B22" s="32">
        <v>1</v>
      </c>
      <c r="C22" s="26">
        <v>146</v>
      </c>
      <c r="D22" s="26">
        <v>0</v>
      </c>
      <c r="E22" s="29" t="s">
        <v>572</v>
      </c>
      <c r="F22" s="29" t="s">
        <v>628</v>
      </c>
      <c r="G22" s="32" t="s">
        <v>729</v>
      </c>
      <c r="H22" s="32" t="str">
        <f t="shared" si="0"/>
        <v>IATTR_DODGE</v>
      </c>
      <c r="I22" s="32" t="str">
        <f t="shared" si="2"/>
        <v>thistype.create(27,146,"0","",thistype.callback+# Dodge chance);</v>
      </c>
      <c r="J22" s="32" t="str">
        <f t="shared" si="3"/>
        <v>thistype.put(IATTR_DODGE,1,146,0,"+"," Dodge chance",thistype.callbackDODGE);</v>
      </c>
      <c r="K22" s="26" t="s">
        <v>497</v>
      </c>
      <c r="L22" s="32" t="str">
        <f t="shared" si="1"/>
        <v>public constant integer IATTR_DODGE = 27;</v>
      </c>
    </row>
    <row r="23" spans="1:12" x14ac:dyDescent="0.25">
      <c r="A23" s="26">
        <v>1</v>
      </c>
      <c r="B23" s="32">
        <v>1</v>
      </c>
      <c r="C23" s="26">
        <v>150</v>
      </c>
      <c r="D23" s="26">
        <v>0</v>
      </c>
      <c r="E23" s="29" t="s">
        <v>573</v>
      </c>
      <c r="F23" s="29" t="s">
        <v>631</v>
      </c>
      <c r="G23" s="32" t="s">
        <v>730</v>
      </c>
      <c r="H23" s="32" t="str">
        <f t="shared" si="0"/>
        <v>IATTR_DR</v>
      </c>
      <c r="I23" s="32" t="str">
        <f t="shared" si="2"/>
        <v>thistype.create(1,150,"0","",thistype.callback-# All damage taken);</v>
      </c>
      <c r="J23" s="32" t="str">
        <f t="shared" si="3"/>
        <v>thistype.put(IATTR_DR,1,150,0,"-"," All damage taken",thistype.callbackDR);</v>
      </c>
      <c r="K23" s="26" t="s">
        <v>497</v>
      </c>
      <c r="L23" s="32" t="str">
        <f t="shared" si="1"/>
        <v>public constant integer IATTR_DR = 1;</v>
      </c>
    </row>
    <row r="24" spans="1:12" x14ac:dyDescent="0.25">
      <c r="A24" s="26">
        <v>2</v>
      </c>
      <c r="B24" s="32">
        <v>1</v>
      </c>
      <c r="C24" s="26">
        <v>152</v>
      </c>
      <c r="D24" s="26">
        <v>0</v>
      </c>
      <c r="E24" s="29" t="s">
        <v>574</v>
      </c>
      <c r="F24" s="29" t="s">
        <v>827</v>
      </c>
      <c r="G24" s="32" t="s">
        <v>731</v>
      </c>
      <c r="H24" s="32" t="str">
        <f t="shared" si="0"/>
        <v>IATTR_MDR</v>
      </c>
      <c r="I24" s="32" t="str">
        <f t="shared" si="2"/>
        <v>thistype.create(2,152,"0","",thistype.callback-# magic damage taken);</v>
      </c>
      <c r="J24" s="32" t="str">
        <f t="shared" si="3"/>
        <v>thistype.put(IATTR_MDR,1,152,0,"-"," magic damage taken",thistype.callbackMDR);</v>
      </c>
      <c r="K24" s="26" t="s">
        <v>497</v>
      </c>
      <c r="L24" s="32" t="str">
        <f t="shared" si="1"/>
        <v>public constant integer IATTR_MDR = 2;</v>
      </c>
    </row>
    <row r="25" spans="1:12" x14ac:dyDescent="0.25">
      <c r="A25" s="26">
        <v>3</v>
      </c>
      <c r="B25" s="32">
        <v>1</v>
      </c>
      <c r="C25" s="26">
        <v>154</v>
      </c>
      <c r="D25" s="26">
        <v>0</v>
      </c>
      <c r="E25" s="29" t="s">
        <v>578</v>
      </c>
      <c r="F25" s="29" t="s">
        <v>629</v>
      </c>
      <c r="G25" s="32" t="s">
        <v>732</v>
      </c>
      <c r="H25" s="32" t="str">
        <f t="shared" si="0"/>
        <v>IATTR_AMP</v>
      </c>
      <c r="I25" s="32" t="str">
        <f t="shared" si="2"/>
        <v>thistype.create(3,154,"0","",thistype.callback+# Damage and healing dealt);</v>
      </c>
      <c r="J25" s="32" t="str">
        <f t="shared" si="3"/>
        <v>thistype.put(IATTR_AMP,1,154,0,"+"," Damage and healing dealt",thistype.callbackAMP);</v>
      </c>
      <c r="K25" s="26" t="s">
        <v>497</v>
      </c>
      <c r="L25" s="32" t="str">
        <f t="shared" si="1"/>
        <v>public constant integer IATTR_AMP = 3;</v>
      </c>
    </row>
    <row r="26" spans="1:12" x14ac:dyDescent="0.25">
      <c r="A26" s="26">
        <v>6</v>
      </c>
      <c r="B26" s="32">
        <v>1</v>
      </c>
      <c r="C26" s="26">
        <v>156</v>
      </c>
      <c r="D26" s="26">
        <v>0</v>
      </c>
      <c r="E26" s="29" t="s">
        <v>592</v>
      </c>
      <c r="F26" s="29" t="s">
        <v>630</v>
      </c>
      <c r="G26" s="32" t="s">
        <v>733</v>
      </c>
      <c r="H26" s="32" t="str">
        <f t="shared" si="0"/>
        <v>IATTR_HAMP</v>
      </c>
      <c r="I26" s="32" t="str">
        <f t="shared" si="2"/>
        <v>thistype.create(6,156,"0","",thistype.callback+# Healing taken);</v>
      </c>
      <c r="J26" s="32" t="str">
        <f t="shared" si="3"/>
        <v>thistype.put(IATTR_HAMP,1,156,0,"+"," Healing taken",thistype.callbackHAMP);</v>
      </c>
      <c r="K26" s="26" t="s">
        <v>497</v>
      </c>
      <c r="L26" s="32" t="str">
        <f t="shared" si="1"/>
        <v>public constant integer IATTR_HAMP = 6;</v>
      </c>
    </row>
    <row r="27" spans="1:12" x14ac:dyDescent="0.25">
      <c r="A27" s="26">
        <v>72</v>
      </c>
      <c r="B27" s="32">
        <v>1</v>
      </c>
      <c r="C27" s="26">
        <v>160</v>
      </c>
      <c r="D27" s="26">
        <v>0</v>
      </c>
      <c r="E27" s="29" t="s">
        <v>577</v>
      </c>
      <c r="F27" s="29" t="s">
        <v>687</v>
      </c>
      <c r="G27" s="32" t="s">
        <v>734</v>
      </c>
      <c r="H27" s="32" t="str">
        <f t="shared" si="0"/>
        <v>IATTR_MREG</v>
      </c>
      <c r="I27" s="32" t="str">
        <f t="shared" si="2"/>
        <v>thistype.create(72,160,"0","",thistype.callbackRegens # MP per second);</v>
      </c>
      <c r="J27" s="32" t="str">
        <f t="shared" si="3"/>
        <v>thistype.put(IATTR_MREG,1,160,0,"Regens "," MP per second",thistype.callbackMREG);</v>
      </c>
      <c r="K27" s="26" t="s">
        <v>497</v>
      </c>
      <c r="L27" s="32" t="str">
        <f t="shared" si="1"/>
        <v>public constant integer IATTR_MREG = 72;</v>
      </c>
    </row>
    <row r="28" spans="1:12" x14ac:dyDescent="0.25">
      <c r="A28" s="26">
        <v>73</v>
      </c>
      <c r="B28" s="32">
        <v>1</v>
      </c>
      <c r="C28" s="26">
        <v>162</v>
      </c>
      <c r="D28" s="26">
        <v>0</v>
      </c>
      <c r="E28" s="29" t="s">
        <v>576</v>
      </c>
      <c r="F28" s="29" t="s">
        <v>688</v>
      </c>
      <c r="G28" s="32" t="s">
        <v>735</v>
      </c>
      <c r="H28" s="32" t="str">
        <f t="shared" si="0"/>
        <v>IATTR_HREG</v>
      </c>
      <c r="I28" s="32" t="str">
        <f t="shared" si="2"/>
        <v>thistype.create(73,162,"0","",thistype.callbackRegens # HP per second);</v>
      </c>
      <c r="J28" s="32" t="str">
        <f t="shared" si="3"/>
        <v>thistype.put(IATTR_HREG,1,162,0,"Regens "," HP per second",thistype.callbackHREG);</v>
      </c>
      <c r="K28" s="26" t="s">
        <v>497</v>
      </c>
      <c r="L28" s="32" t="str">
        <f t="shared" si="1"/>
        <v>public constant integer IATTR_HREG = 73;</v>
      </c>
    </row>
    <row r="29" spans="1:12" x14ac:dyDescent="0.25">
      <c r="A29" s="26">
        <v>74</v>
      </c>
      <c r="B29" s="32">
        <v>1</v>
      </c>
      <c r="C29" s="26">
        <v>164</v>
      </c>
      <c r="D29" s="26">
        <v>0</v>
      </c>
      <c r="E29" s="29" t="s">
        <v>575</v>
      </c>
      <c r="F29" s="29" t="s">
        <v>674</v>
      </c>
      <c r="G29" s="32" t="s">
        <v>736</v>
      </c>
      <c r="H29" s="32" t="str">
        <f t="shared" si="0"/>
        <v>IATTR_HLOST</v>
      </c>
      <c r="I29" s="32" t="str">
        <f t="shared" si="2"/>
        <v>thistype.create(74,164,"0","",thistype.callbackLost # HP per second during combat);</v>
      </c>
      <c r="J29" s="32" t="str">
        <f t="shared" si="3"/>
        <v>thistype.put(IATTR_HLOST,1,164,0,"Lost "," HP per second during combat",thistype.callbackHLOST);</v>
      </c>
      <c r="K29" s="26" t="s">
        <v>497</v>
      </c>
      <c r="L29" s="32" t="str">
        <f t="shared" si="1"/>
        <v>public constant integer IATTR_HLOST = 74;</v>
      </c>
    </row>
    <row r="30" spans="1:12" x14ac:dyDescent="0.25">
      <c r="A30" s="26">
        <v>24</v>
      </c>
      <c r="B30" s="32">
        <v>1</v>
      </c>
      <c r="C30" s="26">
        <v>170</v>
      </c>
      <c r="D30" s="26">
        <v>0</v>
      </c>
      <c r="E30" s="29" t="s">
        <v>581</v>
      </c>
      <c r="F30" s="29" t="s">
        <v>634</v>
      </c>
      <c r="G30" s="32" t="s">
        <v>737</v>
      </c>
      <c r="H30" s="32" t="str">
        <f t="shared" si="0"/>
        <v>IATTR_MS</v>
      </c>
      <c r="I30" s="32" t="str">
        <f t="shared" si="2"/>
        <v>thistype.create(24,170,"0","",thistype.callback+# Movement speed);</v>
      </c>
      <c r="J30" s="32" t="str">
        <f t="shared" si="3"/>
        <v>thistype.put(IATTR_MS,1,170,0,"+"," Movement speed",thistype.callbackMS);</v>
      </c>
      <c r="K30" s="26" t="s">
        <v>497</v>
      </c>
      <c r="L30" s="32" t="str">
        <f t="shared" si="1"/>
        <v>public constant integer IATTR_MS = 24;</v>
      </c>
    </row>
    <row r="31" spans="1:12" x14ac:dyDescent="0.25">
      <c r="A31" s="26">
        <v>25</v>
      </c>
      <c r="B31" s="32">
        <v>1</v>
      </c>
      <c r="C31" s="26">
        <v>171</v>
      </c>
      <c r="D31" s="26">
        <v>0</v>
      </c>
      <c r="E31" s="29" t="s">
        <v>653</v>
      </c>
      <c r="F31" s="29" t="s">
        <v>683</v>
      </c>
      <c r="G31" s="32" t="s">
        <v>738</v>
      </c>
      <c r="H31" s="32" t="str">
        <f t="shared" si="0"/>
        <v>IATTR_MSPL</v>
      </c>
      <c r="I31" s="32" t="str">
        <f t="shared" si="2"/>
        <v>thistype.create(25,171,"0","",thistype.callback+# Movement speed/level);</v>
      </c>
      <c r="J31" s="32" t="str">
        <f t="shared" si="3"/>
        <v>thistype.put(IATTR_MSPL,1,171,0,"+"," Movement speed/level",thistype.callbackMSPL);</v>
      </c>
      <c r="K31" s="26" t="s">
        <v>497</v>
      </c>
      <c r="L31" s="32" t="str">
        <f t="shared" si="1"/>
        <v>public constant integer IATTR_MSPL = 25;</v>
      </c>
    </row>
    <row r="32" spans="1:12" x14ac:dyDescent="0.25">
      <c r="A32" s="26">
        <v>26</v>
      </c>
      <c r="B32" s="32">
        <v>1</v>
      </c>
      <c r="C32" s="26">
        <v>195</v>
      </c>
      <c r="D32" s="26">
        <v>0</v>
      </c>
      <c r="E32" s="29" t="s">
        <v>825</v>
      </c>
      <c r="F32" s="29" t="s">
        <v>826</v>
      </c>
      <c r="G32" s="32" t="s">
        <v>739</v>
      </c>
      <c r="H32" s="32" t="str">
        <f t="shared" si="0"/>
        <v>IATTR_LP</v>
      </c>
      <c r="I32" s="32" t="str">
        <f t="shared" si="2"/>
        <v>thistype.create(26,195,"0","",thistype.callbackImprove item |cff33ff33special power|r + #);</v>
      </c>
      <c r="J32" s="32" t="str">
        <f t="shared" si="3"/>
        <v>thistype.put(IATTR_LP,1,195,0,"Improve item |cff33ff33special power|r + ","",thistype.callbackLP);</v>
      </c>
      <c r="K32" s="26" t="s">
        <v>497</v>
      </c>
      <c r="L32" s="32" t="str">
        <f t="shared" si="1"/>
        <v>public constant integer IATTR_LP = 26;</v>
      </c>
    </row>
    <row r="33" spans="1:12" x14ac:dyDescent="0.25">
      <c r="A33" s="26">
        <v>43</v>
      </c>
      <c r="B33" s="32">
        <v>3</v>
      </c>
      <c r="C33" s="26">
        <v>200</v>
      </c>
      <c r="D33" s="26">
        <v>0</v>
      </c>
      <c r="E33" s="29" t="s">
        <v>817</v>
      </c>
      <c r="F33" s="29" t="s">
        <v>824</v>
      </c>
      <c r="G33" s="32" t="s">
        <v>760</v>
      </c>
      <c r="H33" s="32" t="str">
        <f t="shared" si="0"/>
        <v>IATTR_ATK_ML</v>
      </c>
      <c r="I33" s="32" t="str">
        <f t="shared" si="2"/>
        <v>thistype.create(43,200,"0","",thistype.callback+# Mana stolen per hit);</v>
      </c>
      <c r="J33" s="32" t="str">
        <f t="shared" si="3"/>
        <v>thistype.put(IATTR_ATK_ML,3,200,0,"|cff87ceeb+"," Mana stolen per hit|r",thistype.callbackATK_ML);</v>
      </c>
      <c r="K33" s="26" t="s">
        <v>497</v>
      </c>
      <c r="L33" s="32" t="str">
        <f t="shared" si="1"/>
        <v>public constant integer IATTR_ATK_ML = 43;</v>
      </c>
    </row>
    <row r="34" spans="1:12" x14ac:dyDescent="0.25">
      <c r="A34" s="26">
        <v>44</v>
      </c>
      <c r="B34" s="32">
        <v>3</v>
      </c>
      <c r="C34" s="26">
        <v>202</v>
      </c>
      <c r="D34" s="26">
        <v>0</v>
      </c>
      <c r="E34" s="29" t="s">
        <v>818</v>
      </c>
      <c r="F34" s="29" t="s">
        <v>823</v>
      </c>
      <c r="G34" s="32" t="s">
        <v>761</v>
      </c>
      <c r="H34" s="32" t="str">
        <f t="shared" ref="H34:H65" si="4">"IATTR_"&amp;G34</f>
        <v>IATTR_ATK_LL</v>
      </c>
      <c r="I34" s="32" t="str">
        <f t="shared" si="2"/>
        <v>thistype.create(44,202,"0","",thistype.callback+# Life stolen per hit);</v>
      </c>
      <c r="J34" s="32" t="str">
        <f t="shared" ref="J34:J65" si="5">CodeGenAttrEN($A34:$H34)</f>
        <v>thistype.put(IATTR_ATK_LL,3,202,0,"|cff87ceeb+"," Life stolen per hit|r",thistype.callbackATK_LL);</v>
      </c>
      <c r="K34" s="26" t="s">
        <v>497</v>
      </c>
      <c r="L34" s="32" t="str">
        <f t="shared" ref="L34:L65" si="6">"public constant integer IATTR_"&amp;G34&amp;" = "&amp;A34&amp;";"</f>
        <v>public constant integer IATTR_ATK_LL = 44;</v>
      </c>
    </row>
    <row r="35" spans="1:12" x14ac:dyDescent="0.25">
      <c r="A35" s="26">
        <v>45</v>
      </c>
      <c r="B35" s="32">
        <v>3</v>
      </c>
      <c r="C35" s="26">
        <v>204</v>
      </c>
      <c r="D35" s="26">
        <v>0</v>
      </c>
      <c r="E35" s="29" t="s">
        <v>819</v>
      </c>
      <c r="F35" s="29" t="s">
        <v>822</v>
      </c>
      <c r="G35" s="32" t="s">
        <v>762</v>
      </c>
      <c r="H35" s="32" t="str">
        <f t="shared" si="4"/>
        <v>IATTR_ATK_LLML</v>
      </c>
      <c r="I35" s="32" t="str">
        <f t="shared" ref="I35:I66" si="7">CodeGenAttrCN(A35:H35)</f>
        <v>thistype.create(45,204,"0","",thistype.callback+# Life and mana stolen per hit);</v>
      </c>
      <c r="J35" s="32" t="str">
        <f t="shared" si="5"/>
        <v>thistype.put(IATTR_ATK_LLML,3,204,0,"|cff87ceeb+"," Life and mana stolen per hit|r",thistype.callbackATK_LLML);</v>
      </c>
      <c r="K35" s="26" t="s">
        <v>497</v>
      </c>
      <c r="L35" s="32" t="str">
        <f t="shared" si="6"/>
        <v>public constant integer IATTR_ATK_LLML = 45;</v>
      </c>
    </row>
    <row r="36" spans="1:12" x14ac:dyDescent="0.25">
      <c r="A36" s="26">
        <v>57</v>
      </c>
      <c r="B36" s="32">
        <v>3</v>
      </c>
      <c r="C36" s="26">
        <v>210</v>
      </c>
      <c r="D36" s="26">
        <v>0</v>
      </c>
      <c r="E36" s="29" t="s">
        <v>820</v>
      </c>
      <c r="F36" s="29" t="s">
        <v>828</v>
      </c>
      <c r="G36" s="32" t="s">
        <v>770</v>
      </c>
      <c r="H36" s="32" t="str">
        <f t="shared" si="4"/>
        <v>IATTR_ATK_MD</v>
      </c>
      <c r="I36" s="32" t="str">
        <f t="shared" si="7"/>
        <v>thistype.create(57,210,"0","",thistype.callbackDeals # extra magic damage per hit);</v>
      </c>
      <c r="J36" s="32" t="str">
        <f t="shared" si="5"/>
        <v>thistype.put(IATTR_ATK_MD,3,210,0,"|cff87ceebDeals "," extra magic damage per hit|r",thistype.callbackATK_MD);</v>
      </c>
      <c r="K36" s="26" t="s">
        <v>497</v>
      </c>
      <c r="L36" s="32" t="str">
        <f t="shared" si="6"/>
        <v>public constant integer IATTR_ATK_MD = 57;</v>
      </c>
    </row>
    <row r="37" spans="1:12" ht="28.5" x14ac:dyDescent="0.25">
      <c r="A37" s="26">
        <v>58</v>
      </c>
      <c r="B37" s="32">
        <v>3</v>
      </c>
      <c r="C37" s="26">
        <v>211</v>
      </c>
      <c r="D37" s="26">
        <v>0</v>
      </c>
      <c r="E37" s="29" t="s">
        <v>821</v>
      </c>
      <c r="F37" s="29" t="s">
        <v>829</v>
      </c>
      <c r="G37" s="32" t="s">
        <v>775</v>
      </c>
      <c r="H37" s="32" t="str">
        <f t="shared" si="4"/>
        <v>IATTR_ATK_MDK</v>
      </c>
      <c r="I37" s="32" t="str">
        <f t="shared" si="7"/>
        <v>thistype.create(58,211,"0","",thistype.callbackDeals # extra magic damage per hit, scaled up by target HP lost);</v>
      </c>
      <c r="J37" s="32" t="str">
        <f t="shared" si="5"/>
        <v>thistype.put(IATTR_ATK_MDK,3,211,0,"|cff87ceebDeals "," extra magic damage per hit, scaled up by target HP lost|r",thistype.callbackATK_MDK);</v>
      </c>
      <c r="K37" s="26" t="s">
        <v>497</v>
      </c>
      <c r="L37" s="32" t="str">
        <f t="shared" si="6"/>
        <v>public constant integer IATTR_ATK_MDK = 58;</v>
      </c>
    </row>
    <row r="38" spans="1:12" x14ac:dyDescent="0.25">
      <c r="A38" s="26">
        <v>66</v>
      </c>
      <c r="B38" s="32">
        <v>3</v>
      </c>
      <c r="C38" s="26">
        <v>250</v>
      </c>
      <c r="D38" s="26">
        <v>0</v>
      </c>
      <c r="E38" s="29" t="s">
        <v>808</v>
      </c>
      <c r="F38" s="29" t="s">
        <v>809</v>
      </c>
      <c r="G38" s="32" t="s">
        <v>741</v>
      </c>
      <c r="H38" s="32" t="str">
        <f t="shared" si="4"/>
        <v>IATTR_RG_ONESHOT</v>
      </c>
      <c r="I38" s="32" t="str">
        <f t="shared" si="7"/>
        <v>thistype.create(66,250,"0","",thistype.callbackOne-shot target when it's HP is less than yours#);</v>
      </c>
      <c r="J38" s="32" t="str">
        <f t="shared" si="5"/>
        <v>thistype.put(IATTR_RG_ONESHOT,3,250,0,"|cff87ceebOne-shot target when it's HP is less than yours","|r",thistype.callbackRG_ONESHOT);</v>
      </c>
      <c r="K38" s="26" t="s">
        <v>497</v>
      </c>
      <c r="L38" s="32" t="str">
        <f t="shared" si="6"/>
        <v>public constant integer IATTR_RG_ONESHOT = 66;</v>
      </c>
    </row>
    <row r="39" spans="1:12" x14ac:dyDescent="0.25">
      <c r="A39" s="26">
        <v>68</v>
      </c>
      <c r="B39" s="32">
        <v>3</v>
      </c>
      <c r="C39" s="26">
        <v>253</v>
      </c>
      <c r="D39" s="26">
        <v>0</v>
      </c>
      <c r="E39" s="29" t="s">
        <v>810</v>
      </c>
      <c r="F39" s="29" t="s">
        <v>830</v>
      </c>
      <c r="G39" s="32" t="s">
        <v>744</v>
      </c>
      <c r="H39" s="32" t="str">
        <f t="shared" si="4"/>
        <v>IATTR_MCVT</v>
      </c>
      <c r="I39" s="32" t="str">
        <f t="shared" si="7"/>
        <v>thistype.create(68,253,"0","",thistype.callbackConverts your normal attacks into magic damage#);</v>
      </c>
      <c r="J39" s="32" t="str">
        <f t="shared" si="5"/>
        <v>thistype.put(IATTR_MCVT,3,253,0,"|cff87ceebConverts your normal attacks into magic damage","|r",thistype.callbackMCVT);</v>
      </c>
      <c r="K39" s="26" t="s">
        <v>497</v>
      </c>
      <c r="L39" s="32" t="str">
        <f t="shared" si="6"/>
        <v>public constant integer IATTR_MCVT = 68;</v>
      </c>
    </row>
    <row r="40" spans="1:12" x14ac:dyDescent="0.25">
      <c r="A40" s="26">
        <v>79</v>
      </c>
      <c r="B40" s="32">
        <v>3</v>
      </c>
      <c r="C40" s="26">
        <v>256</v>
      </c>
      <c r="D40" s="26">
        <v>0</v>
      </c>
      <c r="E40" s="29" t="s">
        <v>811</v>
      </c>
      <c r="F40" s="29" t="s">
        <v>812</v>
      </c>
      <c r="G40" s="32" t="s">
        <v>749</v>
      </c>
      <c r="H40" s="32" t="str">
        <f t="shared" si="4"/>
        <v>IATTR_PL_SHOCK</v>
      </c>
      <c r="I40" s="32" t="str">
        <f t="shared" si="7"/>
        <v>thistype.create(79,256,"0","",thistype.callbackHoly Shock always deals critical healing#);</v>
      </c>
      <c r="J40" s="32" t="str">
        <f t="shared" si="5"/>
        <v>thistype.put(IATTR_PL_SHOCK,3,256,0,"|cff87ceebHoly Shock always deals critical healing","|r",thistype.callbackPL_SHOCK);</v>
      </c>
      <c r="K40" s="26" t="s">
        <v>497</v>
      </c>
      <c r="L40" s="32" t="str">
        <f t="shared" si="6"/>
        <v>public constant integer IATTR_PL_SHOCK = 79;</v>
      </c>
    </row>
    <row r="41" spans="1:12" x14ac:dyDescent="0.25">
      <c r="A41" s="26">
        <v>80</v>
      </c>
      <c r="B41" s="32">
        <v>3</v>
      </c>
      <c r="C41" s="26">
        <v>259</v>
      </c>
      <c r="D41" s="26">
        <v>0</v>
      </c>
      <c r="E41" s="29" t="s">
        <v>813</v>
      </c>
      <c r="F41" s="29" t="s">
        <v>814</v>
      </c>
      <c r="G41" s="32" t="s">
        <v>750</v>
      </c>
      <c r="H41" s="32" t="str">
        <f t="shared" si="4"/>
        <v>IATTR_PR_SHIELD</v>
      </c>
      <c r="I41" s="32" t="str">
        <f t="shared" si="7"/>
        <v>thistype.create(80,259,"0","",thistype.callbackRemoves weakness effect of Shield#);</v>
      </c>
      <c r="J41" s="32" t="str">
        <f t="shared" si="5"/>
        <v>thistype.put(IATTR_PR_SHIELD,3,259,0,"|cff87ceebRemoves weakness effect of Shield","|r",thistype.callbackPR_SHIELD);</v>
      </c>
      <c r="K41" s="26" t="s">
        <v>497</v>
      </c>
      <c r="L41" s="32" t="str">
        <f t="shared" si="6"/>
        <v>public constant integer IATTR_PR_SHIELD = 80;</v>
      </c>
    </row>
    <row r="42" spans="1:12" x14ac:dyDescent="0.25">
      <c r="A42" s="26">
        <v>91</v>
      </c>
      <c r="B42" s="32">
        <v>3</v>
      </c>
      <c r="C42" s="26">
        <v>262</v>
      </c>
      <c r="D42" s="26">
        <v>0</v>
      </c>
      <c r="E42" s="29" t="s">
        <v>815</v>
      </c>
      <c r="F42" s="29" t="s">
        <v>816</v>
      </c>
      <c r="G42" s="32" t="s">
        <v>754</v>
      </c>
      <c r="H42" s="32" t="str">
        <f t="shared" si="4"/>
        <v>IATTR_PL_LIGHT</v>
      </c>
      <c r="I42" s="32" t="str">
        <f t="shared" si="7"/>
        <v>thistype.create(91,262,"0","",thistype.callbackFlash Light dispels one debuff from target#);</v>
      </c>
      <c r="J42" s="32" t="str">
        <f t="shared" si="5"/>
        <v>thistype.put(IATTR_PL_LIGHT,3,262,0,"|cff87ceebFlash Light dispels one debuff from target","|r",thistype.callbackPL_LIGHT);</v>
      </c>
      <c r="K42" s="26" t="s">
        <v>497</v>
      </c>
      <c r="L42" s="32" t="str">
        <f t="shared" si="6"/>
        <v>public constant integer IATTR_PL_LIGHT = 91;</v>
      </c>
    </row>
    <row r="43" spans="1:12" x14ac:dyDescent="0.25">
      <c r="A43" s="26">
        <v>40</v>
      </c>
      <c r="B43" s="32">
        <v>3</v>
      </c>
      <c r="C43" s="26">
        <v>266</v>
      </c>
      <c r="D43" s="26">
        <v>0</v>
      </c>
      <c r="E43" s="29" t="s">
        <v>841</v>
      </c>
      <c r="F43" s="29" t="s">
        <v>840</v>
      </c>
      <c r="G43" s="32" t="s">
        <v>787</v>
      </c>
      <c r="H43" s="32" t="str">
        <f t="shared" si="4"/>
        <v>IATTR_DT_MREGEN</v>
      </c>
      <c r="I43" s="32" t="str">
        <f t="shared" si="7"/>
        <v>thistype.create(40,266,"0","",thistype.callbackRegens MP from # of the damage taken);</v>
      </c>
      <c r="J43" s="32" t="str">
        <f t="shared" si="5"/>
        <v>thistype.put(IATTR_DT_MREGEN,3,266,0,"|cff87ceebRegens MP from "," of the damage taken|r",thistype.callbackDT_MREGEN);</v>
      </c>
      <c r="K43" s="26" t="s">
        <v>497</v>
      </c>
      <c r="L43" s="32" t="str">
        <f t="shared" si="6"/>
        <v>public constant integer IATTR_DT_MREGEN = 40;</v>
      </c>
    </row>
    <row r="44" spans="1:12" x14ac:dyDescent="0.25">
      <c r="A44" s="26">
        <v>28</v>
      </c>
      <c r="B44" s="32">
        <v>3</v>
      </c>
      <c r="C44" s="26">
        <v>268</v>
      </c>
      <c r="D44" s="26">
        <v>0</v>
      </c>
      <c r="E44" s="29" t="s">
        <v>806</v>
      </c>
      <c r="F44" s="29" t="s">
        <v>807</v>
      </c>
      <c r="G44" s="32" t="s">
        <v>794</v>
      </c>
      <c r="H44" s="32" t="str">
        <f t="shared" si="4"/>
        <v>IATTR_USE_TP</v>
      </c>
      <c r="I44" s="32" t="str">
        <f t="shared" si="7"/>
        <v>thistype.create(28,268,"0","",thistype.callbackUse: Teleports to an ally#);</v>
      </c>
      <c r="J44" s="32" t="str">
        <f t="shared" si="5"/>
        <v>thistype.put(IATTR_USE_TP,3,268,0,"|cff87ceebUse: Teleports to an ally","|r",thistype.callbackUSE_TP);</v>
      </c>
      <c r="K44" s="26" t="s">
        <v>497</v>
      </c>
      <c r="L44" s="32" t="str">
        <f t="shared" si="6"/>
        <v>public constant integer IATTR_USE_TP = 28;</v>
      </c>
    </row>
    <row r="45" spans="1:12" x14ac:dyDescent="0.25">
      <c r="A45" s="26">
        <v>39</v>
      </c>
      <c r="B45" s="32">
        <v>2</v>
      </c>
      <c r="C45" s="26">
        <v>300</v>
      </c>
      <c r="D45" s="26">
        <v>0.33</v>
      </c>
      <c r="E45" s="29" t="s">
        <v>601</v>
      </c>
      <c r="F45" s="29" t="s">
        <v>642</v>
      </c>
      <c r="G45" s="32" t="s">
        <v>740</v>
      </c>
      <c r="H45" s="32" t="str">
        <f t="shared" si="4"/>
        <v>IATTR_BM_VALOR</v>
      </c>
      <c r="I45" s="32" t="str">
        <f t="shared" si="7"/>
        <v>thistype.create(39,300,"0.33","",thistype.callbackRegenerates # more valor points);</v>
      </c>
      <c r="J45" s="32" t="str">
        <f t="shared" si="5"/>
        <v>thistype.put(IATTR_BM_VALOR,2,300,0.33,"|cff33ff33Regenerates "," more valor points|r",thistype.callbackBM_VALOR);</v>
      </c>
      <c r="K45" s="26" t="s">
        <v>497</v>
      </c>
      <c r="L45" s="32" t="str">
        <f t="shared" si="6"/>
        <v>public constant integer IATTR_BM_VALOR = 39;</v>
      </c>
    </row>
    <row r="46" spans="1:12" ht="28.5" x14ac:dyDescent="0.25">
      <c r="A46" s="26">
        <v>65</v>
      </c>
      <c r="B46" s="32">
        <v>2</v>
      </c>
      <c r="C46" s="26">
        <v>302</v>
      </c>
      <c r="D46" s="26">
        <v>0.16</v>
      </c>
      <c r="E46" s="29" t="s">
        <v>602</v>
      </c>
      <c r="F46" s="29" t="s">
        <v>853</v>
      </c>
      <c r="G46" s="32" t="s">
        <v>742</v>
      </c>
      <c r="H46" s="32" t="str">
        <f t="shared" si="4"/>
        <v>IATTR_RG_RUSH</v>
      </c>
      <c r="I46" s="32" t="str">
        <f t="shared" si="7"/>
        <v>thistype.create(65,302,"0.16","",thistype.callbackSinister Strike and Eviscerate deal # extra damage to target below 30% max HP);</v>
      </c>
      <c r="J46" s="32" t="str">
        <f t="shared" si="5"/>
        <v>thistype.put(IATTR_RG_RUSH,2,302,0.16,"|cff33ff33Sinister Strike and Eviscerate deal "," extra damage to target below 30% max HP|r",thistype.callbackRG_RUSH);</v>
      </c>
      <c r="K46" s="26" t="s">
        <v>497</v>
      </c>
      <c r="L46" s="32" t="str">
        <f t="shared" si="6"/>
        <v>public constant integer IATTR_RG_RUSH = 65;</v>
      </c>
    </row>
    <row r="47" spans="1:12" x14ac:dyDescent="0.25">
      <c r="A47" s="26">
        <v>67</v>
      </c>
      <c r="B47" s="32">
        <v>2</v>
      </c>
      <c r="C47" s="26">
        <v>303</v>
      </c>
      <c r="D47" s="26">
        <v>0.5</v>
      </c>
      <c r="E47" s="29" t="s">
        <v>654</v>
      </c>
      <c r="F47" s="29" t="s">
        <v>655</v>
      </c>
      <c r="G47" s="32" t="s">
        <v>743</v>
      </c>
      <c r="H47" s="32" t="str">
        <f t="shared" si="4"/>
        <v>IATTR_CRKILLER</v>
      </c>
      <c r="I47" s="32" t="str">
        <f t="shared" si="7"/>
        <v>thistype.create(67,303,"0.5","",thistype.callbackDeals # extra damage to non-hero targets);</v>
      </c>
      <c r="J47" s="32" t="str">
        <f t="shared" si="5"/>
        <v>thistype.put(IATTR_CRKILLER,2,303,0.5,"|cff33ff33Deals "," extra damage to non-hero targets|r",thistype.callbackCRKILLER);</v>
      </c>
      <c r="K47" s="26" t="s">
        <v>497</v>
      </c>
      <c r="L47" s="32" t="str">
        <f t="shared" si="6"/>
        <v>public constant integer IATTR_CRKILLER = 67;</v>
      </c>
    </row>
    <row r="48" spans="1:12" x14ac:dyDescent="0.25">
      <c r="A48" s="26">
        <v>69</v>
      </c>
      <c r="B48" s="32">
        <v>2</v>
      </c>
      <c r="C48" s="26">
        <v>305</v>
      </c>
      <c r="D48" s="26">
        <v>0.33</v>
      </c>
      <c r="E48" s="29" t="s">
        <v>857</v>
      </c>
      <c r="F48" s="29" t="s">
        <v>854</v>
      </c>
      <c r="G48" s="32" t="s">
        <v>745</v>
      </c>
      <c r="H48" s="32" t="str">
        <f t="shared" si="4"/>
        <v>IATTR_KG_REGRCD</v>
      </c>
      <c r="I48" s="32" t="str">
        <f t="shared" si="7"/>
        <v>thistype.create(69,305,"0.33","",thistype.callbackReduce cooldown of Instant Regrowth by # seconds (unique));</v>
      </c>
      <c r="J48" s="32" t="str">
        <f t="shared" si="5"/>
        <v>thistype.put(IATTR_KG_REGRCD,2,305,0.33,"|cff33ff33Reduce cooldown of Instant Regrowth by "," seconds (unique)|r",thistype.callbackKG_REGRCD);</v>
      </c>
      <c r="K48" s="26" t="s">
        <v>497</v>
      </c>
      <c r="L48" s="32" t="str">
        <f t="shared" si="6"/>
        <v>public constant integer IATTR_KG_REGRCD = 69;</v>
      </c>
    </row>
    <row r="49" spans="1:12" x14ac:dyDescent="0.25">
      <c r="A49" s="26">
        <v>71</v>
      </c>
      <c r="B49" s="32">
        <v>2</v>
      </c>
      <c r="C49" s="26">
        <v>307</v>
      </c>
      <c r="D49" s="26">
        <v>0.33</v>
      </c>
      <c r="E49" s="29" t="s">
        <v>659</v>
      </c>
      <c r="F49" s="29" t="s">
        <v>675</v>
      </c>
      <c r="G49" s="32" t="s">
        <v>746</v>
      </c>
      <c r="H49" s="32" t="str">
        <f t="shared" si="4"/>
        <v>IATTR_LEECHAURA</v>
      </c>
      <c r="I49" s="32" t="str">
        <f t="shared" si="7"/>
        <v>thistype.create(71,307,"0.33","",thistype.callbackAbsorb # HP from all enemies nearby every second);</v>
      </c>
      <c r="J49" s="32" t="str">
        <f t="shared" si="5"/>
        <v>thistype.put(IATTR_LEECHAURA,2,307,0.33,"|cff33ff33Absorb "," HP from all enemies nearby every second|r",thistype.callbackLEECHAURA);</v>
      </c>
      <c r="K49" s="26" t="s">
        <v>497</v>
      </c>
      <c r="L49" s="32" t="str">
        <f t="shared" si="6"/>
        <v>public constant integer IATTR_LEECHAURA = 71;</v>
      </c>
    </row>
    <row r="50" spans="1:12" x14ac:dyDescent="0.25">
      <c r="A50" s="26">
        <v>76</v>
      </c>
      <c r="B50" s="32">
        <v>2</v>
      </c>
      <c r="C50" s="26">
        <v>308</v>
      </c>
      <c r="D50" s="26">
        <v>0.2</v>
      </c>
      <c r="E50" s="29" t="s">
        <v>600</v>
      </c>
      <c r="F50" s="29" t="s">
        <v>647</v>
      </c>
      <c r="G50" s="32" t="s">
        <v>747</v>
      </c>
      <c r="H50" s="32" t="str">
        <f t="shared" si="4"/>
        <v>IATTR_PR_POHDEF</v>
      </c>
      <c r="I50" s="32" t="str">
        <f t="shared" si="7"/>
        <v>thistype.create(76,308,"0.2","",thistype.callbackPrayer of healing increases armor of target by #);</v>
      </c>
      <c r="J50" s="32" t="str">
        <f t="shared" si="5"/>
        <v>thistype.put(IATTR_PR_POHDEF,2,308,0.2,"|cff33ff33Prayer of healing increases armor of target by ","|r",thistype.callbackPR_POHDEF);</v>
      </c>
      <c r="K50" s="26" t="s">
        <v>497</v>
      </c>
      <c r="L50" s="32" t="str">
        <f t="shared" si="6"/>
        <v>public constant integer IATTR_PR_POHDEF = 76;</v>
      </c>
    </row>
    <row r="51" spans="1:12" x14ac:dyDescent="0.25">
      <c r="A51" s="26">
        <v>78</v>
      </c>
      <c r="B51" s="32">
        <v>2</v>
      </c>
      <c r="C51" s="26">
        <v>310</v>
      </c>
      <c r="D51" s="26">
        <v>0.16</v>
      </c>
      <c r="E51" s="29" t="s">
        <v>599</v>
      </c>
      <c r="F51" s="29" t="s">
        <v>676</v>
      </c>
      <c r="G51" s="32" t="s">
        <v>748</v>
      </c>
      <c r="H51" s="32" t="str">
        <f t="shared" si="4"/>
        <v>IATTR_DR_MAXHP</v>
      </c>
      <c r="I51" s="32" t="str">
        <f t="shared" si="7"/>
        <v>thistype.create(78,310,"0.16","",thistype.callbackSurvival Instincts provides # extra healing and max HP);</v>
      </c>
      <c r="J51" s="32" t="str">
        <f t="shared" si="5"/>
        <v>thistype.put(IATTR_DR_MAXHP,2,310,0.16,"|cff33ff33Survival Instincts provides "," extra healing and max HP|r",thistype.callbackDR_MAXHP);</v>
      </c>
      <c r="K51" s="26" t="s">
        <v>497</v>
      </c>
      <c r="L51" s="32" t="str">
        <f t="shared" si="6"/>
        <v>public constant integer IATTR_DR_MAXHP = 78;</v>
      </c>
    </row>
    <row r="52" spans="1:12" x14ac:dyDescent="0.25">
      <c r="A52" s="26">
        <v>81</v>
      </c>
      <c r="B52" s="32">
        <v>2</v>
      </c>
      <c r="C52" s="26">
        <v>313</v>
      </c>
      <c r="D52" s="26">
        <v>0.4</v>
      </c>
      <c r="E52" s="29" t="s">
        <v>604</v>
      </c>
      <c r="F52" s="29" t="s">
        <v>648</v>
      </c>
      <c r="G52" s="32" t="s">
        <v>751</v>
      </c>
      <c r="H52" s="32" t="str">
        <f t="shared" si="4"/>
        <v>IATTR_CT_PAIN</v>
      </c>
      <c r="I52" s="32" t="str">
        <f t="shared" si="7"/>
        <v>thistype.create(81,313,"0.4","",thistype.callbackMarrow Squeeze extends the Pain on target by # seconds);</v>
      </c>
      <c r="J52" s="32" t="str">
        <f t="shared" si="5"/>
        <v>thistype.put(IATTR_CT_PAIN,2,313,0.4,"|cff33ff33Marrow Squeeze extends the Pain on target by "," seconds|r",thistype.callbackCT_PAIN);</v>
      </c>
      <c r="K52" s="26" t="s">
        <v>497</v>
      </c>
      <c r="L52" s="32" t="str">
        <f t="shared" si="6"/>
        <v>public constant integer IATTR_CT_PAIN = 81;</v>
      </c>
    </row>
    <row r="53" spans="1:12" ht="28.5" x14ac:dyDescent="0.25">
      <c r="A53" s="26">
        <v>86</v>
      </c>
      <c r="B53" s="32">
        <v>2</v>
      </c>
      <c r="C53" s="26">
        <v>314</v>
      </c>
      <c r="D53" s="26">
        <v>0.33</v>
      </c>
      <c r="E53" s="29" t="s">
        <v>598</v>
      </c>
      <c r="F53" s="29" t="s">
        <v>650</v>
      </c>
      <c r="G53" s="32" t="s">
        <v>752</v>
      </c>
      <c r="H53" s="32" t="str">
        <f t="shared" si="4"/>
        <v>IATTR_BD_SHIELD</v>
      </c>
      <c r="I53" s="32" t="str">
        <f t="shared" si="7"/>
        <v>thistype.create(86,314,"0.33","",thistype.callbackShield of Sin'dorei provides # extra damage reduction, and forces all nearby enemies to attack you);</v>
      </c>
      <c r="J53" s="32" t="str">
        <f t="shared" si="5"/>
        <v>thistype.put(IATTR_BD_SHIELD,2,314,0.33,"|cff33ff33Shield of Sin'dorei provides "," extra damage reduction, and forces all nearby enemies to attack you|r",thistype.callbackBD_SHIELD);</v>
      </c>
      <c r="K53" s="26" t="s">
        <v>497</v>
      </c>
      <c r="L53" s="32" t="str">
        <f t="shared" si="6"/>
        <v>public constant integer IATTR_BD_SHIELD = 86;</v>
      </c>
    </row>
    <row r="54" spans="1:12" ht="28.5" x14ac:dyDescent="0.25">
      <c r="A54" s="26">
        <v>90</v>
      </c>
      <c r="B54" s="32">
        <v>2</v>
      </c>
      <c r="C54" s="26">
        <v>315</v>
      </c>
      <c r="D54" s="26">
        <v>0.33</v>
      </c>
      <c r="E54" s="29" t="s">
        <v>635</v>
      </c>
      <c r="F54" s="29" t="s">
        <v>691</v>
      </c>
      <c r="G54" s="32" t="s">
        <v>753</v>
      </c>
      <c r="H54" s="32" t="str">
        <f t="shared" si="4"/>
        <v>IATTR_RG_PARALZ</v>
      </c>
      <c r="I54" s="32" t="str">
        <f t="shared" si="7"/>
        <v>thistype.create(90,315,"0.33","",thistype.callbackSinister Strike has a # chance to paralyze target, reduce target spell haste by 20% and gain an extra combo point);</v>
      </c>
      <c r="J54" s="32" t="str">
        <f t="shared" si="5"/>
        <v>thistype.put(IATTR_RG_PARALZ,2,315,0.33,"|cff33ff33Sinister Strike has a "," chance to paralyze target, reduce target spell haste by 20% and gain an extra combo point|r",thistype.callbackRG_PARALZ);</v>
      </c>
      <c r="K54" s="26" t="s">
        <v>497</v>
      </c>
      <c r="L54" s="32" t="str">
        <f t="shared" si="6"/>
        <v>public constant integer IATTR_RG_PARALZ = 90;</v>
      </c>
    </row>
    <row r="55" spans="1:12" x14ac:dyDescent="0.25">
      <c r="A55" s="26">
        <v>92</v>
      </c>
      <c r="B55" s="32">
        <v>2</v>
      </c>
      <c r="C55" s="26">
        <v>317</v>
      </c>
      <c r="D55" s="26">
        <v>0.16</v>
      </c>
      <c r="E55" s="29" t="s">
        <v>859</v>
      </c>
      <c r="F55" s="29" t="s">
        <v>855</v>
      </c>
      <c r="G55" s="32" t="s">
        <v>755</v>
      </c>
      <c r="H55" s="32" t="str">
        <f t="shared" si="4"/>
        <v>IATTR_DR_CDR</v>
      </c>
      <c r="I55" s="32" t="str">
        <f t="shared" si="7"/>
        <v>thistype.create(92,317,"0.16","",thistype.callbackReduce cooldown of Survival Instincts by # seconds (unique));</v>
      </c>
      <c r="J55" s="32" t="str">
        <f t="shared" si="5"/>
        <v>thistype.put(IATTR_DR_CDR,2,317,0.16,"|cff33ff33Reduce cooldown of Survival Instincts by "," seconds (unique)|r",thistype.callbackDR_CDR);</v>
      </c>
      <c r="K55" s="26" t="s">
        <v>497</v>
      </c>
      <c r="L55" s="32" t="str">
        <f t="shared" si="6"/>
        <v>public constant integer IATTR_DR_CDR = 92;</v>
      </c>
    </row>
    <row r="56" spans="1:12" ht="28.5" x14ac:dyDescent="0.25">
      <c r="A56" s="26">
        <v>93</v>
      </c>
      <c r="B56" s="32">
        <v>2</v>
      </c>
      <c r="C56" s="26">
        <v>318</v>
      </c>
      <c r="D56" s="26">
        <v>0.1</v>
      </c>
      <c r="E56" s="29" t="s">
        <v>605</v>
      </c>
      <c r="F56" s="29" t="s">
        <v>852</v>
      </c>
      <c r="G56" s="32" t="s">
        <v>756</v>
      </c>
      <c r="H56" s="32" t="str">
        <f t="shared" si="4"/>
        <v>IATTR_SM_LASH</v>
      </c>
      <c r="I56" s="32" t="str">
        <f t="shared" si="7"/>
        <v>thistype.create(93,318,"0.1","",thistype.callbackStorm Lash has # extra chance to cooldown Earth Shock (unique));</v>
      </c>
      <c r="J56" s="32" t="str">
        <f t="shared" si="5"/>
        <v>thistype.put(IATTR_SM_LASH,2,318,0.1,"|cff33ff33Storm Lash has "," extra chance to cooldown Earth Shock (unique)|r",thistype.callbackSM_LASH);</v>
      </c>
      <c r="K56" s="26" t="s">
        <v>497</v>
      </c>
      <c r="L56" s="32" t="str">
        <f t="shared" si="6"/>
        <v>public constant integer IATTR_SM_LASH = 93;</v>
      </c>
    </row>
    <row r="57" spans="1:12" x14ac:dyDescent="0.25">
      <c r="A57" s="26">
        <v>94</v>
      </c>
      <c r="B57" s="32">
        <v>2</v>
      </c>
      <c r="C57" s="26">
        <v>319</v>
      </c>
      <c r="D57" s="26">
        <v>0.12</v>
      </c>
      <c r="E57" s="29" t="s">
        <v>636</v>
      </c>
      <c r="F57" s="29" t="s">
        <v>851</v>
      </c>
      <c r="G57" s="32" t="s">
        <v>757</v>
      </c>
      <c r="H57" s="32" t="str">
        <f t="shared" si="4"/>
        <v>IATTR_DK_ARROW</v>
      </c>
      <c r="I57" s="32" t="str">
        <f t="shared" si="7"/>
        <v>thistype.create(94,319,"0.12","",thistype.callbackNumber of Dark Arrows increased by # (unique));</v>
      </c>
      <c r="J57" s="32" t="str">
        <f t="shared" si="5"/>
        <v>thistype.put(IATTR_DK_ARROW,2,319,0.12,"|cff33ff33Number of Dark Arrows increased by "," (unique)|r",thistype.callbackDK_ARROW);</v>
      </c>
      <c r="K57" s="26" t="s">
        <v>497</v>
      </c>
      <c r="L57" s="32" t="str">
        <f t="shared" si="6"/>
        <v>public constant integer IATTR_DK_ARROW = 94;</v>
      </c>
    </row>
    <row r="58" spans="1:12" x14ac:dyDescent="0.25">
      <c r="A58" s="26">
        <v>96</v>
      </c>
      <c r="B58" s="32">
        <v>2</v>
      </c>
      <c r="C58" s="26">
        <v>320</v>
      </c>
      <c r="D58" s="26">
        <v>0.2</v>
      </c>
      <c r="E58" s="29" t="s">
        <v>669</v>
      </c>
      <c r="F58" s="29" t="s">
        <v>670</v>
      </c>
      <c r="G58" s="32" t="s">
        <v>758</v>
      </c>
      <c r="H58" s="32" t="str">
        <f t="shared" si="4"/>
        <v>IATTR_MG_FDMG</v>
      </c>
      <c r="I58" s="32" t="str">
        <f t="shared" si="7"/>
        <v>thistype.create(96,320,"0.2","",thistype.callbackIncrease ice spell damage by #);</v>
      </c>
      <c r="J58" s="32" t="str">
        <f t="shared" si="5"/>
        <v>thistype.put(IATTR_MG_FDMG,2,320,0.2,"|cff33ff33Increase ice spell damage by ","|r",thistype.callbackMG_FDMG);</v>
      </c>
      <c r="K58" s="26" t="s">
        <v>497</v>
      </c>
      <c r="L58" s="32" t="str">
        <f t="shared" si="6"/>
        <v>public constant integer IATTR_MG_FDMG = 96;</v>
      </c>
    </row>
    <row r="59" spans="1:12" ht="28.5" x14ac:dyDescent="0.25">
      <c r="A59" s="26">
        <v>70</v>
      </c>
      <c r="B59" s="32">
        <v>2</v>
      </c>
      <c r="C59" s="26">
        <v>322</v>
      </c>
      <c r="D59" s="26">
        <v>0.16</v>
      </c>
      <c r="E59" s="29" t="s">
        <v>603</v>
      </c>
      <c r="F59" s="29" t="s">
        <v>645</v>
      </c>
      <c r="G59" s="32" t="s">
        <v>759</v>
      </c>
      <c r="H59" s="32" t="str">
        <f t="shared" si="4"/>
        <v>IATTR_MG_BLZ</v>
      </c>
      <c r="I59" s="32" t="str">
        <f t="shared" si="7"/>
        <v>thistype.create(70,322,"0.16","",thistype.callback# chance to cast an instant Frost Bolt to targets damaged by Blizzard);</v>
      </c>
      <c r="J59" s="32" t="str">
        <f t="shared" si="5"/>
        <v>thistype.put(IATTR_MG_BLZ,2,322,0.16,"|cff33ff33"," chance to cast an instant Frost Bolt to targets damaged by Blizzard|r",thistype.callbackMG_BLZ);</v>
      </c>
      <c r="K59" s="26" t="s">
        <v>497</v>
      </c>
      <c r="L59" s="32" t="str">
        <f t="shared" si="6"/>
        <v>public constant integer IATTR_MG_BLZ = 70;</v>
      </c>
    </row>
    <row r="60" spans="1:12" ht="28.5" x14ac:dyDescent="0.25">
      <c r="A60" s="26">
        <v>46</v>
      </c>
      <c r="B60" s="32">
        <v>2</v>
      </c>
      <c r="C60" s="26">
        <v>403</v>
      </c>
      <c r="D60" s="26">
        <v>0.15</v>
      </c>
      <c r="E60" s="29" t="s">
        <v>613</v>
      </c>
      <c r="F60" s="29" t="s">
        <v>692</v>
      </c>
      <c r="G60" s="32" t="s">
        <v>763</v>
      </c>
      <c r="H60" s="32" t="str">
        <f t="shared" si="4"/>
        <v>IATTR_ATK_CTHUN</v>
      </c>
      <c r="I60" s="32" t="str">
        <f t="shared" si="7"/>
        <v>thistype.create(46,403,"0.15","",thistype.callbackOn Attack: Increase attack speed by 1% per attack, stacks up to #, lasts for 3 seconds);</v>
      </c>
      <c r="J60" s="32" t="str">
        <f t="shared" si="5"/>
        <v>thistype.put(IATTR_ATK_CTHUN,2,403,0.15,"|cff33ff33On Attack: Increase attack speed by 1% per attack, stacks up to ",", lasts for 3 seconds|r",thistype.callbackATK_CTHUN);</v>
      </c>
      <c r="K60" s="26" t="s">
        <v>497</v>
      </c>
      <c r="L60" s="32" t="str">
        <f t="shared" si="6"/>
        <v>public constant integer IATTR_ATK_CTHUN = 46;</v>
      </c>
    </row>
    <row r="61" spans="1:12" x14ac:dyDescent="0.25">
      <c r="A61" s="26">
        <v>47</v>
      </c>
      <c r="B61" s="32">
        <v>2</v>
      </c>
      <c r="C61" s="26">
        <v>404</v>
      </c>
      <c r="D61" s="26">
        <v>0.2</v>
      </c>
      <c r="E61" s="29" t="s">
        <v>612</v>
      </c>
      <c r="F61" s="29" t="s">
        <v>693</v>
      </c>
      <c r="G61" s="32" t="s">
        <v>764</v>
      </c>
      <c r="H61" s="32" t="str">
        <f t="shared" si="4"/>
        <v>IATTR_ATK_WF</v>
      </c>
      <c r="I61" s="32" t="str">
        <f t="shared" si="7"/>
        <v>thistype.create(47,404,"0.2","",thistype.callbackOn Attack: # chance to knock back target);</v>
      </c>
      <c r="J61" s="32" t="str">
        <f t="shared" si="5"/>
        <v>thistype.put(IATTR_ATK_WF,2,404,0.2,"|cff33ff33On Attack: "," chance to knock back target|r",thistype.callbackATK_WF);</v>
      </c>
      <c r="K61" s="26" t="s">
        <v>497</v>
      </c>
      <c r="L61" s="32" t="str">
        <f t="shared" si="6"/>
        <v>public constant integer IATTR_ATK_WF = 47;</v>
      </c>
    </row>
    <row r="62" spans="1:12" ht="28.5" x14ac:dyDescent="0.25">
      <c r="A62" s="26">
        <v>48</v>
      </c>
      <c r="B62" s="32">
        <v>2</v>
      </c>
      <c r="C62" s="26">
        <v>405</v>
      </c>
      <c r="D62" s="26">
        <v>0.16</v>
      </c>
      <c r="E62" s="29" t="s">
        <v>594</v>
      </c>
      <c r="F62" s="29" t="s">
        <v>694</v>
      </c>
      <c r="G62" s="32" t="s">
        <v>765</v>
      </c>
      <c r="H62" s="32" t="str">
        <f t="shared" si="4"/>
        <v>IATTR_ATK_LION</v>
      </c>
      <c r="I62" s="32" t="str">
        <f t="shared" si="7"/>
        <v>thistype.create(48,405,"0.16","",thistype.callbackOn Attack: # chance to increase 30% attack speed, lasts for 5 seconds);</v>
      </c>
      <c r="J62" s="32" t="str">
        <f t="shared" si="5"/>
        <v>thistype.put(IATTR_ATK_LION,2,405,0.16,"|cff33ff33On Attack: "," chance to increase 30% attack speed, lasts for 5 seconds|r",thistype.callbackATK_LION);</v>
      </c>
      <c r="K62" s="26" t="s">
        <v>497</v>
      </c>
      <c r="L62" s="32" t="str">
        <f t="shared" si="6"/>
        <v>public constant integer IATTR_ATK_LION = 48;</v>
      </c>
    </row>
    <row r="63" spans="1:12" ht="28.5" x14ac:dyDescent="0.25">
      <c r="A63" s="26">
        <v>49</v>
      </c>
      <c r="B63" s="32">
        <v>2</v>
      </c>
      <c r="C63" s="26">
        <v>406</v>
      </c>
      <c r="D63" s="26">
        <v>0.7</v>
      </c>
      <c r="E63" s="29" t="s">
        <v>619</v>
      </c>
      <c r="F63" s="29" t="s">
        <v>831</v>
      </c>
      <c r="G63" s="32" t="s">
        <v>766</v>
      </c>
      <c r="H63" s="32" t="str">
        <f t="shared" si="4"/>
        <v>IATTR_ATK_MOONWAVE</v>
      </c>
      <c r="I63" s="32" t="str">
        <f t="shared" si="7"/>
        <v>thistype.create(49,406,"0.7","",thistype.callbackOn Attack: 10% chance to consume 5% of max MP, deals # magic damage to all enemies in a row);</v>
      </c>
      <c r="J63" s="32" t="str">
        <f t="shared" si="5"/>
        <v>thistype.put(IATTR_ATK_MOONWAVE,2,406,0.7,"|cff33ff33On Attack: 10% chance to consume 5% of max MP, deals "," magic damage to all enemies in a row|r",thistype.callbackATK_MOONWAVE);</v>
      </c>
      <c r="K63" s="26" t="s">
        <v>497</v>
      </c>
      <c r="L63" s="32" t="str">
        <f t="shared" si="6"/>
        <v>public constant integer IATTR_ATK_MOONWAVE = 49;</v>
      </c>
    </row>
    <row r="64" spans="1:12" ht="28.5" x14ac:dyDescent="0.25">
      <c r="A64" s="26">
        <v>50</v>
      </c>
      <c r="B64" s="32">
        <v>2</v>
      </c>
      <c r="C64" s="26">
        <v>407</v>
      </c>
      <c r="D64" s="26">
        <v>0.7</v>
      </c>
      <c r="E64" s="29" t="s">
        <v>644</v>
      </c>
      <c r="F64" s="29" t="s">
        <v>695</v>
      </c>
      <c r="G64" s="32" t="s">
        <v>767</v>
      </c>
      <c r="H64" s="32" t="str">
        <f t="shared" si="4"/>
        <v>IATTR_ATK_POISNOVA</v>
      </c>
      <c r="I64" s="32" t="str">
        <f t="shared" si="7"/>
        <v>thistype.create(50,407,"0.7","",thistype.callbackOn Attack: 15% chance to cast poison nova, dealing # magic damage over time to all enemies within 600 yards);</v>
      </c>
      <c r="J64" s="32" t="str">
        <f t="shared" si="5"/>
        <v>thistype.put(IATTR_ATK_POISNOVA,2,407,0.7,"|cff33ff33On Attack: 15% chance to cast poison nova, dealing "," magic damage over time to all enemies within 600 yards|r",thistype.callbackATK_POISNOVA);</v>
      </c>
      <c r="K64" s="26" t="s">
        <v>497</v>
      </c>
      <c r="L64" s="32" t="str">
        <f t="shared" si="6"/>
        <v>public constant integer IATTR_ATK_POISNOVA = 50;</v>
      </c>
    </row>
    <row r="65" spans="1:12" ht="28.5" x14ac:dyDescent="0.25">
      <c r="A65" s="26">
        <v>51</v>
      </c>
      <c r="B65" s="32">
        <v>2</v>
      </c>
      <c r="C65" s="26">
        <v>408</v>
      </c>
      <c r="D65" s="26">
        <v>0.7</v>
      </c>
      <c r="E65" s="29" t="s">
        <v>651</v>
      </c>
      <c r="F65" s="29" t="s">
        <v>832</v>
      </c>
      <c r="G65" s="32" t="s">
        <v>768</v>
      </c>
      <c r="H65" s="32" t="str">
        <f t="shared" si="4"/>
        <v>IATTR_ATK_COIL</v>
      </c>
      <c r="I65" s="32" t="str">
        <f t="shared" si="7"/>
        <v>thistype.create(51,408,"0.7","",thistype.callbackOn Attack: 15% chance to cast Death Coil, deals # magic damage to target. Target takes 3% extra damge);</v>
      </c>
      <c r="J65" s="32" t="str">
        <f t="shared" si="5"/>
        <v>thistype.put(IATTR_ATK_COIL,2,408,0.7,"|cff33ff33On Attack: 15% chance to cast Death Coil, deals "," magic damage to target. Target takes 3% extra damge|r",thistype.callbackATK_COIL);</v>
      </c>
      <c r="K65" s="26" t="s">
        <v>497</v>
      </c>
      <c r="L65" s="32" t="str">
        <f t="shared" si="6"/>
        <v>public constant integer IATTR_ATK_COIL = 51;</v>
      </c>
    </row>
    <row r="66" spans="1:12" ht="42.75" x14ac:dyDescent="0.25">
      <c r="A66" s="26">
        <v>52</v>
      </c>
      <c r="B66" s="32">
        <v>2</v>
      </c>
      <c r="C66" s="26">
        <v>409</v>
      </c>
      <c r="D66" s="26">
        <v>0.7</v>
      </c>
      <c r="E66" s="29" t="s">
        <v>656</v>
      </c>
      <c r="F66" s="29" t="s">
        <v>696</v>
      </c>
      <c r="G66" s="32" t="s">
        <v>769</v>
      </c>
      <c r="H66" s="32" t="str">
        <f t="shared" ref="H66:H97" si="8">"IATTR_"&amp;G66</f>
        <v>IATTR_ATK_BLEED</v>
      </c>
      <c r="I66" s="32" t="str">
        <f t="shared" si="7"/>
        <v>thistype.create(52,409,"0.7","",thistype.callbackOn Attack: 20% chance to deal bleed effect to target. Target takes # physical damage over time, lasts for 10 seconds);</v>
      </c>
      <c r="J66" s="32" t="str">
        <f t="shared" ref="J66:J97" si="9">CodeGenAttrEN($A66:$H66)</f>
        <v>thistype.put(IATTR_ATK_BLEED,2,409,0.7,"|cff33ff33On Attack: 20% chance to deal bleed effect to target. Target takes "," physical damage over time, lasts for 10 seconds|r",thistype.callbackATK_BLEED);</v>
      </c>
      <c r="K66" s="26" t="s">
        <v>497</v>
      </c>
      <c r="L66" s="32" t="str">
        <f t="shared" ref="L66:L97" si="10">"public constant integer IATTR_"&amp;G66&amp;" = "&amp;A66&amp;";"</f>
        <v>public constant integer IATTR_ATK_BLEED = 52;</v>
      </c>
    </row>
    <row r="67" spans="1:12" x14ac:dyDescent="0.25">
      <c r="A67" s="26">
        <v>53</v>
      </c>
      <c r="B67" s="32">
        <v>2</v>
      </c>
      <c r="C67" s="26">
        <v>410</v>
      </c>
      <c r="D67" s="26">
        <v>0.7</v>
      </c>
      <c r="E67" s="29" t="s">
        <v>588</v>
      </c>
      <c r="F67" s="29" t="s">
        <v>833</v>
      </c>
      <c r="G67" s="32" t="s">
        <v>771</v>
      </c>
      <c r="H67" s="32" t="str">
        <f t="shared" si="8"/>
        <v>IATTR_ATK_MDC</v>
      </c>
      <c r="I67" s="32" t="str">
        <f t="shared" ref="I67:I97" si="11">CodeGenAttrCN(A67:H67)</f>
        <v>thistype.create(53,410,"0.7","",thistype.callbackOn Attack: 25% chance to deal # magic damage to target);</v>
      </c>
      <c r="J67" s="32" t="str">
        <f t="shared" si="9"/>
        <v>thistype.put(IATTR_ATK_MDC,2,410,0.7,"|cff33ff33On Attack: 25% chance to deal "," magic damage to target|r",thistype.callbackATK_MDC);</v>
      </c>
      <c r="K67" s="26" t="s">
        <v>497</v>
      </c>
      <c r="L67" s="32" t="str">
        <f t="shared" si="10"/>
        <v>public constant integer IATTR_ATK_MDC = 53;</v>
      </c>
    </row>
    <row r="68" spans="1:12" x14ac:dyDescent="0.25">
      <c r="A68" s="26">
        <v>54</v>
      </c>
      <c r="B68" s="32">
        <v>2</v>
      </c>
      <c r="C68" s="26">
        <v>411</v>
      </c>
      <c r="D68" s="26">
        <v>0.2</v>
      </c>
      <c r="E68" s="29" t="s">
        <v>657</v>
      </c>
      <c r="F68" s="29" t="s">
        <v>697</v>
      </c>
      <c r="G68" s="32" t="s">
        <v>772</v>
      </c>
      <c r="H68" s="32" t="str">
        <f t="shared" si="8"/>
        <v>IATTR_ATK_STUN</v>
      </c>
      <c r="I68" s="32" t="str">
        <f t="shared" si="11"/>
        <v>thistype.create(54,411,"0.2","",thistype.callbackOn Attack: 5% chance to stun target for # seconds);</v>
      </c>
      <c r="J68" s="32" t="str">
        <f t="shared" si="9"/>
        <v>thistype.put(IATTR_ATK_STUN,2,411,0.2,"|cff33ff33On Attack: 5% chance to stun target for "," seconds|r",thistype.callbackATK_STUN);</v>
      </c>
      <c r="K68" s="26" t="s">
        <v>497</v>
      </c>
      <c r="L68" s="32" t="str">
        <f t="shared" si="10"/>
        <v>public constant integer IATTR_ATK_STUN = 54;</v>
      </c>
    </row>
    <row r="69" spans="1:12" ht="28.5" x14ac:dyDescent="0.25">
      <c r="A69" s="26">
        <v>55</v>
      </c>
      <c r="B69" s="32">
        <v>2</v>
      </c>
      <c r="C69" s="26">
        <v>412</v>
      </c>
      <c r="D69" s="26">
        <v>0.2</v>
      </c>
      <c r="E69" s="29" t="s">
        <v>658</v>
      </c>
      <c r="F69" s="29" t="s">
        <v>698</v>
      </c>
      <c r="G69" s="32" t="s">
        <v>773</v>
      </c>
      <c r="H69" s="32" t="str">
        <f t="shared" si="8"/>
        <v>IATTR_ATK_CRIT</v>
      </c>
      <c r="I69" s="32" t="str">
        <f t="shared" si="11"/>
        <v>thistype.create(55,412,"0.2","",thistype.callbackOn Attack: 5% chance to increase # attack critical chance, lasts for 5 seconds);</v>
      </c>
      <c r="J69" s="32" t="str">
        <f t="shared" si="9"/>
        <v>thistype.put(IATTR_ATK_CRIT,2,412,0.2,"|cff33ff33On Attack: 5% chance to increase "," attack critical chance, lasts for 5 seconds|r",thistype.callbackATK_CRIT);</v>
      </c>
      <c r="K69" s="26" t="s">
        <v>497</v>
      </c>
      <c r="L69" s="32" t="str">
        <f t="shared" si="10"/>
        <v>public constant integer IATTR_ATK_CRIT = 55;</v>
      </c>
    </row>
    <row r="70" spans="1:12" x14ac:dyDescent="0.25">
      <c r="A70" s="26">
        <v>56</v>
      </c>
      <c r="B70" s="32">
        <v>2</v>
      </c>
      <c r="C70" s="26">
        <v>413</v>
      </c>
      <c r="D70" s="26">
        <v>0.1</v>
      </c>
      <c r="E70" s="29" t="s">
        <v>839</v>
      </c>
      <c r="F70" s="29" t="s">
        <v>838</v>
      </c>
      <c r="G70" s="32" t="s">
        <v>774</v>
      </c>
      <c r="H70" s="32" t="str">
        <f t="shared" si="8"/>
        <v>IATTR_ATK_AMP</v>
      </c>
      <c r="I70" s="32" t="str">
        <f t="shared" si="11"/>
        <v>thistype.create(56,413,"0.1","",thistype.callbackOn Attack: Target takes # extra damage);</v>
      </c>
      <c r="J70" s="32" t="str">
        <f t="shared" si="9"/>
        <v>thistype.put(IATTR_ATK_AMP,2,413,0.1,"|cff33ff33On Attack: Target takes "," extra damage|r",thistype.callbackATK_AMP);</v>
      </c>
      <c r="K70" s="26" t="s">
        <v>497</v>
      </c>
      <c r="L70" s="32" t="str">
        <f t="shared" si="10"/>
        <v>public constant integer IATTR_ATK_AMP = 56;</v>
      </c>
    </row>
    <row r="71" spans="1:12" x14ac:dyDescent="0.25">
      <c r="A71" s="26">
        <v>59</v>
      </c>
      <c r="B71" s="32">
        <v>2</v>
      </c>
      <c r="C71" s="26">
        <v>416</v>
      </c>
      <c r="D71" s="26">
        <v>0.1</v>
      </c>
      <c r="E71" s="29" t="s">
        <v>611</v>
      </c>
      <c r="F71" s="29" t="s">
        <v>699</v>
      </c>
      <c r="G71" s="32" t="s">
        <v>776</v>
      </c>
      <c r="H71" s="32" t="str">
        <f t="shared" si="8"/>
        <v>IATTR_ATK_MORTAL</v>
      </c>
      <c r="I71" s="32" t="str">
        <f t="shared" si="11"/>
        <v>thistype.create(59,416,"0.1","",thistype.callbackOn Attack: Decrease target healing taken by #);</v>
      </c>
      <c r="J71" s="32" t="str">
        <f t="shared" si="9"/>
        <v>thistype.put(IATTR_ATK_MORTAL,2,416,0.1,"|cff33ff33On Attack: Decrease target healing taken by ","|r",thistype.callbackATK_MORTAL);</v>
      </c>
      <c r="K71" s="26" t="s">
        <v>497</v>
      </c>
      <c r="L71" s="32" t="str">
        <f t="shared" si="10"/>
        <v>public constant integer IATTR_ATK_MORTAL = 59;</v>
      </c>
    </row>
    <row r="72" spans="1:12" x14ac:dyDescent="0.25">
      <c r="A72" s="26">
        <v>60</v>
      </c>
      <c r="B72" s="32">
        <v>2</v>
      </c>
      <c r="C72" s="26">
        <v>417</v>
      </c>
      <c r="D72" s="26">
        <v>0.1</v>
      </c>
      <c r="E72" s="29" t="s">
        <v>609</v>
      </c>
      <c r="F72" s="29" t="s">
        <v>700</v>
      </c>
      <c r="G72" s="32" t="s">
        <v>777</v>
      </c>
      <c r="H72" s="32" t="str">
        <f t="shared" si="8"/>
        <v>IATTR_ATK_MISS</v>
      </c>
      <c r="I72" s="32" t="str">
        <f t="shared" si="11"/>
        <v>thistype.create(60,417,"0.1","",thistype.callbackOn Attack: Decrease target attack hit chance by #);</v>
      </c>
      <c r="J72" s="32" t="str">
        <f t="shared" si="9"/>
        <v>thistype.put(IATTR_ATK_MISS,2,417,0.1,"|cff33ff33On Attack: Decrease target attack hit chance by ","|r",thistype.callbackATK_MISS);</v>
      </c>
      <c r="K72" s="26" t="s">
        <v>497</v>
      </c>
      <c r="L72" s="32" t="str">
        <f t="shared" si="10"/>
        <v>public constant integer IATTR_ATK_MISS = 60;</v>
      </c>
    </row>
    <row r="73" spans="1:12" x14ac:dyDescent="0.25">
      <c r="A73" s="26">
        <v>61</v>
      </c>
      <c r="B73" s="32">
        <v>2</v>
      </c>
      <c r="C73" s="26">
        <v>418</v>
      </c>
      <c r="D73" s="26">
        <v>0.1</v>
      </c>
      <c r="E73" s="29" t="s">
        <v>608</v>
      </c>
      <c r="F73" s="29" t="s">
        <v>701</v>
      </c>
      <c r="G73" s="32" t="s">
        <v>778</v>
      </c>
      <c r="H73" s="32" t="str">
        <f t="shared" si="8"/>
        <v>IATTR_ATK_DDEF</v>
      </c>
      <c r="I73" s="32" t="str">
        <f t="shared" si="11"/>
        <v>thistype.create(61,418,"0.1","",thistype.callbackOn Attack: Decrease target armor by #);</v>
      </c>
      <c r="J73" s="32" t="str">
        <f>CodeGenAttrEN($A73:$H73)</f>
        <v>thistype.put(IATTR_ATK_DDEF,2,418,0.1,"|cff33ff33On Attack: Decrease target armor by ","|r",thistype.callbackATK_DDEF);</v>
      </c>
      <c r="K73" s="26" t="s">
        <v>497</v>
      </c>
      <c r="L73" s="32" t="str">
        <f t="shared" si="10"/>
        <v>public constant integer IATTR_ATK_DDEF = 61;</v>
      </c>
    </row>
    <row r="74" spans="1:12" x14ac:dyDescent="0.25">
      <c r="A74" s="26">
        <v>62</v>
      </c>
      <c r="B74" s="32">
        <v>2</v>
      </c>
      <c r="C74" s="26">
        <v>419</v>
      </c>
      <c r="D74" s="26">
        <v>0.1</v>
      </c>
      <c r="E74" s="29" t="s">
        <v>607</v>
      </c>
      <c r="F74" s="29" t="s">
        <v>702</v>
      </c>
      <c r="G74" s="32" t="s">
        <v>780</v>
      </c>
      <c r="H74" s="32" t="str">
        <f t="shared" si="8"/>
        <v>IATTR_ATK_DAS</v>
      </c>
      <c r="I74" s="32" t="str">
        <f t="shared" si="11"/>
        <v>thistype.create(62,419,"0.1","",thistype.callbackOn Attack: Decrease target attack speed by #);</v>
      </c>
      <c r="J74" s="32" t="str">
        <f t="shared" si="9"/>
        <v>thistype.put(IATTR_ATK_DAS,2,419,0.1,"|cff33ff33On Attack: Decrease target attack speed by ","|r",thistype.callbackATK_DAS);</v>
      </c>
      <c r="K74" s="26" t="s">
        <v>497</v>
      </c>
      <c r="L74" s="32" t="str">
        <f t="shared" si="10"/>
        <v>public constant integer IATTR_ATK_DAS = 62;</v>
      </c>
    </row>
    <row r="75" spans="1:12" x14ac:dyDescent="0.25">
      <c r="A75" s="26">
        <v>63</v>
      </c>
      <c r="B75" s="32">
        <v>2</v>
      </c>
      <c r="C75" s="26">
        <v>420</v>
      </c>
      <c r="D75" s="26">
        <v>0.1</v>
      </c>
      <c r="E75" s="29" t="s">
        <v>837</v>
      </c>
      <c r="F75" s="29" t="s">
        <v>703</v>
      </c>
      <c r="G75" s="32" t="s">
        <v>779</v>
      </c>
      <c r="H75" s="32" t="str">
        <f t="shared" si="8"/>
        <v>IATTR_ATK_DMS</v>
      </c>
      <c r="I75" s="32" t="str">
        <f t="shared" si="11"/>
        <v>thistype.create(63,420,"0.1","",thistype.callbackOn Attack: Decrease target movement speed by #);</v>
      </c>
      <c r="J75" s="32" t="str">
        <f t="shared" si="9"/>
        <v>thistype.put(IATTR_ATK_DMS,2,420,0.1,"|cff33ff33On Attack: Decrease target movement speed by ","|r",thistype.callbackATK_DMS);</v>
      </c>
      <c r="K75" s="26" t="s">
        <v>497</v>
      </c>
      <c r="L75" s="32" t="str">
        <f t="shared" si="10"/>
        <v>public constant integer IATTR_ATK_DMS = 63;</v>
      </c>
    </row>
    <row r="76" spans="1:12" x14ac:dyDescent="0.25">
      <c r="A76" s="26">
        <v>64</v>
      </c>
      <c r="B76" s="32">
        <v>2</v>
      </c>
      <c r="C76" s="26">
        <v>421</v>
      </c>
      <c r="D76" s="26">
        <v>0.1</v>
      </c>
      <c r="E76" s="29" t="s">
        <v>610</v>
      </c>
      <c r="F76" s="29" t="s">
        <v>704</v>
      </c>
      <c r="G76" s="32" t="s">
        <v>781</v>
      </c>
      <c r="H76" s="32" t="str">
        <f t="shared" si="8"/>
        <v>IATTR_ATK_WEAK</v>
      </c>
      <c r="I76" s="32" t="str">
        <f t="shared" si="11"/>
        <v>thistype.create(64,421,"0.1","",thistype.callbackOn Attack: Decrease target damage and healing dealt by #);</v>
      </c>
      <c r="J76" s="32" t="str">
        <f t="shared" si="9"/>
        <v>thistype.put(IATTR_ATK_WEAK,2,421,0.1,"|cff33ff33On Attack: Decrease target damage and healing dealt by ","|r",thistype.callbackATK_WEAK);</v>
      </c>
      <c r="K76" s="26" t="s">
        <v>497</v>
      </c>
      <c r="L76" s="32" t="str">
        <f t="shared" si="10"/>
        <v>public constant integer IATTR_ATK_WEAK = 64;</v>
      </c>
    </row>
    <row r="77" spans="1:12" ht="28.5" x14ac:dyDescent="0.25">
      <c r="A77" s="26">
        <v>75</v>
      </c>
      <c r="B77" s="32">
        <v>2</v>
      </c>
      <c r="C77" s="26">
        <v>430</v>
      </c>
      <c r="D77" s="26">
        <v>0.7</v>
      </c>
      <c r="E77" s="29" t="s">
        <v>646</v>
      </c>
      <c r="F77" s="29" t="s">
        <v>834</v>
      </c>
      <c r="G77" s="32" t="s">
        <v>782</v>
      </c>
      <c r="H77" s="32" t="str">
        <f t="shared" si="8"/>
        <v>IATTR_3ATK_MOONEXP</v>
      </c>
      <c r="I77" s="32" t="str">
        <f t="shared" si="11"/>
        <v>thistype.create(75,430,"0.7","",thistype.callbackEvery Third Attack: Consumes 5% of max MP, deals # magic damage to all enemies nearby);</v>
      </c>
      <c r="J77" s="32" t="str">
        <f t="shared" si="9"/>
        <v>thistype.put(IATTR_3ATK_MOONEXP,2,430,0.7,"|cff33ff33Every Third Attack: Consumes 5% of max MP, deals "," magic damage to all enemies nearby|r",thistype.callback3ATK_MOONEXP);</v>
      </c>
      <c r="K77" s="26" t="s">
        <v>497</v>
      </c>
      <c r="L77" s="32" t="str">
        <f t="shared" si="10"/>
        <v>public constant integer IATTR_3ATK_MOONEXP = 75;</v>
      </c>
    </row>
    <row r="78" spans="1:12" ht="28.5" x14ac:dyDescent="0.25">
      <c r="A78" s="26">
        <v>87</v>
      </c>
      <c r="B78" s="32">
        <v>2</v>
      </c>
      <c r="C78" s="26">
        <v>450</v>
      </c>
      <c r="D78" s="26">
        <v>0.5</v>
      </c>
      <c r="E78" s="29" t="s">
        <v>597</v>
      </c>
      <c r="F78" s="29" t="s">
        <v>881</v>
      </c>
      <c r="G78" s="32" t="s">
        <v>783</v>
      </c>
      <c r="H78" s="32" t="str">
        <f t="shared" si="8"/>
        <v>IATTR_MD_MREGEN</v>
      </c>
      <c r="I78" s="32" t="str">
        <f t="shared" si="11"/>
        <v>thistype.create(87,450,"0.5","",thistype.callbackDealing Magical Damage or Healing: 1% chance to regen # MP);</v>
      </c>
      <c r="J78" s="32" t="str">
        <f t="shared" si="9"/>
        <v>thistype.put(IATTR_MD_MREGEN,2,450,0.5,"|cff33ff33Dealing Magical Damage or Healing: 1% chance to regen "," MP|r",thistype.callbackMD_MREGEN);</v>
      </c>
      <c r="K78" s="26" t="s">
        <v>497</v>
      </c>
      <c r="L78" s="32" t="str">
        <f t="shared" si="10"/>
        <v>public constant integer IATTR_MD_MREGEN = 87;</v>
      </c>
    </row>
    <row r="79" spans="1:12" ht="28.5" x14ac:dyDescent="0.25">
      <c r="A79" s="26">
        <v>88</v>
      </c>
      <c r="B79" s="32">
        <v>2</v>
      </c>
      <c r="C79" s="26">
        <v>451</v>
      </c>
      <c r="D79" s="26">
        <v>0.7</v>
      </c>
      <c r="E79" s="29" t="s">
        <v>618</v>
      </c>
      <c r="F79" s="29" t="s">
        <v>882</v>
      </c>
      <c r="G79" s="32" t="s">
        <v>784</v>
      </c>
      <c r="H79" s="32" t="str">
        <f t="shared" si="8"/>
        <v>IATTR_MD_POISON</v>
      </c>
      <c r="I79" s="32" t="str">
        <f t="shared" si="11"/>
        <v>thistype.create(88,451,"0.7","",thistype.callbackDealing Magical Damage: 10% chance to poison target, dealing # magic damage over time);</v>
      </c>
      <c r="J79" s="32" t="str">
        <f t="shared" si="9"/>
        <v>thistype.put(IATTR_MD_POISON,2,451,0.7,"|cff33ff33Dealing Magical Damage: 10% chance to poison target, dealing "," magic damage over time|r",thistype.callbackMD_POISON);</v>
      </c>
      <c r="K79" s="26" t="s">
        <v>497</v>
      </c>
      <c r="L79" s="32" t="str">
        <f t="shared" si="10"/>
        <v>public constant integer IATTR_MD_POISON = 88;</v>
      </c>
    </row>
    <row r="80" spans="1:12" ht="28.5" x14ac:dyDescent="0.25">
      <c r="A80" s="26">
        <v>89</v>
      </c>
      <c r="B80" s="32">
        <v>2</v>
      </c>
      <c r="C80" s="26">
        <v>452</v>
      </c>
      <c r="D80" s="26">
        <v>0.7</v>
      </c>
      <c r="E80" s="29" t="s">
        <v>615</v>
      </c>
      <c r="F80" s="29" t="s">
        <v>883</v>
      </c>
      <c r="G80" s="32" t="s">
        <v>785</v>
      </c>
      <c r="H80" s="32" t="str">
        <f t="shared" si="8"/>
        <v>IATTR_MD_CHAIN</v>
      </c>
      <c r="I80" s="32" t="str">
        <f t="shared" si="11"/>
        <v>thistype.create(89,452,"0.7","",thistype.callbackDealing Magical Damage: 10% chance to cast Chain Lightning to target, dealing # magic damage);</v>
      </c>
      <c r="J80" s="32" t="str">
        <f t="shared" si="9"/>
        <v>thistype.put(IATTR_MD_CHAIN,2,452,0.7,"|cff33ff33Dealing Magical Damage: 10% chance to cast Chain Lightning to target, dealing "," magic damage|r",thistype.callbackMD_CHAIN);</v>
      </c>
      <c r="K80" s="26" t="s">
        <v>497</v>
      </c>
      <c r="L80" s="32" t="str">
        <f t="shared" si="10"/>
        <v>public constant integer IATTR_MD_CHAIN = 89;</v>
      </c>
    </row>
    <row r="81" spans="1:12" ht="42.75" x14ac:dyDescent="0.25">
      <c r="A81" s="26">
        <v>77</v>
      </c>
      <c r="B81" s="32">
        <v>2</v>
      </c>
      <c r="C81" s="26">
        <v>460</v>
      </c>
      <c r="D81" s="26">
        <v>0.5</v>
      </c>
      <c r="E81" s="29" t="s">
        <v>595</v>
      </c>
      <c r="F81" s="29" t="s">
        <v>884</v>
      </c>
      <c r="G81" s="32" t="s">
        <v>786</v>
      </c>
      <c r="H81" s="32" t="str">
        <f t="shared" si="8"/>
        <v>IATTR_MDC_ARCANE</v>
      </c>
      <c r="I81" s="32" t="str">
        <f t="shared" si="11"/>
        <v>thistype.create(77,460,"0.5","",thistype.callbackMagical Damage Critical: Charges with arcane power. All arcane power will be released automatically after 3 stacks, dealing # magic damage to target);</v>
      </c>
      <c r="J81" s="32" t="str">
        <f t="shared" si="9"/>
        <v>thistype.put(IATTR_MDC_ARCANE,2,460,0.5,"|cff33ff33Magical Damage Critical: Charges with arcane power. All arcane power will be released automatically after 3 stacks, dealing "," magic damage to target|r",thistype.callbackMDC_ARCANE);</v>
      </c>
      <c r="K81" s="26" t="s">
        <v>497</v>
      </c>
      <c r="L81" s="32" t="str">
        <f t="shared" si="10"/>
        <v>public constant integer IATTR_MDC_ARCANE = 77;</v>
      </c>
    </row>
    <row r="82" spans="1:12" x14ac:dyDescent="0.25">
      <c r="A82" s="26">
        <v>42</v>
      </c>
      <c r="B82" s="32">
        <v>2</v>
      </c>
      <c r="C82" s="26">
        <v>501</v>
      </c>
      <c r="D82" s="26">
        <v>0.33</v>
      </c>
      <c r="E82" s="29" t="s">
        <v>843</v>
      </c>
      <c r="F82" s="29" t="s">
        <v>844</v>
      </c>
      <c r="G82" s="32" t="s">
        <v>789</v>
      </c>
      <c r="H82" s="32" t="str">
        <f t="shared" si="8"/>
        <v>IATTR_HEAL_HOLY</v>
      </c>
      <c r="I82" s="32" t="str">
        <f t="shared" si="11"/>
        <v>thistype.create(42,501,"0.33","",thistype.callbackOn Healed: Charges 1 holy power, stacks up to # points);</v>
      </c>
      <c r="J82" s="32" t="str">
        <f t="shared" si="9"/>
        <v>thistype.put(IATTR_HEAL_HOLY,2,501,0.33,"|cff33ff33On Healed: Charges 1 holy power, stacks up to "," points|r",thistype.callbackHEAL_HOLY);</v>
      </c>
      <c r="K82" s="26" t="s">
        <v>497</v>
      </c>
      <c r="L82" s="32" t="str">
        <f t="shared" si="10"/>
        <v>public constant integer IATTR_HEAL_HOLY = 42;</v>
      </c>
    </row>
    <row r="83" spans="1:12" x14ac:dyDescent="0.25">
      <c r="A83" s="26">
        <v>41</v>
      </c>
      <c r="B83" s="32">
        <v>2</v>
      </c>
      <c r="C83" s="26">
        <v>600</v>
      </c>
      <c r="D83" s="26">
        <v>0.33</v>
      </c>
      <c r="E83" s="29" t="s">
        <v>643</v>
      </c>
      <c r="F83" s="29" t="s">
        <v>707</v>
      </c>
      <c r="G83" s="32" t="s">
        <v>788</v>
      </c>
      <c r="H83" s="32" t="str">
        <f t="shared" si="8"/>
        <v>IATTR_ATKED_WEAK</v>
      </c>
      <c r="I83" s="32" t="str">
        <f t="shared" si="11"/>
        <v>thistype.create(41,600,"0.33","",thistype.callbackOn Attacked: Decreases attacker's attack power by #);</v>
      </c>
      <c r="J83" s="32" t="str">
        <f t="shared" si="9"/>
        <v>thistype.put(IATTR_ATKED_WEAK,2,600,0.33,"|cff33ff33On Attacked: Decreases attacker's attack power by ","|r",thistype.callbackATKED_WEAK);</v>
      </c>
      <c r="K83" s="26" t="s">
        <v>497</v>
      </c>
      <c r="L83" s="32" t="str">
        <f t="shared" si="10"/>
        <v>public constant integer IATTR_ATKED_WEAK = 41;</v>
      </c>
    </row>
    <row r="84" spans="1:12" ht="28.5" x14ac:dyDescent="0.25">
      <c r="A84" s="26">
        <v>82</v>
      </c>
      <c r="B84" s="32">
        <v>2</v>
      </c>
      <c r="C84" s="26">
        <v>800</v>
      </c>
      <c r="D84" s="26">
        <v>0.1</v>
      </c>
      <c r="E84" s="29" t="s">
        <v>616</v>
      </c>
      <c r="F84" s="29" t="s">
        <v>835</v>
      </c>
      <c r="G84" s="32" t="s">
        <v>790</v>
      </c>
      <c r="H84" s="32" t="str">
        <f t="shared" si="8"/>
        <v>IATTR_AURA_CONVIC</v>
      </c>
      <c r="I84" s="32" t="str">
        <f t="shared" si="11"/>
        <v>thistype.create(82,800,"0.1","",thistype.callbackGrant Aura of Conviction: All enemies within 600 yards take # more magic damage);</v>
      </c>
      <c r="J84" s="32" t="str">
        <f t="shared" si="9"/>
        <v>thistype.put(IATTR_AURA_CONVIC,2,800,0.1,"|cff33ff33Grant Aura of Conviction: All enemies within 600 yards take "," more magic damage|r",thistype.callbackAURA_CONVIC);</v>
      </c>
      <c r="K84" s="26" t="s">
        <v>497</v>
      </c>
      <c r="L84" s="32" t="str">
        <f t="shared" si="10"/>
        <v>public constant integer IATTR_AURA_CONVIC = 82;</v>
      </c>
    </row>
    <row r="85" spans="1:12" ht="28.5" x14ac:dyDescent="0.25">
      <c r="A85" s="26">
        <v>83</v>
      </c>
      <c r="B85" s="32">
        <v>2</v>
      </c>
      <c r="C85" s="26">
        <v>801</v>
      </c>
      <c r="D85" s="26">
        <v>0.2</v>
      </c>
      <c r="E85" s="29" t="s">
        <v>617</v>
      </c>
      <c r="F85" s="29" t="s">
        <v>705</v>
      </c>
      <c r="G85" s="32" t="s">
        <v>791</v>
      </c>
      <c r="H85" s="32" t="str">
        <f t="shared" si="8"/>
        <v>IATTR_AURA_MEDITA</v>
      </c>
      <c r="I85" s="32" t="str">
        <f t="shared" si="11"/>
        <v>thistype.create(83,801,"0.2","",thistype.callbackGrant Aura of Meditation: All allies within 600 yards regen # MP per second);</v>
      </c>
      <c r="J85" s="32" t="str">
        <f t="shared" si="9"/>
        <v>thistype.put(IATTR_AURA_MEDITA,2,801,0.2,"|cff33ff33Grant Aura of Meditation: All allies within 600 yards regen "," MP per second|r",thistype.callbackAURA_MEDITA);</v>
      </c>
      <c r="K85" s="26" t="s">
        <v>497</v>
      </c>
      <c r="L85" s="32" t="str">
        <f t="shared" si="10"/>
        <v>public constant integer IATTR_AURA_MEDITA = 83;</v>
      </c>
    </row>
    <row r="86" spans="1:12" ht="28.5" x14ac:dyDescent="0.25">
      <c r="A86" s="26">
        <v>84</v>
      </c>
      <c r="B86" s="32">
        <v>2</v>
      </c>
      <c r="C86" s="26">
        <v>802</v>
      </c>
      <c r="D86" s="26">
        <v>0.1</v>
      </c>
      <c r="E86" s="29" t="s">
        <v>593</v>
      </c>
      <c r="F86" s="29" t="s">
        <v>649</v>
      </c>
      <c r="G86" s="32" t="s">
        <v>792</v>
      </c>
      <c r="H86" s="32" t="str">
        <f t="shared" si="8"/>
        <v>IATTR_AURA_WARSONG</v>
      </c>
      <c r="I86" s="32" t="str">
        <f t="shared" si="11"/>
        <v>thistype.create(84,802,"0.1","",thistype.callbackGrant Aura of Warsong: All allies deal # more damage and healing, take 10% more healing within 600 yards);</v>
      </c>
      <c r="J86" s="32" t="str">
        <f t="shared" si="9"/>
        <v>thistype.put(IATTR_AURA_WARSONG,2,802,0.1,"|cff33ff33Grant Aura of Warsong: All allies deal "," more damage and healing, take 10% more healing within 600 yards|r",thistype.callbackAURA_WARSONG);</v>
      </c>
      <c r="K86" s="26" t="s">
        <v>497</v>
      </c>
      <c r="L86" s="32" t="str">
        <f t="shared" si="10"/>
        <v>public constant integer IATTR_AURA_WARSONG = 84;</v>
      </c>
    </row>
    <row r="87" spans="1:12" ht="28.5" x14ac:dyDescent="0.25">
      <c r="A87" s="26">
        <v>85</v>
      </c>
      <c r="B87" s="32">
        <v>2</v>
      </c>
      <c r="C87" s="26">
        <v>803</v>
      </c>
      <c r="D87" s="26">
        <v>0.7</v>
      </c>
      <c r="E87" s="29" t="s">
        <v>652</v>
      </c>
      <c r="F87" s="29" t="s">
        <v>706</v>
      </c>
      <c r="G87" s="32" t="s">
        <v>793</v>
      </c>
      <c r="H87" s="32" t="str">
        <f t="shared" si="8"/>
        <v>IATTR_AURA_UNHOLY</v>
      </c>
      <c r="I87" s="32" t="str">
        <f t="shared" si="11"/>
        <v>thistype.create(85,803,"0.7","",thistype.callbackGrant Aura of Unholy: All allies within 600 yards regen # HP per second);</v>
      </c>
      <c r="J87" s="32" t="str">
        <f t="shared" si="9"/>
        <v>thistype.put(IATTR_AURA_UNHOLY,2,803,0.7,"|cff33ff33Grant Aura of Unholy: All allies within 600 yards regen "," HP per second|r",thistype.callbackAURA_UNHOLY);</v>
      </c>
      <c r="K87" s="26" t="s">
        <v>497</v>
      </c>
      <c r="L87" s="32" t="str">
        <f t="shared" si="10"/>
        <v>public constant integer IATTR_AURA_UNHOLY = 85;</v>
      </c>
    </row>
    <row r="88" spans="1:12" ht="28.5" x14ac:dyDescent="0.25">
      <c r="A88" s="26">
        <v>29</v>
      </c>
      <c r="B88" s="32">
        <v>2</v>
      </c>
      <c r="C88" s="26">
        <v>901</v>
      </c>
      <c r="D88" s="26">
        <v>0.16</v>
      </c>
      <c r="E88" s="29" t="s">
        <v>606</v>
      </c>
      <c r="F88" s="29" t="s">
        <v>677</v>
      </c>
      <c r="G88" s="32" t="s">
        <v>795</v>
      </c>
      <c r="H88" s="32" t="str">
        <f t="shared" si="8"/>
        <v>IATTR_USE_BATTLE</v>
      </c>
      <c r="I88" s="32" t="str">
        <f t="shared" si="11"/>
        <v>thistype.create(29,901,"0.16","",thistype.callbackUse: Battle Orders, increases # max HP to all allies within 900 yards, lasts for 75 seconds);</v>
      </c>
      <c r="J88" s="32" t="str">
        <f t="shared" si="9"/>
        <v>thistype.put(IATTR_USE_BATTLE,2,901,0.16,"|cff33ff33Use: Battle Orders, increases "," max HP to all allies within 900 yards, lasts for 75 seconds|r",thistype.callbackUSE_BATTLE);</v>
      </c>
      <c r="K88" s="26" t="s">
        <v>497</v>
      </c>
      <c r="L88" s="32" t="str">
        <f t="shared" si="10"/>
        <v>public constant integer IATTR_USE_BATTLE = 29;</v>
      </c>
    </row>
    <row r="89" spans="1:12" x14ac:dyDescent="0.25">
      <c r="A89" s="26">
        <v>30</v>
      </c>
      <c r="B89" s="32">
        <v>2</v>
      </c>
      <c r="C89" s="26">
        <v>902</v>
      </c>
      <c r="D89" s="26">
        <v>0.4</v>
      </c>
      <c r="E89" s="29" t="s">
        <v>586</v>
      </c>
      <c r="F89" s="29" t="s">
        <v>689</v>
      </c>
      <c r="G89" s="32" t="s">
        <v>796</v>
      </c>
      <c r="H89" s="32" t="str">
        <f t="shared" si="8"/>
        <v>IATTR_USE_MREGEN</v>
      </c>
      <c r="I89" s="32" t="str">
        <f t="shared" si="11"/>
        <v>thistype.create(30,902,"0.4","",thistype.callbackUse: Regens # MP);</v>
      </c>
      <c r="J89" s="32" t="str">
        <f t="shared" si="9"/>
        <v>thistype.put(IATTR_USE_MREGEN,2,902,0.4,"|cff33ff33Use: Regens "," MP|r",thistype.callbackUSE_MREGEN);</v>
      </c>
      <c r="K89" s="26" t="s">
        <v>497</v>
      </c>
      <c r="L89" s="32" t="str">
        <f t="shared" si="10"/>
        <v>public constant integer IATTR_USE_MREGEN = 30;</v>
      </c>
    </row>
    <row r="90" spans="1:12" x14ac:dyDescent="0.25">
      <c r="A90" s="26">
        <v>31</v>
      </c>
      <c r="B90" s="32">
        <v>2</v>
      </c>
      <c r="C90" s="26">
        <v>903</v>
      </c>
      <c r="D90" s="26">
        <v>0.4</v>
      </c>
      <c r="E90" s="29" t="s">
        <v>585</v>
      </c>
      <c r="F90" s="29" t="s">
        <v>690</v>
      </c>
      <c r="G90" s="32" t="s">
        <v>797</v>
      </c>
      <c r="H90" s="32" t="str">
        <f t="shared" si="8"/>
        <v>IATTR_USE_HREGEN</v>
      </c>
      <c r="I90" s="32" t="str">
        <f t="shared" si="11"/>
        <v>thistype.create(31,903,"0.4","",thistype.callbackUse: Regens # HP);</v>
      </c>
      <c r="J90" s="32" t="str">
        <f t="shared" si="9"/>
        <v>thistype.put(IATTR_USE_HREGEN,2,903,0.4,"|cff33ff33Use: Regens "," HP|r",thistype.callbackUSE_HREGEN);</v>
      </c>
      <c r="K90" s="26" t="s">
        <v>497</v>
      </c>
      <c r="L90" s="32" t="str">
        <f t="shared" si="10"/>
        <v>public constant integer IATTR_USE_HREGEN = 31;</v>
      </c>
    </row>
    <row r="91" spans="1:12" ht="28.5" x14ac:dyDescent="0.25">
      <c r="A91" s="26">
        <v>32</v>
      </c>
      <c r="B91" s="32">
        <v>2</v>
      </c>
      <c r="C91" s="26">
        <v>904</v>
      </c>
      <c r="D91" s="26">
        <v>0.2</v>
      </c>
      <c r="E91" s="29" t="s">
        <v>637</v>
      </c>
      <c r="F91" s="29" t="s">
        <v>836</v>
      </c>
      <c r="G91" s="32" t="s">
        <v>798</v>
      </c>
      <c r="H91" s="32" t="str">
        <f t="shared" si="8"/>
        <v>IATTR_USE_VOODOO</v>
      </c>
      <c r="I91" s="32" t="str">
        <f t="shared" si="11"/>
        <v>thistype.create(32,904,"0.2","",thistype.callbackUse: Deals # magic damage to all enemies within range over time);</v>
      </c>
      <c r="J91" s="32" t="str">
        <f t="shared" si="9"/>
        <v>thistype.put(IATTR_USE_VOODOO,2,904,0.2,"|cff33ff33Use: Deals "," magic damage to all enemies within range over time|r",thistype.callbackUSE_VOODOO);</v>
      </c>
      <c r="K91" s="26" t="s">
        <v>497</v>
      </c>
      <c r="L91" s="32" t="str">
        <f t="shared" si="10"/>
        <v>public constant integer IATTR_USE_VOODOO = 32;</v>
      </c>
    </row>
    <row r="92" spans="1:12" x14ac:dyDescent="0.25">
      <c r="A92" s="26">
        <v>33</v>
      </c>
      <c r="B92" s="32">
        <v>2</v>
      </c>
      <c r="C92" s="26">
        <v>905</v>
      </c>
      <c r="D92" s="26">
        <v>0.3</v>
      </c>
      <c r="E92" s="29" t="s">
        <v>590</v>
      </c>
      <c r="F92" s="29" t="s">
        <v>638</v>
      </c>
      <c r="G92" s="32" t="s">
        <v>799</v>
      </c>
      <c r="H92" s="32" t="str">
        <f t="shared" si="8"/>
        <v>IATTR_USE_INT</v>
      </c>
      <c r="I92" s="32" t="str">
        <f t="shared" si="11"/>
        <v>thistype.create(33,905,"0.3","",thistype.callbackUse: Increase intelligence by #, lasts for 20 seconds);</v>
      </c>
      <c r="J92" s="32" t="str">
        <f t="shared" si="9"/>
        <v>thistype.put(IATTR_USE_INT,2,905,0.3,"|cff33ff33Use: Increase intelligence by ",", lasts for 20 seconds|r",thistype.callbackUSE_INT);</v>
      </c>
      <c r="K92" s="26" t="s">
        <v>497</v>
      </c>
      <c r="L92" s="32" t="str">
        <f t="shared" si="10"/>
        <v>public constant integer IATTR_USE_INT = 33;</v>
      </c>
    </row>
    <row r="93" spans="1:12" x14ac:dyDescent="0.25">
      <c r="A93" s="26">
        <v>34</v>
      </c>
      <c r="B93" s="32">
        <v>2</v>
      </c>
      <c r="C93" s="26">
        <v>906</v>
      </c>
      <c r="D93" s="26">
        <v>0.3</v>
      </c>
      <c r="E93" s="29" t="s">
        <v>596</v>
      </c>
      <c r="F93" s="29" t="s">
        <v>639</v>
      </c>
      <c r="G93" s="32" t="s">
        <v>800</v>
      </c>
      <c r="H93" s="32" t="str">
        <f t="shared" si="8"/>
        <v>IATTR_USE_SP</v>
      </c>
      <c r="I93" s="32" t="str">
        <f t="shared" si="11"/>
        <v>thistype.create(34,906,"0.3","",thistype.callbackUse: Increase spell power by #, lasts for 15 seconds);</v>
      </c>
      <c r="J93" s="32" t="str">
        <f t="shared" si="9"/>
        <v>thistype.put(IATTR_USE_SP,2,906,0.3,"|cff33ff33Use: Increase spell power by ",", lasts for 15 seconds|r",thistype.callbackUSE_SP);</v>
      </c>
      <c r="K93" s="26" t="s">
        <v>497</v>
      </c>
      <c r="L93" s="32" t="str">
        <f t="shared" si="10"/>
        <v>public constant integer IATTR_USE_SP = 34;</v>
      </c>
    </row>
    <row r="94" spans="1:12" x14ac:dyDescent="0.25">
      <c r="A94" s="26">
        <v>35</v>
      </c>
      <c r="B94" s="32">
        <v>2</v>
      </c>
      <c r="C94" s="26">
        <v>907</v>
      </c>
      <c r="D94" s="26">
        <v>0.1</v>
      </c>
      <c r="E94" s="29" t="s">
        <v>589</v>
      </c>
      <c r="F94" s="29" t="s">
        <v>640</v>
      </c>
      <c r="G94" s="32" t="s">
        <v>801</v>
      </c>
      <c r="H94" s="32" t="str">
        <f t="shared" si="8"/>
        <v>IATTR_USE_DODGE</v>
      </c>
      <c r="I94" s="32" t="str">
        <f t="shared" si="11"/>
        <v>thistype.create(35,907,"0.1","",thistype.callbackUse: Increase dodge chance by 30%, lasts for # seconds);</v>
      </c>
      <c r="J94" s="32" t="str">
        <f t="shared" si="9"/>
        <v>thistype.put(IATTR_USE_DODGE,2,907,0.1,"|cff33ff33Use: Increase dodge chance by 30%, lasts for "," seconds|r",thistype.callbackUSE_DODGE);</v>
      </c>
      <c r="K94" s="26" t="s">
        <v>497</v>
      </c>
      <c r="L94" s="32" t="str">
        <f t="shared" si="10"/>
        <v>public constant integer IATTR_USE_DODGE = 35;</v>
      </c>
    </row>
    <row r="95" spans="1:12" ht="28.5" x14ac:dyDescent="0.25">
      <c r="A95" s="26">
        <v>36</v>
      </c>
      <c r="B95" s="32">
        <v>2</v>
      </c>
      <c r="C95" s="26">
        <v>908</v>
      </c>
      <c r="D95" s="26">
        <v>0.1</v>
      </c>
      <c r="E95" s="29" t="s">
        <v>591</v>
      </c>
      <c r="F95" s="29" t="s">
        <v>641</v>
      </c>
      <c r="G95" s="32" t="s">
        <v>802</v>
      </c>
      <c r="H95" s="32" t="str">
        <f t="shared" si="8"/>
        <v>IATTR_USE_MS</v>
      </c>
      <c r="I95" s="32" t="str">
        <f t="shared" si="11"/>
        <v>thistype.create(36,908,"0.1","",thistype.callbackUse: Increase movement speed by 300, lasts for # seconds. Possible failures.);</v>
      </c>
      <c r="J95" s="32" t="str">
        <f t="shared" si="9"/>
        <v>thistype.put(IATTR_USE_MS,2,908,0.1,"|cff33ff33Use: Increase movement speed by 300, lasts for "," seconds. Possible failures.|r",thistype.callbackUSE_MS);</v>
      </c>
      <c r="K95" s="26" t="s">
        <v>497</v>
      </c>
      <c r="L95" s="32" t="str">
        <f t="shared" si="10"/>
        <v>public constant integer IATTR_USE_MS = 36;</v>
      </c>
    </row>
    <row r="96" spans="1:12" ht="28.5" x14ac:dyDescent="0.25">
      <c r="A96" s="26">
        <v>37</v>
      </c>
      <c r="B96" s="32">
        <v>2</v>
      </c>
      <c r="C96" s="26">
        <v>909</v>
      </c>
      <c r="D96" s="26">
        <v>-0.33</v>
      </c>
      <c r="E96" s="29" t="s">
        <v>842</v>
      </c>
      <c r="F96" s="29" t="s">
        <v>849</v>
      </c>
      <c r="G96" s="32" t="s">
        <v>803</v>
      </c>
      <c r="H96" s="32" t="str">
        <f t="shared" si="8"/>
        <v>IATTR_USE_CTHUN</v>
      </c>
      <c r="I96" s="32" t="str">
        <f t="shared" si="11"/>
        <v>thistype.create(37,909,"-0.33","",thistype.callbackUse: Increase attack speed by 100%, take # extra damage (unique));</v>
      </c>
      <c r="J96" s="32" t="str">
        <f t="shared" si="9"/>
        <v>thistype.put(IATTR_USE_CTHUN,2,909,-0.33,"|cff33ff33Use: Increase attack speed by 100%, take "," extra damage (unique)|r",thistype.callbackUSE_CTHUN);</v>
      </c>
      <c r="K96" s="26" t="s">
        <v>497</v>
      </c>
      <c r="L96" s="32" t="str">
        <f t="shared" si="10"/>
        <v>public constant integer IATTR_USE_CTHUN = 37;</v>
      </c>
    </row>
    <row r="97" spans="1:12" ht="28.5" x14ac:dyDescent="0.25">
      <c r="A97" s="26">
        <v>38</v>
      </c>
      <c r="B97" s="32">
        <v>2</v>
      </c>
      <c r="C97" s="26">
        <v>910</v>
      </c>
      <c r="D97" s="26">
        <v>0.33</v>
      </c>
      <c r="E97" s="29" t="s">
        <v>614</v>
      </c>
      <c r="F97" s="29" t="s">
        <v>678</v>
      </c>
      <c r="G97" s="32" t="s">
        <v>804</v>
      </c>
      <c r="H97" s="32" t="str">
        <f t="shared" si="8"/>
        <v>IATTR_USE_HOLYHEAL</v>
      </c>
      <c r="I97" s="32" t="str">
        <f t="shared" si="11"/>
        <v>thistype.create(38,910,"0.33","",thistype.callbackUse: Release all holy power to heal yourself, each point heals # HP);</v>
      </c>
      <c r="J97" s="32" t="str">
        <f t="shared" si="9"/>
        <v>thistype.put(IATTR_USE_HOLYHEAL,2,910,0.33,"|cff33ff33Use: Release all holy power to heal yourself, each point heals "," HP|r",thistype.callbackUSE_HOLYHEAL);</v>
      </c>
      <c r="K97" s="26" t="s">
        <v>497</v>
      </c>
      <c r="L97" s="32"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8"/>
  <sheetViews>
    <sheetView tabSelected="1" workbookViewId="0">
      <pane ySplit="2" topLeftCell="A3" activePane="bottomLeft" state="frozen"/>
      <selection pane="bottomLeft" activeCell="G12" sqref="G12"/>
    </sheetView>
  </sheetViews>
  <sheetFormatPr defaultRowHeight="14.25" x14ac:dyDescent="0.25"/>
  <cols>
    <col min="1" max="1" width="6.5703125" style="77" bestFit="1" customWidth="1"/>
    <col min="2" max="3" width="5" style="92" bestFit="1" customWidth="1"/>
    <col min="4" max="4" width="4.7109375" style="93" bestFit="1" customWidth="1"/>
    <col min="5" max="5" width="7" style="93" customWidth="1"/>
    <col min="6" max="6" width="40" style="84" hidden="1" customWidth="1"/>
    <col min="7" max="7" width="53" style="84" bestFit="1" customWidth="1"/>
    <col min="8" max="8" width="30.7109375" style="77" hidden="1" customWidth="1"/>
    <col min="9" max="16384" width="9.140625" style="77"/>
  </cols>
  <sheetData>
    <row r="1" spans="1:8" s="87" customFormat="1" x14ac:dyDescent="0.25">
      <c r="A1" s="87" t="s">
        <v>557</v>
      </c>
      <c r="B1" s="91">
        <v>3</v>
      </c>
      <c r="C1" s="91"/>
      <c r="D1" s="93"/>
      <c r="E1" s="93"/>
      <c r="F1" s="84"/>
      <c r="G1" s="84"/>
    </row>
    <row r="2" spans="1:8" s="88" customFormat="1" x14ac:dyDescent="0.25">
      <c r="A2" s="88" t="s">
        <v>662</v>
      </c>
      <c r="B2" s="89" t="s">
        <v>663</v>
      </c>
      <c r="C2" s="89" t="s">
        <v>664</v>
      </c>
      <c r="D2" s="94" t="s">
        <v>850</v>
      </c>
      <c r="E2" s="94" t="s">
        <v>708</v>
      </c>
      <c r="F2" s="90" t="s">
        <v>660</v>
      </c>
      <c r="G2" s="90" t="s">
        <v>661</v>
      </c>
    </row>
    <row r="3" spans="1:8" x14ac:dyDescent="0.25">
      <c r="A3" s="77">
        <v>-1</v>
      </c>
      <c r="F3" s="82" t="s">
        <v>363</v>
      </c>
      <c r="G3" s="82" t="s">
        <v>878</v>
      </c>
      <c r="H3" s="17" t="e">
        <f>FormatItemName(F3)</f>
        <v>#VALUE!</v>
      </c>
    </row>
    <row r="4" spans="1:8" x14ac:dyDescent="0.25">
      <c r="A4" s="77">
        <v>4</v>
      </c>
      <c r="B4" s="92">
        <v>5</v>
      </c>
      <c r="C4" s="92">
        <v>10</v>
      </c>
      <c r="D4" s="95">
        <f ca="1">OFFSET(Attributes!$A$1,MATCH($A4,Attributes!$A:$A,0)-1,MATCH("Type",Attributes!$1:$1,0)-1)</f>
        <v>1</v>
      </c>
      <c r="E4" s="95" t="str">
        <f ca="1">IFERROR(OFFSET(Attributes!$A$1,MATCH($A4,Attributes!$A:$A,0)-1,MATCH("Abbr",Attributes!$1:$1,0)-1),"")</f>
        <v>STR</v>
      </c>
      <c r="F4" s="83" t="str">
        <f ca="1">SUBSTITUTE(OFFSET(Attributes!$A$1,MATCH($A4,Attributes!$A:$A,0)-1,MATCH("Attr CN",Attributes!$1:$1,0)-1),"#",$B4*$B$1&amp;"-"&amp;$C4*$B$1)</f>
        <v>+15-30力量</v>
      </c>
      <c r="G4" s="83" t="str">
        <f ca="1">SUBSTITUTE(OFFSET(Attributes!$A$1,MATCH($A4,Attributes!$A:$A,0)-1,MATCH("Attr EN",Attributes!$1:$1,0)-1),"#",$B4&amp;"-"&amp;$C4*$B$1)</f>
        <v>+5-30 Strength</v>
      </c>
      <c r="H4" s="17" t="e">
        <f>FormatItemDescription(F3:F4)</f>
        <v>#VALUE!</v>
      </c>
    </row>
    <row r="5" spans="1:8" x14ac:dyDescent="0.25">
      <c r="F5" s="82"/>
      <c r="G5" s="82"/>
      <c r="H5" s="17"/>
    </row>
    <row r="6" spans="1:8" x14ac:dyDescent="0.25">
      <c r="F6" s="82" t="s">
        <v>363</v>
      </c>
      <c r="G6" s="82" t="s">
        <v>879</v>
      </c>
      <c r="H6" s="17" t="e">
        <f>FormatItemName(F6)</f>
        <v>#VALUE!</v>
      </c>
    </row>
    <row r="7" spans="1:8" x14ac:dyDescent="0.25">
      <c r="A7" s="77">
        <v>13</v>
      </c>
      <c r="B7" s="92">
        <v>5</v>
      </c>
      <c r="C7" s="92">
        <v>10</v>
      </c>
      <c r="D7" s="95">
        <f ca="1">OFFSET(Attributes!$A$1,MATCH($A7,Attributes!$A:$A,0)-1,MATCH("Type",Attributes!$1:$1,0)-1)</f>
        <v>1</v>
      </c>
      <c r="E7" s="95" t="str">
        <f ca="1">IFERROR(OFFSET(Attributes!$A$1,MATCH($A7,Attributes!$A:$A,0)-1,MATCH("Abbr",Attributes!$1:$1,0)-1),"")</f>
        <v>AGI</v>
      </c>
      <c r="F7" s="83" t="str">
        <f ca="1">SUBSTITUTE(OFFSET(Attributes!$A$1,MATCH($A7,Attributes!$A:$A,0)-1,MATCH("Attr CN",Attributes!$1:$1,0)-1),"#",$B7*$B$1&amp;"-"&amp;$C7*$B$1)</f>
        <v>+15-30敏捷</v>
      </c>
      <c r="G7" s="83" t="str">
        <f ca="1">SUBSTITUTE(OFFSET(Attributes!$A$1,MATCH($A7,Attributes!$A:$A,0)-1,MATCH("Attr EN",Attributes!$1:$1,0)-1),"#",$B7&amp;"-"&amp;$C7*$B$1)</f>
        <v>+5-30 Agility</v>
      </c>
      <c r="H7" s="17" t="e">
        <f>FormatItemDescription(F6:F7)</f>
        <v>#VALUE!</v>
      </c>
    </row>
    <row r="8" spans="1:8" x14ac:dyDescent="0.25">
      <c r="F8" s="82"/>
      <c r="G8" s="82"/>
      <c r="H8" s="17"/>
    </row>
    <row r="9" spans="1:8" x14ac:dyDescent="0.25">
      <c r="F9" s="82" t="s">
        <v>363</v>
      </c>
      <c r="G9" s="82" t="s">
        <v>880</v>
      </c>
      <c r="H9" s="17" t="e">
        <f>FormatItemName(F9)</f>
        <v>#VALUE!</v>
      </c>
    </row>
    <row r="10" spans="1:8" x14ac:dyDescent="0.25">
      <c r="A10" s="77">
        <v>14</v>
      </c>
      <c r="B10" s="92">
        <v>5</v>
      </c>
      <c r="C10" s="92">
        <v>10</v>
      </c>
      <c r="D10" s="95">
        <f ca="1">OFFSET(Attributes!$A$1,MATCH($A10,Attributes!$A:$A,0)-1,MATCH("Type",Attributes!$1:$1,0)-1)</f>
        <v>1</v>
      </c>
      <c r="E10" s="95" t="str">
        <f ca="1">IFERROR(OFFSET(Attributes!$A$1,MATCH($A10,Attributes!$A:$A,0)-1,MATCH("Abbr",Attributes!$1:$1,0)-1),"")</f>
        <v>INT</v>
      </c>
      <c r="F10" s="83" t="str">
        <f ca="1">SUBSTITUTE(OFFSET(Attributes!$A$1,MATCH($A10,Attributes!$A:$A,0)-1,MATCH("Attr CN",Attributes!$1:$1,0)-1),"#",$B10*$B$1&amp;"-"&amp;$C10*$B$1)</f>
        <v>+15-30智力</v>
      </c>
      <c r="G10" s="83" t="str">
        <f ca="1">SUBSTITUTE(OFFSET(Attributes!$A$1,MATCH($A10,Attributes!$A:$A,0)-1,MATCH("Attr EN",Attributes!$1:$1,0)-1),"#",$B10&amp;"-"&amp;$C10*$B$1)</f>
        <v>+5-30 Intelligence</v>
      </c>
      <c r="H10" s="17" t="e">
        <f>FormatItemDescription(F9:F10)</f>
        <v>#VALUE!</v>
      </c>
    </row>
    <row r="11" spans="1:8" x14ac:dyDescent="0.25">
      <c r="F11" s="82"/>
      <c r="G11" s="82"/>
      <c r="H11" s="17"/>
    </row>
    <row r="12" spans="1:8" x14ac:dyDescent="0.25">
      <c r="F12" s="82" t="s">
        <v>363</v>
      </c>
      <c r="G12" s="82" t="s">
        <v>474</v>
      </c>
      <c r="H12" s="17" t="e">
        <f>FormatItemName(F12)</f>
        <v>#VALUE!</v>
      </c>
    </row>
    <row r="13" spans="1:8" x14ac:dyDescent="0.25">
      <c r="A13" s="77">
        <v>7</v>
      </c>
      <c r="B13" s="92">
        <v>4</v>
      </c>
      <c r="C13" s="92">
        <v>7</v>
      </c>
      <c r="D13" s="95">
        <f ca="1">OFFSET(Attributes!$A$1,MATCH($A13,Attributes!$A:$A,0)-1,MATCH("Type",Attributes!$1:$1,0)-1)</f>
        <v>1</v>
      </c>
      <c r="E13" s="95" t="str">
        <f ca="1">IFERROR(OFFSET(Attributes!$A$1,MATCH($A13,Attributes!$A:$A,0)-1,MATCH("Abbr",Attributes!$1:$1,0)-1),"")</f>
        <v>ALLSTAT</v>
      </c>
      <c r="F13" s="83" t="str">
        <f ca="1">SUBSTITUTE(OFFSET(Attributes!$A$1,MATCH($A13,Attributes!$A:$A,0)-1,MATCH("Attr CN",Attributes!$1:$1,0)-1),"#",$B13*$B$1&amp;"-"&amp;$C13*$B$1)</f>
        <v>+12-21所有属性</v>
      </c>
      <c r="G13" s="83" t="str">
        <f ca="1">SUBSTITUTE(OFFSET(Attributes!$A$1,MATCH($A13,Attributes!$A:$A,0)-1,MATCH("Attr EN",Attributes!$1:$1,0)-1),"#",$B13&amp;"-"&amp;$C13*$B$1)</f>
        <v>+4-21 All stats</v>
      </c>
      <c r="H13" s="17" t="e">
        <f>FormatItemDescription(F12:F13)</f>
        <v>#VALUE!</v>
      </c>
    </row>
    <row r="14" spans="1:8" x14ac:dyDescent="0.25">
      <c r="F14" s="82"/>
      <c r="G14" s="82"/>
      <c r="H14" s="17"/>
    </row>
    <row r="15" spans="1:8" x14ac:dyDescent="0.25">
      <c r="F15" s="82" t="s">
        <v>364</v>
      </c>
      <c r="G15" s="82" t="s">
        <v>888</v>
      </c>
      <c r="H15" s="17" t="e">
        <f>FormatItemName(F15)</f>
        <v>#VALUE!</v>
      </c>
    </row>
    <row r="16" spans="1:8" x14ac:dyDescent="0.25">
      <c r="A16" s="77">
        <v>24</v>
      </c>
      <c r="B16" s="92">
        <v>11</v>
      </c>
      <c r="C16" s="92">
        <v>17</v>
      </c>
      <c r="D16" s="95">
        <f ca="1">OFFSET(Attributes!$A$1,MATCH($A16,Attributes!$A:$A,0)-1,MATCH("Type",Attributes!$1:$1,0)-1)</f>
        <v>1</v>
      </c>
      <c r="E16" s="95" t="str">
        <f ca="1">IFERROR(OFFSET(Attributes!$A$1,MATCH($A16,Attributes!$A:$A,0)-1,MATCH("Abbr",Attributes!$1:$1,0)-1),"")</f>
        <v>MS</v>
      </c>
      <c r="F16" s="83" t="str">
        <f ca="1">SUBSTITUTE(OFFSET(Attributes!$A$1,MATCH($A16,Attributes!$A:$A,0)-1,MATCH("Attr CN",Attributes!$1:$1,0)-1),"#",$B16*$B$1&amp;"-"&amp;$C16*$B$1)</f>
        <v>+33-51移动速度</v>
      </c>
      <c r="G16" s="83" t="str">
        <f ca="1">SUBSTITUTE(OFFSET(Attributes!$A$1,MATCH($A16,Attributes!$A:$A,0)-1,MATCH("Attr EN",Attributes!$1:$1,0)-1),"#",$B16&amp;"-"&amp;$C16*$B$1)</f>
        <v>+11-51 Movement speed</v>
      </c>
      <c r="H16" s="17" t="e">
        <f>FormatItemDescription(F15:F16)</f>
        <v>#VALUE!</v>
      </c>
    </row>
    <row r="17" spans="1:8" x14ac:dyDescent="0.25">
      <c r="F17" s="82"/>
      <c r="G17" s="82"/>
      <c r="H17" s="18"/>
    </row>
    <row r="18" spans="1:8" x14ac:dyDescent="0.25">
      <c r="F18" s="82" t="s">
        <v>365</v>
      </c>
      <c r="G18" s="82" t="s">
        <v>475</v>
      </c>
      <c r="H18" s="17" t="e">
        <f>FormatItemName(F18)</f>
        <v>#VALUE!</v>
      </c>
    </row>
    <row r="19" spans="1:8" x14ac:dyDescent="0.25">
      <c r="A19" s="77">
        <v>4</v>
      </c>
      <c r="B19" s="92">
        <v>4</v>
      </c>
      <c r="C19" s="92">
        <v>7</v>
      </c>
      <c r="D19" s="95">
        <f ca="1">OFFSET(Attributes!$A$1,MATCH($A19,Attributes!$A:$A,0)-1,MATCH("Type",Attributes!$1:$1,0)-1)</f>
        <v>1</v>
      </c>
      <c r="E19" s="95" t="str">
        <f ca="1">IFERROR(OFFSET(Attributes!$A$1,MATCH($A19,Attributes!$A:$A,0)-1,MATCH("Abbr",Attributes!$1:$1,0)-1),"")</f>
        <v>STR</v>
      </c>
      <c r="F19" s="83" t="str">
        <f ca="1">SUBSTITUTE(OFFSET(Attributes!$A$1,MATCH($A19,Attributes!$A:$A,0)-1,MATCH("Attr CN",Attributes!$1:$1,0)-1),"#",$B19*$B$1&amp;"-"&amp;$C19*$B$1)</f>
        <v>+12-21力量</v>
      </c>
      <c r="G19" s="83" t="str">
        <f ca="1">SUBSTITUTE(OFFSET(Attributes!$A$1,MATCH($A19,Attributes!$A:$A,0)-1,MATCH("Attr EN",Attributes!$1:$1,0)-1),"#",$B19&amp;"-"&amp;$C19*$B$1)</f>
        <v>+4-21 Strength</v>
      </c>
      <c r="H19" s="17" t="e">
        <f>FormatItemDescription(F18:F20)</f>
        <v>#VALUE!</v>
      </c>
    </row>
    <row r="20" spans="1:8" x14ac:dyDescent="0.25">
      <c r="A20" s="77">
        <v>13</v>
      </c>
      <c r="B20" s="92">
        <v>4</v>
      </c>
      <c r="C20" s="92">
        <v>7</v>
      </c>
      <c r="D20" s="95">
        <f ca="1">OFFSET(Attributes!$A$1,MATCH($A20,Attributes!$A:$A,0)-1,MATCH("Type",Attributes!$1:$1,0)-1)</f>
        <v>1</v>
      </c>
      <c r="E20" s="95" t="str">
        <f ca="1">IFERROR(OFFSET(Attributes!$A$1,MATCH($A20,Attributes!$A:$A,0)-1,MATCH("Abbr",Attributes!$1:$1,0)-1),"")</f>
        <v>AGI</v>
      </c>
      <c r="F20" s="83" t="str">
        <f ca="1">SUBSTITUTE(OFFSET(Attributes!$A$1,MATCH($A20,Attributes!$A:$A,0)-1,MATCH("Attr CN",Attributes!$1:$1,0)-1),"#",$B20*$B$1&amp;"-"&amp;$C20*$B$1)</f>
        <v>+12-21敏捷</v>
      </c>
      <c r="G20" s="83" t="str">
        <f ca="1">SUBSTITUTE(OFFSET(Attributes!$A$1,MATCH($A20,Attributes!$A:$A,0)-1,MATCH("Attr EN",Attributes!$1:$1,0)-1),"#",$B20&amp;"-"&amp;$C20*$B$1)</f>
        <v>+4-21 Agility</v>
      </c>
      <c r="H20" s="17" t="str">
        <f ca="1">FormatItemUbertip(F19:F20)</f>
        <v>|CFF000000+12-21力量|R|N|CFF000000+12-21敏捷|R</v>
      </c>
    </row>
    <row r="21" spans="1:8" x14ac:dyDescent="0.25">
      <c r="F21" s="82"/>
      <c r="G21" s="82"/>
      <c r="H21" s="18"/>
    </row>
    <row r="22" spans="1:8" x14ac:dyDescent="0.25">
      <c r="F22" s="82" t="s">
        <v>366</v>
      </c>
      <c r="G22" s="82" t="s">
        <v>476</v>
      </c>
      <c r="H22" s="17" t="e">
        <f>FormatItemName(F22)</f>
        <v>#VALUE!</v>
      </c>
    </row>
    <row r="23" spans="1:8" x14ac:dyDescent="0.25">
      <c r="A23" s="77">
        <v>4</v>
      </c>
      <c r="B23" s="92">
        <v>4</v>
      </c>
      <c r="C23" s="92">
        <v>7</v>
      </c>
      <c r="D23" s="95">
        <f ca="1">OFFSET(Attributes!$A$1,MATCH($A23,Attributes!$A:$A,0)-1,MATCH("Type",Attributes!$1:$1,0)-1)</f>
        <v>1</v>
      </c>
      <c r="E23" s="95" t="str">
        <f ca="1">IFERROR(OFFSET(Attributes!$A$1,MATCH($A23,Attributes!$A:$A,0)-1,MATCH("Abbr",Attributes!$1:$1,0)-1),"")</f>
        <v>STR</v>
      </c>
      <c r="F23" s="83" t="str">
        <f ca="1">SUBSTITUTE(OFFSET(Attributes!$A$1,MATCH($A23,Attributes!$A:$A,0)-1,MATCH("Attr CN",Attributes!$1:$1,0)-1),"#",$B23*$B$1&amp;"-"&amp;$C23*$B$1)</f>
        <v>+12-21力量</v>
      </c>
      <c r="G23" s="83" t="str">
        <f ca="1">SUBSTITUTE(OFFSET(Attributes!$A$1,MATCH($A23,Attributes!$A:$A,0)-1,MATCH("Attr EN",Attributes!$1:$1,0)-1),"#",$B23&amp;"-"&amp;$C23*$B$1)</f>
        <v>+4-21 Strength</v>
      </c>
      <c r="H23" s="17" t="e">
        <f>FormatItemDescription(F22:F24)</f>
        <v>#VALUE!</v>
      </c>
    </row>
    <row r="24" spans="1:8" x14ac:dyDescent="0.25">
      <c r="A24" s="77">
        <v>14</v>
      </c>
      <c r="B24" s="92">
        <v>4</v>
      </c>
      <c r="C24" s="92">
        <v>7</v>
      </c>
      <c r="D24" s="95">
        <f ca="1">OFFSET(Attributes!$A$1,MATCH($A24,Attributes!$A:$A,0)-1,MATCH("Type",Attributes!$1:$1,0)-1)</f>
        <v>1</v>
      </c>
      <c r="E24" s="95" t="str">
        <f ca="1">IFERROR(OFFSET(Attributes!$A$1,MATCH($A24,Attributes!$A:$A,0)-1,MATCH("Abbr",Attributes!$1:$1,0)-1),"")</f>
        <v>INT</v>
      </c>
      <c r="F24" s="83" t="str">
        <f ca="1">SUBSTITUTE(OFFSET(Attributes!$A$1,MATCH($A24,Attributes!$A:$A,0)-1,MATCH("Attr CN",Attributes!$1:$1,0)-1),"#",$B24*$B$1&amp;"-"&amp;$C24*$B$1)</f>
        <v>+12-21智力</v>
      </c>
      <c r="G24" s="83" t="str">
        <f ca="1">SUBSTITUTE(OFFSET(Attributes!$A$1,MATCH($A24,Attributes!$A:$A,0)-1,MATCH("Attr EN",Attributes!$1:$1,0)-1),"#",$B24&amp;"-"&amp;$C24*$B$1)</f>
        <v>+4-21 Intelligence</v>
      </c>
      <c r="H24" s="17" t="str">
        <f ca="1">FormatItemUbertip(F23:F24)</f>
        <v>|CFF000000+12-21力量|R|N|CFF000000+12-21智力|R</v>
      </c>
    </row>
    <row r="25" spans="1:8" x14ac:dyDescent="0.25">
      <c r="F25" s="82"/>
      <c r="G25" s="82"/>
      <c r="H25" s="18"/>
    </row>
    <row r="26" spans="1:8" x14ac:dyDescent="0.25">
      <c r="F26" s="82" t="s">
        <v>367</v>
      </c>
      <c r="G26" s="82" t="s">
        <v>477</v>
      </c>
      <c r="H26" s="17" t="e">
        <f>FormatItemName(F26)</f>
        <v>#VALUE!</v>
      </c>
    </row>
    <row r="27" spans="1:8" x14ac:dyDescent="0.25">
      <c r="A27" s="77">
        <v>13</v>
      </c>
      <c r="B27" s="92">
        <v>4</v>
      </c>
      <c r="C27" s="92">
        <v>7</v>
      </c>
      <c r="D27" s="95">
        <f ca="1">OFFSET(Attributes!$A$1,MATCH($A27,Attributes!$A:$A,0)-1,MATCH("Type",Attributes!$1:$1,0)-1)</f>
        <v>1</v>
      </c>
      <c r="E27" s="95" t="str">
        <f ca="1">IFERROR(OFFSET(Attributes!$A$1,MATCH($A27,Attributes!$A:$A,0)-1,MATCH("Abbr",Attributes!$1:$1,0)-1),"")</f>
        <v>AGI</v>
      </c>
      <c r="F27" s="83" t="str">
        <f ca="1">SUBSTITUTE(OFFSET(Attributes!$A$1,MATCH($A27,Attributes!$A:$A,0)-1,MATCH("Attr CN",Attributes!$1:$1,0)-1),"#",$B27*$B$1&amp;"-"&amp;$C27*$B$1)</f>
        <v>+12-21敏捷</v>
      </c>
      <c r="G27" s="83" t="str">
        <f ca="1">SUBSTITUTE(OFFSET(Attributes!$A$1,MATCH($A27,Attributes!$A:$A,0)-1,MATCH("Attr EN",Attributes!$1:$1,0)-1),"#",$B27&amp;"-"&amp;$C27*$B$1)</f>
        <v>+4-21 Agility</v>
      </c>
      <c r="H27" s="17" t="e">
        <f>FormatItemDescription(F26:F28)</f>
        <v>#VALUE!</v>
      </c>
    </row>
    <row r="28" spans="1:8" x14ac:dyDescent="0.25">
      <c r="A28" s="77">
        <v>14</v>
      </c>
      <c r="B28" s="92">
        <v>4</v>
      </c>
      <c r="C28" s="92">
        <v>7</v>
      </c>
      <c r="D28" s="95">
        <f ca="1">OFFSET(Attributes!$A$1,MATCH($A28,Attributes!$A:$A,0)-1,MATCH("Type",Attributes!$1:$1,0)-1)</f>
        <v>1</v>
      </c>
      <c r="E28" s="95" t="str">
        <f ca="1">IFERROR(OFFSET(Attributes!$A$1,MATCH($A28,Attributes!$A:$A,0)-1,MATCH("Abbr",Attributes!$1:$1,0)-1),"")</f>
        <v>INT</v>
      </c>
      <c r="F28" s="83" t="str">
        <f ca="1">SUBSTITUTE(OFFSET(Attributes!$A$1,MATCH($A28,Attributes!$A:$A,0)-1,MATCH("Attr CN",Attributes!$1:$1,0)-1),"#",$B28*$B$1&amp;"-"&amp;$C28*$B$1)</f>
        <v>+12-21智力</v>
      </c>
      <c r="G28" s="83" t="str">
        <f ca="1">SUBSTITUTE(OFFSET(Attributes!$A$1,MATCH($A28,Attributes!$A:$A,0)-1,MATCH("Attr EN",Attributes!$1:$1,0)-1),"#",$B28&amp;"-"&amp;$C28*$B$1)</f>
        <v>+4-21 Intelligence</v>
      </c>
      <c r="H28" s="17" t="str">
        <f ca="1">FormatItemUbertip(F27:F28)</f>
        <v>|CFF000000+12-21敏捷|R|N|CFF000000+12-21智力|R</v>
      </c>
    </row>
    <row r="30" spans="1:8" x14ac:dyDescent="0.25">
      <c r="F30" s="82" t="s">
        <v>368</v>
      </c>
      <c r="G30" s="82" t="s">
        <v>478</v>
      </c>
      <c r="H30" s="17" t="e">
        <f>FormatItemName(F30)</f>
        <v>#VALUE!</v>
      </c>
    </row>
    <row r="31" spans="1:8" x14ac:dyDescent="0.25">
      <c r="A31" s="77">
        <v>9</v>
      </c>
      <c r="B31" s="92">
        <v>5</v>
      </c>
      <c r="C31" s="92">
        <v>10</v>
      </c>
      <c r="D31" s="95">
        <f ca="1">OFFSET(Attributes!$A$1,MATCH($A31,Attributes!$A:$A,0)-1,MATCH("Type",Attributes!$1:$1,0)-1)</f>
        <v>1</v>
      </c>
      <c r="E31" s="95" t="str">
        <f ca="1">IFERROR(OFFSET(Attributes!$A$1,MATCH($A31,Attributes!$A:$A,0)-1,MATCH("Abbr",Attributes!$1:$1,0)-1),"")</f>
        <v>AP</v>
      </c>
      <c r="F31" s="83" t="str">
        <f ca="1">SUBSTITUTE(OFFSET(Attributes!$A$1,MATCH($A31,Attributes!$A:$A,0)-1,MATCH("Attr CN",Attributes!$1:$1,0)-1),"#",$B31*$B$1&amp;"-"&amp;$C31*$B$1)</f>
        <v>+15-30攻击强度</v>
      </c>
      <c r="G31" s="83" t="str">
        <f ca="1">SUBSTITUTE(OFFSET(Attributes!$A$1,MATCH($A31,Attributes!$A:$A,0)-1,MATCH("Attr EN",Attributes!$1:$1,0)-1),"#",$B31&amp;"-"&amp;$C31*$B$1)</f>
        <v>+5-30 Attack power</v>
      </c>
      <c r="H31" s="17" t="e">
        <f>FormatItemDescription(F30:F31)</f>
        <v>#VALUE!</v>
      </c>
    </row>
    <row r="32" spans="1:8" x14ac:dyDescent="0.25">
      <c r="H32" s="17"/>
    </row>
    <row r="33" spans="1:8" x14ac:dyDescent="0.25">
      <c r="F33" s="82" t="s">
        <v>369</v>
      </c>
      <c r="G33" s="82" t="s">
        <v>479</v>
      </c>
      <c r="H33" s="17" t="e">
        <f>FormatItemName(F33)</f>
        <v>#VALUE!</v>
      </c>
    </row>
    <row r="34" spans="1:8" x14ac:dyDescent="0.25">
      <c r="A34" s="77">
        <v>12</v>
      </c>
      <c r="B34" s="92">
        <v>3</v>
      </c>
      <c r="C34" s="92">
        <v>5</v>
      </c>
      <c r="D34" s="95">
        <f ca="1">OFFSET(Attributes!$A$1,MATCH($A34,Attributes!$A:$A,0)-1,MATCH("Type",Attributes!$1:$1,0)-1)</f>
        <v>1</v>
      </c>
      <c r="E34" s="95" t="str">
        <f ca="1">IFERROR(OFFSET(Attributes!$A$1,MATCH($A34,Attributes!$A:$A,0)-1,MATCH("Abbr",Attributes!$1:$1,0)-1),"")</f>
        <v>IAS</v>
      </c>
      <c r="F34" s="83" t="str">
        <f ca="1">SUBSTITUTE(OFFSET(Attributes!$A$1,MATCH($A34,Attributes!$A:$A,0)-1,MATCH("Attr CN",Attributes!$1:$1,0)-1),"#",$B34*$B$1&amp;"-"&amp;$C34*$B$1)</f>
        <v>+9-15%攻击速度</v>
      </c>
      <c r="G34" s="83" t="str">
        <f ca="1">SUBSTITUTE(OFFSET(Attributes!$A$1,MATCH($A34,Attributes!$A:$A,0)-1,MATCH("Attr EN",Attributes!$1:$1,0)-1),"#",$B34&amp;"-"&amp;$C34*$B$1)</f>
        <v>+3-15% Attack speed</v>
      </c>
      <c r="H34" s="17" t="e">
        <f>FormatItemDescription(F33:F34)</f>
        <v>#VALUE!</v>
      </c>
    </row>
    <row r="35" spans="1:8" x14ac:dyDescent="0.25">
      <c r="H35" s="17"/>
    </row>
    <row r="36" spans="1:8" x14ac:dyDescent="0.25">
      <c r="F36" s="82" t="s">
        <v>370</v>
      </c>
      <c r="G36" s="82" t="s">
        <v>480</v>
      </c>
      <c r="H36" s="17" t="e">
        <f>FormatItemName(F36)</f>
        <v>#VALUE!</v>
      </c>
    </row>
    <row r="37" spans="1:8" x14ac:dyDescent="0.25">
      <c r="A37" s="77">
        <v>11</v>
      </c>
      <c r="B37" s="92">
        <v>0.03</v>
      </c>
      <c r="C37" s="92">
        <v>0.05</v>
      </c>
      <c r="D37" s="95">
        <f ca="1">OFFSET(Attributes!$A$1,MATCH($A37,Attributes!$A:$A,0)-1,MATCH("Type",Attributes!$1:$1,0)-1)</f>
        <v>1</v>
      </c>
      <c r="E37" s="95" t="str">
        <f ca="1">IFERROR(OFFSET(Attributes!$A$1,MATCH($A37,Attributes!$A:$A,0)-1,MATCH("Abbr",Attributes!$1:$1,0)-1),"")</f>
        <v>CRIT</v>
      </c>
      <c r="F37" s="83" t="str">
        <f ca="1">SUBSTITUTE(OFFSET(Attributes!$A$1,MATCH($A37,Attributes!$A:$A,0)-1,MATCH("Attr CN",Attributes!$1:$1,0)-1),"#",$B37*$B$1&amp;"-"&amp;$C37*$B$1)</f>
        <v>+0.09-0.15攻击暴击</v>
      </c>
      <c r="G37" s="83" t="str">
        <f ca="1">SUBSTITUTE(OFFSET(Attributes!$A$1,MATCH($A37,Attributes!$A:$A,0)-1,MATCH("Attr EN",Attributes!$1:$1,0)-1),"#",$B37&amp;"-"&amp;$C37*$B$1)</f>
        <v>+0.03-0.15 Attack critical</v>
      </c>
      <c r="H37" s="17" t="e">
        <f>FormatItemDescription(F36:F37)</f>
        <v>#VALUE!</v>
      </c>
    </row>
    <row r="38" spans="1:8" x14ac:dyDescent="0.25">
      <c r="H38" s="17"/>
    </row>
    <row r="39" spans="1:8" x14ac:dyDescent="0.25">
      <c r="F39" s="82" t="s">
        <v>371</v>
      </c>
      <c r="G39" s="82" t="s">
        <v>481</v>
      </c>
      <c r="H39" s="17" t="e">
        <f>FormatItemName(F39)</f>
        <v>#VALUE!</v>
      </c>
    </row>
    <row r="40" spans="1:8" x14ac:dyDescent="0.25">
      <c r="A40" s="77">
        <v>21</v>
      </c>
      <c r="B40" s="92">
        <v>75</v>
      </c>
      <c r="C40" s="92">
        <v>150</v>
      </c>
      <c r="D40" s="95">
        <f ca="1">OFFSET(Attributes!$A$1,MATCH($A40,Attributes!$A:$A,0)-1,MATCH("Type",Attributes!$1:$1,0)-1)</f>
        <v>1</v>
      </c>
      <c r="E40" s="95" t="str">
        <f ca="1">IFERROR(OFFSET(Attributes!$A$1,MATCH($A40,Attributes!$A:$A,0)-1,MATCH("Abbr",Attributes!$1:$1,0)-1),"")</f>
        <v>HP</v>
      </c>
      <c r="F40" s="83" t="str">
        <f ca="1">SUBSTITUTE(OFFSET(Attributes!$A$1,MATCH($A40,Attributes!$A:$A,0)-1,MATCH("Attr CN",Attributes!$1:$1,0)-1),"#",$B40*$B$1&amp;"-"&amp;$C40*$B$1)</f>
        <v>+225-450生命上限</v>
      </c>
      <c r="G40" s="83" t="str">
        <f ca="1">SUBSTITUTE(OFFSET(Attributes!$A$1,MATCH($A40,Attributes!$A:$A,0)-1,MATCH("Attr EN",Attributes!$1:$1,0)-1),"#",$B40&amp;"-"&amp;$C40*$B$1)</f>
        <v>+75-450 Max HP</v>
      </c>
      <c r="H40" s="17" t="e">
        <f>FormatItemDescription(F39:F40)</f>
        <v>#VALUE!</v>
      </c>
    </row>
    <row r="41" spans="1:8" x14ac:dyDescent="0.25">
      <c r="F41" s="82"/>
      <c r="G41" s="82"/>
      <c r="H41" s="17"/>
    </row>
    <row r="42" spans="1:8" x14ac:dyDescent="0.25">
      <c r="F42" s="82" t="s">
        <v>372</v>
      </c>
      <c r="G42" s="82" t="s">
        <v>482</v>
      </c>
      <c r="H42" s="17" t="e">
        <f>FormatItemName(F42)</f>
        <v>#VALUE!</v>
      </c>
    </row>
    <row r="43" spans="1:8" x14ac:dyDescent="0.25">
      <c r="A43" s="77">
        <v>8</v>
      </c>
      <c r="B43" s="92">
        <v>2</v>
      </c>
      <c r="C43" s="92">
        <v>3</v>
      </c>
      <c r="D43" s="95">
        <f ca="1">OFFSET(Attributes!$A$1,MATCH($A43,Attributes!$A:$A,0)-1,MATCH("Type",Attributes!$1:$1,0)-1)</f>
        <v>1</v>
      </c>
      <c r="E43" s="95" t="str">
        <f ca="1">IFERROR(OFFSET(Attributes!$A$1,MATCH($A43,Attributes!$A:$A,0)-1,MATCH("Abbr",Attributes!$1:$1,0)-1),"")</f>
        <v>DEF</v>
      </c>
      <c r="F43" s="83" t="str">
        <f ca="1">SUBSTITUTE(OFFSET(Attributes!$A$1,MATCH($A43,Attributes!$A:$A,0)-1,MATCH("Attr CN",Attributes!$1:$1,0)-1),"#",$B43*$B$1&amp;"-"&amp;$C43*$B$1)</f>
        <v>+6-9护甲</v>
      </c>
      <c r="G43" s="83" t="str">
        <f ca="1">SUBSTITUTE(OFFSET(Attributes!$A$1,MATCH($A43,Attributes!$A:$A,0)-1,MATCH("Attr EN",Attributes!$1:$1,0)-1),"#",$B43&amp;"-"&amp;$C43*$B$1)</f>
        <v>+2-9 Armor</v>
      </c>
      <c r="H43" s="17" t="e">
        <f>FormatItemDescription(F42:F43)</f>
        <v>#VALUE!</v>
      </c>
    </row>
    <row r="44" spans="1:8" x14ac:dyDescent="0.25">
      <c r="F44" s="82"/>
      <c r="G44" s="82"/>
      <c r="H44" s="17"/>
    </row>
    <row r="45" spans="1:8" x14ac:dyDescent="0.25">
      <c r="F45" s="82" t="s">
        <v>373</v>
      </c>
      <c r="G45" s="82" t="s">
        <v>483</v>
      </c>
      <c r="H45" s="17" t="e">
        <f>FormatItemName(F45)</f>
        <v>#VALUE!</v>
      </c>
    </row>
    <row r="46" spans="1:8" x14ac:dyDescent="0.25">
      <c r="A46" s="77">
        <v>27</v>
      </c>
      <c r="B46" s="92">
        <v>0.02</v>
      </c>
      <c r="C46" s="92">
        <v>0.03</v>
      </c>
      <c r="D46" s="95">
        <f ca="1">OFFSET(Attributes!$A$1,MATCH($A46,Attributes!$A:$A,0)-1,MATCH("Type",Attributes!$1:$1,0)-1)</f>
        <v>1</v>
      </c>
      <c r="E46" s="95" t="str">
        <f ca="1">IFERROR(OFFSET(Attributes!$A$1,MATCH($A46,Attributes!$A:$A,0)-1,MATCH("Abbr",Attributes!$1:$1,0)-1),"")</f>
        <v>DODGE</v>
      </c>
      <c r="F46" s="83" t="str">
        <f ca="1">SUBSTITUTE(OFFSET(Attributes!$A$1,MATCH($A46,Attributes!$A:$A,0)-1,MATCH("Attr CN",Attributes!$1:$1,0)-1),"#",$B46*$B$1&amp;"-"&amp;$C46*$B$1)</f>
        <v>+0.06-0.09躲闪</v>
      </c>
      <c r="G46" s="83" t="str">
        <f ca="1">SUBSTITUTE(OFFSET(Attributes!$A$1,MATCH($A46,Attributes!$A:$A,0)-1,MATCH("Attr EN",Attributes!$1:$1,0)-1),"#",$B46&amp;"-"&amp;$C46*$B$1)</f>
        <v>+0.02-0.09 Dodge chance</v>
      </c>
      <c r="H46" s="17" t="e">
        <f>FormatItemDescription(F45:F46)</f>
        <v>#VALUE!</v>
      </c>
    </row>
    <row r="47" spans="1:8" x14ac:dyDescent="0.25">
      <c r="H47" s="17"/>
    </row>
    <row r="48" spans="1:8" x14ac:dyDescent="0.25">
      <c r="F48" s="82" t="s">
        <v>374</v>
      </c>
      <c r="G48" s="82" t="s">
        <v>484</v>
      </c>
      <c r="H48" s="17" t="e">
        <f>FormatItemName(F48)</f>
        <v>#VALUE!</v>
      </c>
    </row>
    <row r="49" spans="1:8" x14ac:dyDescent="0.25">
      <c r="A49" s="77">
        <v>17</v>
      </c>
      <c r="B49" s="92">
        <v>75</v>
      </c>
      <c r="C49" s="92">
        <v>150</v>
      </c>
      <c r="D49" s="95">
        <f ca="1">OFFSET(Attributes!$A$1,MATCH($A49,Attributes!$A:$A,0)-1,MATCH("Type",Attributes!$1:$1,0)-1)</f>
        <v>1</v>
      </c>
      <c r="E49" s="95" t="str">
        <f ca="1">IFERROR(OFFSET(Attributes!$A$1,MATCH($A49,Attributes!$A:$A,0)-1,MATCH("Abbr",Attributes!$1:$1,0)-1),"")</f>
        <v>MP</v>
      </c>
      <c r="F49" s="83" t="str">
        <f ca="1">SUBSTITUTE(OFFSET(Attributes!$A$1,MATCH($A49,Attributes!$A:$A,0)-1,MATCH("Attr CN",Attributes!$1:$1,0)-1),"#",$B49*$B$1&amp;"-"&amp;$C49*$B$1)</f>
        <v>+225-450法力上限</v>
      </c>
      <c r="G49" s="83" t="str">
        <f ca="1">SUBSTITUTE(OFFSET(Attributes!$A$1,MATCH($A49,Attributes!$A:$A,0)-1,MATCH("Attr EN",Attributes!$1:$1,0)-1),"#",$B49&amp;"-"&amp;$C49*$B$1)</f>
        <v>+75-450 Max MP</v>
      </c>
      <c r="H49" s="17" t="e">
        <f>FormatItemDescription(F48:F49)</f>
        <v>#VALUE!</v>
      </c>
    </row>
    <row r="50" spans="1:8" x14ac:dyDescent="0.25">
      <c r="H50" s="17"/>
    </row>
    <row r="51" spans="1:8" x14ac:dyDescent="0.25">
      <c r="F51" s="82" t="s">
        <v>375</v>
      </c>
      <c r="G51" s="82" t="s">
        <v>485</v>
      </c>
      <c r="H51" s="17" t="e">
        <f>FormatItemName(F51)</f>
        <v>#VALUE!</v>
      </c>
    </row>
    <row r="52" spans="1:8" x14ac:dyDescent="0.25">
      <c r="A52" s="77">
        <v>72</v>
      </c>
      <c r="B52" s="92">
        <v>1</v>
      </c>
      <c r="C52" s="92">
        <v>2</v>
      </c>
      <c r="D52" s="95">
        <f ca="1">OFFSET(Attributes!$A$1,MATCH($A52,Attributes!$A:$A,0)-1,MATCH("Type",Attributes!$1:$1,0)-1)</f>
        <v>1</v>
      </c>
      <c r="E52" s="95" t="str">
        <f ca="1">IFERROR(OFFSET(Attributes!$A$1,MATCH($A52,Attributes!$A:$A,0)-1,MATCH("Abbr",Attributes!$1:$1,0)-1),"")</f>
        <v>MREG</v>
      </c>
      <c r="F52" s="83" t="str">
        <f ca="1">SUBSTITUTE(OFFSET(Attributes!$A$1,MATCH($A52,Attributes!$A:$A,0)-1,MATCH("Attr CN",Attributes!$1:$1,0)-1),"#",$B52*$B$1&amp;"-"&amp;$C52*$B$1)</f>
        <v>每秒回复3-6点法力值</v>
      </c>
      <c r="G52" s="83" t="str">
        <f ca="1">SUBSTITUTE(OFFSET(Attributes!$A$1,MATCH($A52,Attributes!$A:$A,0)-1,MATCH("Attr EN",Attributes!$1:$1,0)-1),"#",$B52&amp;"-"&amp;$C52*$B$1)</f>
        <v>Regens 1-6 MP per second</v>
      </c>
      <c r="H52" s="17" t="e">
        <f>FormatItemDescription(F51:F52)</f>
        <v>#VALUE!</v>
      </c>
    </row>
    <row r="53" spans="1:8" x14ac:dyDescent="0.25">
      <c r="H53" s="17"/>
    </row>
    <row r="54" spans="1:8" x14ac:dyDescent="0.25">
      <c r="F54" s="82" t="s">
        <v>376</v>
      </c>
      <c r="G54" s="82" t="s">
        <v>885</v>
      </c>
      <c r="H54" s="17" t="e">
        <f>FormatItemName(F54)</f>
        <v>#VALUE!</v>
      </c>
    </row>
    <row r="55" spans="1:8" x14ac:dyDescent="0.25">
      <c r="A55" s="77">
        <v>18</v>
      </c>
      <c r="B55" s="92">
        <v>5</v>
      </c>
      <c r="C55" s="92">
        <v>10</v>
      </c>
      <c r="D55" s="95">
        <f ca="1">OFFSET(Attributes!$A$1,MATCH($A55,Attributes!$A:$A,0)-1,MATCH("Type",Attributes!$1:$1,0)-1)</f>
        <v>1</v>
      </c>
      <c r="E55" s="95" t="str">
        <f ca="1">IFERROR(OFFSET(Attributes!$A$1,MATCH($A55,Attributes!$A:$A,0)-1,MATCH("Abbr",Attributes!$1:$1,0)-1),"")</f>
        <v>SP</v>
      </c>
      <c r="F55" s="83" t="str">
        <f ca="1">SUBSTITUTE(OFFSET(Attributes!$A$1,MATCH($A55,Attributes!$A:$A,0)-1,MATCH("Attr CN",Attributes!$1:$1,0)-1),"#",$B55*$B$1&amp;"-"&amp;$C55*$B$1)</f>
        <v>+15-30法术强度</v>
      </c>
      <c r="G55" s="83" t="str">
        <f ca="1">SUBSTITUTE(OFFSET(Attributes!$A$1,MATCH($A55,Attributes!$A:$A,0)-1,MATCH("Attr EN",Attributes!$1:$1,0)-1),"#",$B55&amp;"-"&amp;$C55*$B$1)</f>
        <v>+5-30 Spell power</v>
      </c>
      <c r="H55" s="17" t="e">
        <f>FormatItemDescription(F54:F55)</f>
        <v>#VALUE!</v>
      </c>
    </row>
    <row r="56" spans="1:8" x14ac:dyDescent="0.25">
      <c r="H56" s="17"/>
    </row>
    <row r="57" spans="1:8" x14ac:dyDescent="0.25">
      <c r="F57" s="82" t="s">
        <v>376</v>
      </c>
      <c r="G57" s="82" t="s">
        <v>886</v>
      </c>
      <c r="H57" s="17" t="e">
        <f>FormatItemName(F57)</f>
        <v>#VALUE!</v>
      </c>
    </row>
    <row r="58" spans="1:8" x14ac:dyDescent="0.25">
      <c r="A58" s="77">
        <v>20</v>
      </c>
      <c r="B58" s="92">
        <v>0.03</v>
      </c>
      <c r="C58" s="92">
        <v>0.05</v>
      </c>
      <c r="D58" s="95">
        <f ca="1">OFFSET(Attributes!$A$1,MATCH($A58,Attributes!$A:$A,0)-1,MATCH("Type",Attributes!$1:$1,0)-1)</f>
        <v>1</v>
      </c>
      <c r="E58" s="95" t="str">
        <f ca="1">IFERROR(OFFSET(Attributes!$A$1,MATCH($A58,Attributes!$A:$A,0)-1,MATCH("Abbr",Attributes!$1:$1,0)-1),"")</f>
        <v>SCRIT</v>
      </c>
      <c r="F58" s="83" t="str">
        <f ca="1">SUBSTITUTE(OFFSET(Attributes!$A$1,MATCH($A58,Attributes!$A:$A,0)-1,MATCH("Attr CN",Attributes!$1:$1,0)-1),"#",$B58*$B$1&amp;"-"&amp;$C58*$B$1)</f>
        <v>+0.09-0.15法术暴击</v>
      </c>
      <c r="G58" s="83" t="str">
        <f ca="1">SUBSTITUTE(OFFSET(Attributes!$A$1,MATCH($A58,Attributes!$A:$A,0)-1,MATCH("Attr EN",Attributes!$1:$1,0)-1),"#",$B58&amp;"-"&amp;$C58*$B$1)</f>
        <v>+0.03-0.15 Spell critical</v>
      </c>
      <c r="H58" s="17" t="e">
        <f>FormatItemDescription(F57:F58)</f>
        <v>#VALUE!</v>
      </c>
    </row>
    <row r="59" spans="1:8" x14ac:dyDescent="0.25">
      <c r="H59" s="17"/>
    </row>
    <row r="60" spans="1:8" x14ac:dyDescent="0.25">
      <c r="F60" s="82" t="s">
        <v>376</v>
      </c>
      <c r="G60" s="82" t="s">
        <v>887</v>
      </c>
      <c r="H60" s="17" t="e">
        <f>FormatItemName(F60)</f>
        <v>#VALUE!</v>
      </c>
    </row>
    <row r="61" spans="1:8" x14ac:dyDescent="0.25">
      <c r="A61" s="77">
        <v>19</v>
      </c>
      <c r="B61" s="92">
        <v>0.03</v>
      </c>
      <c r="C61" s="92">
        <v>0.05</v>
      </c>
      <c r="D61" s="95">
        <f ca="1">OFFSET(Attributes!$A$1,MATCH($A61,Attributes!$A:$A,0)-1,MATCH("Type",Attributes!$1:$1,0)-1)</f>
        <v>1</v>
      </c>
      <c r="E61" s="95" t="str">
        <f ca="1">IFERROR(OFFSET(Attributes!$A$1,MATCH($A61,Attributes!$A:$A,0)-1,MATCH("Abbr",Attributes!$1:$1,0)-1),"")</f>
        <v>SHASTE</v>
      </c>
      <c r="F61" s="83" t="str">
        <f ca="1">SUBSTITUTE(OFFSET(Attributes!$A$1,MATCH($A61,Attributes!$A:$A,0)-1,MATCH("Attr CN",Attributes!$1:$1,0)-1),"#",$B61*$B$1&amp;"-"&amp;$C61*$B$1)</f>
        <v>+0.09-0.15法术急速</v>
      </c>
      <c r="G61" s="83" t="str">
        <f ca="1">SUBSTITUTE(OFFSET(Attributes!$A$1,MATCH($A61,Attributes!$A:$A,0)-1,MATCH("Attr EN",Attributes!$1:$1,0)-1),"#",$B61&amp;"-"&amp;$C61*$B$1)</f>
        <v>+0.03-0.15 Spell haste</v>
      </c>
      <c r="H61" s="17" t="e">
        <f>FormatItemDescription(F60:F61)</f>
        <v>#VALUE!</v>
      </c>
    </row>
    <row r="62" spans="1:8" x14ac:dyDescent="0.25">
      <c r="H62" s="17"/>
    </row>
    <row r="63" spans="1:8" x14ac:dyDescent="0.25">
      <c r="F63" s="82" t="s">
        <v>377</v>
      </c>
      <c r="G63" s="82" t="s">
        <v>486</v>
      </c>
      <c r="H63" s="17" t="e">
        <f>FormatItemName(F63)</f>
        <v>#VALUE!</v>
      </c>
    </row>
    <row r="64" spans="1:8" x14ac:dyDescent="0.25">
      <c r="A64" s="77">
        <v>73</v>
      </c>
      <c r="B64" s="92">
        <v>2</v>
      </c>
      <c r="C64" s="92">
        <v>4</v>
      </c>
      <c r="D64" s="95">
        <f ca="1">OFFSET(Attributes!$A$1,MATCH($A64,Attributes!$A:$A,0)-1,MATCH("Type",Attributes!$1:$1,0)-1)</f>
        <v>1</v>
      </c>
      <c r="E64" s="95" t="str">
        <f ca="1">IFERROR(OFFSET(Attributes!$A$1,MATCH($A64,Attributes!$A:$A,0)-1,MATCH("Abbr",Attributes!$1:$1,0)-1),"")</f>
        <v>HREG</v>
      </c>
      <c r="F64" s="83" t="str">
        <f ca="1">SUBSTITUTE(OFFSET(Attributes!$A$1,MATCH($A64,Attributes!$A:$A,0)-1,MATCH("Attr CN",Attributes!$1:$1,0)-1),"#",$B64*$B$1&amp;"-"&amp;$C64*$B$1)</f>
        <v>每秒回复6-12点生命值</v>
      </c>
      <c r="G64" s="83" t="str">
        <f ca="1">SUBSTITUTE(OFFSET(Attributes!$A$1,MATCH($A64,Attributes!$A:$A,0)-1,MATCH("Attr EN",Attributes!$1:$1,0)-1),"#",$B64&amp;"-"&amp;$C64*$B$1)</f>
        <v>Regens 2-12 HP per second</v>
      </c>
      <c r="H64" s="17" t="e">
        <f>FormatItemDescription(F63:F65)</f>
        <v>#VALUE!</v>
      </c>
    </row>
    <row r="65" spans="1:8" x14ac:dyDescent="0.25">
      <c r="A65" s="77">
        <v>31</v>
      </c>
      <c r="B65" s="92">
        <v>400</v>
      </c>
      <c r="C65" s="92">
        <v>800</v>
      </c>
      <c r="D65" s="95">
        <f ca="1">OFFSET(Attributes!$A$1,MATCH($A65,Attributes!$A:$A,0)-1,MATCH("Type",Attributes!$1:$1,0)-1)</f>
        <v>2</v>
      </c>
      <c r="E65" s="95" t="str">
        <f ca="1">IFERROR(OFFSET(Attributes!$A$1,MATCH($A65,Attributes!$A:$A,0)-1,MATCH("Abbr",Attributes!$1:$1,0)-1),"")</f>
        <v>USE_HREGEN</v>
      </c>
      <c r="F65" s="83" t="str">
        <f ca="1">SUBSTITUTE(OFFSET(Attributes!$A$1,MATCH($A65,Attributes!$A:$A,0)-1,MATCH("Attr CN",Attributes!$1:$1,0)-1),"#",$B65*$B$1&amp;"-"&amp;$C65*$B$1)</f>
        <v>使用：回复1200-2400点生命值</v>
      </c>
      <c r="G65" s="83" t="str">
        <f ca="1">SUBSTITUTE(OFFSET(Attributes!$A$1,MATCH($A65,Attributes!$A:$A,0)-1,MATCH("Attr EN",Attributes!$1:$1,0)-1),"#",$B65&amp;"-"&amp;$C65*$B$1)</f>
        <v>Use: Regens 400-2400 HP</v>
      </c>
      <c r="H65" s="17" t="str">
        <f ca="1">FormatItemUbertip(F64:F65)</f>
        <v>|CFF000000每秒回复6-12点生命值|R|N|CFF000000使用：回复1200-2400点生命值|R</v>
      </c>
    </row>
    <row r="66" spans="1:8" x14ac:dyDescent="0.25">
      <c r="F66" s="82"/>
      <c r="G66" s="82"/>
      <c r="H66" s="85"/>
    </row>
    <row r="67" spans="1:8" x14ac:dyDescent="0.25">
      <c r="F67" s="82" t="s">
        <v>378</v>
      </c>
      <c r="G67" s="82" t="s">
        <v>487</v>
      </c>
      <c r="H67" s="17" t="e">
        <f>FormatItemName(F67)</f>
        <v>#VALUE!</v>
      </c>
    </row>
    <row r="68" spans="1:8" x14ac:dyDescent="0.25">
      <c r="A68" s="77">
        <v>72</v>
      </c>
      <c r="B68" s="92">
        <v>1</v>
      </c>
      <c r="C68" s="92">
        <v>1</v>
      </c>
      <c r="D68" s="95">
        <f ca="1">OFFSET(Attributes!$A$1,MATCH($A68,Attributes!$A:$A,0)-1,MATCH("Type",Attributes!$1:$1,0)-1)</f>
        <v>1</v>
      </c>
      <c r="E68" s="95" t="str">
        <f ca="1">IFERROR(OFFSET(Attributes!$A$1,MATCH($A68,Attributes!$A:$A,0)-1,MATCH("Abbr",Attributes!$1:$1,0)-1),"")</f>
        <v>MREG</v>
      </c>
      <c r="F68" s="83" t="str">
        <f ca="1">SUBSTITUTE(OFFSET(Attributes!$A$1,MATCH($A68,Attributes!$A:$A,0)-1,MATCH("Attr CN",Attributes!$1:$1,0)-1),"#",$B68*$B$1&amp;"-"&amp;$C68*$B$1)</f>
        <v>每秒回复3-3点法力值</v>
      </c>
      <c r="G68" s="83" t="str">
        <f ca="1">SUBSTITUTE(OFFSET(Attributes!$A$1,MATCH($A68,Attributes!$A:$A,0)-1,MATCH("Attr EN",Attributes!$1:$1,0)-1),"#",$B68&amp;"-"&amp;$C68*$B$1)</f>
        <v>Regens 1-3 MP per second</v>
      </c>
      <c r="H68" s="17" t="e">
        <f>FormatItemDescription(F67:F69)</f>
        <v>#VALUE!</v>
      </c>
    </row>
    <row r="69" spans="1:8" x14ac:dyDescent="0.25">
      <c r="A69" s="77">
        <v>30</v>
      </c>
      <c r="B69" s="92">
        <v>200</v>
      </c>
      <c r="C69" s="92">
        <v>400</v>
      </c>
      <c r="D69" s="95">
        <f ca="1">OFFSET(Attributes!$A$1,MATCH($A69,Attributes!$A:$A,0)-1,MATCH("Type",Attributes!$1:$1,0)-1)</f>
        <v>2</v>
      </c>
      <c r="E69" s="95" t="str">
        <f ca="1">IFERROR(OFFSET(Attributes!$A$1,MATCH($A69,Attributes!$A:$A,0)-1,MATCH("Abbr",Attributes!$1:$1,0)-1),"")</f>
        <v>USE_MREGEN</v>
      </c>
      <c r="F69" s="83" t="str">
        <f ca="1">SUBSTITUTE(OFFSET(Attributes!$A$1,MATCH($A69,Attributes!$A:$A,0)-1,MATCH("Attr CN",Attributes!$1:$1,0)-1),"#",$B69*$B$1&amp;"-"&amp;$C69*$B$1)</f>
        <v>使用：回复600-1200点法力值</v>
      </c>
      <c r="G69" s="83" t="str">
        <f ca="1">SUBSTITUTE(OFFSET(Attributes!$A$1,MATCH($A69,Attributes!$A:$A,0)-1,MATCH("Attr EN",Attributes!$1:$1,0)-1),"#",$B69&amp;"-"&amp;$C69*$B$1)</f>
        <v>Use: Regens 200-1200 MP</v>
      </c>
      <c r="H69" s="17" t="str">
        <f ca="1">FormatItemUbertip(F68:F69)</f>
        <v>|CFF000000每秒回复3-3点法力值|R|N|CFF000000使用：回复600-1200点法力值|R</v>
      </c>
    </row>
    <row r="71" spans="1:8" x14ac:dyDescent="0.25">
      <c r="F71" s="82" t="s">
        <v>379</v>
      </c>
      <c r="G71" s="82" t="s">
        <v>488</v>
      </c>
      <c r="H71" s="17" t="e">
        <f>FormatItemName(F71)</f>
        <v>#VALUE!</v>
      </c>
    </row>
    <row r="72" spans="1:8" x14ac:dyDescent="0.25">
      <c r="A72" s="77">
        <v>53</v>
      </c>
      <c r="B72" s="92">
        <v>25</v>
      </c>
      <c r="C72" s="92">
        <v>100</v>
      </c>
      <c r="D72" s="95">
        <f ca="1">OFFSET(Attributes!$A$1,MATCH($A72,Attributes!$A:$A,0)-1,MATCH("Type",Attributes!$1:$1,0)-1)</f>
        <v>2</v>
      </c>
      <c r="E72" s="95" t="str">
        <f ca="1">IFERROR(OFFSET(Attributes!$A$1,MATCH($A72,Attributes!$A:$A,0)-1,MATCH("Abbr",Attributes!$1:$1,0)-1),"")</f>
        <v>ATK_MDC</v>
      </c>
      <c r="F72" s="83" t="str">
        <f ca="1">SUBSTITUTE(OFFSET(Attributes!$A$1,MATCH($A72,Attributes!$A:$A,0)-1,MATCH("Attr CN",Attributes!$1:$1,0)-1),"#",$B72*$B$1&amp;"-"&amp;$C72*$B$1)</f>
        <v>命中：有25%的几率造成75-300点法术伤害</v>
      </c>
      <c r="G72" s="83" t="str">
        <f ca="1">SUBSTITUTE(OFFSET(Attributes!$A$1,MATCH($A72,Attributes!$A:$A,0)-1,MATCH("Attr EN",Attributes!$1:$1,0)-1),"#",$B72&amp;"-"&amp;$C72*$B$1)</f>
        <v>On Attack: 25% chance to deal 25-300 magic damage to target</v>
      </c>
      <c r="H72" s="17" t="e">
        <f>FormatItemDescription(F71:F73)</f>
        <v>#VALUE!</v>
      </c>
    </row>
    <row r="73" spans="1:8" x14ac:dyDescent="0.25">
      <c r="F73" s="82" t="s">
        <v>380</v>
      </c>
      <c r="G73" s="82" t="s">
        <v>489</v>
      </c>
      <c r="H73" s="17" t="str">
        <f ca="1">FormatItemUbertip(F72:F73)</f>
        <v>|CFF000000命中：有25%的几率造成75-300点法术伤害|R|N|CFF000000还能用。|R</v>
      </c>
    </row>
    <row r="74" spans="1:8" x14ac:dyDescent="0.25">
      <c r="H74" s="18"/>
    </row>
    <row r="75" spans="1:8" x14ac:dyDescent="0.25">
      <c r="F75" s="82" t="s">
        <v>381</v>
      </c>
      <c r="G75" s="82" t="s">
        <v>490</v>
      </c>
      <c r="H75" s="17" t="e">
        <f>FormatItemName(F75)</f>
        <v>#VALUE!</v>
      </c>
    </row>
    <row r="76" spans="1:8" x14ac:dyDescent="0.25">
      <c r="A76" s="77">
        <v>27</v>
      </c>
      <c r="B76" s="92">
        <v>0.01</v>
      </c>
      <c r="C76" s="92">
        <v>0.02</v>
      </c>
      <c r="D76" s="95">
        <f ca="1">OFFSET(Attributes!$A$1,MATCH($A76,Attributes!$A:$A,0)-1,MATCH("Type",Attributes!$1:$1,0)-1)</f>
        <v>1</v>
      </c>
      <c r="E76" s="95" t="str">
        <f ca="1">IFERROR(OFFSET(Attributes!$A$1,MATCH($A76,Attributes!$A:$A,0)-1,MATCH("Abbr",Attributes!$1:$1,0)-1),"")</f>
        <v>DODGE</v>
      </c>
      <c r="F76" s="83" t="str">
        <f ca="1">SUBSTITUTE(OFFSET(Attributes!$A$1,MATCH($A76,Attributes!$A:$A,0)-1,MATCH("Attr CN",Attributes!$1:$1,0)-1),"#",$B76*$B$1&amp;"-"&amp;$C76*$B$1)</f>
        <v>+0.03-0.06躲闪</v>
      </c>
      <c r="G76" s="83" t="str">
        <f ca="1">SUBSTITUTE(OFFSET(Attributes!$A$1,MATCH($A76,Attributes!$A:$A,0)-1,MATCH("Attr EN",Attributes!$1:$1,0)-1),"#",$B76&amp;"-"&amp;$C76*$B$1)</f>
        <v>+0.01-0.06 Dodge chance</v>
      </c>
      <c r="H76" s="17" t="e">
        <f>FormatItemDescription(F75:F78)</f>
        <v>#VALUE!</v>
      </c>
    </row>
    <row r="77" spans="1:8" x14ac:dyDescent="0.25">
      <c r="A77" s="77">
        <v>35</v>
      </c>
      <c r="B77" s="92">
        <v>8</v>
      </c>
      <c r="C77" s="92">
        <v>12</v>
      </c>
      <c r="D77" s="95">
        <f ca="1">OFFSET(Attributes!$A$1,MATCH($A77,Attributes!$A:$A,0)-1,MATCH("Type",Attributes!$1:$1,0)-1)</f>
        <v>2</v>
      </c>
      <c r="E77" s="95" t="str">
        <f ca="1">IFERROR(OFFSET(Attributes!$A$1,MATCH($A77,Attributes!$A:$A,0)-1,MATCH("Abbr",Attributes!$1:$1,0)-1),"")</f>
        <v>USE_DODGE</v>
      </c>
      <c r="F77" s="83" t="str">
        <f ca="1">SUBSTITUTE(OFFSET(Attributes!$A$1,MATCH($A77,Attributes!$A:$A,0)-1,MATCH("Attr CN",Attributes!$1:$1,0)-1),"#",$B77*$B$1&amp;"-"&amp;$C77*$B$1)</f>
        <v>使用：提高30%的躲闪几率，持续24-36秒</v>
      </c>
      <c r="G77" s="83" t="str">
        <f ca="1">SUBSTITUTE(OFFSET(Attributes!$A$1,MATCH($A77,Attributes!$A:$A,0)-1,MATCH("Attr EN",Attributes!$1:$1,0)-1),"#",$B77&amp;"-"&amp;$C77*$B$1)</f>
        <v>Use: Increase dodge chance by 30%, lasts for 8-36 seconds</v>
      </c>
      <c r="H77" s="17" t="str">
        <f ca="1">FormatItemUbertip(F76:F78)</f>
        <v>|CFF000000+0.03-0.06躲闪|R|N|CFF000000使用：提高30%的躲闪几率，持续24-36秒|R|N|CFF000000从莫罗斯的幸运怀表上面卸下来的。|R</v>
      </c>
    </row>
    <row r="78" spans="1:8" x14ac:dyDescent="0.25">
      <c r="F78" s="82" t="s">
        <v>382</v>
      </c>
      <c r="G78" s="82" t="s">
        <v>491</v>
      </c>
      <c r="H78" s="86"/>
    </row>
    <row r="79" spans="1:8" x14ac:dyDescent="0.25">
      <c r="F79" s="82"/>
      <c r="G79" s="82"/>
      <c r="H79" s="18"/>
    </row>
    <row r="80" spans="1:8" x14ac:dyDescent="0.25">
      <c r="F80" s="82" t="s">
        <v>383</v>
      </c>
      <c r="G80" s="82" t="s">
        <v>492</v>
      </c>
      <c r="H80" s="17" t="e">
        <f>FormatItemName(F80)</f>
        <v>#VALUE!</v>
      </c>
    </row>
    <row r="81" spans="1:8" x14ac:dyDescent="0.25">
      <c r="A81" s="77">
        <v>21</v>
      </c>
      <c r="B81" s="92">
        <v>57</v>
      </c>
      <c r="C81" s="92">
        <v>113</v>
      </c>
      <c r="D81" s="95">
        <f ca="1">OFFSET(Attributes!$A$1,MATCH($A81,Attributes!$A:$A,0)-1,MATCH("Type",Attributes!$1:$1,0)-1)</f>
        <v>1</v>
      </c>
      <c r="E81" s="95" t="str">
        <f ca="1">IFERROR(OFFSET(Attributes!$A$1,MATCH($A81,Attributes!$A:$A,0)-1,MATCH("Abbr",Attributes!$1:$1,0)-1),"")</f>
        <v>HP</v>
      </c>
      <c r="F81" s="83" t="str">
        <f ca="1">SUBSTITUTE(OFFSET(Attributes!$A$1,MATCH($A81,Attributes!$A:$A,0)-1,MATCH("Attr CN",Attributes!$1:$1,0)-1),"#",$B81*$B$1&amp;"-"&amp;$C81*$B$1)</f>
        <v>+171-339生命上限</v>
      </c>
      <c r="G81" s="83" t="str">
        <f ca="1">SUBSTITUTE(OFFSET(Attributes!$A$1,MATCH($A81,Attributes!$A:$A,0)-1,MATCH("Attr EN",Attributes!$1:$1,0)-1),"#",$B81&amp;"-"&amp;$C81*$B$1)</f>
        <v>+57-339 Max HP</v>
      </c>
      <c r="H81" s="17" t="e">
        <f>FormatItemDescription(F80:F83)</f>
        <v>#VALUE!</v>
      </c>
    </row>
    <row r="82" spans="1:8" x14ac:dyDescent="0.25">
      <c r="A82" s="77">
        <v>2</v>
      </c>
      <c r="B82" s="92">
        <v>0.03</v>
      </c>
      <c r="C82" s="92">
        <v>0.05</v>
      </c>
      <c r="D82" s="95">
        <f ca="1">OFFSET(Attributes!$A$1,MATCH($A82,Attributes!$A:$A,0)-1,MATCH("Type",Attributes!$1:$1,0)-1)</f>
        <v>1</v>
      </c>
      <c r="E82" s="95" t="str">
        <f ca="1">IFERROR(OFFSET(Attributes!$A$1,MATCH($A82,Attributes!$A:$A,0)-1,MATCH("Abbr",Attributes!$1:$1,0)-1),"")</f>
        <v>MDR</v>
      </c>
      <c r="F82" s="83" t="str">
        <f ca="1">SUBSTITUTE(OFFSET(Attributes!$A$1,MATCH($A82,Attributes!$A:$A,0)-1,MATCH("Attr CN",Attributes!$1:$1,0)-1),"#",$B82*$B$1&amp;"-"&amp;$C82*$B$1)</f>
        <v>-0.09-0.15受到的法术伤害</v>
      </c>
      <c r="G82" s="83" t="str">
        <f ca="1">SUBSTITUTE(OFFSET(Attributes!$A$1,MATCH($A82,Attributes!$A:$A,0)-1,MATCH("Attr EN",Attributes!$1:$1,0)-1),"#",$B82&amp;"-"&amp;$C82*$B$1)</f>
        <v>-0.03-0.15 magic damage taken</v>
      </c>
      <c r="H82" s="17" t="str">
        <f ca="1">FormatItemUbertip(F81:F83)</f>
        <v>|CFF000000+171-339生命上限|R|N|CFF000000-0.09-0.15受到的法术伤害|R|N|CFF000000所谓护腕，是对食人魔而言。|R</v>
      </c>
    </row>
    <row r="83" spans="1:8" x14ac:dyDescent="0.25">
      <c r="F83" s="82" t="s">
        <v>493</v>
      </c>
      <c r="G83" s="82" t="s">
        <v>494</v>
      </c>
      <c r="H83" s="17"/>
    </row>
    <row r="85" spans="1:8" x14ac:dyDescent="0.25">
      <c r="F85" s="82" t="s">
        <v>384</v>
      </c>
      <c r="G85" s="82" t="s">
        <v>495</v>
      </c>
      <c r="H85" s="17" t="e">
        <f>FormatItemName(F85)</f>
        <v>#VALUE!</v>
      </c>
    </row>
    <row r="86" spans="1:8" x14ac:dyDescent="0.25">
      <c r="A86" s="77">
        <v>14</v>
      </c>
      <c r="B86" s="92">
        <v>4</v>
      </c>
      <c r="C86" s="92">
        <v>7</v>
      </c>
      <c r="D86" s="95">
        <f ca="1">OFFSET(Attributes!$A$1,MATCH($A86,Attributes!$A:$A,0)-1,MATCH("Type",Attributes!$1:$1,0)-1)</f>
        <v>1</v>
      </c>
      <c r="E86" s="95" t="str">
        <f ca="1">IFERROR(OFFSET(Attributes!$A$1,MATCH($A86,Attributes!$A:$A,0)-1,MATCH("Abbr",Attributes!$1:$1,0)-1),"")</f>
        <v>INT</v>
      </c>
      <c r="F86" s="83" t="str">
        <f ca="1">SUBSTITUTE(OFFSET(Attributes!$A$1,MATCH($A86,Attributes!$A:$A,0)-1,MATCH("Attr CN",Attributes!$1:$1,0)-1),"#",$B86*$B$1&amp;"-"&amp;$C86*$B$1)</f>
        <v>+12-21智力</v>
      </c>
      <c r="G86" s="83" t="str">
        <f ca="1">SUBSTITUTE(OFFSET(Attributes!$A$1,MATCH($A86,Attributes!$A:$A,0)-1,MATCH("Attr EN",Attributes!$1:$1,0)-1),"#",$B86&amp;"-"&amp;$C86*$B$1)</f>
        <v>+4-21 Intelligence</v>
      </c>
      <c r="H86" s="17" t="e">
        <f>FormatItemDescription(F85:F88)</f>
        <v>#VALUE!</v>
      </c>
    </row>
    <row r="87" spans="1:8" x14ac:dyDescent="0.25">
      <c r="A87" s="77">
        <v>33</v>
      </c>
      <c r="B87" s="92">
        <v>13</v>
      </c>
      <c r="C87" s="92">
        <v>25</v>
      </c>
      <c r="D87" s="95">
        <f ca="1">OFFSET(Attributes!$A$1,MATCH($A87,Attributes!$A:$A,0)-1,MATCH("Type",Attributes!$1:$1,0)-1)</f>
        <v>2</v>
      </c>
      <c r="E87" s="95" t="str">
        <f ca="1">IFERROR(OFFSET(Attributes!$A$1,MATCH($A87,Attributes!$A:$A,0)-1,MATCH("Abbr",Attributes!$1:$1,0)-1),"")</f>
        <v>USE_INT</v>
      </c>
      <c r="F87" s="83" t="str">
        <f ca="1">SUBSTITUTE(OFFSET(Attributes!$A$1,MATCH($A87,Attributes!$A:$A,0)-1,MATCH("Attr CN",Attributes!$1:$1,0)-1),"#",$B87*$B$1&amp;"-"&amp;$C87*$B$1)</f>
        <v>使用：提高39-75点智力，持续20秒</v>
      </c>
      <c r="G87" s="83" t="str">
        <f ca="1">SUBSTITUTE(OFFSET(Attributes!$A$1,MATCH($A87,Attributes!$A:$A,0)-1,MATCH("Attr EN",Attributes!$1:$1,0)-1),"#",$B87&amp;"-"&amp;$C87*$B$1)</f>
        <v>Use: Increase intelligence by 13-75, lasts for 20 seconds</v>
      </c>
      <c r="H87" s="17" t="str">
        <f ca="1">FormatItemUbertip(F86:F88)</f>
        <v>|CFF000000+12-21智力|R|N|CFF000000使用：提高39-75点智力，持续20秒|R|N|CFF000000依稀可以看出这个徽记曾经是漂亮的银色。|R</v>
      </c>
    </row>
    <row r="88" spans="1:8" x14ac:dyDescent="0.25">
      <c r="F88" s="82" t="s">
        <v>385</v>
      </c>
      <c r="G88" s="82" t="s">
        <v>496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83"/>
  <sheetViews>
    <sheetView workbookViewId="0">
      <pane ySplit="2" topLeftCell="A72" activePane="bottomLeft" state="frozen"/>
      <selection pane="bottomLeft" activeCell="J93" sqref="J93"/>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6" customWidth="1"/>
    <col min="5" max="5" width="15.5703125" style="76" bestFit="1" customWidth="1"/>
    <col min="6" max="6" width="50.7109375" style="97" hidden="1" customWidth="1"/>
    <col min="7" max="7" width="50.7109375" style="84" customWidth="1"/>
    <col min="8" max="16384" width="14.42578125" style="77"/>
  </cols>
  <sheetData>
    <row r="1" spans="1:7" x14ac:dyDescent="0.25">
      <c r="A1" s="70" t="s">
        <v>557</v>
      </c>
      <c r="B1" s="91">
        <v>3</v>
      </c>
      <c r="C1" s="91"/>
      <c r="D1" s="74"/>
      <c r="E1" s="74"/>
    </row>
    <row r="2" spans="1:7" x14ac:dyDescent="0.25">
      <c r="A2" s="72" t="s">
        <v>662</v>
      </c>
      <c r="B2" s="89" t="s">
        <v>663</v>
      </c>
      <c r="C2" s="89" t="s">
        <v>664</v>
      </c>
      <c r="D2" s="75" t="s">
        <v>850</v>
      </c>
      <c r="E2" s="75" t="s">
        <v>856</v>
      </c>
      <c r="F2" s="99" t="s">
        <v>660</v>
      </c>
      <c r="G2" s="90" t="s">
        <v>661</v>
      </c>
    </row>
    <row r="3" spans="1:7" x14ac:dyDescent="0.25">
      <c r="F3" s="100" t="s">
        <v>472</v>
      </c>
      <c r="G3" s="82" t="s">
        <v>473</v>
      </c>
    </row>
    <row r="4" spans="1:7" x14ac:dyDescent="0.25">
      <c r="A4" s="17">
        <v>9</v>
      </c>
      <c r="B4" s="17">
        <v>8</v>
      </c>
      <c r="C4" s="17">
        <v>15</v>
      </c>
      <c r="D4" s="76">
        <f ca="1">OFFSET(Attributes!$A$1,MATCH(Rare!$A4,Attributes!$A:$A,0)-1,MATCH("Type",Attributes!$1:$1,0)-1)</f>
        <v>1</v>
      </c>
      <c r="E4" s="76" t="str">
        <f ca="1">IFERROR(OFFSET(Attributes!$A$1,MATCH(Rare!$A4,Attributes!$A:$A,0)-1,MATCH("Abbr",Attributes!$1:$1,0)-1),"")</f>
        <v>AP</v>
      </c>
      <c r="F4" s="101" t="str">
        <f ca="1">SUBSTITUTE(OFFSET(Attributes!$A$1,MATCH($A4,Attributes!$A:$A,0)-1,MATCH("Attr CN",Attributes!$1:$1,0)-1),"#",$B4*$B$1&amp;"-"&amp;$C4*$B$1)</f>
        <v>+24-45攻击强度</v>
      </c>
      <c r="G4" s="83" t="str">
        <f ca="1">SUBSTITUTE(OFFSET(Attributes!$A$1,MATCH($A4,Attributes!$A:$A,0)-1,MATCH("Attr EN",Attributes!$1:$1,0)-1),"#",$B4&amp;"-"&amp;$C4*$B$1)</f>
        <v>+8-45 Attack power</v>
      </c>
    </row>
    <row r="5" spans="1:7" x14ac:dyDescent="0.25">
      <c r="A5" s="17">
        <v>12</v>
      </c>
      <c r="B5" s="17">
        <v>4</v>
      </c>
      <c r="C5" s="17">
        <v>8</v>
      </c>
      <c r="D5" s="76">
        <f ca="1">OFFSET(Attributes!$A$1,MATCH(Rare!$A5,Attributes!$A:$A,0)-1,MATCH("Type",Attributes!$1:$1,0)-1)</f>
        <v>1</v>
      </c>
      <c r="E5" s="76" t="str">
        <f ca="1">IFERROR(OFFSET(Attributes!$A$1,MATCH(Rare!$A5,Attributes!$A:$A,0)-1,MATCH("Abbr",Attributes!$1:$1,0)-1),"")</f>
        <v>IAS</v>
      </c>
      <c r="F5" s="101" t="str">
        <f ca="1">SUBSTITUTE(OFFSET(Attributes!$A$1,MATCH($A5,Attributes!$A:$A,0)-1,MATCH("Attr CN",Attributes!$1:$1,0)-1),"#",$B5*$B$1&amp;"-"&amp;$C5*$B$1)</f>
        <v>+12-24%攻击速度</v>
      </c>
      <c r="G5" s="83" t="str">
        <f ca="1">SUBSTITUTE(OFFSET(Attributes!$A$1,MATCH($A5,Attributes!$A:$A,0)-1,MATCH("Attr EN",Attributes!$1:$1,0)-1),"#",$B5&amp;"-"&amp;$C5*$B$1)</f>
        <v>+4-24% Attack speed</v>
      </c>
    </row>
    <row r="6" spans="1:7" x14ac:dyDescent="0.25">
      <c r="E6" s="76" t="str">
        <f ca="1">IFERROR(OFFSET(Attributes!$A$1,MATCH(Rare!$A6,Attributes!$A:$A,0)-1,MATCH("Abbr",Attributes!$1:$1,0)-1),"")</f>
        <v/>
      </c>
      <c r="F6" s="102" t="s">
        <v>49</v>
      </c>
      <c r="G6" s="82" t="s">
        <v>498</v>
      </c>
    </row>
    <row r="7" spans="1:7" x14ac:dyDescent="0.25">
      <c r="E7" s="76" t="str">
        <f ca="1">IFERROR(OFFSET(Attributes!$A$1,MATCH(Rare!$A7,Attributes!$A:$A,0)-1,MATCH("Abbr",Attributes!$1:$1,0)-1),"")</f>
        <v/>
      </c>
    </row>
    <row r="8" spans="1:7" s="18" customFormat="1" x14ac:dyDescent="0.25">
      <c r="A8" s="17"/>
      <c r="B8" s="17"/>
      <c r="C8" s="17"/>
      <c r="D8" s="76"/>
      <c r="E8" s="76" t="str">
        <f ca="1">IFERROR(OFFSET(Attributes!$A$1,MATCH(Rare!$A8,Attributes!$A:$A,0)-1,MATCH("Abbr",Attributes!$1:$1,0)-1),"")</f>
        <v/>
      </c>
      <c r="F8" s="103" t="s">
        <v>846</v>
      </c>
      <c r="G8" s="82" t="s">
        <v>847</v>
      </c>
    </row>
    <row r="9" spans="1:7" s="18" customFormat="1" x14ac:dyDescent="0.25">
      <c r="A9" s="17">
        <v>7</v>
      </c>
      <c r="B9" s="17">
        <v>12</v>
      </c>
      <c r="C9" s="17">
        <v>21</v>
      </c>
      <c r="D9" s="76">
        <f ca="1">OFFSET(Attributes!$A$1,MATCH(Rare!$A9,Attributes!$A:$A,0)-1,MATCH("Type",Attributes!$1:$1,0)-1)</f>
        <v>1</v>
      </c>
      <c r="E9" s="76" t="str">
        <f ca="1">IFERROR(OFFSET(Attributes!$A$1,MATCH(Rare!$A9,Attributes!$A:$A,0)-1,MATCH("Abbr",Attributes!$1:$1,0)-1),"")</f>
        <v>ALLSTAT</v>
      </c>
      <c r="F9" s="101" t="str">
        <f ca="1">SUBSTITUTE(OFFSET(Attributes!$A$1,MATCH($A9,Attributes!$A:$A,0)-1,MATCH("Attr CN",Attributes!$1:$1,0)-1),"#",$B9*$B$1&amp;"-"&amp;$C9*$B$1)</f>
        <v>+36-63所有属性</v>
      </c>
      <c r="G9" s="83" t="str">
        <f ca="1">SUBSTITUTE(OFFSET(Attributes!$A$1,MATCH($A9,Attributes!$A:$A,0)-1,MATCH("Attr EN",Attributes!$1:$1,0)-1),"#",$B9&amp;"-"&amp;$C9*$B$1)</f>
        <v>+12-63 All stats</v>
      </c>
    </row>
    <row r="10" spans="1:7" s="18" customFormat="1" x14ac:dyDescent="0.25">
      <c r="A10" s="17"/>
      <c r="B10" s="17"/>
      <c r="C10" s="17"/>
      <c r="D10" s="76"/>
      <c r="E10" s="76" t="str">
        <f ca="1">IFERROR(OFFSET(Attributes!$A$1,MATCH(Rare!$A10,Attributes!$A:$A,0)-1,MATCH("Abbr",Attributes!$1:$1,0)-1),"")</f>
        <v/>
      </c>
      <c r="F10" s="102" t="s">
        <v>37</v>
      </c>
      <c r="G10" s="82" t="s">
        <v>499</v>
      </c>
    </row>
    <row r="11" spans="1:7" s="18" customFormat="1" x14ac:dyDescent="0.25">
      <c r="A11" s="17"/>
      <c r="B11" s="17"/>
      <c r="C11" s="17"/>
      <c r="D11" s="76"/>
      <c r="E11" s="76" t="str">
        <f ca="1">IFERROR(OFFSET(Attributes!$A$1,MATCH(Rare!$A11,Attributes!$A:$A,0)-1,MATCH("Abbr",Attributes!$1:$1,0)-1),"")</f>
        <v/>
      </c>
      <c r="F11" s="98"/>
      <c r="G11" s="82"/>
    </row>
    <row r="12" spans="1:7" s="18" customFormat="1" x14ac:dyDescent="0.25">
      <c r="A12" s="17"/>
      <c r="B12" s="17"/>
      <c r="C12" s="17"/>
      <c r="D12" s="76"/>
      <c r="E12" s="76" t="str">
        <f ca="1">IFERROR(OFFSET(Attributes!$A$1,MATCH(Rare!$A12,Attributes!$A:$A,0)-1,MATCH("Abbr",Attributes!$1:$1,0)-1),"")</f>
        <v/>
      </c>
      <c r="F12" s="103" t="s">
        <v>38</v>
      </c>
      <c r="G12" s="82" t="s">
        <v>39</v>
      </c>
    </row>
    <row r="13" spans="1:7" s="18" customFormat="1" x14ac:dyDescent="0.25">
      <c r="A13" s="17">
        <v>21</v>
      </c>
      <c r="B13" s="17">
        <v>100</v>
      </c>
      <c r="C13" s="17">
        <v>200</v>
      </c>
      <c r="D13" s="76">
        <f ca="1">OFFSET(Attributes!$A$1,MATCH(Rare!$A13,Attributes!$A:$A,0)-1,MATCH("Type",Attributes!$1:$1,0)-1)</f>
        <v>1</v>
      </c>
      <c r="E13" s="76" t="str">
        <f ca="1">IFERROR(OFFSET(Attributes!$A$1,MATCH(Rare!$A13,Attributes!$A:$A,0)-1,MATCH("Abbr",Attributes!$1:$1,0)-1),"")</f>
        <v>HP</v>
      </c>
      <c r="F13" s="101" t="str">
        <f ca="1">SUBSTITUTE(OFFSET(Attributes!$A$1,MATCH($A13,Attributes!$A:$A,0)-1,MATCH("Attr CN",Attributes!$1:$1,0)-1),"#",$B13*$B$1&amp;"-"&amp;$C13*$B$1)</f>
        <v>+300-600生命上限</v>
      </c>
      <c r="G13" s="83" t="str">
        <f ca="1">SUBSTITUTE(OFFSET(Attributes!$A$1,MATCH($A13,Attributes!$A:$A,0)-1,MATCH("Attr EN",Attributes!$1:$1,0)-1),"#",$B13&amp;"-"&amp;$C13*$B$1)</f>
        <v>+100-600 Max HP</v>
      </c>
    </row>
    <row r="14" spans="1:7" s="18" customFormat="1" x14ac:dyDescent="0.25">
      <c r="A14" s="17">
        <v>17</v>
      </c>
      <c r="B14" s="17">
        <v>100</v>
      </c>
      <c r="C14" s="17">
        <v>200</v>
      </c>
      <c r="D14" s="76">
        <f ca="1">OFFSET(Attributes!$A$1,MATCH(Rare!$A14,Attributes!$A:$A,0)-1,MATCH("Type",Attributes!$1:$1,0)-1)</f>
        <v>1</v>
      </c>
      <c r="E14" s="76" t="str">
        <f ca="1">IFERROR(OFFSET(Attributes!$A$1,MATCH(Rare!$A14,Attributes!$A:$A,0)-1,MATCH("Abbr",Attributes!$1:$1,0)-1),"")</f>
        <v>MP</v>
      </c>
      <c r="F14" s="101" t="str">
        <f ca="1">SUBSTITUTE(OFFSET(Attributes!$A$1,MATCH($A14,Attributes!$A:$A,0)-1,MATCH("Attr CN",Attributes!$1:$1,0)-1),"#",$B14*$B$1&amp;"-"&amp;$C14*$B$1)</f>
        <v>+300-600法力上限</v>
      </c>
      <c r="G14" s="83" t="str">
        <f ca="1">SUBSTITUTE(OFFSET(Attributes!$A$1,MATCH($A14,Attributes!$A:$A,0)-1,MATCH("Attr EN",Attributes!$1:$1,0)-1),"#",$B14&amp;"-"&amp;$C14*$B$1)</f>
        <v>+100-600 Max MP</v>
      </c>
    </row>
    <row r="15" spans="1:7" s="18" customFormat="1" x14ac:dyDescent="0.25">
      <c r="A15" s="17">
        <v>24</v>
      </c>
      <c r="B15" s="17">
        <v>13</v>
      </c>
      <c r="C15" s="17">
        <v>25</v>
      </c>
      <c r="D15" s="76">
        <f ca="1">OFFSET(Attributes!$A$1,MATCH(Rare!$A15,Attributes!$A:$A,0)-1,MATCH("Type",Attributes!$1:$1,0)-1)</f>
        <v>1</v>
      </c>
      <c r="E15" s="76" t="str">
        <f ca="1">IFERROR(OFFSET(Attributes!$A$1,MATCH(Rare!$A15,Attributes!$A:$A,0)-1,MATCH("Abbr",Attributes!$1:$1,0)-1),"")</f>
        <v>MS</v>
      </c>
      <c r="F15" s="101" t="str">
        <f ca="1">SUBSTITUTE(OFFSET(Attributes!$A$1,MATCH($A15,Attributes!$A:$A,0)-1,MATCH("Attr CN",Attributes!$1:$1,0)-1),"#",$B15*$B$1&amp;"-"&amp;$C15*$B$1)</f>
        <v>+39-75移动速度</v>
      </c>
      <c r="G15" s="83" t="str">
        <f ca="1">SUBSTITUTE(OFFSET(Attributes!$A$1,MATCH($A15,Attributes!$A:$A,0)-1,MATCH("Attr EN",Attributes!$1:$1,0)-1),"#",$B15&amp;"-"&amp;$C15*$B$1)</f>
        <v>+13-75 Movement speed</v>
      </c>
    </row>
    <row r="16" spans="1:7" s="18" customFormat="1" x14ac:dyDescent="0.25">
      <c r="A16" s="17">
        <v>36</v>
      </c>
      <c r="B16" s="17">
        <v>8</v>
      </c>
      <c r="C16" s="17">
        <v>12</v>
      </c>
      <c r="D16" s="76">
        <f ca="1">OFFSET(Attributes!$A$1,MATCH(Rare!$A16,Attributes!$A:$A,0)-1,MATCH("Type",Attributes!$1:$1,0)-1)</f>
        <v>2</v>
      </c>
      <c r="E16" s="76" t="str">
        <f ca="1">IFERROR(OFFSET(Attributes!$A$1,MATCH(Rare!$A16,Attributes!$A:$A,0)-1,MATCH("Abbr",Attributes!$1:$1,0)-1),"")</f>
        <v>USE_MS</v>
      </c>
      <c r="F16" s="104" t="str">
        <f ca="1">SUBSTITUTE(OFFSET(Attributes!$A$1,MATCH($A16,Attributes!$A:$A,0)-1,MATCH("Attr CN",Attributes!$1:$1,0)-1),"#",$B16*$B$1&amp;"-"&amp;$C16*$B$1)</f>
        <v>使用：提高300点移动速度，持续24-36秒，可能故障</v>
      </c>
      <c r="G16" s="83" t="str">
        <f ca="1">SUBSTITUTE(OFFSET(Attributes!$A$1,MATCH($A16,Attributes!$A:$A,0)-1,MATCH("Attr EN",Attributes!$1:$1,0)-1),"#",$B16&amp;"-"&amp;$C16*$B$1)</f>
        <v>Use: Increase movement speed by 300, lasts for 8-36 seconds. Possible failures.</v>
      </c>
    </row>
    <row r="17" spans="1:7" s="18" customFormat="1" x14ac:dyDescent="0.25">
      <c r="A17" s="17"/>
      <c r="B17" s="17"/>
      <c r="C17" s="17"/>
      <c r="D17" s="76"/>
      <c r="E17" s="76" t="str">
        <f ca="1">IFERROR(OFFSET(Attributes!$A$1,MATCH(Rare!$A17,Attributes!$A:$A,0)-1,MATCH("Abbr",Attributes!$1:$1,0)-1),"")</f>
        <v/>
      </c>
      <c r="F17" s="102" t="s">
        <v>41</v>
      </c>
      <c r="G17" s="82" t="s">
        <v>500</v>
      </c>
    </row>
    <row r="18" spans="1:7" s="18" customFormat="1" x14ac:dyDescent="0.25">
      <c r="A18" s="17"/>
      <c r="B18" s="17"/>
      <c r="C18" s="17"/>
      <c r="D18" s="76"/>
      <c r="E18" s="76" t="str">
        <f ca="1">IFERROR(OFFSET(Attributes!$A$1,MATCH(Rare!$A18,Attributes!$A:$A,0)-1,MATCH("Abbr",Attributes!$1:$1,0)-1),"")</f>
        <v/>
      </c>
      <c r="F18" s="98"/>
      <c r="G18" s="82"/>
    </row>
    <row r="19" spans="1:7" s="18" customFormat="1" x14ac:dyDescent="0.25">
      <c r="A19" s="17"/>
      <c r="B19" s="17"/>
      <c r="C19" s="17"/>
      <c r="D19" s="76"/>
      <c r="E19" s="76" t="str">
        <f ca="1">IFERROR(OFFSET(Attributes!$A$1,MATCH(Rare!$A19,Attributes!$A:$A,0)-1,MATCH("Abbr",Attributes!$1:$1,0)-1),"")</f>
        <v/>
      </c>
      <c r="F19" s="103" t="s">
        <v>42</v>
      </c>
      <c r="G19" s="82" t="s">
        <v>501</v>
      </c>
    </row>
    <row r="20" spans="1:7" s="18" customFormat="1" x14ac:dyDescent="0.25">
      <c r="A20" s="17">
        <v>11</v>
      </c>
      <c r="B20" s="17">
        <v>0.02</v>
      </c>
      <c r="C20" s="17">
        <v>0.04</v>
      </c>
      <c r="D20" s="76">
        <f ca="1">OFFSET(Attributes!$A$1,MATCH(Rare!$A20,Attributes!$A:$A,0)-1,MATCH("Type",Attributes!$1:$1,0)-1)</f>
        <v>1</v>
      </c>
      <c r="E20" s="76" t="str">
        <f ca="1">IFERROR(OFFSET(Attributes!$A$1,MATCH(Rare!$A20,Attributes!$A:$A,0)-1,MATCH("Abbr",Attributes!$1:$1,0)-1),"")</f>
        <v>CRIT</v>
      </c>
      <c r="F20" s="101" t="str">
        <f ca="1">SUBSTITUTE(OFFSET(Attributes!$A$1,MATCH($A20,Attributes!$A:$A,0)-1,MATCH("Attr CN",Attributes!$1:$1,0)-1),"#",$B20*$B$1&amp;"-"&amp;$C20*$B$1)</f>
        <v>+0.06-0.12攻击暴击</v>
      </c>
      <c r="G20" s="83" t="str">
        <f ca="1">SUBSTITUTE(OFFSET(Attributes!$A$1,MATCH($A20,Attributes!$A:$A,0)-1,MATCH("Attr EN",Attributes!$1:$1,0)-1),"#",$B20&amp;"-"&amp;$C20*$B$1)</f>
        <v>+0.02-0.12 Attack critical</v>
      </c>
    </row>
    <row r="21" spans="1:7" s="18" customFormat="1" x14ac:dyDescent="0.25">
      <c r="A21" s="17">
        <v>56</v>
      </c>
      <c r="B21" s="17">
        <v>0.01</v>
      </c>
      <c r="C21" s="17">
        <v>0.02</v>
      </c>
      <c r="D21" s="76">
        <f ca="1">OFFSET(Attributes!$A$1,MATCH(Rare!$A21,Attributes!$A:$A,0)-1,MATCH("Type",Attributes!$1:$1,0)-1)</f>
        <v>2</v>
      </c>
      <c r="E21" s="76" t="str">
        <f ca="1">IFERROR(OFFSET(Attributes!$A$1,MATCH(Rare!$A21,Attributes!$A:$A,0)-1,MATCH("Abbr",Attributes!$1:$1,0)-1),"")</f>
        <v>ATK_AMP</v>
      </c>
      <c r="F21" s="104" t="str">
        <f ca="1">SUBSTITUTE(OFFSET(Attributes!$A$1,MATCH($A21,Attributes!$A:$A,0)-1,MATCH("Attr CN",Attributes!$1:$1,0)-1),"#",$B21*$B$1&amp;"-"&amp;$C21*$B$1)</f>
        <v>命中：标记目标，使其受到的伤害提高0.03-0.06</v>
      </c>
      <c r="G21" s="83" t="str">
        <f ca="1">SUBSTITUTE(OFFSET(Attributes!$A$1,MATCH($A21,Attributes!$A:$A,0)-1,MATCH("Attr EN",Attributes!$1:$1,0)-1),"#",$B21&amp;"-"&amp;$C21*$B$1)</f>
        <v>On Attack: Target takes 0.01-0.06 extra damage</v>
      </c>
    </row>
    <row r="22" spans="1:7" s="18" customFormat="1" x14ac:dyDescent="0.25">
      <c r="A22" s="17">
        <v>84</v>
      </c>
      <c r="B22" s="17">
        <v>0.01</v>
      </c>
      <c r="C22" s="17">
        <v>0.02</v>
      </c>
      <c r="D22" s="76">
        <f ca="1">OFFSET(Attributes!$A$1,MATCH(Rare!$A22,Attributes!$A:$A,0)-1,MATCH("Type",Attributes!$1:$1,0)-1)</f>
        <v>2</v>
      </c>
      <c r="E22" s="76" t="str">
        <f ca="1">IFERROR(OFFSET(Attributes!$A$1,MATCH(Rare!$A22,Attributes!$A:$A,0)-1,MATCH("Abbr",Attributes!$1:$1,0)-1),"")</f>
        <v>AURA_WARSONG</v>
      </c>
      <c r="F22" s="104" t="str">
        <f ca="1">SUBSTITUTE(OFFSET(Attributes!$A$1,MATCH($A22,Attributes!$A:$A,0)-1,MATCH("Attr CN",Attributes!$1:$1,0)-1),"#",$B22*$B$1&amp;"-"&amp;$C22*$B$1)</f>
        <v>赋予战歌光环：提升600码范围内所有友军造成的伤害和治疗0.03-0.06，受到的治疗10%</v>
      </c>
      <c r="G22" s="83"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c r="B23" s="17"/>
      <c r="C23" s="17"/>
      <c r="D23" s="76"/>
      <c r="E23" s="76" t="str">
        <f ca="1">IFERROR(OFFSET(Attributes!$A$1,MATCH(Rare!$A23,Attributes!$A:$A,0)-1,MATCH("Abbr",Attributes!$1:$1,0)-1),"")</f>
        <v/>
      </c>
      <c r="F23" s="102" t="s">
        <v>43</v>
      </c>
      <c r="G23" s="82" t="s">
        <v>502</v>
      </c>
    </row>
    <row r="24" spans="1:7" x14ac:dyDescent="0.25">
      <c r="E24" s="76" t="str">
        <f ca="1">IFERROR(OFFSET(Attributes!$A$1,MATCH(Rare!$A24,Attributes!$A:$A,0)-1,MATCH("Abbr",Attributes!$1:$1,0)-1),"")</f>
        <v/>
      </c>
    </row>
    <row r="25" spans="1:7" x14ac:dyDescent="0.25">
      <c r="E25" s="76" t="str">
        <f ca="1">IFERROR(OFFSET(Attributes!$A$1,MATCH(Rare!$A25,Attributes!$A:$A,0)-1,MATCH("Abbr",Attributes!$1:$1,0)-1),"")</f>
        <v/>
      </c>
      <c r="F25" s="103" t="s">
        <v>50</v>
      </c>
      <c r="G25" s="82" t="s">
        <v>503</v>
      </c>
    </row>
    <row r="26" spans="1:7" x14ac:dyDescent="0.25">
      <c r="A26" s="17">
        <v>4</v>
      </c>
      <c r="B26" s="17">
        <v>5</v>
      </c>
      <c r="C26" s="17">
        <v>10</v>
      </c>
      <c r="D26" s="76">
        <f ca="1">OFFSET(Attributes!$A$1,MATCH(Rare!$A26,Attributes!$A:$A,0)-1,MATCH("Type",Attributes!$1:$1,0)-1)</f>
        <v>1</v>
      </c>
      <c r="E26" s="76" t="str">
        <f ca="1">IFERROR(OFFSET(Attributes!$A$1,MATCH(Rare!$A26,Attributes!$A:$A,0)-1,MATCH("Abbr",Attributes!$1:$1,0)-1),"")</f>
        <v>STR</v>
      </c>
      <c r="F26" s="101" t="str">
        <f ca="1">SUBSTITUTE(OFFSET(Attributes!$A$1,MATCH($A26,Attributes!$A:$A,0)-1,MATCH("Attr CN",Attributes!$1:$1,0)-1),"#",$B26*$B$1&amp;"-"&amp;$C26*$B$1)</f>
        <v>+15-30力量</v>
      </c>
      <c r="G26" s="83" t="str">
        <f ca="1">SUBSTITUTE(OFFSET(Attributes!$A$1,MATCH($A26,Attributes!$A:$A,0)-1,MATCH("Attr EN",Attributes!$1:$1,0)-1),"#",$B26&amp;"-"&amp;$C26*$B$1)</f>
        <v>+5-30 Strength</v>
      </c>
    </row>
    <row r="27" spans="1:7" x14ac:dyDescent="0.25">
      <c r="A27" s="17">
        <v>12</v>
      </c>
      <c r="B27" s="17">
        <v>3</v>
      </c>
      <c r="C27" s="17">
        <v>5</v>
      </c>
      <c r="D27" s="76">
        <f ca="1">OFFSET(Attributes!$A$1,MATCH(Rare!$A27,Attributes!$A:$A,0)-1,MATCH("Type",Attributes!$1:$1,0)-1)</f>
        <v>1</v>
      </c>
      <c r="E27" s="76" t="str">
        <f ca="1">IFERROR(OFFSET(Attributes!$A$1,MATCH(Rare!$A27,Attributes!$A:$A,0)-1,MATCH("Abbr",Attributes!$1:$1,0)-1),"")</f>
        <v>IAS</v>
      </c>
      <c r="F27" s="101" t="str">
        <f ca="1">SUBSTITUTE(OFFSET(Attributes!$A$1,MATCH($A27,Attributes!$A:$A,0)-1,MATCH("Attr CN",Attributes!$1:$1,0)-1),"#",$B27*$B$1&amp;"-"&amp;$C27*$B$1)</f>
        <v>+9-15%攻击速度</v>
      </c>
      <c r="G27" s="83" t="str">
        <f ca="1">SUBSTITUTE(OFFSET(Attributes!$A$1,MATCH($A27,Attributes!$A:$A,0)-1,MATCH("Attr EN",Attributes!$1:$1,0)-1),"#",$B27&amp;"-"&amp;$C27*$B$1)</f>
        <v>+3-15% Attack speed</v>
      </c>
    </row>
    <row r="28" spans="1:7" x14ac:dyDescent="0.25">
      <c r="A28" s="17">
        <v>9</v>
      </c>
      <c r="B28" s="17">
        <v>5</v>
      </c>
      <c r="C28" s="17">
        <v>10</v>
      </c>
      <c r="D28" s="76">
        <f ca="1">OFFSET(Attributes!$A$1,MATCH(Rare!$A28,Attributes!$A:$A,0)-1,MATCH("Type",Attributes!$1:$1,0)-1)</f>
        <v>1</v>
      </c>
      <c r="E28" s="76" t="str">
        <f ca="1">IFERROR(OFFSET(Attributes!$A$1,MATCH(Rare!$A28,Attributes!$A:$A,0)-1,MATCH("Abbr",Attributes!$1:$1,0)-1),"")</f>
        <v>AP</v>
      </c>
      <c r="F28" s="101" t="str">
        <f ca="1">SUBSTITUTE(OFFSET(Attributes!$A$1,MATCH($A28,Attributes!$A:$A,0)-1,MATCH("Attr CN",Attributes!$1:$1,0)-1),"#",$B28*$B$1&amp;"-"&amp;$C28*$B$1)</f>
        <v>+15-30攻击强度</v>
      </c>
      <c r="G28" s="83" t="str">
        <f ca="1">SUBSTITUTE(OFFSET(Attributes!$A$1,MATCH($A28,Attributes!$A:$A,0)-1,MATCH("Attr EN",Attributes!$1:$1,0)-1),"#",$B28&amp;"-"&amp;$C28*$B$1)</f>
        <v>+5-30 Attack power</v>
      </c>
    </row>
    <row r="29" spans="1:7" x14ac:dyDescent="0.25">
      <c r="E29" s="76" t="str">
        <f ca="1">IFERROR(OFFSET(Attributes!$A$1,MATCH(Rare!$A29,Attributes!$A:$A,0)-1,MATCH("Abbr",Attributes!$1:$1,0)-1),"")</f>
        <v/>
      </c>
      <c r="F29" s="105" t="s">
        <v>52</v>
      </c>
      <c r="G29" s="82" t="s">
        <v>504</v>
      </c>
    </row>
    <row r="30" spans="1:7" x14ac:dyDescent="0.25">
      <c r="E30" s="76" t="str">
        <f ca="1">IFERROR(OFFSET(Attributes!$A$1,MATCH(Rare!$A30,Attributes!$A:$A,0)-1,MATCH("Abbr",Attributes!$1:$1,0)-1),"")</f>
        <v/>
      </c>
    </row>
    <row r="31" spans="1:7" x14ac:dyDescent="0.25">
      <c r="E31" s="76" t="str">
        <f ca="1">IFERROR(OFFSET(Attributes!$A$1,MATCH(Rare!$A31,Attributes!$A:$A,0)-1,MATCH("Abbr",Attributes!$1:$1,0)-1),"")</f>
        <v/>
      </c>
      <c r="F31" s="103" t="s">
        <v>54</v>
      </c>
      <c r="G31" s="82" t="s">
        <v>505</v>
      </c>
    </row>
    <row r="32" spans="1:7" x14ac:dyDescent="0.25">
      <c r="A32" s="17">
        <v>4</v>
      </c>
      <c r="B32" s="17">
        <v>6</v>
      </c>
      <c r="C32" s="17">
        <v>12</v>
      </c>
      <c r="D32" s="76">
        <f ca="1">OFFSET(Attributes!$A$1,MATCH(Rare!$A32,Attributes!$A:$A,0)-1,MATCH("Type",Attributes!$1:$1,0)-1)</f>
        <v>1</v>
      </c>
      <c r="E32" s="76" t="str">
        <f ca="1">IFERROR(OFFSET(Attributes!$A$1,MATCH(Rare!$A32,Attributes!$A:$A,0)-1,MATCH("Abbr",Attributes!$1:$1,0)-1),"")</f>
        <v>STR</v>
      </c>
      <c r="F32" s="101" t="str">
        <f ca="1">SUBSTITUTE(OFFSET(Attributes!$A$1,MATCH($A32,Attributes!$A:$A,0)-1,MATCH("Attr CN",Attributes!$1:$1,0)-1),"#",$B32*$B$1&amp;"-"&amp;$C32*$B$1)</f>
        <v>+18-36力量</v>
      </c>
      <c r="G32" s="83" t="str">
        <f ca="1">SUBSTITUTE(OFFSET(Attributes!$A$1,MATCH($A32,Attributes!$A:$A,0)-1,MATCH("Attr EN",Attributes!$1:$1,0)-1),"#",$B32&amp;"-"&amp;$C32*$B$1)</f>
        <v>+6-36 Strength</v>
      </c>
    </row>
    <row r="33" spans="1:7" x14ac:dyDescent="0.25">
      <c r="A33" s="17">
        <v>21</v>
      </c>
      <c r="B33" s="17">
        <v>75</v>
      </c>
      <c r="C33" s="17">
        <v>150</v>
      </c>
      <c r="D33" s="76">
        <f ca="1">OFFSET(Attributes!$A$1,MATCH(Rare!$A33,Attributes!$A:$A,0)-1,MATCH("Type",Attributes!$1:$1,0)-1)</f>
        <v>1</v>
      </c>
      <c r="E33" s="76" t="str">
        <f ca="1">IFERROR(OFFSET(Attributes!$A$1,MATCH(Rare!$A33,Attributes!$A:$A,0)-1,MATCH("Abbr",Attributes!$1:$1,0)-1),"")</f>
        <v>HP</v>
      </c>
      <c r="F33" s="101" t="str">
        <f ca="1">SUBSTITUTE(OFFSET(Attributes!$A$1,MATCH($A33,Attributes!$A:$A,0)-1,MATCH("Attr CN",Attributes!$1:$1,0)-1),"#",$B33*$B$1&amp;"-"&amp;$C33*$B$1)</f>
        <v>+225-450生命上限</v>
      </c>
      <c r="G33" s="83" t="str">
        <f ca="1">SUBSTITUTE(OFFSET(Attributes!$A$1,MATCH($A33,Attributes!$A:$A,0)-1,MATCH("Attr EN",Attributes!$1:$1,0)-1),"#",$B33&amp;"-"&amp;$C33*$B$1)</f>
        <v>+75-450 Max HP</v>
      </c>
    </row>
    <row r="34" spans="1:7" x14ac:dyDescent="0.25">
      <c r="A34" s="17">
        <v>11</v>
      </c>
      <c r="B34" s="17">
        <v>0.03</v>
      </c>
      <c r="C34" s="17">
        <v>0.05</v>
      </c>
      <c r="D34" s="76">
        <f ca="1">OFFSET(Attributes!$A$1,MATCH(Rare!$A34,Attributes!$A:$A,0)-1,MATCH("Type",Attributes!$1:$1,0)-1)</f>
        <v>1</v>
      </c>
      <c r="E34" s="76" t="str">
        <f ca="1">IFERROR(OFFSET(Attributes!$A$1,MATCH(Rare!$A34,Attributes!$A:$A,0)-1,MATCH("Abbr",Attributes!$1:$1,0)-1),"")</f>
        <v>CRIT</v>
      </c>
      <c r="F34" s="101" t="str">
        <f ca="1">SUBSTITUTE(OFFSET(Attributes!$A$1,MATCH($A34,Attributes!$A:$A,0)-1,MATCH("Attr CN",Attributes!$1:$1,0)-1),"#",$B34*$B$1&amp;"-"&amp;$C34*$B$1)</f>
        <v>+0.09-0.15攻击暴击</v>
      </c>
      <c r="G34" s="83" t="str">
        <f ca="1">SUBSTITUTE(OFFSET(Attributes!$A$1,MATCH($A34,Attributes!$A:$A,0)-1,MATCH("Attr EN",Attributes!$1:$1,0)-1),"#",$B34&amp;"-"&amp;$C34*$B$1)</f>
        <v>+0.03-0.15 Attack critical</v>
      </c>
    </row>
    <row r="35" spans="1:7" x14ac:dyDescent="0.25">
      <c r="E35" s="76" t="str">
        <f ca="1">IFERROR(OFFSET(Attributes!$A$1,MATCH(Rare!$A35,Attributes!$A:$A,0)-1,MATCH("Abbr",Attributes!$1:$1,0)-1),"")</f>
        <v/>
      </c>
      <c r="F35" s="105" t="s">
        <v>273</v>
      </c>
      <c r="G35" s="82" t="s">
        <v>506</v>
      </c>
    </row>
    <row r="36" spans="1:7" x14ac:dyDescent="0.25">
      <c r="E36" s="76" t="str">
        <f ca="1">IFERROR(OFFSET(Attributes!$A$1,MATCH(Rare!$A36,Attributes!$A:$A,0)-1,MATCH("Abbr",Attributes!$1:$1,0)-1),"")</f>
        <v/>
      </c>
    </row>
    <row r="37" spans="1:7" x14ac:dyDescent="0.25">
      <c r="E37" s="76" t="str">
        <f ca="1">IFERROR(OFFSET(Attributes!$A$1,MATCH(Rare!$A37,Attributes!$A:$A,0)-1,MATCH("Abbr",Attributes!$1:$1,0)-1),"")</f>
        <v/>
      </c>
      <c r="F37" s="103" t="s">
        <v>59</v>
      </c>
      <c r="G37" s="82" t="s">
        <v>66</v>
      </c>
    </row>
    <row r="38" spans="1:7" x14ac:dyDescent="0.25">
      <c r="A38" s="17">
        <v>21</v>
      </c>
      <c r="B38" s="17">
        <v>75</v>
      </c>
      <c r="C38" s="17">
        <v>150</v>
      </c>
      <c r="D38" s="76">
        <f ca="1">OFFSET(Attributes!$A$1,MATCH(Rare!$A38,Attributes!$A:$A,0)-1,MATCH("Type",Attributes!$1:$1,0)-1)</f>
        <v>1</v>
      </c>
      <c r="E38" s="76" t="str">
        <f ca="1">IFERROR(OFFSET(Attributes!$A$1,MATCH(Rare!$A38,Attributes!$A:$A,0)-1,MATCH("Abbr",Attributes!$1:$1,0)-1),"")</f>
        <v>HP</v>
      </c>
      <c r="F38" s="101" t="str">
        <f ca="1">SUBSTITUTE(OFFSET(Attributes!$A$1,MATCH($A38,Attributes!$A:$A,0)-1,MATCH("Attr CN",Attributes!$1:$1,0)-1),"#",$B38*$B$1&amp;"-"&amp;$C38*$B$1)</f>
        <v>+225-450生命上限</v>
      </c>
      <c r="G38" s="83" t="str">
        <f ca="1">SUBSTITUTE(OFFSET(Attributes!$A$1,MATCH($A38,Attributes!$A:$A,0)-1,MATCH("Attr EN",Attributes!$1:$1,0)-1),"#",$B38&amp;"-"&amp;$C38*$B$1)</f>
        <v>+75-450 Max HP</v>
      </c>
    </row>
    <row r="39" spans="1:7" x14ac:dyDescent="0.25">
      <c r="A39" s="17">
        <v>12</v>
      </c>
      <c r="B39" s="17">
        <v>3</v>
      </c>
      <c r="C39" s="17">
        <v>5</v>
      </c>
      <c r="D39" s="76">
        <f ca="1">OFFSET(Attributes!$A$1,MATCH(Rare!$A39,Attributes!$A:$A,0)-1,MATCH("Type",Attributes!$1:$1,0)-1)</f>
        <v>1</v>
      </c>
      <c r="E39" s="76" t="str">
        <f ca="1">IFERROR(OFFSET(Attributes!$A$1,MATCH(Rare!$A39,Attributes!$A:$A,0)-1,MATCH("Abbr",Attributes!$1:$1,0)-1),"")</f>
        <v>IAS</v>
      </c>
      <c r="F39" s="101" t="str">
        <f ca="1">SUBSTITUTE(OFFSET(Attributes!$A$1,MATCH($A39,Attributes!$A:$A,0)-1,MATCH("Attr CN",Attributes!$1:$1,0)-1),"#",$B39*$B$1&amp;"-"&amp;$C39*$B$1)</f>
        <v>+9-15%攻击速度</v>
      </c>
      <c r="G39" s="83" t="str">
        <f ca="1">SUBSTITUTE(OFFSET(Attributes!$A$1,MATCH($A39,Attributes!$A:$A,0)-1,MATCH("Attr EN",Attributes!$1:$1,0)-1),"#",$B39&amp;"-"&amp;$C39*$B$1)</f>
        <v>+3-15% Attack speed</v>
      </c>
    </row>
    <row r="40" spans="1:7" x14ac:dyDescent="0.25">
      <c r="A40" s="17">
        <v>11</v>
      </c>
      <c r="B40" s="17">
        <v>0.03</v>
      </c>
      <c r="C40" s="17">
        <v>0.05</v>
      </c>
      <c r="D40" s="76">
        <f ca="1">OFFSET(Attributes!$A$1,MATCH(Rare!$A40,Attributes!$A:$A,0)-1,MATCH("Type",Attributes!$1:$1,0)-1)</f>
        <v>1</v>
      </c>
      <c r="E40" s="76" t="str">
        <f ca="1">IFERROR(OFFSET(Attributes!$A$1,MATCH(Rare!$A40,Attributes!$A:$A,0)-1,MATCH("Abbr",Attributes!$1:$1,0)-1),"")</f>
        <v>CRIT</v>
      </c>
      <c r="F40" s="101" t="str">
        <f ca="1">SUBSTITUTE(OFFSET(Attributes!$A$1,MATCH($A40,Attributes!$A:$A,0)-1,MATCH("Attr CN",Attributes!$1:$1,0)-1),"#",$B40*$B$1&amp;"-"&amp;$C40*$B$1)</f>
        <v>+0.09-0.15攻击暴击</v>
      </c>
      <c r="G40" s="83" t="str">
        <f ca="1">SUBSTITUTE(OFFSET(Attributes!$A$1,MATCH($A40,Attributes!$A:$A,0)-1,MATCH("Attr EN",Attributes!$1:$1,0)-1),"#",$B40&amp;"-"&amp;$C40*$B$1)</f>
        <v>+0.03-0.15 Attack critical</v>
      </c>
    </row>
    <row r="41" spans="1:7" x14ac:dyDescent="0.25">
      <c r="E41" s="76" t="str">
        <f ca="1">IFERROR(OFFSET(Attributes!$A$1,MATCH(Rare!$A41,Attributes!$A:$A,0)-1,MATCH("Abbr",Attributes!$1:$1,0)-1),"")</f>
        <v/>
      </c>
    </row>
    <row r="42" spans="1:7" x14ac:dyDescent="0.25">
      <c r="E42" s="76" t="str">
        <f ca="1">IFERROR(OFFSET(Attributes!$A$1,MATCH(Rare!$A42,Attributes!$A:$A,0)-1,MATCH("Abbr",Attributes!$1:$1,0)-1),"")</f>
        <v/>
      </c>
      <c r="F42" s="103" t="s">
        <v>69</v>
      </c>
      <c r="G42" s="82" t="s">
        <v>73</v>
      </c>
    </row>
    <row r="43" spans="1:7" x14ac:dyDescent="0.25">
      <c r="A43" s="17">
        <v>13</v>
      </c>
      <c r="B43" s="17">
        <v>5</v>
      </c>
      <c r="C43" s="17">
        <v>10</v>
      </c>
      <c r="D43" s="76">
        <f ca="1">OFFSET(Attributes!$A$1,MATCH(Rare!$A43,Attributes!$A:$A,0)-1,MATCH("Type",Attributes!$1:$1,0)-1)</f>
        <v>1</v>
      </c>
      <c r="E43" s="76" t="str">
        <f ca="1">IFERROR(OFFSET(Attributes!$A$1,MATCH(Rare!$A43,Attributes!$A:$A,0)-1,MATCH("Abbr",Attributes!$1:$1,0)-1),"")</f>
        <v>AGI</v>
      </c>
      <c r="F43" s="101" t="str">
        <f ca="1">SUBSTITUTE(OFFSET(Attributes!$A$1,MATCH($A43,Attributes!$A:$A,0)-1,MATCH("Attr CN",Attributes!$1:$1,0)-1),"#",$B43*$B$1&amp;"-"&amp;$C43*$B$1)</f>
        <v>+15-30敏捷</v>
      </c>
      <c r="G43" s="83" t="str">
        <f ca="1">SUBSTITUTE(OFFSET(Attributes!$A$1,MATCH($A43,Attributes!$A:$A,0)-1,MATCH("Attr EN",Attributes!$1:$1,0)-1),"#",$B43&amp;"-"&amp;$C43*$B$1)</f>
        <v>+5-30 Agility</v>
      </c>
    </row>
    <row r="44" spans="1:7" x14ac:dyDescent="0.25">
      <c r="A44" s="17">
        <v>9</v>
      </c>
      <c r="B44" s="17">
        <v>5</v>
      </c>
      <c r="C44" s="17">
        <v>10</v>
      </c>
      <c r="D44" s="76">
        <f ca="1">OFFSET(Attributes!$A$1,MATCH(Rare!$A44,Attributes!$A:$A,0)-1,MATCH("Type",Attributes!$1:$1,0)-1)</f>
        <v>1</v>
      </c>
      <c r="E44" s="76" t="str">
        <f ca="1">IFERROR(OFFSET(Attributes!$A$1,MATCH(Rare!$A44,Attributes!$A:$A,0)-1,MATCH("Abbr",Attributes!$1:$1,0)-1),"")</f>
        <v>AP</v>
      </c>
      <c r="F44" s="101" t="str">
        <f ca="1">SUBSTITUTE(OFFSET(Attributes!$A$1,MATCH($A44,Attributes!$A:$A,0)-1,MATCH("Attr CN",Attributes!$1:$1,0)-1),"#",$B44*$B$1&amp;"-"&amp;$C44*$B$1)</f>
        <v>+15-30攻击强度</v>
      </c>
      <c r="G44" s="83" t="str">
        <f ca="1">SUBSTITUTE(OFFSET(Attributes!$A$1,MATCH($A44,Attributes!$A:$A,0)-1,MATCH("Attr EN",Attributes!$1:$1,0)-1),"#",$B44&amp;"-"&amp;$C44*$B$1)</f>
        <v>+5-30 Attack power</v>
      </c>
    </row>
    <row r="45" spans="1:7" x14ac:dyDescent="0.25">
      <c r="A45" s="17">
        <v>12</v>
      </c>
      <c r="B45" s="17">
        <v>3</v>
      </c>
      <c r="C45" s="17">
        <v>5</v>
      </c>
      <c r="D45" s="76">
        <f ca="1">OFFSET(Attributes!$A$1,MATCH(Rare!$A45,Attributes!$A:$A,0)-1,MATCH("Type",Attributes!$1:$1,0)-1)</f>
        <v>1</v>
      </c>
      <c r="E45" s="76" t="str">
        <f ca="1">IFERROR(OFFSET(Attributes!$A$1,MATCH(Rare!$A45,Attributes!$A:$A,0)-1,MATCH("Abbr",Attributes!$1:$1,0)-1),"")</f>
        <v>IAS</v>
      </c>
      <c r="F45" s="101" t="str">
        <f ca="1">SUBSTITUTE(OFFSET(Attributes!$A$1,MATCH($A45,Attributes!$A:$A,0)-1,MATCH("Attr CN",Attributes!$1:$1,0)-1),"#",$B45*$B$1&amp;"-"&amp;$C45*$B$1)</f>
        <v>+9-15%攻击速度</v>
      </c>
      <c r="G45" s="83" t="str">
        <f ca="1">SUBSTITUTE(OFFSET(Attributes!$A$1,MATCH($A45,Attributes!$A:$A,0)-1,MATCH("Attr EN",Attributes!$1:$1,0)-1),"#",$B45&amp;"-"&amp;$C45*$B$1)</f>
        <v>+3-15% Attack speed</v>
      </c>
    </row>
    <row r="46" spans="1:7" x14ac:dyDescent="0.25">
      <c r="A46" s="17">
        <v>44</v>
      </c>
      <c r="B46" s="17">
        <v>0.03</v>
      </c>
      <c r="C46" s="17">
        <v>0.06</v>
      </c>
      <c r="D46" s="76">
        <f ca="1">OFFSET(Attributes!$A$1,MATCH(Rare!$A46,Attributes!$A:$A,0)-1,MATCH("Type",Attributes!$1:$1,0)-1)</f>
        <v>3</v>
      </c>
      <c r="E46" s="76" t="str">
        <f ca="1">IFERROR(OFFSET(Attributes!$A$1,MATCH(Rare!$A46,Attributes!$A:$A,0)-1,MATCH("Abbr",Attributes!$1:$1,0)-1),"")</f>
        <v>ATK_LL</v>
      </c>
      <c r="F46" s="106" t="str">
        <f ca="1">SUBSTITUTE(OFFSET(Attributes!$A$1,MATCH($A46,Attributes!$A:$A,0)-1,MATCH("Attr CN",Attributes!$1:$1,0)-1),"#",$B46*$B$1&amp;"-"&amp;$C46*$B$1)</f>
        <v>攻击汲取0.09-0.18生命</v>
      </c>
      <c r="G46" s="83" t="str">
        <f ca="1">SUBSTITUTE(OFFSET(Attributes!$A$1,MATCH($A46,Attributes!$A:$A,0)-1,MATCH("Attr EN",Attributes!$1:$1,0)-1),"#",$B46&amp;"-"&amp;$C46*$B$1)</f>
        <v>+0.03-0.18 Life stolen per hit</v>
      </c>
    </row>
    <row r="47" spans="1:7" x14ac:dyDescent="0.25">
      <c r="E47" s="76" t="str">
        <f ca="1">IFERROR(OFFSET(Attributes!$A$1,MATCH(Rare!$A47,Attributes!$A:$A,0)-1,MATCH("Abbr",Attributes!$1:$1,0)-1),"")</f>
        <v/>
      </c>
      <c r="F47" s="105" t="s">
        <v>76</v>
      </c>
      <c r="G47" s="82" t="s">
        <v>507</v>
      </c>
    </row>
    <row r="48" spans="1:7" x14ac:dyDescent="0.25">
      <c r="E48" s="76" t="str">
        <f ca="1">IFERROR(OFFSET(Attributes!$A$1,MATCH(Rare!$A48,Attributes!$A:$A,0)-1,MATCH("Abbr",Attributes!$1:$1,0)-1),"")</f>
        <v/>
      </c>
    </row>
    <row r="49" spans="1:7" x14ac:dyDescent="0.25">
      <c r="E49" s="76" t="str">
        <f ca="1">IFERROR(OFFSET(Attributes!$A$1,MATCH(Rare!$A49,Attributes!$A:$A,0)-1,MATCH("Abbr",Attributes!$1:$1,0)-1),"")</f>
        <v/>
      </c>
      <c r="F49" s="103" t="s">
        <v>78</v>
      </c>
      <c r="G49" s="82" t="s">
        <v>80</v>
      </c>
    </row>
    <row r="50" spans="1:7" x14ac:dyDescent="0.25">
      <c r="A50" s="17">
        <v>9</v>
      </c>
      <c r="B50" s="17">
        <v>5</v>
      </c>
      <c r="C50" s="17">
        <v>10</v>
      </c>
      <c r="D50" s="76">
        <f ca="1">OFFSET(Attributes!$A$1,MATCH(Rare!$A50,Attributes!$A:$A,0)-1,MATCH("Type",Attributes!$1:$1,0)-1)</f>
        <v>1</v>
      </c>
      <c r="E50" s="76" t="str">
        <f ca="1">IFERROR(OFFSET(Attributes!$A$1,MATCH(Rare!$A50,Attributes!$A:$A,0)-1,MATCH("Abbr",Attributes!$1:$1,0)-1),"")</f>
        <v>AP</v>
      </c>
      <c r="F50" s="101" t="str">
        <f ca="1">SUBSTITUTE(OFFSET(Attributes!$A$1,MATCH($A50,Attributes!$A:$A,0)-1,MATCH("Attr CN",Attributes!$1:$1,0)-1),"#",$B50*$B$1&amp;"-"&amp;$C50*$B$1)</f>
        <v>+15-30攻击强度</v>
      </c>
      <c r="G50" s="83" t="str">
        <f ca="1">SUBSTITUTE(OFFSET(Attributes!$A$1,MATCH($A50,Attributes!$A:$A,0)-1,MATCH("Attr EN",Attributes!$1:$1,0)-1),"#",$B50&amp;"-"&amp;$C50*$B$1)</f>
        <v>+5-30 Attack power</v>
      </c>
    </row>
    <row r="51" spans="1:7" x14ac:dyDescent="0.25">
      <c r="A51" s="17">
        <v>3</v>
      </c>
      <c r="B51" s="17">
        <v>0.01</v>
      </c>
      <c r="C51" s="17">
        <v>0.01</v>
      </c>
      <c r="D51" s="76">
        <f ca="1">OFFSET(Attributes!$A$1,MATCH(Rare!$A51,Attributes!$A:$A,0)-1,MATCH("Type",Attributes!$1:$1,0)-1)</f>
        <v>1</v>
      </c>
      <c r="E51" s="76" t="str">
        <f ca="1">IFERROR(OFFSET(Attributes!$A$1,MATCH(Rare!$A51,Attributes!$A:$A,0)-1,MATCH("Abbr",Attributes!$1:$1,0)-1),"")</f>
        <v>AMP</v>
      </c>
      <c r="F51" s="101" t="str">
        <f ca="1">SUBSTITUTE(OFFSET(Attributes!$A$1,MATCH($A51,Attributes!$A:$A,0)-1,MATCH("Attr CN",Attributes!$1:$1,0)-1),"#",$B51*$B$1&amp;"-"&amp;$C51*$B$1)</f>
        <v>+0.03-0.03伤害和治疗</v>
      </c>
      <c r="G51" s="83" t="str">
        <f ca="1">SUBSTITUTE(OFFSET(Attributes!$A$1,MATCH($A51,Attributes!$A:$A,0)-1,MATCH("Attr EN",Attributes!$1:$1,0)-1),"#",$B51&amp;"-"&amp;$C51*$B$1)</f>
        <v>+0.01-0.03 Damage and healing dealt</v>
      </c>
    </row>
    <row r="52" spans="1:7" x14ac:dyDescent="0.25">
      <c r="A52" s="17">
        <v>48</v>
      </c>
      <c r="B52" s="17">
        <v>0.05</v>
      </c>
      <c r="C52" s="17">
        <v>7.0000000000000007E-2</v>
      </c>
      <c r="D52" s="76">
        <f ca="1">OFFSET(Attributes!$A$1,MATCH(Rare!$A52,Attributes!$A:$A,0)-1,MATCH("Type",Attributes!$1:$1,0)-1)</f>
        <v>2</v>
      </c>
      <c r="E52" s="76" t="str">
        <f ca="1">IFERROR(OFFSET(Attributes!$A$1,MATCH(Rare!$A52,Attributes!$A:$A,0)-1,MATCH("Abbr",Attributes!$1:$1,0)-1),"")</f>
        <v>ATK_LION</v>
      </c>
      <c r="F52" s="107" t="str">
        <f ca="1">SUBSTITUTE(OFFSET(Attributes!$A$1,MATCH($A52,Attributes!$A:$A,0)-1,MATCH("Attr CN",Attributes!$1:$1,0)-1),"#",$B52*$B$1&amp;"-"&amp;$C52*$B$1)</f>
        <v>命中：有0.15-0.21的几率提高30%的攻击速度，持续5秒</v>
      </c>
      <c r="G52" s="83" t="str">
        <f ca="1">SUBSTITUTE(OFFSET(Attributes!$A$1,MATCH($A52,Attributes!$A:$A,0)-1,MATCH("Attr EN",Attributes!$1:$1,0)-1),"#",$B52&amp;"-"&amp;$C52*$B$1)</f>
        <v>On Attack: 0.05-0.21 chance to increase 30% attack speed, lasts for 5 seconds</v>
      </c>
    </row>
    <row r="53" spans="1:7" x14ac:dyDescent="0.25">
      <c r="E53" s="76" t="str">
        <f ca="1">IFERROR(OFFSET(Attributes!$A$1,MATCH(Rare!$A53,Attributes!$A:$A,0)-1,MATCH("Abbr",Attributes!$1:$1,0)-1),"")</f>
        <v/>
      </c>
      <c r="F53" s="102" t="s">
        <v>83</v>
      </c>
      <c r="G53" s="82" t="s">
        <v>508</v>
      </c>
    </row>
    <row r="54" spans="1:7" x14ac:dyDescent="0.25">
      <c r="E54" s="76" t="str">
        <f ca="1">IFERROR(OFFSET(Attributes!$A$1,MATCH(Rare!$A54,Attributes!$A:$A,0)-1,MATCH("Abbr",Attributes!$1:$1,0)-1),"")</f>
        <v/>
      </c>
    </row>
    <row r="55" spans="1:7" s="18" customFormat="1" x14ac:dyDescent="0.25">
      <c r="A55" s="17"/>
      <c r="B55" s="17"/>
      <c r="C55" s="17"/>
      <c r="D55" s="76"/>
      <c r="E55" s="76" t="str">
        <f ca="1">IFERROR(OFFSET(Attributes!$A$1,MATCH(Rare!$A55,Attributes!$A:$A,0)-1,MATCH("Abbr",Attributes!$1:$1,0)-1),"")</f>
        <v/>
      </c>
      <c r="F55" s="103" t="s">
        <v>45</v>
      </c>
      <c r="G55" s="82" t="s">
        <v>509</v>
      </c>
    </row>
    <row r="56" spans="1:7" s="18" customFormat="1" x14ac:dyDescent="0.25">
      <c r="A56" s="17">
        <v>8</v>
      </c>
      <c r="B56" s="17">
        <v>2</v>
      </c>
      <c r="C56" s="17">
        <v>3</v>
      </c>
      <c r="D56" s="76">
        <f ca="1">OFFSET(Attributes!$A$1,MATCH(Rare!$A56,Attributes!$A:$A,0)-1,MATCH("Type",Attributes!$1:$1,0)-1)</f>
        <v>1</v>
      </c>
      <c r="E56" s="76" t="str">
        <f ca="1">IFERROR(OFFSET(Attributes!$A$1,MATCH(Rare!$A56,Attributes!$A:$A,0)-1,MATCH("Abbr",Attributes!$1:$1,0)-1),"")</f>
        <v>DEF</v>
      </c>
      <c r="F56" s="101" t="str">
        <f ca="1">SUBSTITUTE(OFFSET(Attributes!$A$1,MATCH($A56,Attributes!$A:$A,0)-1,MATCH("Attr CN",Attributes!$1:$1,0)-1),"#",$B56*$B$1&amp;"-"&amp;$C56*$B$1)</f>
        <v>+6-9护甲</v>
      </c>
      <c r="G56" s="83" t="str">
        <f ca="1">SUBSTITUTE(OFFSET(Attributes!$A$1,MATCH($A56,Attributes!$A:$A,0)-1,MATCH("Attr EN",Attributes!$1:$1,0)-1),"#",$B56*$B$1&amp;"-"&amp;$C56*$B$1)</f>
        <v>+6-9 Armor</v>
      </c>
    </row>
    <row r="57" spans="1:7" s="18" customFormat="1" x14ac:dyDescent="0.25">
      <c r="A57" s="17">
        <v>21</v>
      </c>
      <c r="B57" s="17">
        <v>120</v>
      </c>
      <c r="C57" s="17">
        <v>240</v>
      </c>
      <c r="D57" s="76">
        <f ca="1">OFFSET(Attributes!$A$1,MATCH(Rare!$A57,Attributes!$A:$A,0)-1,MATCH("Type",Attributes!$1:$1,0)-1)</f>
        <v>1</v>
      </c>
      <c r="E57" s="76" t="str">
        <f ca="1">IFERROR(OFFSET(Attributes!$A$1,MATCH(Rare!$A57,Attributes!$A:$A,0)-1,MATCH("Abbr",Attributes!$1:$1,0)-1),"")</f>
        <v>HP</v>
      </c>
      <c r="F57" s="101" t="str">
        <f ca="1">SUBSTITUTE(OFFSET(Attributes!$A$1,MATCH($A57,Attributes!$A:$A,0)-1,MATCH("Attr CN",Attributes!$1:$1,0)-1),"#",$B57*$B$1&amp;"-"&amp;$C57*$B$1)</f>
        <v>+360-720生命上限</v>
      </c>
      <c r="G57" s="83" t="str">
        <f ca="1">SUBSTITUTE(OFFSET(Attributes!$A$1,MATCH($A57,Attributes!$A:$A,0)-1,MATCH("Attr EN",Attributes!$1:$1,0)-1),"#",$B57*$B$1&amp;"-"&amp;$C57*$B$1)</f>
        <v>+360-720 Max HP</v>
      </c>
    </row>
    <row r="58" spans="1:7" s="18" customFormat="1" x14ac:dyDescent="0.25">
      <c r="A58" s="17">
        <v>74</v>
      </c>
      <c r="B58" s="17">
        <v>4</v>
      </c>
      <c r="C58" s="17">
        <v>8</v>
      </c>
      <c r="D58" s="76">
        <f ca="1">OFFSET(Attributes!$A$1,MATCH(Rare!$A58,Attributes!$A:$A,0)-1,MATCH("Type",Attributes!$1:$1,0)-1)</f>
        <v>1</v>
      </c>
      <c r="E58" s="76" t="str">
        <f ca="1">IFERROR(OFFSET(Attributes!$A$1,MATCH(Rare!$A58,Attributes!$A:$A,0)-1,MATCH("Abbr",Attributes!$1:$1,0)-1),"")</f>
        <v>HLOST</v>
      </c>
      <c r="F58" s="101" t="str">
        <f ca="1">SUBSTITUTE(OFFSET(Attributes!$A$1,MATCH($A58,Attributes!$A:$A,0)-1,MATCH("Attr CN",Attributes!$1:$1,0)-1),"#",$B58*$B$1&amp;"-"&amp;$C58*$B$1)</f>
        <v>每秒流失12-24生命值</v>
      </c>
      <c r="G58" s="83" t="str">
        <f ca="1">SUBSTITUTE(OFFSET(Attributes!$A$1,MATCH($A58,Attributes!$A:$A,0)-1,MATCH("Attr EN",Attributes!$1:$1,0)-1),"#",$B58*$B$1&amp;"-"&amp;$C58*$B$1)</f>
        <v>Lost 12-24 HP per second during combat</v>
      </c>
    </row>
    <row r="59" spans="1:7" s="18" customFormat="1" x14ac:dyDescent="0.25">
      <c r="A59" s="17">
        <v>41</v>
      </c>
      <c r="B59" s="17">
        <v>50</v>
      </c>
      <c r="C59" s="17">
        <v>100</v>
      </c>
      <c r="D59" s="76">
        <f ca="1">OFFSET(Attributes!$A$1,MATCH(Rare!$A59,Attributes!$A:$A,0)-1,MATCH("Type",Attributes!$1:$1,0)-1)</f>
        <v>2</v>
      </c>
      <c r="E59" s="76" t="str">
        <f ca="1">IFERROR(OFFSET(Attributes!$A$1,MATCH(Rare!$A59,Attributes!$A:$A,0)-1,MATCH("Abbr",Attributes!$1:$1,0)-1),"")</f>
        <v>ATKED_WEAK</v>
      </c>
      <c r="F59" s="107" t="str">
        <f ca="1">SUBSTITUTE(OFFSET(Attributes!$A$1,MATCH($A59,Attributes!$A:$A,0)-1,MATCH("Attr CN",Attributes!$1:$1,0)-1),"#",$B59*$B$1&amp;"-"&amp;$C59*$B$1)</f>
        <v>受到普通攻击：降低目标的攻击强度150-300点</v>
      </c>
      <c r="G59" s="83" t="str">
        <f ca="1">SUBSTITUTE(OFFSET(Attributes!$A$1,MATCH($A59,Attributes!$A:$A,0)-1,MATCH("Attr EN",Attributes!$1:$1,0)-1),"#",$B59*$B$1&amp;"-"&amp;$C59*$B$1)</f>
        <v>On Attacked: Decreases attacker's attack power by 150-300</v>
      </c>
    </row>
    <row r="60" spans="1:7" s="18" customFormat="1" x14ac:dyDescent="0.25">
      <c r="A60" s="17"/>
      <c r="B60" s="17"/>
      <c r="C60" s="17"/>
      <c r="D60" s="76"/>
      <c r="E60" s="76" t="str">
        <f ca="1">IFERROR(OFFSET(Attributes!$A$1,MATCH(Rare!$A60,Attributes!$A:$A,0)-1,MATCH("Abbr",Attributes!$1:$1,0)-1),"")</f>
        <v/>
      </c>
      <c r="F60" s="105" t="s">
        <v>53</v>
      </c>
      <c r="G60" s="82" t="s">
        <v>510</v>
      </c>
    </row>
    <row r="61" spans="1:7" s="18" customFormat="1" x14ac:dyDescent="0.25">
      <c r="A61" s="17"/>
      <c r="B61" s="17"/>
      <c r="C61" s="17"/>
      <c r="D61" s="76"/>
      <c r="E61" s="76" t="str">
        <f ca="1">IFERROR(OFFSET(Attributes!$A$1,MATCH(Rare!$A61,Attributes!$A:$A,0)-1,MATCH("Abbr",Attributes!$1:$1,0)-1),"")</f>
        <v/>
      </c>
      <c r="F61" s="98"/>
      <c r="G61" s="82"/>
    </row>
    <row r="62" spans="1:7" s="18" customFormat="1" x14ac:dyDescent="0.25">
      <c r="A62" s="17"/>
      <c r="B62" s="17"/>
      <c r="C62" s="17"/>
      <c r="D62" s="76"/>
      <c r="E62" s="76" t="str">
        <f ca="1">IFERROR(OFFSET(Attributes!$A$1,MATCH(Rare!$A62,Attributes!$A:$A,0)-1,MATCH("Abbr",Attributes!$1:$1,0)-1),"")</f>
        <v/>
      </c>
      <c r="F62" s="103" t="s">
        <v>57</v>
      </c>
      <c r="G62" s="82" t="s">
        <v>511</v>
      </c>
    </row>
    <row r="63" spans="1:7" s="18" customFormat="1" x14ac:dyDescent="0.25">
      <c r="A63" s="17">
        <v>8</v>
      </c>
      <c r="B63" s="17">
        <v>2</v>
      </c>
      <c r="C63" s="17">
        <v>3</v>
      </c>
      <c r="D63" s="76">
        <f ca="1">OFFSET(Attributes!$A$1,MATCH(Rare!$A63,Attributes!$A:$A,0)-1,MATCH("Type",Attributes!$1:$1,0)-1)</f>
        <v>1</v>
      </c>
      <c r="E63" s="76" t="str">
        <f ca="1">IFERROR(OFFSET(Attributes!$A$1,MATCH(Rare!$A63,Attributes!$A:$A,0)-1,MATCH("Abbr",Attributes!$1:$1,0)-1),"")</f>
        <v>DEF</v>
      </c>
      <c r="F63" s="101" t="str">
        <f ca="1">SUBSTITUTE(OFFSET(Attributes!$A$1,MATCH($A63,Attributes!$A:$A,0)-1,MATCH("Attr CN",Attributes!$1:$1,0)-1),"#",$B63*$B$1&amp;"-"&amp;$C63*$B$1)</f>
        <v>+6-9护甲</v>
      </c>
      <c r="G63" s="83" t="str">
        <f ca="1">SUBSTITUTE(OFFSET(Attributes!$A$1,MATCH($A63,Attributes!$A:$A,0)-1,MATCH("Attr EN",Attributes!$1:$1,0)-1),"#",$B63*$B$1&amp;"-"&amp;$C63*$B$1)</f>
        <v>+6-9 Armor</v>
      </c>
    </row>
    <row r="64" spans="1:7" s="18" customFormat="1" x14ac:dyDescent="0.25">
      <c r="A64" s="17">
        <v>4</v>
      </c>
      <c r="B64" s="17">
        <v>5</v>
      </c>
      <c r="C64" s="17">
        <v>10</v>
      </c>
      <c r="D64" s="76">
        <f ca="1">OFFSET(Attributes!$A$1,MATCH(Rare!$A64,Attributes!$A:$A,0)-1,MATCH("Type",Attributes!$1:$1,0)-1)</f>
        <v>1</v>
      </c>
      <c r="E64" s="76" t="str">
        <f ca="1">IFERROR(OFFSET(Attributes!$A$1,MATCH(Rare!$A64,Attributes!$A:$A,0)-1,MATCH("Abbr",Attributes!$1:$1,0)-1),"")</f>
        <v>STR</v>
      </c>
      <c r="F64" s="101" t="str">
        <f ca="1">SUBSTITUTE(OFFSET(Attributes!$A$1,MATCH($A64,Attributes!$A:$A,0)-1,MATCH("Attr CN",Attributes!$1:$1,0)-1),"#",$B64*$B$1&amp;"-"&amp;$C64*$B$1)</f>
        <v>+15-30力量</v>
      </c>
      <c r="G64" s="83" t="str">
        <f ca="1">SUBSTITUTE(OFFSET(Attributes!$A$1,MATCH($A64,Attributes!$A:$A,0)-1,MATCH("Attr EN",Attributes!$1:$1,0)-1),"#",$B64*$B$1&amp;"-"&amp;$C64*$B$1)</f>
        <v>+15-30 Strength</v>
      </c>
    </row>
    <row r="65" spans="1:7" s="18" customFormat="1" x14ac:dyDescent="0.25">
      <c r="A65" s="17">
        <v>15</v>
      </c>
      <c r="B65" s="17">
        <v>14</v>
      </c>
      <c r="C65" s="17">
        <v>28</v>
      </c>
      <c r="D65" s="76">
        <f ca="1">OFFSET(Attributes!$A$1,MATCH(Rare!$A65,Attributes!$A:$A,0)-1,MATCH("Type",Attributes!$1:$1,0)-1)</f>
        <v>1</v>
      </c>
      <c r="E65" s="76" t="str">
        <f ca="1">IFERROR(OFFSET(Attributes!$A$1,MATCH(Rare!$A65,Attributes!$A:$A,0)-1,MATCH("Abbr",Attributes!$1:$1,0)-1),"")</f>
        <v>BP</v>
      </c>
      <c r="F65" s="101" t="str">
        <f ca="1">SUBSTITUTE(OFFSET(Attributes!$A$1,MATCH($A65,Attributes!$A:$A,0)-1,MATCH("Attr CN",Attributes!$1:$1,0)-1),"#",$B65*$B$1&amp;"-"&amp;$C65*$B$1)</f>
        <v>+42-84格挡值</v>
      </c>
      <c r="G65" s="83" t="str">
        <f ca="1">SUBSTITUTE(OFFSET(Attributes!$A$1,MATCH($A65,Attributes!$A:$A,0)-1,MATCH("Attr EN",Attributes!$1:$1,0)-1),"#",$B65*$B$1&amp;"-"&amp;$C65*$B$1)</f>
        <v>+42-84 Block points</v>
      </c>
    </row>
    <row r="66" spans="1:7" s="18" customFormat="1" x14ac:dyDescent="0.25">
      <c r="A66" s="17"/>
      <c r="B66" s="17"/>
      <c r="C66" s="17"/>
      <c r="D66" s="76"/>
      <c r="E66" s="76" t="str">
        <f ca="1">IFERROR(OFFSET(Attributes!$A$1,MATCH(Rare!$A66,Attributes!$A:$A,0)-1,MATCH("Abbr",Attributes!$1:$1,0)-1),"")</f>
        <v/>
      </c>
      <c r="F66" s="102" t="s">
        <v>61</v>
      </c>
      <c r="G66" s="82" t="s">
        <v>512</v>
      </c>
    </row>
    <row r="67" spans="1:7" s="18" customFormat="1" x14ac:dyDescent="0.25">
      <c r="A67" s="17"/>
      <c r="B67" s="17"/>
      <c r="C67" s="17"/>
      <c r="D67" s="76"/>
      <c r="E67" s="76" t="str">
        <f ca="1">IFERROR(OFFSET(Attributes!$A$1,MATCH(Rare!$A67,Attributes!$A:$A,0)-1,MATCH("Abbr",Attributes!$1:$1,0)-1),"")</f>
        <v/>
      </c>
      <c r="F67" s="98"/>
      <c r="G67" s="82"/>
    </row>
    <row r="68" spans="1:7" s="18" customFormat="1" x14ac:dyDescent="0.25">
      <c r="A68" s="17"/>
      <c r="B68" s="17"/>
      <c r="C68" s="17"/>
      <c r="D68" s="76"/>
      <c r="E68" s="76" t="str">
        <f ca="1">IFERROR(OFFSET(Attributes!$A$1,MATCH(Rare!$A68,Attributes!$A:$A,0)-1,MATCH("Abbr",Attributes!$1:$1,0)-1),"")</f>
        <v/>
      </c>
      <c r="F68" s="103" t="s">
        <v>67</v>
      </c>
      <c r="G68" s="82" t="s">
        <v>68</v>
      </c>
    </row>
    <row r="69" spans="1:7" s="18" customFormat="1" x14ac:dyDescent="0.25">
      <c r="A69" s="17">
        <v>21</v>
      </c>
      <c r="B69" s="17">
        <v>100</v>
      </c>
      <c r="C69" s="17">
        <v>200</v>
      </c>
      <c r="D69" s="76">
        <f ca="1">OFFSET(Attributes!$A$1,MATCH(Rare!$A69,Attributes!$A:$A,0)-1,MATCH("Type",Attributes!$1:$1,0)-1)</f>
        <v>1</v>
      </c>
      <c r="E69" s="76" t="str">
        <f ca="1">IFERROR(OFFSET(Attributes!$A$1,MATCH(Rare!$A69,Attributes!$A:$A,0)-1,MATCH("Abbr",Attributes!$1:$1,0)-1),"")</f>
        <v>HP</v>
      </c>
      <c r="F69" s="101" t="str">
        <f ca="1">SUBSTITUTE(OFFSET(Attributes!$A$1,MATCH($A69,Attributes!$A:$A,0)-1,MATCH("Attr CN",Attributes!$1:$1,0)-1),"#",$B69*$B$1&amp;"-"&amp;$C69*$B$1)</f>
        <v>+300-600生命上限</v>
      </c>
      <c r="G69" s="83" t="str">
        <f ca="1">SUBSTITUTE(OFFSET(Attributes!$A$1,MATCH($A69,Attributes!$A:$A,0)-1,MATCH("Attr EN",Attributes!$1:$1,0)-1),"#",$B69*$B$1&amp;"-"&amp;$C69*$B$1)</f>
        <v>+300-600 Max HP</v>
      </c>
    </row>
    <row r="70" spans="1:7" s="18" customFormat="1" x14ac:dyDescent="0.25">
      <c r="A70" s="17">
        <v>27</v>
      </c>
      <c r="B70" s="17">
        <v>0.02</v>
      </c>
      <c r="C70" s="17">
        <v>0.03</v>
      </c>
      <c r="D70" s="76">
        <f ca="1">OFFSET(Attributes!$A$1,MATCH(Rare!$A70,Attributes!$A:$A,0)-1,MATCH("Type",Attributes!$1:$1,0)-1)</f>
        <v>1</v>
      </c>
      <c r="E70" s="76" t="str">
        <f ca="1">IFERROR(OFFSET(Attributes!$A$1,MATCH(Rare!$A70,Attributes!$A:$A,0)-1,MATCH("Abbr",Attributes!$1:$1,0)-1),"")</f>
        <v>DODGE</v>
      </c>
      <c r="F70" s="101" t="str">
        <f ca="1">SUBSTITUTE(OFFSET(Attributes!$A$1,MATCH($A70,Attributes!$A:$A,0)-1,MATCH("Attr CN",Attributes!$1:$1,0)-1),"#",$B70*$B$1&amp;"-"&amp;$C70*$B$1)</f>
        <v>+0.06-0.09躲闪</v>
      </c>
      <c r="G70" s="83" t="str">
        <f ca="1">SUBSTITUTE(OFFSET(Attributes!$A$1,MATCH($A70,Attributes!$A:$A,0)-1,MATCH("Attr EN",Attributes!$1:$1,0)-1),"#",$B70*$B$1&amp;"-"&amp;$C70*$B$1)</f>
        <v>+0.06-0.09 Dodge chance</v>
      </c>
    </row>
    <row r="71" spans="1:7" s="18" customFormat="1" x14ac:dyDescent="0.25">
      <c r="A71" s="17">
        <v>6</v>
      </c>
      <c r="B71" s="17">
        <v>0.03</v>
      </c>
      <c r="C71" s="17">
        <v>0.06</v>
      </c>
      <c r="D71" s="76">
        <f ca="1">OFFSET(Attributes!$A$1,MATCH(Rare!$A71,Attributes!$A:$A,0)-1,MATCH("Type",Attributes!$1:$1,0)-1)</f>
        <v>1</v>
      </c>
      <c r="E71" s="76" t="str">
        <f ca="1">IFERROR(OFFSET(Attributes!$A$1,MATCH(Rare!$A71,Attributes!$A:$A,0)-1,MATCH("Abbr",Attributes!$1:$1,0)-1),"")</f>
        <v>HAMP</v>
      </c>
      <c r="F71" s="101" t="str">
        <f ca="1">SUBSTITUTE(OFFSET(Attributes!$A$1,MATCH($A71,Attributes!$A:$A,0)-1,MATCH("Attr CN",Attributes!$1:$1,0)-1),"#",$B71*$B$1&amp;"-"&amp;$C71*$B$1)</f>
        <v>+0.09-0.18受到的治疗</v>
      </c>
      <c r="G71" s="83" t="str">
        <f ca="1">SUBSTITUTE(OFFSET(Attributes!$A$1,MATCH($A71,Attributes!$A:$A,0)-1,MATCH("Attr EN",Attributes!$1:$1,0)-1),"#",$B71*$B$1&amp;"-"&amp;$C71*$B$1)</f>
        <v>+0.09-0.18 Healing taken</v>
      </c>
    </row>
    <row r="72" spans="1:7" s="18" customFormat="1" x14ac:dyDescent="0.25">
      <c r="A72" s="17"/>
      <c r="B72" s="17"/>
      <c r="C72" s="17"/>
      <c r="D72" s="76"/>
      <c r="E72" s="76" t="str">
        <f ca="1">IFERROR(OFFSET(Attributes!$A$1,MATCH(Rare!$A72,Attributes!$A:$A,0)-1,MATCH("Abbr",Attributes!$1:$1,0)-1),"")</f>
        <v/>
      </c>
      <c r="F72" s="102" t="s">
        <v>70</v>
      </c>
      <c r="G72" s="82" t="s">
        <v>513</v>
      </c>
    </row>
    <row r="73" spans="1:7" s="18" customFormat="1" x14ac:dyDescent="0.25">
      <c r="A73" s="17"/>
      <c r="B73" s="17"/>
      <c r="C73" s="17"/>
      <c r="D73" s="76"/>
      <c r="E73" s="76" t="str">
        <f ca="1">IFERROR(OFFSET(Attributes!$A$1,MATCH(Rare!$A73,Attributes!$A:$A,0)-1,MATCH("Abbr",Attributes!$1:$1,0)-1),"")</f>
        <v/>
      </c>
      <c r="F73" s="98"/>
      <c r="G73" s="82"/>
    </row>
    <row r="74" spans="1:7" x14ac:dyDescent="0.25">
      <c r="E74" s="76" t="str">
        <f ca="1">IFERROR(OFFSET(Attributes!$A$1,MATCH(Rare!$A74,Attributes!$A:$A,0)-1,MATCH("Abbr",Attributes!$1:$1,0)-1),"")</f>
        <v/>
      </c>
      <c r="F74" s="103" t="s">
        <v>48</v>
      </c>
      <c r="G74" s="82" t="s">
        <v>514</v>
      </c>
    </row>
    <row r="75" spans="1:7" x14ac:dyDescent="0.25">
      <c r="A75" s="17">
        <v>14</v>
      </c>
      <c r="B75" s="17">
        <v>5</v>
      </c>
      <c r="C75" s="17">
        <v>10</v>
      </c>
      <c r="D75" s="76">
        <f ca="1">OFFSET(Attributes!$A$1,MATCH(Rare!$A75,Attributes!$A:$A,0)-1,MATCH("Type",Attributes!$1:$1,0)-1)</f>
        <v>1</v>
      </c>
      <c r="E75" s="76" t="str">
        <f ca="1">IFERROR(OFFSET(Attributes!$A$1,MATCH(Rare!$A75,Attributes!$A:$A,0)-1,MATCH("Abbr",Attributes!$1:$1,0)-1),"")</f>
        <v>INT</v>
      </c>
      <c r="F75" s="101" t="str">
        <f ca="1">SUBSTITUTE(OFFSET(Attributes!$A$1,MATCH($A75,Attributes!$A:$A,0)-1,MATCH("Attr CN",Attributes!$1:$1,0)-1),"#",$B75*$B$1&amp;"-"&amp;$C75*$B$1)</f>
        <v>+15-30智力</v>
      </c>
      <c r="G75" s="83" t="str">
        <f ca="1">SUBSTITUTE(OFFSET(Attributes!$A$1,MATCH($A75,Attributes!$A:$A,0)-1,MATCH("Attr EN",Attributes!$1:$1,0)-1),"#",$B75*$B$1&amp;"-"&amp;$C75*$B$1)</f>
        <v>+15-30 Intelligence</v>
      </c>
    </row>
    <row r="76" spans="1:7" x14ac:dyDescent="0.25">
      <c r="A76" s="17">
        <v>18</v>
      </c>
      <c r="B76" s="17">
        <v>5</v>
      </c>
      <c r="C76" s="17">
        <v>10</v>
      </c>
      <c r="D76" s="76">
        <f ca="1">OFFSET(Attributes!$A$1,MATCH(Rare!$A76,Attributes!$A:$A,0)-1,MATCH("Type",Attributes!$1:$1,0)-1)</f>
        <v>1</v>
      </c>
      <c r="E76" s="76" t="str">
        <f ca="1">IFERROR(OFFSET(Attributes!$A$1,MATCH(Rare!$A76,Attributes!$A:$A,0)-1,MATCH("Abbr",Attributes!$1:$1,0)-1),"")</f>
        <v>SP</v>
      </c>
      <c r="F76" s="101" t="str">
        <f ca="1">SUBSTITUTE(OFFSET(Attributes!$A$1,MATCH($A76,Attributes!$A:$A,0)-1,MATCH("Attr CN",Attributes!$1:$1,0)-1),"#",$B76*$B$1&amp;"-"&amp;$C76*$B$1)</f>
        <v>+15-30法术强度</v>
      </c>
      <c r="G76" s="83" t="str">
        <f ca="1">SUBSTITUTE(OFFSET(Attributes!$A$1,MATCH($A76,Attributes!$A:$A,0)-1,MATCH("Attr EN",Attributes!$1:$1,0)-1),"#",$B76*$B$1&amp;"-"&amp;$C76*$B$1)</f>
        <v>+15-30 Spell power</v>
      </c>
    </row>
    <row r="77" spans="1:7" x14ac:dyDescent="0.25">
      <c r="A77" s="17">
        <v>72</v>
      </c>
      <c r="B77" s="17">
        <v>1</v>
      </c>
      <c r="C77" s="17">
        <v>2</v>
      </c>
      <c r="D77" s="76">
        <f ca="1">OFFSET(Attributes!$A$1,MATCH(Rare!$A77,Attributes!$A:$A,0)-1,MATCH("Type",Attributes!$1:$1,0)-1)</f>
        <v>1</v>
      </c>
      <c r="E77" s="76" t="str">
        <f ca="1">IFERROR(OFFSET(Attributes!$A$1,MATCH(Rare!$A77,Attributes!$A:$A,0)-1,MATCH("Abbr",Attributes!$1:$1,0)-1),"")</f>
        <v>MREG</v>
      </c>
      <c r="F77" s="101" t="str">
        <f ca="1">SUBSTITUTE(OFFSET(Attributes!$A$1,MATCH($A77,Attributes!$A:$A,0)-1,MATCH("Attr CN",Attributes!$1:$1,0)-1),"#",$B77*$B$1&amp;"-"&amp;$C77*$B$1)</f>
        <v>每秒回复3-6点法力值</v>
      </c>
      <c r="G77" s="83" t="str">
        <f ca="1">SUBSTITUTE(OFFSET(Attributes!$A$1,MATCH($A77,Attributes!$A:$A,0)-1,MATCH("Attr EN",Attributes!$1:$1,0)-1),"#",$B77*$B$1&amp;"-"&amp;$C77*$B$1)</f>
        <v>Regens 3-6 MP per second</v>
      </c>
    </row>
    <row r="78" spans="1:7" x14ac:dyDescent="0.25">
      <c r="E78" s="76" t="str">
        <f ca="1">IFERROR(OFFSET(Attributes!$A$1,MATCH(Rare!$A78,Attributes!$A:$A,0)-1,MATCH("Abbr",Attributes!$1:$1,0)-1),"")</f>
        <v/>
      </c>
      <c r="F78" s="102" t="s">
        <v>51</v>
      </c>
      <c r="G78" s="82" t="s">
        <v>515</v>
      </c>
    </row>
    <row r="79" spans="1:7" x14ac:dyDescent="0.25">
      <c r="E79" s="76" t="str">
        <f ca="1">IFERROR(OFFSET(Attributes!$A$1,MATCH(Rare!$A79,Attributes!$A:$A,0)-1,MATCH("Abbr",Attributes!$1:$1,0)-1),"")</f>
        <v/>
      </c>
    </row>
    <row r="80" spans="1:7" x14ac:dyDescent="0.25">
      <c r="E80" s="76" t="str">
        <f ca="1">IFERROR(OFFSET(Attributes!$A$1,MATCH(Rare!$A80,Attributes!$A:$A,0)-1,MATCH("Abbr",Attributes!$1:$1,0)-1),"")</f>
        <v/>
      </c>
      <c r="F80" s="103" t="s">
        <v>55</v>
      </c>
      <c r="G80" s="82" t="s">
        <v>516</v>
      </c>
    </row>
    <row r="81" spans="1:7" x14ac:dyDescent="0.25">
      <c r="A81" s="17">
        <v>77</v>
      </c>
      <c r="B81" s="17">
        <v>170</v>
      </c>
      <c r="C81" s="17">
        <v>340</v>
      </c>
      <c r="D81" s="76">
        <f ca="1">OFFSET(Attributes!$A$1,MATCH(Rare!$A81,Attributes!$A:$A,0)-1,MATCH("Type",Attributes!$1:$1,0)-1)</f>
        <v>2</v>
      </c>
      <c r="E81" s="76" t="str">
        <f ca="1">IFERROR(OFFSET(Attributes!$A$1,MATCH(Rare!$A81,Attributes!$A:$A,0)-1,MATCH("Abbr",Attributes!$1:$1,0)-1),"")</f>
        <v>MDC_ARCANE</v>
      </c>
      <c r="F81" s="107" t="str">
        <f ca="1">SUBSTITUTE(OFFSET(Attributes!$A$1,MATCH($A81,Attributes!$A:$A,0)-1,MATCH("Attr CN",Attributes!$1:$1,0)-1),"#",$B81*$B$1&amp;"-"&amp;$C81*$B$1)</f>
        <v>法术伤害造成暴击：积累一层秘法能量，在积累到三层以后会自动释放，对目标造成510-1020点法术伤害</v>
      </c>
      <c r="G81" s="83"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E82" s="76" t="str">
        <f ca="1">IFERROR(OFFSET(Attributes!$A$1,MATCH(Rare!$A82,Attributes!$A:$A,0)-1,MATCH("Abbr",Attributes!$1:$1,0)-1),"")</f>
        <v/>
      </c>
      <c r="F82" s="102" t="s">
        <v>56</v>
      </c>
      <c r="G82" s="82" t="s">
        <v>517</v>
      </c>
    </row>
    <row r="83" spans="1:7" x14ac:dyDescent="0.25">
      <c r="E83" s="76" t="str">
        <f ca="1">IFERROR(OFFSET(Attributes!$A$1,MATCH(Rare!$A83,Attributes!$A:$A,0)-1,MATCH("Abbr",Attributes!$1:$1,0)-1),"")</f>
        <v/>
      </c>
    </row>
    <row r="84" spans="1:7" x14ac:dyDescent="0.25">
      <c r="E84" s="76" t="str">
        <f ca="1">IFERROR(OFFSET(Attributes!$A$1,MATCH(Rare!$A84,Attributes!$A:$A,0)-1,MATCH("Abbr",Attributes!$1:$1,0)-1),"")</f>
        <v/>
      </c>
      <c r="F84" s="103" t="s">
        <v>58</v>
      </c>
      <c r="G84" s="82" t="s">
        <v>60</v>
      </c>
    </row>
    <row r="85" spans="1:7" x14ac:dyDescent="0.25">
      <c r="A85" s="17">
        <v>14</v>
      </c>
      <c r="B85" s="17">
        <v>5</v>
      </c>
      <c r="C85" s="17">
        <v>10</v>
      </c>
      <c r="D85" s="76">
        <f ca="1">OFFSET(Attributes!$A$1,MATCH(Rare!$A85,Attributes!$A:$A,0)-1,MATCH("Type",Attributes!$1:$1,0)-1)</f>
        <v>1</v>
      </c>
      <c r="E85" s="76" t="str">
        <f ca="1">IFERROR(OFFSET(Attributes!$A$1,MATCH(Rare!$A85,Attributes!$A:$A,0)-1,MATCH("Abbr",Attributes!$1:$1,0)-1),"")</f>
        <v>INT</v>
      </c>
      <c r="F85" s="101" t="str">
        <f ca="1">SUBSTITUTE(OFFSET(Attributes!$A$1,MATCH($A85,Attributes!$A:$A,0)-1,MATCH("Attr CN",Attributes!$1:$1,0)-1),"#",$B85*$B$1&amp;"-"&amp;$C85*$B$1)</f>
        <v>+15-30智力</v>
      </c>
      <c r="G85" s="83" t="str">
        <f ca="1">SUBSTITUTE(OFFSET(Attributes!$A$1,MATCH($A85,Attributes!$A:$A,0)-1,MATCH("Attr EN",Attributes!$1:$1,0)-1),"#",$B85*$B$1&amp;"-"&amp;$C85*$B$1)</f>
        <v>+15-30 Intelligence</v>
      </c>
    </row>
    <row r="86" spans="1:7" x14ac:dyDescent="0.25">
      <c r="A86" s="17">
        <v>18</v>
      </c>
      <c r="B86" s="17">
        <v>5</v>
      </c>
      <c r="C86" s="17">
        <v>10</v>
      </c>
      <c r="D86" s="76">
        <f ca="1">OFFSET(Attributes!$A$1,MATCH(Rare!$A86,Attributes!$A:$A,0)-1,MATCH("Type",Attributes!$1:$1,0)-1)</f>
        <v>1</v>
      </c>
      <c r="E86" s="76" t="str">
        <f ca="1">IFERROR(OFFSET(Attributes!$A$1,MATCH(Rare!$A86,Attributes!$A:$A,0)-1,MATCH("Abbr",Attributes!$1:$1,0)-1),"")</f>
        <v>SP</v>
      </c>
      <c r="F86" s="101" t="str">
        <f ca="1">SUBSTITUTE(OFFSET(Attributes!$A$1,MATCH($A86,Attributes!$A:$A,0)-1,MATCH("Attr CN",Attributes!$1:$1,0)-1),"#",$B86*$B$1&amp;"-"&amp;$C86*$B$1)</f>
        <v>+15-30法术强度</v>
      </c>
      <c r="G86" s="83" t="str">
        <f ca="1">SUBSTITUTE(OFFSET(Attributes!$A$1,MATCH($A86,Attributes!$A:$A,0)-1,MATCH("Attr EN",Attributes!$1:$1,0)-1),"#",$B86*$B$1&amp;"-"&amp;$C86*$B$1)</f>
        <v>+15-30 Spell power</v>
      </c>
    </row>
    <row r="87" spans="1:7" x14ac:dyDescent="0.25">
      <c r="A87" s="17">
        <v>34</v>
      </c>
      <c r="B87" s="17">
        <v>40</v>
      </c>
      <c r="C87" s="17">
        <v>80</v>
      </c>
      <c r="D87" s="76">
        <f ca="1">OFFSET(Attributes!$A$1,MATCH(Rare!$A87,Attributes!$A:$A,0)-1,MATCH("Type",Attributes!$1:$1,0)-1)</f>
        <v>2</v>
      </c>
      <c r="E87" s="76" t="str">
        <f ca="1">IFERROR(OFFSET(Attributes!$A$1,MATCH(Rare!$A87,Attributes!$A:$A,0)-1,MATCH("Abbr",Attributes!$1:$1,0)-1),"")</f>
        <v>USE_SP</v>
      </c>
      <c r="F87" s="107" t="str">
        <f ca="1">SUBSTITUTE(OFFSET(Attributes!$A$1,MATCH($A87,Attributes!$A:$A,0)-1,MATCH("Attr CN",Attributes!$1:$1,0)-1),"#",$B87*$B$1&amp;"-"&amp;$C87*$B$1)</f>
        <v>使用：提高120-240点法术强度，持续15秒</v>
      </c>
      <c r="G87" s="83" t="str">
        <f ca="1">SUBSTITUTE(OFFSET(Attributes!$A$1,MATCH($A87,Attributes!$A:$A,0)-1,MATCH("Attr EN",Attributes!$1:$1,0)-1),"#",$B87*$B$1&amp;"-"&amp;$C87*$B$1)</f>
        <v>Use: Increase spell power by 120-240, lasts for 15 seconds</v>
      </c>
    </row>
    <row r="88" spans="1:7" x14ac:dyDescent="0.25">
      <c r="E88" s="76" t="str">
        <f ca="1">IFERROR(OFFSET(Attributes!$A$1,MATCH(Rare!$A88,Attributes!$A:$A,0)-1,MATCH("Abbr",Attributes!$1:$1,0)-1),"")</f>
        <v/>
      </c>
      <c r="F88" s="102" t="s">
        <v>62</v>
      </c>
      <c r="G88" s="82" t="s">
        <v>518</v>
      </c>
    </row>
    <row r="89" spans="1:7" x14ac:dyDescent="0.25">
      <c r="E89" s="76" t="str">
        <f ca="1">IFERROR(OFFSET(Attributes!$A$1,MATCH(Rare!$A89,Attributes!$A:$A,0)-1,MATCH("Abbr",Attributes!$1:$1,0)-1),"")</f>
        <v/>
      </c>
      <c r="F89" s="108"/>
    </row>
    <row r="90" spans="1:7" x14ac:dyDescent="0.25">
      <c r="E90" s="76" t="str">
        <f ca="1">IFERROR(OFFSET(Attributes!$A$1,MATCH(Rare!$A90,Attributes!$A:$A,0)-1,MATCH("Abbr",Attributes!$1:$1,0)-1),"")</f>
        <v/>
      </c>
      <c r="F90" s="103" t="s">
        <v>64</v>
      </c>
      <c r="G90" s="82" t="s">
        <v>65</v>
      </c>
    </row>
    <row r="91" spans="1:7" x14ac:dyDescent="0.25">
      <c r="A91" s="17">
        <v>14</v>
      </c>
      <c r="B91" s="17">
        <v>5</v>
      </c>
      <c r="C91" s="17">
        <v>10</v>
      </c>
      <c r="D91" s="76">
        <f ca="1">OFFSET(Attributes!$A$1,MATCH(Rare!$A91,Attributes!$A:$A,0)-1,MATCH("Type",Attributes!$1:$1,0)-1)</f>
        <v>1</v>
      </c>
      <c r="E91" s="76" t="str">
        <f ca="1">IFERROR(OFFSET(Attributes!$A$1,MATCH(Rare!$A91,Attributes!$A:$A,0)-1,MATCH("Abbr",Attributes!$1:$1,0)-1),"")</f>
        <v>INT</v>
      </c>
      <c r="F91" s="101" t="str">
        <f ca="1">SUBSTITUTE(OFFSET(Attributes!$A$1,MATCH($A91,Attributes!$A:$A,0)-1,MATCH("Attr CN",Attributes!$1:$1,0)-1),"#",$B91*$B$1&amp;"-"&amp;$C91*$B$1)</f>
        <v>+15-30智力</v>
      </c>
      <c r="G91" s="83" t="str">
        <f ca="1">SUBSTITUTE(OFFSET(Attributes!$A$1,MATCH($A91,Attributes!$A:$A,0)-1,MATCH("Attr EN",Attributes!$1:$1,0)-1),"#",$B91*$B$1&amp;"-"&amp;$C91*$B$1)</f>
        <v>+15-30 Intelligence</v>
      </c>
    </row>
    <row r="92" spans="1:7" x14ac:dyDescent="0.25">
      <c r="A92" s="17">
        <v>18</v>
      </c>
      <c r="B92" s="17">
        <v>5</v>
      </c>
      <c r="C92" s="17">
        <v>10</v>
      </c>
      <c r="D92" s="76">
        <f ca="1">OFFSET(Attributes!$A$1,MATCH(Rare!$A92,Attributes!$A:$A,0)-1,MATCH("Type",Attributes!$1:$1,0)-1)</f>
        <v>1</v>
      </c>
      <c r="E92" s="76" t="str">
        <f ca="1">IFERROR(OFFSET(Attributes!$A$1,MATCH(Rare!$A92,Attributes!$A:$A,0)-1,MATCH("Abbr",Attributes!$1:$1,0)-1),"")</f>
        <v>SP</v>
      </c>
      <c r="F92" s="101" t="str">
        <f ca="1">SUBSTITUTE(OFFSET(Attributes!$A$1,MATCH($A92,Attributes!$A:$A,0)-1,MATCH("Attr CN",Attributes!$1:$1,0)-1),"#",$B92*$B$1&amp;"-"&amp;$C92*$B$1)</f>
        <v>+15-30法术强度</v>
      </c>
      <c r="G92" s="83" t="str">
        <f ca="1">SUBSTITUTE(OFFSET(Attributes!$A$1,MATCH($A92,Attributes!$A:$A,0)-1,MATCH("Attr EN",Attributes!$1:$1,0)-1),"#",$B92*$B$1&amp;"-"&amp;$C92*$B$1)</f>
        <v>+15-30 Spell power</v>
      </c>
    </row>
    <row r="93" spans="1:7" x14ac:dyDescent="0.25">
      <c r="A93" s="17">
        <v>20</v>
      </c>
      <c r="B93" s="17">
        <v>0.03</v>
      </c>
      <c r="C93" s="17">
        <v>0.05</v>
      </c>
      <c r="D93" s="76">
        <f ca="1">OFFSET(Attributes!$A$1,MATCH(Rare!$A93,Attributes!$A:$A,0)-1,MATCH("Type",Attributes!$1:$1,0)-1)</f>
        <v>1</v>
      </c>
      <c r="E93" s="76" t="str">
        <f ca="1">IFERROR(OFFSET(Attributes!$A$1,MATCH(Rare!$A93,Attributes!$A:$A,0)-1,MATCH("Abbr",Attributes!$1:$1,0)-1),"")</f>
        <v>SCRIT</v>
      </c>
      <c r="F93" s="101" t="str">
        <f ca="1">SUBSTITUTE(OFFSET(Attributes!$A$1,MATCH($A93,Attributes!$A:$A,0)-1,MATCH("Attr CN",Attributes!$1:$1,0)-1),"#",$B93*$B$1&amp;"-"&amp;$C93*$B$1)</f>
        <v>+0.09-0.15法术暴击</v>
      </c>
      <c r="G93" s="83" t="str">
        <f ca="1">SUBSTITUTE(OFFSET(Attributes!$A$1,MATCH($A93,Attributes!$A:$A,0)-1,MATCH("Attr EN",Attributes!$1:$1,0)-1),"#",$B93*$B$1&amp;"-"&amp;$C93*$B$1)</f>
        <v>+0.09-0.15 Spell critical</v>
      </c>
    </row>
    <row r="94" spans="1:7" x14ac:dyDescent="0.25">
      <c r="E94" s="76" t="str">
        <f ca="1">IFERROR(OFFSET(Attributes!$A$1,MATCH(Rare!$A94,Attributes!$A:$A,0)-1,MATCH("Abbr",Attributes!$1:$1,0)-1),"")</f>
        <v/>
      </c>
      <c r="F94" s="105" t="s">
        <v>71</v>
      </c>
      <c r="G94" s="82" t="s">
        <v>519</v>
      </c>
    </row>
    <row r="95" spans="1:7" x14ac:dyDescent="0.25">
      <c r="E95" s="76" t="str">
        <f ca="1">IFERROR(OFFSET(Attributes!$A$1,MATCH(Rare!$A95,Attributes!$A:$A,0)-1,MATCH("Abbr",Attributes!$1:$1,0)-1),"")</f>
        <v/>
      </c>
    </row>
    <row r="96" spans="1:7" x14ac:dyDescent="0.25">
      <c r="E96" s="76" t="str">
        <f ca="1">IFERROR(OFFSET(Attributes!$A$1,MATCH(Rare!$A96,Attributes!$A:$A,0)-1,MATCH("Abbr",Attributes!$1:$1,0)-1),"")</f>
        <v/>
      </c>
      <c r="F96" s="103" t="s">
        <v>72</v>
      </c>
      <c r="G96" s="82" t="s">
        <v>75</v>
      </c>
    </row>
    <row r="97" spans="1:7" x14ac:dyDescent="0.25">
      <c r="A97" s="17">
        <v>4</v>
      </c>
      <c r="B97" s="17">
        <v>5</v>
      </c>
      <c r="C97" s="17">
        <v>10</v>
      </c>
      <c r="D97" s="76">
        <f ca="1">OFFSET(Attributes!$A$1,MATCH(Rare!$A97,Attributes!$A:$A,0)-1,MATCH("Type",Attributes!$1:$1,0)-1)</f>
        <v>1</v>
      </c>
      <c r="E97" s="76" t="str">
        <f ca="1">IFERROR(OFFSET(Attributes!$A$1,MATCH(Rare!$A97,Attributes!$A:$A,0)-1,MATCH("Abbr",Attributes!$1:$1,0)-1),"")</f>
        <v>STR</v>
      </c>
      <c r="F97" s="101" t="str">
        <f ca="1">SUBSTITUTE(OFFSET(Attributes!$A$1,MATCH($A97,Attributes!$A:$A,0)-1,MATCH("Attr CN",Attributes!$1:$1,0)-1),"#",$B97*$B$1&amp;"-"&amp;$C97*$B$1)</f>
        <v>+15-30力量</v>
      </c>
      <c r="G97" s="83" t="str">
        <f ca="1">SUBSTITUTE(OFFSET(Attributes!$A$1,MATCH($A97,Attributes!$A:$A,0)-1,MATCH("Attr EN",Attributes!$1:$1,0)-1),"#",$B97*$B$1&amp;"-"&amp;$C97*$B$1)</f>
        <v>+15-30 Strength</v>
      </c>
    </row>
    <row r="98" spans="1:7" x14ac:dyDescent="0.25">
      <c r="A98" s="17">
        <v>72</v>
      </c>
      <c r="B98" s="17">
        <v>2</v>
      </c>
      <c r="C98" s="17">
        <v>4</v>
      </c>
      <c r="D98" s="76">
        <f ca="1">OFFSET(Attributes!$A$1,MATCH(Rare!$A98,Attributes!$A:$A,0)-1,MATCH("Type",Attributes!$1:$1,0)-1)</f>
        <v>1</v>
      </c>
      <c r="E98" s="76" t="str">
        <f ca="1">IFERROR(OFFSET(Attributes!$A$1,MATCH(Rare!$A98,Attributes!$A:$A,0)-1,MATCH("Abbr",Attributes!$1:$1,0)-1),"")</f>
        <v>MREG</v>
      </c>
      <c r="F98" s="101" t="str">
        <f ca="1">SUBSTITUTE(OFFSET(Attributes!$A$1,MATCH($A98,Attributes!$A:$A,0)-1,MATCH("Attr CN",Attributes!$1:$1,0)-1),"#",$B98*$B$1&amp;"-"&amp;$C98*$B$1)</f>
        <v>每秒回复6-12点法力值</v>
      </c>
      <c r="G98" s="83" t="str">
        <f ca="1">SUBSTITUTE(OFFSET(Attributes!$A$1,MATCH($A98,Attributes!$A:$A,0)-1,MATCH("Attr EN",Attributes!$1:$1,0)-1),"#",$B98*$B$1&amp;"-"&amp;$C98*$B$1)</f>
        <v>Regens 6-12 MP per second</v>
      </c>
    </row>
    <row r="99" spans="1:7" x14ac:dyDescent="0.25">
      <c r="A99" s="17">
        <v>87</v>
      </c>
      <c r="B99" s="17">
        <v>60</v>
      </c>
      <c r="C99" s="17">
        <v>90</v>
      </c>
      <c r="D99" s="76">
        <f ca="1">OFFSET(Attributes!$A$1,MATCH(Rare!$A99,Attributes!$A:$A,0)-1,MATCH("Type",Attributes!$1:$1,0)-1)</f>
        <v>2</v>
      </c>
      <c r="E99" s="76" t="str">
        <f ca="1">IFERROR(OFFSET(Attributes!$A$1,MATCH(Rare!$A99,Attributes!$A:$A,0)-1,MATCH("Abbr",Attributes!$1:$1,0)-1),"")</f>
        <v>MD_MREGEN</v>
      </c>
      <c r="F99" s="107" t="str">
        <f ca="1">SUBSTITUTE(OFFSET(Attributes!$A$1,MATCH($A99,Attributes!$A:$A,0)-1,MATCH("Attr CN",Attributes!$1:$1,0)-1),"#",$B99*$B$1&amp;"-"&amp;$C99*$B$1)</f>
        <v>造成法术伤害：有1%的几率回复180-270点法力值</v>
      </c>
      <c r="G99" s="83" t="str">
        <f ca="1">SUBSTITUTE(OFFSET(Attributes!$A$1,MATCH($A99,Attributes!$A:$A,0)-1,MATCH("Attr EN",Attributes!$1:$1,0)-1),"#",$B99*$B$1&amp;"-"&amp;$C99*$B$1)</f>
        <v>Dealing Magical Damage or Healing: 1% chance to regen 180-270 MP</v>
      </c>
    </row>
    <row r="100" spans="1:7" x14ac:dyDescent="0.25">
      <c r="E100" s="76" t="str">
        <f ca="1">IFERROR(OFFSET(Attributes!$A$1,MATCH(Rare!$A100,Attributes!$A:$A,0)-1,MATCH("Abbr",Attributes!$1:$1,0)-1),"")</f>
        <v/>
      </c>
      <c r="F100" s="102" t="s">
        <v>79</v>
      </c>
      <c r="G100" s="82" t="s">
        <v>520</v>
      </c>
    </row>
    <row r="101" spans="1:7" x14ac:dyDescent="0.25">
      <c r="E101" s="76" t="str">
        <f ca="1">IFERROR(OFFSET(Attributes!$A$1,MATCH(Rare!$A101,Attributes!$A:$A,0)-1,MATCH("Abbr",Attributes!$1:$1,0)-1),"")</f>
        <v/>
      </c>
    </row>
    <row r="102" spans="1:7" x14ac:dyDescent="0.25">
      <c r="E102" s="76" t="str">
        <f ca="1">IFERROR(OFFSET(Attributes!$A$1,MATCH(Rare!$A102,Attributes!$A:$A,0)-1,MATCH("Abbr",Attributes!$1:$1,0)-1),"")</f>
        <v/>
      </c>
      <c r="F102" s="103" t="s">
        <v>14</v>
      </c>
      <c r="G102" s="82" t="s">
        <v>521</v>
      </c>
    </row>
    <row r="103" spans="1:7" x14ac:dyDescent="0.25">
      <c r="A103" s="17">
        <v>4</v>
      </c>
      <c r="B103" s="17">
        <v>4</v>
      </c>
      <c r="C103" s="17">
        <v>7</v>
      </c>
      <c r="D103" s="76">
        <f ca="1">OFFSET(Attributes!$A$1,MATCH(Rare!$A103,Attributes!$A:$A,0)-1,MATCH("Type",Attributes!$1:$1,0)-1)</f>
        <v>1</v>
      </c>
      <c r="E103" s="76" t="str">
        <f ca="1">IFERROR(OFFSET(Attributes!$A$1,MATCH(Rare!$A103,Attributes!$A:$A,0)-1,MATCH("Abbr",Attributes!$1:$1,0)-1),"")</f>
        <v>STR</v>
      </c>
      <c r="F103" s="101" t="str">
        <f ca="1">SUBSTITUTE(OFFSET(Attributes!$A$1,MATCH($A103,Attributes!$A:$A,0)-1,MATCH("Attr CN",Attributes!$1:$1,0)-1),"#",$B103*$B$1&amp;"-"&amp;$C103*$B$1)</f>
        <v>+12-21力量</v>
      </c>
      <c r="G103" s="83" t="str">
        <f ca="1">SUBSTITUTE(OFFSET(Attributes!$A$1,MATCH($A103,Attributes!$A:$A,0)-1,MATCH("Attr EN",Attributes!$1:$1,0)-1),"#",$B103*$B$1&amp;"-"&amp;$C103*$B$1)</f>
        <v>+12-21 Strength</v>
      </c>
    </row>
    <row r="104" spans="1:7" x14ac:dyDescent="0.25">
      <c r="A104" s="17">
        <v>18</v>
      </c>
      <c r="B104" s="17">
        <v>8</v>
      </c>
      <c r="C104" s="17">
        <v>15</v>
      </c>
      <c r="D104" s="76">
        <f ca="1">OFFSET(Attributes!$A$1,MATCH(Rare!$A104,Attributes!$A:$A,0)-1,MATCH("Type",Attributes!$1:$1,0)-1)</f>
        <v>1</v>
      </c>
      <c r="E104" s="76" t="str">
        <f ca="1">IFERROR(OFFSET(Attributes!$A$1,MATCH(Rare!$A104,Attributes!$A:$A,0)-1,MATCH("Abbr",Attributes!$1:$1,0)-1),"")</f>
        <v>SP</v>
      </c>
      <c r="F104" s="101" t="str">
        <f ca="1">SUBSTITUTE(OFFSET(Attributes!$A$1,MATCH($A104,Attributes!$A:$A,0)-1,MATCH("Attr CN",Attributes!$1:$1,0)-1),"#",$B104*$B$1&amp;"-"&amp;$C104*$B$1)</f>
        <v>+24-45法术强度</v>
      </c>
      <c r="G104" s="83" t="str">
        <f ca="1">SUBSTITUTE(OFFSET(Attributes!$A$1,MATCH($A104,Attributes!$A:$A,0)-1,MATCH("Attr EN",Attributes!$1:$1,0)-1),"#",$B104*$B$1&amp;"-"&amp;$C104*$B$1)</f>
        <v>+24-45 Spell power</v>
      </c>
    </row>
    <row r="105" spans="1:7" x14ac:dyDescent="0.25">
      <c r="A105" s="17">
        <v>16</v>
      </c>
      <c r="B105" s="17">
        <v>0.04</v>
      </c>
      <c r="C105" s="17">
        <v>0.06</v>
      </c>
      <c r="D105" s="76">
        <f ca="1">OFFSET(Attributes!$A$1,MATCH(Rare!$A105,Attributes!$A:$A,0)-1,MATCH("Type",Attributes!$1:$1,0)-1)</f>
        <v>1</v>
      </c>
      <c r="E105" s="76" t="str">
        <f ca="1">IFERROR(OFFSET(Attributes!$A$1,MATCH(Rare!$A105,Attributes!$A:$A,0)-1,MATCH("Abbr",Attributes!$1:$1,0)-1),"")</f>
        <v>BR</v>
      </c>
      <c r="F105" s="101" t="str">
        <f ca="1">SUBSTITUTE(OFFSET(Attributes!$A$1,MATCH($A105,Attributes!$A:$A,0)-1,MATCH("Attr CN",Attributes!$1:$1,0)-1),"#",$B105*$B$1&amp;"-"&amp;$C105*$B$1)</f>
        <v>+0.12-0.18格挡几率</v>
      </c>
      <c r="G105" s="83" t="str">
        <f ca="1">SUBSTITUTE(OFFSET(Attributes!$A$1,MATCH($A105,Attributes!$A:$A,0)-1,MATCH("Attr EN",Attributes!$1:$1,0)-1),"#",$B105*$B$1&amp;"-"&amp;$C105*$B$1)</f>
        <v>+0.12-0.18 Block chance</v>
      </c>
    </row>
    <row r="106" spans="1:7" x14ac:dyDescent="0.25">
      <c r="A106" s="17">
        <v>86</v>
      </c>
      <c r="B106" s="17">
        <v>0.03</v>
      </c>
      <c r="C106" s="17">
        <v>7.0000000000000007E-2</v>
      </c>
      <c r="D106" s="76">
        <f ca="1">OFFSET(Attributes!$A$1,MATCH(Rare!$A106,Attributes!$A:$A,0)-1,MATCH("Type",Attributes!$1:$1,0)-1)</f>
        <v>2</v>
      </c>
      <c r="E106" s="76" t="str">
        <f ca="1">IFERROR(OFFSET(Attributes!$A$1,MATCH(Rare!$A106,Attributes!$A:$A,0)-1,MATCH("Abbr",Attributes!$1:$1,0)-1),"")</f>
        <v>BD_SHIELD</v>
      </c>
      <c r="F106" s="107" t="str">
        <f ca="1">SUBSTITUTE(OFFSET(Attributes!$A$1,MATCH($A106,Attributes!$A:$A,0)-1,MATCH("Attr CN",Attributes!$1:$1,0)-1),"#",$B106*$B$1&amp;"-"&amp;$C106*$B$1)</f>
        <v>辛多雷之盾能提供0.09-0.21额外的伤害减免，并且在开启时可以强迫附近所有敌人攻击你</v>
      </c>
      <c r="G106" s="83" t="str">
        <f ca="1">SUBSTITUTE(OFFSET(Attributes!$A$1,MATCH($A106,Attributes!$A:$A,0)-1,MATCH("Attr EN",Attributes!$1:$1,0)-1),"#",$B106*$B$1&amp;"-"&amp;$C106*$B$1)</f>
        <v>Shield of Sin'dorei provides 0.09-0.21 extra damage reduction, and forces all nearby enemies to attack you</v>
      </c>
    </row>
    <row r="107" spans="1:7" x14ac:dyDescent="0.25">
      <c r="E107" s="76" t="str">
        <f ca="1">IFERROR(OFFSET(Attributes!$A$1,MATCH(Rare!$A107,Attributes!$A:$A,0)-1,MATCH("Abbr",Attributes!$1:$1,0)-1),"")</f>
        <v/>
      </c>
      <c r="F107" s="105" t="s">
        <v>16</v>
      </c>
      <c r="G107" s="82" t="s">
        <v>522</v>
      </c>
    </row>
    <row r="108" spans="1:7" x14ac:dyDescent="0.25">
      <c r="E108" s="76" t="str">
        <f ca="1">IFERROR(OFFSET(Attributes!$A$1,MATCH(Rare!$A108,Attributes!$A:$A,0)-1,MATCH("Abbr",Attributes!$1:$1,0)-1),"")</f>
        <v/>
      </c>
      <c r="F108" s="109"/>
      <c r="G108" s="82"/>
    </row>
    <row r="109" spans="1:7" x14ac:dyDescent="0.25">
      <c r="E109" s="76" t="str">
        <f ca="1">IFERROR(OFFSET(Attributes!$A$1,MATCH(Rare!$A109,Attributes!$A:$A,0)-1,MATCH("Abbr",Attributes!$1:$1,0)-1),"")</f>
        <v/>
      </c>
      <c r="F109" s="103" t="s">
        <v>17</v>
      </c>
      <c r="G109" s="82" t="s">
        <v>523</v>
      </c>
    </row>
    <row r="110" spans="1:7" x14ac:dyDescent="0.25">
      <c r="A110" s="17">
        <v>13</v>
      </c>
      <c r="B110" s="17">
        <v>4</v>
      </c>
      <c r="C110" s="17">
        <v>7</v>
      </c>
      <c r="D110" s="76">
        <f ca="1">OFFSET(Attributes!$A$1,MATCH(Rare!$A110,Attributes!$A:$A,0)-1,MATCH("Type",Attributes!$1:$1,0)-1)</f>
        <v>1</v>
      </c>
      <c r="E110" s="76" t="str">
        <f ca="1">IFERROR(OFFSET(Attributes!$A$1,MATCH(Rare!$A110,Attributes!$A:$A,0)-1,MATCH("Abbr",Attributes!$1:$1,0)-1),"")</f>
        <v>AGI</v>
      </c>
      <c r="F110" s="101" t="str">
        <f ca="1">SUBSTITUTE(OFFSET(Attributes!$A$1,MATCH($A110,Attributes!$A:$A,0)-1,MATCH("Attr CN",Attributes!$1:$1,0)-1),"#",$B110*$B$1&amp;"-"&amp;$C110*$B$1)</f>
        <v>+12-21敏捷</v>
      </c>
      <c r="G110" s="83" t="str">
        <f ca="1">SUBSTITUTE(OFFSET(Attributes!$A$1,MATCH($A110,Attributes!$A:$A,0)-1,MATCH("Attr EN",Attributes!$1:$1,0)-1),"#",$B110*$B$1&amp;"-"&amp;$C110*$B$1)</f>
        <v>+12-21 Agility</v>
      </c>
    </row>
    <row r="111" spans="1:7" x14ac:dyDescent="0.25">
      <c r="A111" s="17">
        <v>21</v>
      </c>
      <c r="B111" s="17">
        <v>120</v>
      </c>
      <c r="C111" s="17">
        <v>240</v>
      </c>
      <c r="D111" s="76">
        <f ca="1">OFFSET(Attributes!$A$1,MATCH(Rare!$A111,Attributes!$A:$A,0)-1,MATCH("Type",Attributes!$1:$1,0)-1)</f>
        <v>1</v>
      </c>
      <c r="E111" s="76" t="str">
        <f ca="1">IFERROR(OFFSET(Attributes!$A$1,MATCH(Rare!$A111,Attributes!$A:$A,0)-1,MATCH("Abbr",Attributes!$1:$1,0)-1),"")</f>
        <v>HP</v>
      </c>
      <c r="F111" s="101" t="str">
        <f ca="1">SUBSTITUTE(OFFSET(Attributes!$A$1,MATCH($A111,Attributes!$A:$A,0)-1,MATCH("Attr CN",Attributes!$1:$1,0)-1),"#",$B111*$B$1&amp;"-"&amp;$C111*$B$1)</f>
        <v>+360-720生命上限</v>
      </c>
      <c r="G111" s="83" t="str">
        <f ca="1">SUBSTITUTE(OFFSET(Attributes!$A$1,MATCH($A111,Attributes!$A:$A,0)-1,MATCH("Attr EN",Attributes!$1:$1,0)-1),"#",$B111*$B$1&amp;"-"&amp;$C111*$B$1)</f>
        <v>+360-720 Max HP</v>
      </c>
    </row>
    <row r="112" spans="1:7" x14ac:dyDescent="0.25">
      <c r="A112" s="17">
        <v>27</v>
      </c>
      <c r="B112" s="17">
        <v>0.02</v>
      </c>
      <c r="C112" s="17">
        <v>0.03</v>
      </c>
      <c r="D112" s="76">
        <f ca="1">OFFSET(Attributes!$A$1,MATCH(Rare!$A112,Attributes!$A:$A,0)-1,MATCH("Type",Attributes!$1:$1,0)-1)</f>
        <v>1</v>
      </c>
      <c r="E112" s="76" t="str">
        <f ca="1">IFERROR(OFFSET(Attributes!$A$1,MATCH(Rare!$A112,Attributes!$A:$A,0)-1,MATCH("Abbr",Attributes!$1:$1,0)-1),"")</f>
        <v>DODGE</v>
      </c>
      <c r="F112" s="101" t="str">
        <f ca="1">SUBSTITUTE(OFFSET(Attributes!$A$1,MATCH($A112,Attributes!$A:$A,0)-1,MATCH("Attr CN",Attributes!$1:$1,0)-1),"#",$B112*$B$1&amp;"-"&amp;$C112*$B$1)</f>
        <v>+0.06-0.09躲闪</v>
      </c>
      <c r="G112" s="83" t="str">
        <f ca="1">SUBSTITUTE(OFFSET(Attributes!$A$1,MATCH($A112,Attributes!$A:$A,0)-1,MATCH("Attr EN",Attributes!$1:$1,0)-1),"#",$B112*$B$1&amp;"-"&amp;$C112*$B$1)</f>
        <v>+0.06-0.09 Dodge chance</v>
      </c>
    </row>
    <row r="113" spans="1:7" x14ac:dyDescent="0.25">
      <c r="A113" s="17">
        <v>78</v>
      </c>
      <c r="B113" s="17">
        <v>0.08</v>
      </c>
      <c r="C113" s="17">
        <v>0.1</v>
      </c>
      <c r="D113" s="76">
        <f ca="1">OFFSET(Attributes!$A$1,MATCH(Rare!$A113,Attributes!$A:$A,0)-1,MATCH("Type",Attributes!$1:$1,0)-1)</f>
        <v>2</v>
      </c>
      <c r="E113" s="76" t="str">
        <f ca="1">IFERROR(OFFSET(Attributes!$A$1,MATCH(Rare!$A113,Attributes!$A:$A,0)-1,MATCH("Abbr",Attributes!$1:$1,0)-1),"")</f>
        <v>DR_MAXHP</v>
      </c>
      <c r="F113" s="107" t="str">
        <f ca="1">SUBSTITUTE(OFFSET(Attributes!$A$1,MATCH($A113,Attributes!$A:$A,0)-1,MATCH("Attr CN",Attributes!$1:$1,0)-1),"#",$B113*$B$1&amp;"-"&amp;$C113*$B$1)</f>
        <v>生存本能可以提供0.24-0.3额外的生命值和生命上限</v>
      </c>
      <c r="G113" s="83" t="str">
        <f ca="1">SUBSTITUTE(OFFSET(Attributes!$A$1,MATCH($A113,Attributes!$A:$A,0)-1,MATCH("Attr EN",Attributes!$1:$1,0)-1),"#",$B113*$B$1&amp;"-"&amp;$C113*$B$1)</f>
        <v>Survival Instincts provides 0.24-0.3 extra healing and max HP</v>
      </c>
    </row>
    <row r="114" spans="1:7" x14ac:dyDescent="0.25">
      <c r="A114" s="17">
        <v>92</v>
      </c>
      <c r="B114" s="17">
        <v>3</v>
      </c>
      <c r="C114" s="17">
        <v>7</v>
      </c>
      <c r="D114" s="76">
        <f ca="1">OFFSET(Attributes!$A$1,MATCH(Rare!$A114,Attributes!$A:$A,0)-1,MATCH("Type",Attributes!$1:$1,0)-1)</f>
        <v>2</v>
      </c>
      <c r="E114" s="76" t="str">
        <f ca="1">IFERROR(OFFSET(Attributes!$A$1,MATCH(Rare!$A114,Attributes!$A:$A,0)-1,MATCH("Abbr",Attributes!$1:$1,0)-1),"")</f>
        <v>DR_CDR</v>
      </c>
      <c r="F114" s="107" t="str">
        <f ca="1">SUBSTITUTE(OFFSET(Attributes!$A$1,MATCH($A114,Attributes!$A:$A,0)-1,MATCH("Attr CN",Attributes!$1:$1,0)-1),"#",$B114*$B$1&amp;"-"&amp;$C114*$B$1)</f>
        <v>降低生存本能的冷却时间9-21秒（唯一）</v>
      </c>
      <c r="G114" s="83" t="str">
        <f ca="1">SUBSTITUTE(OFFSET(Attributes!$A$1,MATCH($A114,Attributes!$A:$A,0)-1,MATCH("Attr EN",Attributes!$1:$1,0)-1),"#",$B114*$B$1&amp;"-"&amp;$C114*$B$1)</f>
        <v>Reduce cooldown of Survival Instincts by 9-21 seconds (unique)</v>
      </c>
    </row>
    <row r="115" spans="1:7" x14ac:dyDescent="0.25">
      <c r="E115" s="76" t="str">
        <f ca="1">IFERROR(OFFSET(Attributes!$A$1,MATCH(Rare!$A115,Attributes!$A:$A,0)-1,MATCH("Abbr",Attributes!$1:$1,0)-1),"")</f>
        <v/>
      </c>
      <c r="F115" s="105" t="s">
        <v>18</v>
      </c>
      <c r="G115" s="82" t="s">
        <v>524</v>
      </c>
    </row>
    <row r="116" spans="1:7" x14ac:dyDescent="0.25">
      <c r="E116" s="76" t="str">
        <f ca="1">IFERROR(OFFSET(Attributes!$A$1,MATCH(Rare!$A116,Attributes!$A:$A,0)-1,MATCH("Abbr",Attributes!$1:$1,0)-1),"")</f>
        <v/>
      </c>
      <c r="F116" s="110"/>
      <c r="G116" s="82"/>
    </row>
    <row r="117" spans="1:7" x14ac:dyDescent="0.25">
      <c r="E117" s="76" t="str">
        <f ca="1">IFERROR(OFFSET(Attributes!$A$1,MATCH(Rare!$A117,Attributes!$A:$A,0)-1,MATCH("Abbr",Attributes!$1:$1,0)-1),"")</f>
        <v/>
      </c>
      <c r="F117" s="103" t="s">
        <v>19</v>
      </c>
      <c r="G117" s="82" t="s">
        <v>525</v>
      </c>
    </row>
    <row r="118" spans="1:7" x14ac:dyDescent="0.25">
      <c r="A118" s="17">
        <v>14</v>
      </c>
      <c r="B118" s="17">
        <v>4</v>
      </c>
      <c r="C118" s="17">
        <v>7</v>
      </c>
      <c r="D118" s="76">
        <f ca="1">OFFSET(Attributes!$A$1,MATCH(Rare!$A118,Attributes!$A:$A,0)-1,MATCH("Type",Attributes!$1:$1,0)-1)</f>
        <v>1</v>
      </c>
      <c r="E118" s="76" t="str">
        <f ca="1">IFERROR(OFFSET(Attributes!$A$1,MATCH(Rare!$A118,Attributes!$A:$A,0)-1,MATCH("Abbr",Attributes!$1:$1,0)-1),"")</f>
        <v>INT</v>
      </c>
      <c r="F118" s="101" t="str">
        <f ca="1">SUBSTITUTE(OFFSET(Attributes!$A$1,MATCH($A118,Attributes!$A:$A,0)-1,MATCH("Attr CN",Attributes!$1:$1,0)-1),"#",$B118*$B$1&amp;"-"&amp;$C118*$B$1)</f>
        <v>+12-21智力</v>
      </c>
      <c r="G118" s="83" t="str">
        <f ca="1">SUBSTITUTE(OFFSET(Attributes!$A$1,MATCH($A118,Attributes!$A:$A,0)-1,MATCH("Attr EN",Attributes!$1:$1,0)-1),"#",$B118*$B$1&amp;"-"&amp;$C118*$B$1)</f>
        <v>+12-21 Intelligence</v>
      </c>
    </row>
    <row r="119" spans="1:7" x14ac:dyDescent="0.25">
      <c r="A119" s="17">
        <v>18</v>
      </c>
      <c r="B119" s="17">
        <v>5</v>
      </c>
      <c r="C119" s="17">
        <v>10</v>
      </c>
      <c r="D119" s="76">
        <f ca="1">OFFSET(Attributes!$A$1,MATCH(Rare!$A119,Attributes!$A:$A,0)-1,MATCH("Type",Attributes!$1:$1,0)-1)</f>
        <v>1</v>
      </c>
      <c r="E119" s="76" t="str">
        <f ca="1">IFERROR(OFFSET(Attributes!$A$1,MATCH(Rare!$A119,Attributes!$A:$A,0)-1,MATCH("Abbr",Attributes!$1:$1,0)-1),"")</f>
        <v>SP</v>
      </c>
      <c r="F119" s="101" t="str">
        <f ca="1">SUBSTITUTE(OFFSET(Attributes!$A$1,MATCH($A119,Attributes!$A:$A,0)-1,MATCH("Attr CN",Attributes!$1:$1,0)-1),"#",$B119*$B$1&amp;"-"&amp;$C119*$B$1)</f>
        <v>+15-30法术强度</v>
      </c>
      <c r="G119" s="83" t="str">
        <f ca="1">SUBSTITUTE(OFFSET(Attributes!$A$1,MATCH($A119,Attributes!$A:$A,0)-1,MATCH("Attr EN",Attributes!$1:$1,0)-1),"#",$B119*$B$1&amp;"-"&amp;$C119*$B$1)</f>
        <v>+15-30 Spell power</v>
      </c>
    </row>
    <row r="120" spans="1:7" x14ac:dyDescent="0.25">
      <c r="A120" s="17">
        <v>20</v>
      </c>
      <c r="B120" s="17">
        <v>0.03</v>
      </c>
      <c r="C120" s="17">
        <v>0.05</v>
      </c>
      <c r="D120" s="76">
        <f ca="1">OFFSET(Attributes!$A$1,MATCH(Rare!$A120,Attributes!$A:$A,0)-1,MATCH("Type",Attributes!$1:$1,0)-1)</f>
        <v>1</v>
      </c>
      <c r="E120" s="76" t="str">
        <f ca="1">IFERROR(OFFSET(Attributes!$A$1,MATCH(Rare!$A120,Attributes!$A:$A,0)-1,MATCH("Abbr",Attributes!$1:$1,0)-1),"")</f>
        <v>SCRIT</v>
      </c>
      <c r="F120" s="101" t="str">
        <f ca="1">SUBSTITUTE(OFFSET(Attributes!$A$1,MATCH($A120,Attributes!$A:$A,0)-1,MATCH("Attr CN",Attributes!$1:$1,0)-1),"#",$B120*$B$1&amp;"-"&amp;$C120*$B$1)</f>
        <v>+0.09-0.15法术暴击</v>
      </c>
      <c r="G120" s="83" t="str">
        <f ca="1">SUBSTITUTE(OFFSET(Attributes!$A$1,MATCH($A120,Attributes!$A:$A,0)-1,MATCH("Attr EN",Attributes!$1:$1,0)-1),"#",$B120*$B$1&amp;"-"&amp;$C120*$B$1)</f>
        <v>+0.09-0.15 Spell critical</v>
      </c>
    </row>
    <row r="121" spans="1:7" x14ac:dyDescent="0.25">
      <c r="A121" s="17">
        <v>79</v>
      </c>
      <c r="B121" s="17">
        <v>0</v>
      </c>
      <c r="C121" s="17">
        <v>0</v>
      </c>
      <c r="D121" s="76">
        <f ca="1">OFFSET(Attributes!$A$1,MATCH(Rare!$A121,Attributes!$A:$A,0)-1,MATCH("Type",Attributes!$1:$1,0)-1)</f>
        <v>3</v>
      </c>
      <c r="E121" s="76" t="str">
        <f ca="1">IFERROR(OFFSET(Attributes!$A$1,MATCH(Rare!$A121,Attributes!$A:$A,0)-1,MATCH("Abbr",Attributes!$1:$1,0)-1),"")</f>
        <v>PL_SHOCK</v>
      </c>
      <c r="F121" s="106" t="str">
        <f ca="1">SUBSTITUTE(OFFSET(Attributes!$A$1,MATCH($A121,Attributes!$A:$A,0)-1,MATCH("Attr CN",Attributes!$1:$1,0)-1),"#",$B121*$B$1&amp;"-"&amp;$C121*$B$1)</f>
        <v>神圣震击一定能造成极效治疗0-0</v>
      </c>
      <c r="G121" s="83" t="str">
        <f ca="1">SUBSTITUTE(OFFSET(Attributes!$A$1,MATCH($A121,Attributes!$A:$A,0)-1,MATCH("Attr EN",Attributes!$1:$1,0)-1),"#",$B121*$B$1&amp;"-"&amp;$C121*$B$1)</f>
        <v>Holy Shock always deals critical healing0-0</v>
      </c>
    </row>
    <row r="122" spans="1:7" x14ac:dyDescent="0.25">
      <c r="A122" s="17">
        <v>91</v>
      </c>
      <c r="B122" s="17">
        <v>0</v>
      </c>
      <c r="C122" s="17">
        <v>0</v>
      </c>
      <c r="D122" s="76">
        <f ca="1">OFFSET(Attributes!$A$1,MATCH(Rare!$A122,Attributes!$A:$A,0)-1,MATCH("Type",Attributes!$1:$1,0)-1)</f>
        <v>3</v>
      </c>
      <c r="E122" s="76" t="str">
        <f ca="1">IFERROR(OFFSET(Attributes!$A$1,MATCH(Rare!$A122,Attributes!$A:$A,0)-1,MATCH("Abbr",Attributes!$1:$1,0)-1),"")</f>
        <v>PL_LIGHT</v>
      </c>
      <c r="F122" s="106" t="str">
        <f ca="1">SUBSTITUTE(OFFSET(Attributes!$A$1,MATCH($A122,Attributes!$A:$A,0)-1,MATCH("Attr CN",Attributes!$1:$1,0)-1),"#",$B122*$B$1&amp;"-"&amp;$C122*$B$1)</f>
        <v>闪耀之光可以驱散一个有害的法术效果0-0</v>
      </c>
      <c r="G122" s="83" t="str">
        <f ca="1">SUBSTITUTE(OFFSET(Attributes!$A$1,MATCH($A122,Attributes!$A:$A,0)-1,MATCH("Attr EN",Attributes!$1:$1,0)-1),"#",$B122*$B$1&amp;"-"&amp;$C122*$B$1)</f>
        <v>Flash Light dispels one debuff from target0-0</v>
      </c>
    </row>
    <row r="123" spans="1:7" x14ac:dyDescent="0.25">
      <c r="E123" s="76" t="str">
        <f ca="1">IFERROR(OFFSET(Attributes!$A$1,MATCH(Rare!$A123,Attributes!$A:$A,0)-1,MATCH("Abbr",Attributes!$1:$1,0)-1),"")</f>
        <v/>
      </c>
      <c r="F123" s="105" t="s">
        <v>20</v>
      </c>
      <c r="G123" s="82" t="s">
        <v>526</v>
      </c>
    </row>
    <row r="124" spans="1:7" x14ac:dyDescent="0.25">
      <c r="E124" s="76" t="str">
        <f ca="1">IFERROR(OFFSET(Attributes!$A$1,MATCH(Rare!$A124,Attributes!$A:$A,0)-1,MATCH("Abbr",Attributes!$1:$1,0)-1),"")</f>
        <v/>
      </c>
      <c r="F124" s="110"/>
      <c r="G124" s="82"/>
    </row>
    <row r="125" spans="1:7" x14ac:dyDescent="0.25">
      <c r="E125" s="76" t="str">
        <f ca="1">IFERROR(OFFSET(Attributes!$A$1,MATCH(Rare!$A125,Attributes!$A:$A,0)-1,MATCH("Abbr",Attributes!$1:$1,0)-1),"")</f>
        <v/>
      </c>
      <c r="F125" s="103" t="s">
        <v>21</v>
      </c>
      <c r="G125" s="82" t="s">
        <v>527</v>
      </c>
    </row>
    <row r="126" spans="1:7" x14ac:dyDescent="0.25">
      <c r="A126" s="17">
        <v>14</v>
      </c>
      <c r="B126" s="17">
        <v>4</v>
      </c>
      <c r="C126" s="17">
        <v>7</v>
      </c>
      <c r="D126" s="76">
        <f ca="1">OFFSET(Attributes!$A$1,MATCH(Rare!$A126,Attributes!$A:$A,0)-1,MATCH("Type",Attributes!$1:$1,0)-1)</f>
        <v>1</v>
      </c>
      <c r="E126" s="76" t="str">
        <f ca="1">IFERROR(OFFSET(Attributes!$A$1,MATCH(Rare!$A126,Attributes!$A:$A,0)-1,MATCH("Abbr",Attributes!$1:$1,0)-1),"")</f>
        <v>INT</v>
      </c>
      <c r="F126" s="101" t="str">
        <f ca="1">SUBSTITUTE(OFFSET(Attributes!$A$1,MATCH($A126,Attributes!$A:$A,0)-1,MATCH("Attr CN",Attributes!$1:$1,0)-1),"#",$B126*$B$1&amp;"-"&amp;$C126*$B$1)</f>
        <v>+12-21智力</v>
      </c>
      <c r="G126" s="83" t="str">
        <f ca="1">SUBSTITUTE(OFFSET(Attributes!$A$1,MATCH($A126,Attributes!$A:$A,0)-1,MATCH("Attr EN",Attributes!$1:$1,0)-1),"#",$B126*$B$1&amp;"-"&amp;$C126*$B$1)</f>
        <v>+12-21 Intelligence</v>
      </c>
    </row>
    <row r="127" spans="1:7" x14ac:dyDescent="0.25">
      <c r="A127" s="17">
        <v>18</v>
      </c>
      <c r="B127" s="17">
        <v>5</v>
      </c>
      <c r="C127" s="17">
        <v>10</v>
      </c>
      <c r="D127" s="76">
        <f ca="1">OFFSET(Attributes!$A$1,MATCH(Rare!$A127,Attributes!$A:$A,0)-1,MATCH("Type",Attributes!$1:$1,0)-1)</f>
        <v>1</v>
      </c>
      <c r="E127" s="76" t="str">
        <f ca="1">IFERROR(OFFSET(Attributes!$A$1,MATCH(Rare!$A127,Attributes!$A:$A,0)-1,MATCH("Abbr",Attributes!$1:$1,0)-1),"")</f>
        <v>SP</v>
      </c>
      <c r="F127" s="101" t="str">
        <f ca="1">SUBSTITUTE(OFFSET(Attributes!$A$1,MATCH($A127,Attributes!$A:$A,0)-1,MATCH("Attr CN",Attributes!$1:$1,0)-1),"#",$B127*$B$1&amp;"-"&amp;$C127*$B$1)</f>
        <v>+15-30法术强度</v>
      </c>
      <c r="G127" s="83" t="str">
        <f ca="1">SUBSTITUTE(OFFSET(Attributes!$A$1,MATCH($A127,Attributes!$A:$A,0)-1,MATCH("Attr EN",Attributes!$1:$1,0)-1),"#",$B127*$B$1&amp;"-"&amp;$C127*$B$1)</f>
        <v>+15-30 Spell power</v>
      </c>
    </row>
    <row r="128" spans="1:7" x14ac:dyDescent="0.25">
      <c r="A128" s="17">
        <v>72</v>
      </c>
      <c r="B128" s="17">
        <v>2</v>
      </c>
      <c r="C128" s="17">
        <v>4</v>
      </c>
      <c r="D128" s="76">
        <f ca="1">OFFSET(Attributes!$A$1,MATCH(Rare!$A128,Attributes!$A:$A,0)-1,MATCH("Type",Attributes!$1:$1,0)-1)</f>
        <v>1</v>
      </c>
      <c r="E128" s="76" t="str">
        <f ca="1">IFERROR(OFFSET(Attributes!$A$1,MATCH(Rare!$A128,Attributes!$A:$A,0)-1,MATCH("Abbr",Attributes!$1:$1,0)-1),"")</f>
        <v>MREG</v>
      </c>
      <c r="F128" s="101" t="str">
        <f ca="1">SUBSTITUTE(OFFSET(Attributes!$A$1,MATCH($A128,Attributes!$A:$A,0)-1,MATCH("Attr CN",Attributes!$1:$1,0)-1),"#",$B128*$B$1&amp;"-"&amp;$C128*$B$1)</f>
        <v>每秒回复6-12点法力值</v>
      </c>
      <c r="G128" s="83" t="str">
        <f ca="1">SUBSTITUTE(OFFSET(Attributes!$A$1,MATCH($A128,Attributes!$A:$A,0)-1,MATCH("Attr EN",Attributes!$1:$1,0)-1),"#",$B128*$B$1&amp;"-"&amp;$C128*$B$1)</f>
        <v>Regens 6-12 MP per second</v>
      </c>
    </row>
    <row r="129" spans="1:7" x14ac:dyDescent="0.25">
      <c r="A129" s="17">
        <v>76</v>
      </c>
      <c r="B129" s="17">
        <v>4</v>
      </c>
      <c r="C129" s="17">
        <v>6</v>
      </c>
      <c r="D129" s="76">
        <f ca="1">OFFSET(Attributes!$A$1,MATCH(Rare!$A129,Attributes!$A:$A,0)-1,MATCH("Type",Attributes!$1:$1,0)-1)</f>
        <v>2</v>
      </c>
      <c r="E129" s="76" t="str">
        <f ca="1">IFERROR(OFFSET(Attributes!$A$1,MATCH(Rare!$A129,Attributes!$A:$A,0)-1,MATCH("Abbr",Attributes!$1:$1,0)-1),"")</f>
        <v>PR_POHDEF</v>
      </c>
      <c r="F129" s="104" t="str">
        <f ca="1">SUBSTITUTE(OFFSET(Attributes!$A$1,MATCH($A129,Attributes!$A:$A,0)-1,MATCH("Attr CN",Attributes!$1:$1,0)-1),"#",$B129*$B$1&amp;"-"&amp;$C129*$B$1)</f>
        <v>治疗祷言可以提升目标12-18点护甲</v>
      </c>
      <c r="G129" s="83" t="str">
        <f ca="1">SUBSTITUTE(OFFSET(Attributes!$A$1,MATCH($A129,Attributes!$A:$A,0)-1,MATCH("Attr EN",Attributes!$1:$1,0)-1),"#",$B129*$B$1&amp;"-"&amp;$C129*$B$1)</f>
        <v>Prayer of healing increases armor of target by 12-18</v>
      </c>
    </row>
    <row r="130" spans="1:7" x14ac:dyDescent="0.25">
      <c r="A130" s="17">
        <v>80</v>
      </c>
      <c r="B130" s="17">
        <v>0</v>
      </c>
      <c r="C130" s="17">
        <v>0</v>
      </c>
      <c r="D130" s="76">
        <f ca="1">OFFSET(Attributes!$A$1,MATCH(Rare!$A130,Attributes!$A:$A,0)-1,MATCH("Type",Attributes!$1:$1,0)-1)</f>
        <v>3</v>
      </c>
      <c r="E130" s="76" t="str">
        <f ca="1">IFERROR(OFFSET(Attributes!$A$1,MATCH(Rare!$A130,Attributes!$A:$A,0)-1,MATCH("Abbr",Attributes!$1:$1,0)-1),"")</f>
        <v>PR_SHIELD</v>
      </c>
      <c r="F130" s="106" t="str">
        <f ca="1">SUBSTITUTE(OFFSET(Attributes!$A$1,MATCH($A130,Attributes!$A:$A,0)-1,MATCH("Attr CN",Attributes!$1:$1,0)-1),"#",$B130*$B$1&amp;"-"&amp;$C130*$B$1)</f>
        <v>移除护盾术造成的虚弱效果0-0</v>
      </c>
      <c r="G130" s="83" t="str">
        <f ca="1">SUBSTITUTE(OFFSET(Attributes!$A$1,MATCH($A130,Attributes!$A:$A,0)-1,MATCH("Attr EN",Attributes!$1:$1,0)-1),"#",$B130*$B$1&amp;"-"&amp;$C130*$B$1)</f>
        <v>Removes weakness effect of Shield0-0</v>
      </c>
    </row>
    <row r="131" spans="1:7" x14ac:dyDescent="0.25">
      <c r="E131" s="76" t="str">
        <f ca="1">IFERROR(OFFSET(Attributes!$A$1,MATCH(Rare!$A131,Attributes!$A:$A,0)-1,MATCH("Abbr",Attributes!$1:$1,0)-1),"")</f>
        <v/>
      </c>
      <c r="F131" s="105" t="s">
        <v>22</v>
      </c>
      <c r="G131" s="82" t="s">
        <v>528</v>
      </c>
    </row>
    <row r="132" spans="1:7" x14ac:dyDescent="0.25">
      <c r="E132" s="76" t="str">
        <f ca="1">IFERROR(OFFSET(Attributes!$A$1,MATCH(Rare!$A132,Attributes!$A:$A,0)-1,MATCH("Abbr",Attributes!$1:$1,0)-1),"")</f>
        <v/>
      </c>
      <c r="F132" s="110"/>
      <c r="G132" s="82"/>
    </row>
    <row r="133" spans="1:7" x14ac:dyDescent="0.25">
      <c r="E133" s="76" t="str">
        <f ca="1">IFERROR(OFFSET(Attributes!$A$1,MATCH(Rare!$A133,Attributes!$A:$A,0)-1,MATCH("Abbr",Attributes!$1:$1,0)-1),"")</f>
        <v/>
      </c>
      <c r="F133" s="103" t="s">
        <v>23</v>
      </c>
      <c r="G133" s="82" t="s">
        <v>529</v>
      </c>
    </row>
    <row r="134" spans="1:7" x14ac:dyDescent="0.25">
      <c r="A134" s="17">
        <v>7</v>
      </c>
      <c r="B134" s="17">
        <v>4</v>
      </c>
      <c r="C134" s="17">
        <v>7</v>
      </c>
      <c r="D134" s="76">
        <f ca="1">OFFSET(Attributes!$A$1,MATCH(Rare!$A134,Attributes!$A:$A,0)-1,MATCH("Type",Attributes!$1:$1,0)-1)</f>
        <v>1</v>
      </c>
      <c r="E134" s="76" t="str">
        <f ca="1">IFERROR(OFFSET(Attributes!$A$1,MATCH(Rare!$A134,Attributes!$A:$A,0)-1,MATCH("Abbr",Attributes!$1:$1,0)-1),"")</f>
        <v>ALLSTAT</v>
      </c>
      <c r="F134" s="101" t="str">
        <f ca="1">SUBSTITUTE(OFFSET(Attributes!$A$1,MATCH($A134,Attributes!$A:$A,0)-1,MATCH("Attr CN",Attributes!$1:$1,0)-1),"#",$B134*$B$1&amp;"-"&amp;$C134*$B$1)</f>
        <v>+12-21所有属性</v>
      </c>
      <c r="G134" s="83" t="str">
        <f ca="1">SUBSTITUTE(OFFSET(Attributes!$A$1,MATCH($A134,Attributes!$A:$A,0)-1,MATCH("Attr EN",Attributes!$1:$1,0)-1),"#",$B134*$B$1&amp;"-"&amp;$C134*$B$1)</f>
        <v>+12-21 All stats</v>
      </c>
    </row>
    <row r="135" spans="1:7" x14ac:dyDescent="0.25">
      <c r="A135" s="17">
        <v>21</v>
      </c>
      <c r="B135" s="17">
        <v>100</v>
      </c>
      <c r="C135" s="17">
        <v>200</v>
      </c>
      <c r="D135" s="76">
        <f ca="1">OFFSET(Attributes!$A$1,MATCH(Rare!$A135,Attributes!$A:$A,0)-1,MATCH("Type",Attributes!$1:$1,0)-1)</f>
        <v>1</v>
      </c>
      <c r="E135" s="76" t="str">
        <f ca="1">IFERROR(OFFSET(Attributes!$A$1,MATCH(Rare!$A135,Attributes!$A:$A,0)-1,MATCH("Abbr",Attributes!$1:$1,0)-1),"")</f>
        <v>HP</v>
      </c>
      <c r="F135" s="101" t="str">
        <f ca="1">SUBSTITUTE(OFFSET(Attributes!$A$1,MATCH($A135,Attributes!$A:$A,0)-1,MATCH("Attr CN",Attributes!$1:$1,0)-1),"#",$B135*$B$1&amp;"-"&amp;$C135*$B$1)</f>
        <v>+300-600生命上限</v>
      </c>
      <c r="G135" s="83" t="str">
        <f ca="1">SUBSTITUTE(OFFSET(Attributes!$A$1,MATCH($A135,Attributes!$A:$A,0)-1,MATCH("Attr EN",Attributes!$1:$1,0)-1),"#",$B135*$B$1&amp;"-"&amp;$C135*$B$1)</f>
        <v>+300-600 Max HP</v>
      </c>
    </row>
    <row r="136" spans="1:7" x14ac:dyDescent="0.25">
      <c r="A136" s="17">
        <v>17</v>
      </c>
      <c r="B136" s="17">
        <v>100</v>
      </c>
      <c r="C136" s="17">
        <v>200</v>
      </c>
      <c r="D136" s="76">
        <f ca="1">OFFSET(Attributes!$A$1,MATCH(Rare!$A136,Attributes!$A:$A,0)-1,MATCH("Type",Attributes!$1:$1,0)-1)</f>
        <v>1</v>
      </c>
      <c r="E136" s="76" t="str">
        <f ca="1">IFERROR(OFFSET(Attributes!$A$1,MATCH(Rare!$A136,Attributes!$A:$A,0)-1,MATCH("Abbr",Attributes!$1:$1,0)-1),"")</f>
        <v>MP</v>
      </c>
      <c r="F136" s="101" t="str">
        <f ca="1">SUBSTITUTE(OFFSET(Attributes!$A$1,MATCH($A136,Attributes!$A:$A,0)-1,MATCH("Attr CN",Attributes!$1:$1,0)-1),"#",$B136*$B$1&amp;"-"&amp;$C136*$B$1)</f>
        <v>+300-600法力上限</v>
      </c>
      <c r="G136" s="83" t="str">
        <f ca="1">SUBSTITUTE(OFFSET(Attributes!$A$1,MATCH($A136,Attributes!$A:$A,0)-1,MATCH("Attr EN",Attributes!$1:$1,0)-1),"#",$B136*$B$1&amp;"-"&amp;$C136*$B$1)</f>
        <v>+300-600 Max MP</v>
      </c>
    </row>
    <row r="137" spans="1:7" x14ac:dyDescent="0.25">
      <c r="A137" s="17">
        <v>69</v>
      </c>
      <c r="B137" s="17">
        <v>3</v>
      </c>
      <c r="C137" s="17">
        <v>4.7</v>
      </c>
      <c r="D137" s="76">
        <f ca="1">OFFSET(Attributes!$A$1,MATCH(Rare!$A137,Attributes!$A:$A,0)-1,MATCH("Type",Attributes!$1:$1,0)-1)</f>
        <v>2</v>
      </c>
      <c r="E137" s="76" t="str">
        <f ca="1">IFERROR(OFFSET(Attributes!$A$1,MATCH(Rare!$A137,Attributes!$A:$A,0)-1,MATCH("Abbr",Attributes!$1:$1,0)-1),"")</f>
        <v>KG_REGRCD</v>
      </c>
      <c r="F137" s="107" t="str">
        <f ca="1">SUBSTITUTE(OFFSET(Attributes!$A$1,MATCH($A137,Attributes!$A:$A,0)-1,MATCH("Attr CN",Attributes!$1:$1,0)-1),"#",$B137*$B$1&amp;"-"&amp;$C137*$B$1)</f>
        <v>愈合的瞬发效果的冷却时间缩短9-14.1秒（唯一）</v>
      </c>
      <c r="G137" s="83" t="str">
        <f ca="1">SUBSTITUTE(OFFSET(Attributes!$A$1,MATCH($A137,Attributes!$A:$A,0)-1,MATCH("Attr EN",Attributes!$1:$1,0)-1),"#",$B137*$B$1&amp;"-"&amp;$C137*$B$1)</f>
        <v>Reduce cooldown of Instant Regrowth by 9-14.1 seconds (unique)</v>
      </c>
    </row>
    <row r="138" spans="1:7" x14ac:dyDescent="0.25">
      <c r="E138" s="76" t="str">
        <f ca="1">IFERROR(OFFSET(Attributes!$A$1,MATCH(Rare!$A138,Attributes!$A:$A,0)-1,MATCH("Abbr",Attributes!$1:$1,0)-1),"")</f>
        <v/>
      </c>
      <c r="F138" s="105" t="s">
        <v>24</v>
      </c>
      <c r="G138" s="82" t="s">
        <v>530</v>
      </c>
    </row>
    <row r="139" spans="1:7" x14ac:dyDescent="0.25">
      <c r="E139" s="76" t="str">
        <f ca="1">IFERROR(OFFSET(Attributes!$A$1,MATCH(Rare!$A139,Attributes!$A:$A,0)-1,MATCH("Abbr",Attributes!$1:$1,0)-1),"")</f>
        <v/>
      </c>
      <c r="F139" s="110"/>
      <c r="G139" s="82"/>
    </row>
    <row r="140" spans="1:7" x14ac:dyDescent="0.25">
      <c r="E140" s="76" t="str">
        <f ca="1">IFERROR(OFFSET(Attributes!$A$1,MATCH(Rare!$A140,Attributes!$A:$A,0)-1,MATCH("Abbr",Attributes!$1:$1,0)-1),"")</f>
        <v/>
      </c>
      <c r="F140" s="103" t="s">
        <v>25</v>
      </c>
      <c r="G140" s="82" t="s">
        <v>531</v>
      </c>
    </row>
    <row r="141" spans="1:7" x14ac:dyDescent="0.25">
      <c r="A141" s="17">
        <v>4</v>
      </c>
      <c r="B141" s="17">
        <v>5</v>
      </c>
      <c r="C141" s="17">
        <v>10</v>
      </c>
      <c r="D141" s="76">
        <f ca="1">OFFSET(Attributes!$A$1,MATCH(Rare!$A141,Attributes!$A:$A,0)-1,MATCH("Type",Attributes!$1:$1,0)-1)</f>
        <v>1</v>
      </c>
      <c r="E141" s="76" t="str">
        <f ca="1">IFERROR(OFFSET(Attributes!$A$1,MATCH(Rare!$A141,Attributes!$A:$A,0)-1,MATCH("Abbr",Attributes!$1:$1,0)-1),"")</f>
        <v>STR</v>
      </c>
      <c r="F141" s="101" t="str">
        <f ca="1">SUBSTITUTE(OFFSET(Attributes!$A$1,MATCH($A141,Attributes!$A:$A,0)-1,MATCH("Attr CN",Attributes!$1:$1,0)-1),"#",$B141*$B$1&amp;"-"&amp;$C141*$B$1)</f>
        <v>+15-30力量</v>
      </c>
      <c r="G141" s="83" t="str">
        <f ca="1">SUBSTITUTE(OFFSET(Attributes!$A$1,MATCH($A141,Attributes!$A:$A,0)-1,MATCH("Attr EN",Attributes!$1:$1,0)-1),"#",$B141*$B$1&amp;"-"&amp;$C141*$B$1)</f>
        <v>+15-30 Strength</v>
      </c>
    </row>
    <row r="142" spans="1:7" x14ac:dyDescent="0.25">
      <c r="A142" s="17">
        <v>9</v>
      </c>
      <c r="B142" s="17">
        <v>5</v>
      </c>
      <c r="C142" s="17">
        <v>10</v>
      </c>
      <c r="D142" s="76">
        <f ca="1">OFFSET(Attributes!$A$1,MATCH(Rare!$A142,Attributes!$A:$A,0)-1,MATCH("Type",Attributes!$1:$1,0)-1)</f>
        <v>1</v>
      </c>
      <c r="E142" s="76" t="str">
        <f ca="1">IFERROR(OFFSET(Attributes!$A$1,MATCH(Rare!$A142,Attributes!$A:$A,0)-1,MATCH("Abbr",Attributes!$1:$1,0)-1),"")</f>
        <v>AP</v>
      </c>
      <c r="F142" s="101" t="str">
        <f ca="1">SUBSTITUTE(OFFSET(Attributes!$A$1,MATCH($A142,Attributes!$A:$A,0)-1,MATCH("Attr CN",Attributes!$1:$1,0)-1),"#",$B142*$B$1&amp;"-"&amp;$C142*$B$1)</f>
        <v>+15-30攻击强度</v>
      </c>
      <c r="G142" s="83" t="str">
        <f ca="1">SUBSTITUTE(OFFSET(Attributes!$A$1,MATCH($A142,Attributes!$A:$A,0)-1,MATCH("Attr EN",Attributes!$1:$1,0)-1),"#",$B142*$B$1&amp;"-"&amp;$C142*$B$1)</f>
        <v>+15-30 Attack power</v>
      </c>
    </row>
    <row r="143" spans="1:7" x14ac:dyDescent="0.25">
      <c r="A143" s="17">
        <v>11</v>
      </c>
      <c r="B143" s="17">
        <v>0.03</v>
      </c>
      <c r="C143" s="17">
        <v>0.05</v>
      </c>
      <c r="D143" s="76">
        <f ca="1">OFFSET(Attributes!$A$1,MATCH(Rare!$A143,Attributes!$A:$A,0)-1,MATCH("Type",Attributes!$1:$1,0)-1)</f>
        <v>1</v>
      </c>
      <c r="E143" s="76" t="str">
        <f ca="1">IFERROR(OFFSET(Attributes!$A$1,MATCH(Rare!$A143,Attributes!$A:$A,0)-1,MATCH("Abbr",Attributes!$1:$1,0)-1),"")</f>
        <v>CRIT</v>
      </c>
      <c r="F143" s="101" t="str">
        <f ca="1">SUBSTITUTE(OFFSET(Attributes!$A$1,MATCH($A143,Attributes!$A:$A,0)-1,MATCH("Attr CN",Attributes!$1:$1,0)-1),"#",$B143*$B$1&amp;"-"&amp;$C143*$B$1)</f>
        <v>+0.09-0.15攻击暴击</v>
      </c>
      <c r="G143" s="83" t="str">
        <f ca="1">SUBSTITUTE(OFFSET(Attributes!$A$1,MATCH($A143,Attributes!$A:$A,0)-1,MATCH("Attr EN",Attributes!$1:$1,0)-1),"#",$B143*$B$1&amp;"-"&amp;$C143*$B$1)</f>
        <v>+0.09-0.15 Attack critical</v>
      </c>
    </row>
    <row r="144" spans="1:7" x14ac:dyDescent="0.25">
      <c r="A144" s="17">
        <v>39</v>
      </c>
      <c r="B144" s="17">
        <v>0.4</v>
      </c>
      <c r="C144" s="17">
        <v>0.6</v>
      </c>
      <c r="D144" s="76">
        <f ca="1">OFFSET(Attributes!$A$1,MATCH(Rare!$A144,Attributes!$A:$A,0)-1,MATCH("Type",Attributes!$1:$1,0)-1)</f>
        <v>2</v>
      </c>
      <c r="E144" s="76" t="str">
        <f ca="1">IFERROR(OFFSET(Attributes!$A$1,MATCH(Rare!$A144,Attributes!$A:$A,0)-1,MATCH("Abbr",Attributes!$1:$1,0)-1),"")</f>
        <v>BM_VALOR</v>
      </c>
      <c r="F144" s="107" t="str">
        <f ca="1">SUBSTITUTE(OFFSET(Attributes!$A$1,MATCH($A144,Attributes!$A:$A,0)-1,MATCH("Attr CN",Attributes!$1:$1,0)-1),"#",$B144*$B$1&amp;"-"&amp;$C144*$B$1)</f>
        <v>勇气点数的获取速度提升1.2-1.8</v>
      </c>
      <c r="G144" s="83" t="str">
        <f ca="1">SUBSTITUTE(OFFSET(Attributes!$A$1,MATCH($A144,Attributes!$A:$A,0)-1,MATCH("Attr EN",Attributes!$1:$1,0)-1),"#",$B144*$B$1&amp;"-"&amp;$C144*$B$1)</f>
        <v>Regenerates 1.2-1.8 more valor points</v>
      </c>
    </row>
    <row r="145" spans="1:7" x14ac:dyDescent="0.25">
      <c r="E145" s="76" t="str">
        <f ca="1">IFERROR(OFFSET(Attributes!$A$1,MATCH(Rare!$A145,Attributes!$A:$A,0)-1,MATCH("Abbr",Attributes!$1:$1,0)-1),"")</f>
        <v/>
      </c>
      <c r="F145" s="105" t="s">
        <v>26</v>
      </c>
      <c r="G145" s="82" t="s">
        <v>532</v>
      </c>
    </row>
    <row r="146" spans="1:7" x14ac:dyDescent="0.25">
      <c r="E146" s="76" t="str">
        <f ca="1">IFERROR(OFFSET(Attributes!$A$1,MATCH(Rare!$A146,Attributes!$A:$A,0)-1,MATCH("Abbr",Attributes!$1:$1,0)-1),"")</f>
        <v/>
      </c>
      <c r="F146" s="110"/>
      <c r="G146" s="82"/>
    </row>
    <row r="147" spans="1:7" x14ac:dyDescent="0.25">
      <c r="E147" s="76" t="str">
        <f ca="1">IFERROR(OFFSET(Attributes!$A$1,MATCH(Rare!$A147,Attributes!$A:$A,0)-1,MATCH("Abbr",Attributes!$1:$1,0)-1),"")</f>
        <v/>
      </c>
      <c r="F147" s="103" t="s">
        <v>27</v>
      </c>
      <c r="G147" s="82" t="s">
        <v>533</v>
      </c>
    </row>
    <row r="148" spans="1:7" x14ac:dyDescent="0.25">
      <c r="A148" s="17">
        <v>13</v>
      </c>
      <c r="B148" s="17">
        <v>5</v>
      </c>
      <c r="C148" s="17">
        <v>10</v>
      </c>
      <c r="D148" s="76">
        <f ca="1">OFFSET(Attributes!$A$1,MATCH(Rare!$A148,Attributes!$A:$A,0)-1,MATCH("Type",Attributes!$1:$1,0)-1)</f>
        <v>1</v>
      </c>
      <c r="E148" s="76" t="str">
        <f ca="1">IFERROR(OFFSET(Attributes!$A$1,MATCH(Rare!$A148,Attributes!$A:$A,0)-1,MATCH("Abbr",Attributes!$1:$1,0)-1),"")</f>
        <v>AGI</v>
      </c>
      <c r="F148" s="101" t="str">
        <f ca="1">SUBSTITUTE(OFFSET(Attributes!$A$1,MATCH($A148,Attributes!$A:$A,0)-1,MATCH("Attr CN",Attributes!$1:$1,0)-1),"#",$B148*$B$1&amp;"-"&amp;$C148*$B$1)</f>
        <v>+15-30敏捷</v>
      </c>
      <c r="G148" s="83" t="str">
        <f ca="1">SUBSTITUTE(OFFSET(Attributes!$A$1,MATCH($A148,Attributes!$A:$A,0)-1,MATCH("Attr EN",Attributes!$1:$1,0)-1),"#",$B148*$B$1&amp;"-"&amp;$C148*$B$1)</f>
        <v>+15-30 Agility</v>
      </c>
    </row>
    <row r="149" spans="1:7" x14ac:dyDescent="0.25">
      <c r="A149" s="17">
        <v>9</v>
      </c>
      <c r="B149" s="17">
        <v>5</v>
      </c>
      <c r="C149" s="17">
        <v>10</v>
      </c>
      <c r="D149" s="76">
        <f ca="1">OFFSET(Attributes!$A$1,MATCH(Rare!$A149,Attributes!$A:$A,0)-1,MATCH("Type",Attributes!$1:$1,0)-1)</f>
        <v>1</v>
      </c>
      <c r="E149" s="76" t="str">
        <f ca="1">IFERROR(OFFSET(Attributes!$A$1,MATCH(Rare!$A149,Attributes!$A:$A,0)-1,MATCH("Abbr",Attributes!$1:$1,0)-1),"")</f>
        <v>AP</v>
      </c>
      <c r="F149" s="101" t="str">
        <f ca="1">SUBSTITUTE(OFFSET(Attributes!$A$1,MATCH($A149,Attributes!$A:$A,0)-1,MATCH("Attr CN",Attributes!$1:$1,0)-1),"#",$B149*$B$1&amp;"-"&amp;$C149*$B$1)</f>
        <v>+15-30攻击强度</v>
      </c>
      <c r="G149" s="83" t="str">
        <f ca="1">SUBSTITUTE(OFFSET(Attributes!$A$1,MATCH($A149,Attributes!$A:$A,0)-1,MATCH("Attr EN",Attributes!$1:$1,0)-1),"#",$B149*$B$1&amp;"-"&amp;$C149*$B$1)</f>
        <v>+15-30 Attack power</v>
      </c>
    </row>
    <row r="150" spans="1:7" x14ac:dyDescent="0.25">
      <c r="A150" s="17">
        <v>12</v>
      </c>
      <c r="B150" s="17">
        <v>3</v>
      </c>
      <c r="C150" s="17">
        <v>5</v>
      </c>
      <c r="D150" s="76">
        <f ca="1">OFFSET(Attributes!$A$1,MATCH(Rare!$A150,Attributes!$A:$A,0)-1,MATCH("Type",Attributes!$1:$1,0)-1)</f>
        <v>1</v>
      </c>
      <c r="E150" s="76" t="str">
        <f ca="1">IFERROR(OFFSET(Attributes!$A$1,MATCH(Rare!$A150,Attributes!$A:$A,0)-1,MATCH("Abbr",Attributes!$1:$1,0)-1),"")</f>
        <v>IAS</v>
      </c>
      <c r="F150" s="101" t="str">
        <f ca="1">SUBSTITUTE(OFFSET(Attributes!$A$1,MATCH($A150,Attributes!$A:$A,0)-1,MATCH("Attr CN",Attributes!$1:$1,0)-1),"#",$B150*$B$1&amp;"-"&amp;$C150*$B$1)</f>
        <v>+9-15%攻击速度</v>
      </c>
      <c r="G150" s="83" t="str">
        <f ca="1">SUBSTITUTE(OFFSET(Attributes!$A$1,MATCH($A150,Attributes!$A:$A,0)-1,MATCH("Attr EN",Attributes!$1:$1,0)-1),"#",$B150*$B$1&amp;"-"&amp;$C150*$B$1)</f>
        <v>+9-15% Attack speed</v>
      </c>
    </row>
    <row r="151" spans="1:7" x14ac:dyDescent="0.25">
      <c r="A151" s="17">
        <v>66</v>
      </c>
      <c r="B151" s="17">
        <v>0</v>
      </c>
      <c r="C151" s="17">
        <v>0</v>
      </c>
      <c r="D151" s="76">
        <f ca="1">OFFSET(Attributes!$A$1,MATCH(Rare!$A151,Attributes!$A:$A,0)-1,MATCH("Type",Attributes!$1:$1,0)-1)</f>
        <v>3</v>
      </c>
      <c r="E151" s="76" t="str">
        <f ca="1">IFERROR(OFFSET(Attributes!$A$1,MATCH(Rare!$A151,Attributes!$A:$A,0)-1,MATCH("Abbr",Attributes!$1:$1,0)-1),"")</f>
        <v>RG_ONESHOT</v>
      </c>
      <c r="F151" s="106" t="str">
        <f ca="1">SUBSTITUTE(OFFSET(Attributes!$A$1,MATCH($A151,Attributes!$A:$A,0)-1,MATCH("Attr CN",Attributes!$1:$1,0)-1),"#",$B151*$B$1&amp;"-"&amp;$C151*$B$1)</f>
        <v>对生命值少于自己的目标造成一击必杀0-0</v>
      </c>
      <c r="G151" s="83" t="str">
        <f ca="1">SUBSTITUTE(OFFSET(Attributes!$A$1,MATCH($A151,Attributes!$A:$A,0)-1,MATCH("Attr EN",Attributes!$1:$1,0)-1),"#",$B151*$B$1&amp;"-"&amp;$C151*$B$1)</f>
        <v>One-shot target when it's HP is less than yours0-0</v>
      </c>
    </row>
    <row r="152" spans="1:7" x14ac:dyDescent="0.25">
      <c r="A152" s="17">
        <v>65</v>
      </c>
      <c r="B152" s="17">
        <v>0.04</v>
      </c>
      <c r="C152" s="17">
        <v>0.06</v>
      </c>
      <c r="D152" s="76">
        <f ca="1">OFFSET(Attributes!$A$1,MATCH(Rare!$A152,Attributes!$A:$A,0)-1,MATCH("Type",Attributes!$1:$1,0)-1)</f>
        <v>2</v>
      </c>
      <c r="E152" s="76" t="str">
        <f ca="1">IFERROR(OFFSET(Attributes!$A$1,MATCH(Rare!$A152,Attributes!$A:$A,0)-1,MATCH("Abbr",Attributes!$1:$1,0)-1),"")</f>
        <v>RG_RUSH</v>
      </c>
      <c r="F152" s="104" t="str">
        <f ca="1">SUBSTITUTE(OFFSET(Attributes!$A$1,MATCH($A152,Attributes!$A:$A,0)-1,MATCH("Attr CN",Attributes!$1:$1,0)-1),"#",$B152*$B$1&amp;"-"&amp;$C152*$B$1)</f>
        <v>对生命值少于30%的目标造成0.12-0.18的额外伤害</v>
      </c>
      <c r="G152" s="83"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6">
        <f ca="1">OFFSET(Attributes!$A$1,MATCH(Rare!$A153,Attributes!$A:$A,0)-1,MATCH("Type",Attributes!$1:$1,0)-1)</f>
        <v>2</v>
      </c>
      <c r="E153" s="76" t="str">
        <f ca="1">IFERROR(OFFSET(Attributes!$A$1,MATCH(Rare!$A153,Attributes!$A:$A,0)-1,MATCH("Abbr",Attributes!$1:$1,0)-1),"")</f>
        <v>RG_PARALZ</v>
      </c>
      <c r="F153" s="104" t="str">
        <f ca="1">SUBSTITUTE(OFFSET(Attributes!$A$1,MATCH($A153,Attributes!$A:$A,0)-1,MATCH("Attr CN",Attributes!$1:$1,0)-1),"#",$B153*$B$1&amp;"-"&amp;$C153*$B$1)</f>
        <v>邪恶攻击有0.09-0.18的几率造成麻痹效果，降低目标施法速度20%，并获得一个额外的连击点</v>
      </c>
      <c r="G153" s="83" t="str">
        <f ca="1">SUBSTITUTE(OFFSET(Attributes!$A$1,MATCH($A153,Attributes!$A:$A,0)-1,MATCH("Attr EN",Attributes!$1:$1,0)-1),"#",$B153*$B$1&amp;"-"&amp;$C153*$B$1)</f>
        <v>Sinister Strike has a 0.09-0.18 chance to paralyze target, reduce target spell haste by 20% and gain an extra combo point</v>
      </c>
    </row>
    <row r="154" spans="1:7" x14ac:dyDescent="0.25">
      <c r="E154" s="76" t="str">
        <f ca="1">IFERROR(OFFSET(Attributes!$A$1,MATCH(Rare!$A154,Attributes!$A:$A,0)-1,MATCH("Abbr",Attributes!$1:$1,0)-1),"")</f>
        <v/>
      </c>
      <c r="F154" s="105" t="s">
        <v>28</v>
      </c>
      <c r="G154" s="82" t="s">
        <v>534</v>
      </c>
    </row>
    <row r="155" spans="1:7" x14ac:dyDescent="0.25">
      <c r="E155" s="76" t="str">
        <f ca="1">IFERROR(OFFSET(Attributes!$A$1,MATCH(Rare!$A155,Attributes!$A:$A,0)-1,MATCH("Abbr",Attributes!$1:$1,0)-1),"")</f>
        <v/>
      </c>
      <c r="F155" s="110"/>
      <c r="G155" s="82"/>
    </row>
    <row r="156" spans="1:7" x14ac:dyDescent="0.25">
      <c r="E156" s="76" t="str">
        <f ca="1">IFERROR(OFFSET(Attributes!$A$1,MATCH(Rare!$A156,Attributes!$A:$A,0)-1,MATCH("Abbr",Attributes!$1:$1,0)-1),"")</f>
        <v/>
      </c>
      <c r="F156" s="103" t="s">
        <v>29</v>
      </c>
      <c r="G156" s="82" t="s">
        <v>535</v>
      </c>
    </row>
    <row r="157" spans="1:7" x14ac:dyDescent="0.25">
      <c r="A157" s="17">
        <v>13</v>
      </c>
      <c r="B157" s="17">
        <v>5</v>
      </c>
      <c r="C157" s="17">
        <v>8</v>
      </c>
      <c r="D157" s="76">
        <f ca="1">OFFSET(Attributes!$A$1,MATCH(Rare!$A157,Attributes!$A:$A,0)-1,MATCH("Type",Attributes!$1:$1,0)-1)</f>
        <v>1</v>
      </c>
      <c r="E157" s="76" t="str">
        <f ca="1">IFERROR(OFFSET(Attributes!$A$1,MATCH(Rare!$A157,Attributes!$A:$A,0)-1,MATCH("Abbr",Attributes!$1:$1,0)-1),"")</f>
        <v>AGI</v>
      </c>
      <c r="F157" s="101" t="str">
        <f ca="1">SUBSTITUTE(OFFSET(Attributes!$A$1,MATCH($A157,Attributes!$A:$A,0)-1,MATCH("Attr CN",Attributes!$1:$1,0)-1),"#",$B157*$B$1&amp;"-"&amp;$C157*$B$1)</f>
        <v>+15-24敏捷</v>
      </c>
      <c r="G157" s="83" t="str">
        <f ca="1">SUBSTITUTE(OFFSET(Attributes!$A$1,MATCH($A157,Attributes!$A:$A,0)-1,MATCH("Attr EN",Attributes!$1:$1,0)-1),"#",$B157*$B$1&amp;"-"&amp;$C157*$B$1)</f>
        <v>+15-24 Agility</v>
      </c>
    </row>
    <row r="158" spans="1:7" x14ac:dyDescent="0.25">
      <c r="A158" s="17">
        <v>12</v>
      </c>
      <c r="B158" s="17">
        <v>3</v>
      </c>
      <c r="C158" s="17">
        <v>5</v>
      </c>
      <c r="D158" s="76">
        <f ca="1">OFFSET(Attributes!$A$1,MATCH(Rare!$A158,Attributes!$A:$A,0)-1,MATCH("Type",Attributes!$1:$1,0)-1)</f>
        <v>1</v>
      </c>
      <c r="E158" s="76" t="str">
        <f ca="1">IFERROR(OFFSET(Attributes!$A$1,MATCH(Rare!$A158,Attributes!$A:$A,0)-1,MATCH("Abbr",Attributes!$1:$1,0)-1),"")</f>
        <v>IAS</v>
      </c>
      <c r="F158" s="101" t="str">
        <f ca="1">SUBSTITUTE(OFFSET(Attributes!$A$1,MATCH($A158,Attributes!$A:$A,0)-1,MATCH("Attr CN",Attributes!$1:$1,0)-1),"#",$B158*$B$1&amp;"-"&amp;$C158*$B$1)</f>
        <v>+9-15%攻击速度</v>
      </c>
      <c r="G158" s="83" t="str">
        <f ca="1">SUBSTITUTE(OFFSET(Attributes!$A$1,MATCH($A158,Attributes!$A:$A,0)-1,MATCH("Attr EN",Attributes!$1:$1,0)-1),"#",$B158*$B$1&amp;"-"&amp;$C158*$B$1)</f>
        <v>+9-15% Attack speed</v>
      </c>
    </row>
    <row r="159" spans="1:7" x14ac:dyDescent="0.25">
      <c r="A159" s="17">
        <v>11</v>
      </c>
      <c r="B159" s="17">
        <v>3</v>
      </c>
      <c r="C159" s="17">
        <v>5</v>
      </c>
      <c r="D159" s="76">
        <f ca="1">OFFSET(Attributes!$A$1,MATCH(Rare!$A159,Attributes!$A:$A,0)-1,MATCH("Type",Attributes!$1:$1,0)-1)</f>
        <v>1</v>
      </c>
      <c r="E159" s="76" t="str">
        <f ca="1">IFERROR(OFFSET(Attributes!$A$1,MATCH(Rare!$A159,Attributes!$A:$A,0)-1,MATCH("Abbr",Attributes!$1:$1,0)-1),"")</f>
        <v>CRIT</v>
      </c>
      <c r="F159" s="101" t="str">
        <f ca="1">SUBSTITUTE(OFFSET(Attributes!$A$1,MATCH($A159,Attributes!$A:$A,0)-1,MATCH("Attr CN",Attributes!$1:$1,0)-1),"#",$B159*$B$1&amp;"-"&amp;$C159*$B$1)</f>
        <v>+9-15攻击暴击</v>
      </c>
      <c r="G159" s="83" t="str">
        <f ca="1">SUBSTITUTE(OFFSET(Attributes!$A$1,MATCH($A159,Attributes!$A:$A,0)-1,MATCH("Attr EN",Attributes!$1:$1,0)-1),"#",$B159*$B$1&amp;"-"&amp;$C159*$B$1)</f>
        <v>+9-15 Attack critical</v>
      </c>
    </row>
    <row r="160" spans="1:7" x14ac:dyDescent="0.25">
      <c r="A160" s="17">
        <v>24</v>
      </c>
      <c r="B160" s="17">
        <v>10</v>
      </c>
      <c r="C160" s="17">
        <v>20</v>
      </c>
      <c r="D160" s="76">
        <f ca="1">OFFSET(Attributes!$A$1,MATCH(Rare!$A160,Attributes!$A:$A,0)-1,MATCH("Type",Attributes!$1:$1,0)-1)</f>
        <v>1</v>
      </c>
      <c r="E160" s="76" t="str">
        <f ca="1">IFERROR(OFFSET(Attributes!$A$1,MATCH(Rare!$A160,Attributes!$A:$A,0)-1,MATCH("Abbr",Attributes!$1:$1,0)-1),"")</f>
        <v>MS</v>
      </c>
      <c r="F160" s="101" t="str">
        <f ca="1">SUBSTITUTE(OFFSET(Attributes!$A$1,MATCH($A160,Attributes!$A:$A,0)-1,MATCH("Attr CN",Attributes!$1:$1,0)-1),"#",$B160*$B$1&amp;"-"&amp;$C160*$B$1)</f>
        <v>+30-60移动速度</v>
      </c>
      <c r="G160" s="83" t="str">
        <f ca="1">SUBSTITUTE(OFFSET(Attributes!$A$1,MATCH($A160,Attributes!$A:$A,0)-1,MATCH("Attr EN",Attributes!$1:$1,0)-1),"#",$B160*$B$1&amp;"-"&amp;$C160*$B$1)</f>
        <v>+30-60 Movement speed</v>
      </c>
    </row>
    <row r="161" spans="1:7" x14ac:dyDescent="0.25">
      <c r="A161" s="17">
        <v>94</v>
      </c>
      <c r="B161" s="17">
        <v>0.7</v>
      </c>
      <c r="C161" s="17">
        <v>1</v>
      </c>
      <c r="D161" s="76">
        <f ca="1">OFFSET(Attributes!$A$1,MATCH(Rare!$A161,Attributes!$A:$A,0)-1,MATCH("Type",Attributes!$1:$1,0)-1)</f>
        <v>2</v>
      </c>
      <c r="E161" s="76" t="str">
        <f ca="1">IFERROR(OFFSET(Attributes!$A$1,MATCH(Rare!$A161,Attributes!$A:$A,0)-1,MATCH("Abbr",Attributes!$1:$1,0)-1),"")</f>
        <v>DK_ARROW</v>
      </c>
      <c r="F161" s="104" t="str">
        <f ca="1">SUBSTITUTE(OFFSET(Attributes!$A$1,MATCH($A161,Attributes!$A:$A,0)-1,MATCH("Attr CN",Attributes!$1:$1,0)-1),"#",$B161*$B$1&amp;"-"&amp;$C161*$B$1)</f>
        <v>黑箭数量增加2.1-3枝</v>
      </c>
      <c r="G161" s="83" t="str">
        <f ca="1">SUBSTITUTE(OFFSET(Attributes!$A$1,MATCH($A161,Attributes!$A:$A,0)-1,MATCH("Attr EN",Attributes!$1:$1,0)-1),"#",$B161*$B$1&amp;"-"&amp;$C161*$B$1)</f>
        <v>Number of Dark Arrows increased by 2.1-3 (unique)</v>
      </c>
    </row>
    <row r="162" spans="1:7" x14ac:dyDescent="0.25">
      <c r="E162" s="76" t="str">
        <f ca="1">IFERROR(OFFSET(Attributes!$A$1,MATCH(Rare!$A162,Attributes!$A:$A,0)-1,MATCH("Abbr",Attributes!$1:$1,0)-1),"")</f>
        <v/>
      </c>
      <c r="F162" s="105" t="s">
        <v>30</v>
      </c>
      <c r="G162" s="82" t="s">
        <v>536</v>
      </c>
    </row>
    <row r="163" spans="1:7" x14ac:dyDescent="0.25">
      <c r="E163" s="76" t="str">
        <f ca="1">IFERROR(OFFSET(Attributes!$A$1,MATCH(Rare!$A163,Attributes!$A:$A,0)-1,MATCH("Abbr",Attributes!$1:$1,0)-1),"")</f>
        <v/>
      </c>
      <c r="F163" s="110"/>
      <c r="G163" s="82"/>
    </row>
    <row r="164" spans="1:7" x14ac:dyDescent="0.25">
      <c r="E164" s="76" t="str">
        <f ca="1">IFERROR(OFFSET(Attributes!$A$1,MATCH(Rare!$A164,Attributes!$A:$A,0)-1,MATCH("Abbr",Attributes!$1:$1,0)-1),"")</f>
        <v/>
      </c>
      <c r="F164" s="103" t="s">
        <v>31</v>
      </c>
      <c r="G164" s="82" t="s">
        <v>537</v>
      </c>
    </row>
    <row r="165" spans="1:7" x14ac:dyDescent="0.25">
      <c r="A165" s="17">
        <v>14</v>
      </c>
      <c r="B165" s="17">
        <v>5</v>
      </c>
      <c r="C165" s="17">
        <v>10</v>
      </c>
      <c r="D165" s="76">
        <f ca="1">OFFSET(Attributes!$A$1,MATCH(Rare!$A165,Attributes!$A:$A,0)-1,MATCH("Type",Attributes!$1:$1,0)-1)</f>
        <v>1</v>
      </c>
      <c r="E165" s="76" t="str">
        <f ca="1">IFERROR(OFFSET(Attributes!$A$1,MATCH(Rare!$A165,Attributes!$A:$A,0)-1,MATCH("Abbr",Attributes!$1:$1,0)-1),"")</f>
        <v>INT</v>
      </c>
      <c r="F165" s="101" t="str">
        <f ca="1">SUBSTITUTE(OFFSET(Attributes!$A$1,MATCH($A165,Attributes!$A:$A,0)-1,MATCH("Attr CN",Attributes!$1:$1,0)-1),"#",$B165*$B$1&amp;"-"&amp;$C165*$B$1)</f>
        <v>+15-30智力</v>
      </c>
      <c r="G165" s="83" t="str">
        <f ca="1">SUBSTITUTE(OFFSET(Attributes!$A$1,MATCH($A165,Attributes!$A:$A,0)-1,MATCH("Attr EN",Attributes!$1:$1,0)-1),"#",$B165*$B$1&amp;"-"&amp;$C165*$B$1)</f>
        <v>+15-30 Intelligence</v>
      </c>
    </row>
    <row r="166" spans="1:7" x14ac:dyDescent="0.25">
      <c r="A166" s="17">
        <v>19</v>
      </c>
      <c r="B166" s="17">
        <v>0.03</v>
      </c>
      <c r="C166" s="17">
        <v>0.05</v>
      </c>
      <c r="D166" s="76">
        <f ca="1">OFFSET(Attributes!$A$1,MATCH(Rare!$A166,Attributes!$A:$A,0)-1,MATCH("Type",Attributes!$1:$1,0)-1)</f>
        <v>1</v>
      </c>
      <c r="E166" s="76" t="str">
        <f ca="1">IFERROR(OFFSET(Attributes!$A$1,MATCH(Rare!$A166,Attributes!$A:$A,0)-1,MATCH("Abbr",Attributes!$1:$1,0)-1),"")</f>
        <v>SHASTE</v>
      </c>
      <c r="F166" s="101" t="str">
        <f ca="1">SUBSTITUTE(OFFSET(Attributes!$A$1,MATCH($A166,Attributes!$A:$A,0)-1,MATCH("Attr CN",Attributes!$1:$1,0)-1),"#",$B166*$B$1&amp;"-"&amp;$C166*$B$1)</f>
        <v>+0.09-0.15法术急速</v>
      </c>
      <c r="G166" s="83" t="str">
        <f ca="1">SUBSTITUTE(OFFSET(Attributes!$A$1,MATCH($A166,Attributes!$A:$A,0)-1,MATCH("Attr EN",Attributes!$1:$1,0)-1),"#",$B166*$B$1&amp;"-"&amp;$C166*$B$1)</f>
        <v>+0.09-0.15 Spell haste</v>
      </c>
    </row>
    <row r="167" spans="1:7" x14ac:dyDescent="0.25">
      <c r="A167" s="17">
        <v>96</v>
      </c>
      <c r="B167" s="17">
        <v>0.02</v>
      </c>
      <c r="C167" s="17">
        <v>0.04</v>
      </c>
      <c r="D167" s="76">
        <f ca="1">OFFSET(Attributes!$A$1,MATCH(Rare!$A167,Attributes!$A:$A,0)-1,MATCH("Type",Attributes!$1:$1,0)-1)</f>
        <v>2</v>
      </c>
      <c r="E167" s="76" t="str">
        <f ca="1">IFERROR(OFFSET(Attributes!$A$1,MATCH(Rare!$A167,Attributes!$A:$A,0)-1,MATCH("Abbr",Attributes!$1:$1,0)-1),"")</f>
        <v>MG_FDMG</v>
      </c>
      <c r="F167" s="104" t="str">
        <f ca="1">SUBSTITUTE(OFFSET(Attributes!$A$1,MATCH($A167,Attributes!$A:$A,0)-1,MATCH("Attr CN",Attributes!$1:$1,0)-1),"#",$B167*$B$1&amp;"-"&amp;$C167*$B$1)</f>
        <v>提高冰冷法术的伤害0.06-0.12</v>
      </c>
      <c r="G167" s="83" t="str">
        <f ca="1">SUBSTITUTE(OFFSET(Attributes!$A$1,MATCH($A167,Attributes!$A:$A,0)-1,MATCH("Attr EN",Attributes!$1:$1,0)-1),"#",$B167*$B$1&amp;"-"&amp;$C167*$B$1)</f>
        <v>Increase ice spell damage by 0.06-0.12</v>
      </c>
    </row>
    <row r="168" spans="1:7" x14ac:dyDescent="0.25">
      <c r="A168" s="17">
        <v>70</v>
      </c>
      <c r="B168" s="17">
        <v>0.01</v>
      </c>
      <c r="C168" s="17">
        <v>0.02</v>
      </c>
      <c r="D168" s="76">
        <f ca="1">OFFSET(Attributes!$A$1,MATCH(Rare!$A168,Attributes!$A:$A,0)-1,MATCH("Type",Attributes!$1:$1,0)-1)</f>
        <v>2</v>
      </c>
      <c r="E168" s="76" t="str">
        <f ca="1">IFERROR(OFFSET(Attributes!$A$1,MATCH(Rare!$A168,Attributes!$A:$A,0)-1,MATCH("Abbr",Attributes!$1:$1,0)-1),"")</f>
        <v>MG_BLZ</v>
      </c>
      <c r="F168" s="104" t="str">
        <f ca="1">SUBSTITUTE(OFFSET(Attributes!$A$1,MATCH($A168,Attributes!$A:$A,0)-1,MATCH("Attr CN",Attributes!$1:$1,0)-1),"#",$B168*$B$1&amp;"-"&amp;$C168*$B$1)</f>
        <v>暴风雪造成伤害时，有0.03-0.06的几率对目标立即施放寒冰箭</v>
      </c>
      <c r="G168" s="83" t="str">
        <f ca="1">SUBSTITUTE(OFFSET(Attributes!$A$1,MATCH($A168,Attributes!$A:$A,0)-1,MATCH("Attr EN",Attributes!$1:$1,0)-1),"#",$B168*$B$1&amp;"-"&amp;$C168*$B$1)</f>
        <v>0.03-0.06 chance to cast an instant Frost Bolt to targets damaged by Blizzard</v>
      </c>
    </row>
    <row r="169" spans="1:7" x14ac:dyDescent="0.25">
      <c r="E169" s="76" t="str">
        <f ca="1">IFERROR(OFFSET(Attributes!$A$1,MATCH(Rare!$A169,Attributes!$A:$A,0)-1,MATCH("Abbr",Attributes!$1:$1,0)-1),"")</f>
        <v/>
      </c>
      <c r="F169" s="105" t="s">
        <v>32</v>
      </c>
      <c r="G169" s="82" t="s">
        <v>538</v>
      </c>
    </row>
    <row r="170" spans="1:7" x14ac:dyDescent="0.25">
      <c r="E170" s="76" t="str">
        <f ca="1">IFERROR(OFFSET(Attributes!$A$1,MATCH(Rare!$A170,Attributes!$A:$A,0)-1,MATCH("Abbr",Attributes!$1:$1,0)-1),"")</f>
        <v/>
      </c>
      <c r="F170" s="110"/>
      <c r="G170" s="82"/>
    </row>
    <row r="171" spans="1:7" x14ac:dyDescent="0.25">
      <c r="E171" s="76" t="str">
        <f ca="1">IFERROR(OFFSET(Attributes!$A$1,MATCH(Rare!$A171,Attributes!$A:$A,0)-1,MATCH("Abbr",Attributes!$1:$1,0)-1),"")</f>
        <v/>
      </c>
      <c r="F171" s="103" t="s">
        <v>33</v>
      </c>
      <c r="G171" s="82" t="s">
        <v>539</v>
      </c>
    </row>
    <row r="172" spans="1:7" x14ac:dyDescent="0.25">
      <c r="A172" s="17">
        <v>21</v>
      </c>
      <c r="B172" s="17">
        <v>125</v>
      </c>
      <c r="C172" s="17">
        <v>250</v>
      </c>
      <c r="D172" s="76">
        <f ca="1">OFFSET(Attributes!$A$1,MATCH(Rare!$A172,Attributes!$A:$A,0)-1,MATCH("Type",Attributes!$1:$1,0)-1)</f>
        <v>1</v>
      </c>
      <c r="E172" s="76" t="str">
        <f ca="1">IFERROR(OFFSET(Attributes!$A$1,MATCH(Rare!$A172,Attributes!$A:$A,0)-1,MATCH("Abbr",Attributes!$1:$1,0)-1),"")</f>
        <v>HP</v>
      </c>
      <c r="F172" s="101" t="str">
        <f ca="1">SUBSTITUTE(OFFSET(Attributes!$A$1,MATCH($A172,Attributes!$A:$A,0)-1,MATCH("Attr CN",Attributes!$1:$1,0)-1),"#",$B172*$B$1&amp;"-"&amp;$C172*$B$1)</f>
        <v>+375-750生命上限</v>
      </c>
      <c r="G172" s="83" t="str">
        <f ca="1">SUBSTITUTE(OFFSET(Attributes!$A$1,MATCH($A172,Attributes!$A:$A,0)-1,MATCH("Attr EN",Attributes!$1:$1,0)-1),"#",$B172*$B$1&amp;"-"&amp;$C172*$B$1)</f>
        <v>+375-750 Max HP</v>
      </c>
    </row>
    <row r="173" spans="1:7" x14ac:dyDescent="0.25">
      <c r="A173" s="17">
        <v>18</v>
      </c>
      <c r="B173" s="17">
        <v>5</v>
      </c>
      <c r="C173" s="17">
        <v>10</v>
      </c>
      <c r="D173" s="76">
        <f ca="1">OFFSET(Attributes!$A$1,MATCH(Rare!$A173,Attributes!$A:$A,0)-1,MATCH("Type",Attributes!$1:$1,0)-1)</f>
        <v>1</v>
      </c>
      <c r="E173" s="76" t="str">
        <f ca="1">IFERROR(OFFSET(Attributes!$A$1,MATCH(Rare!$A173,Attributes!$A:$A,0)-1,MATCH("Abbr",Attributes!$1:$1,0)-1),"")</f>
        <v>SP</v>
      </c>
      <c r="F173" s="101" t="str">
        <f ca="1">SUBSTITUTE(OFFSET(Attributes!$A$1,MATCH($A173,Attributes!$A:$A,0)-1,MATCH("Attr CN",Attributes!$1:$1,0)-1),"#",$B173*$B$1&amp;"-"&amp;$C173*$B$1)</f>
        <v>+15-30法术强度</v>
      </c>
      <c r="G173" s="83" t="str">
        <f ca="1">SUBSTITUTE(OFFSET(Attributes!$A$1,MATCH($A173,Attributes!$A:$A,0)-1,MATCH("Attr EN",Attributes!$1:$1,0)-1),"#",$B173*$B$1&amp;"-"&amp;$C173*$B$1)</f>
        <v>+15-30 Spell power</v>
      </c>
    </row>
    <row r="174" spans="1:7" x14ac:dyDescent="0.25">
      <c r="A174" s="17">
        <v>20</v>
      </c>
      <c r="B174" s="17">
        <v>0.03</v>
      </c>
      <c r="C174" s="17">
        <v>0.05</v>
      </c>
      <c r="D174" s="76">
        <f ca="1">OFFSET(Attributes!$A$1,MATCH(Rare!$A174,Attributes!$A:$A,0)-1,MATCH("Type",Attributes!$1:$1,0)-1)</f>
        <v>1</v>
      </c>
      <c r="E174" s="76" t="str">
        <f ca="1">IFERROR(OFFSET(Attributes!$A$1,MATCH(Rare!$A174,Attributes!$A:$A,0)-1,MATCH("Abbr",Attributes!$1:$1,0)-1),"")</f>
        <v>SCRIT</v>
      </c>
      <c r="F174" s="101" t="str">
        <f ca="1">SUBSTITUTE(OFFSET(Attributes!$A$1,MATCH($A174,Attributes!$A:$A,0)-1,MATCH("Attr CN",Attributes!$1:$1,0)-1),"#",$B174*$B$1&amp;"-"&amp;$C174*$B$1)</f>
        <v>+0.09-0.15法术暴击</v>
      </c>
      <c r="G174" s="83" t="str">
        <f ca="1">SUBSTITUTE(OFFSET(Attributes!$A$1,MATCH($A174,Attributes!$A:$A,0)-1,MATCH("Attr EN",Attributes!$1:$1,0)-1),"#",$B174*$B$1&amp;"-"&amp;$C174*$B$1)</f>
        <v>+0.09-0.15 Spell critical</v>
      </c>
    </row>
    <row r="175" spans="1:7" x14ac:dyDescent="0.25">
      <c r="A175" s="17">
        <v>81</v>
      </c>
      <c r="B175" s="17">
        <v>1.5</v>
      </c>
      <c r="C175" s="17">
        <v>2</v>
      </c>
      <c r="D175" s="76">
        <f ca="1">OFFSET(Attributes!$A$1,MATCH(Rare!$A175,Attributes!$A:$A,0)-1,MATCH("Type",Attributes!$1:$1,0)-1)</f>
        <v>2</v>
      </c>
      <c r="E175" s="76" t="str">
        <f ca="1">IFERROR(OFFSET(Attributes!$A$1,MATCH(Rare!$A175,Attributes!$A:$A,0)-1,MATCH("Abbr",Attributes!$1:$1,0)-1),"")</f>
        <v>CT_PAIN</v>
      </c>
      <c r="F175" s="104" t="str">
        <f ca="1">SUBSTITUTE(OFFSET(Attributes!$A$1,MATCH($A175,Attributes!$A:$A,0)-1,MATCH("Attr CN",Attributes!$1:$1,0)-1),"#",$B175*$B$1&amp;"-"&amp;$C175*$B$1)</f>
        <v>精髓榨取能让目标身上的痛延长4.5-6秒</v>
      </c>
      <c r="G175" s="83" t="str">
        <f ca="1">SUBSTITUTE(OFFSET(Attributes!$A$1,MATCH($A175,Attributes!$A:$A,0)-1,MATCH("Attr EN",Attributes!$1:$1,0)-1),"#",$B175*$B$1&amp;"-"&amp;$C175*$B$1)</f>
        <v>Marrow Squeeze extends the Pain on target by 4.5-6 seconds</v>
      </c>
    </row>
    <row r="176" spans="1:7" x14ac:dyDescent="0.25">
      <c r="E176" s="76" t="str">
        <f ca="1">IFERROR(OFFSET(Attributes!$A$1,MATCH(Rare!$A176,Attributes!$A:$A,0)-1,MATCH("Abbr",Attributes!$1:$1,0)-1),"")</f>
        <v/>
      </c>
      <c r="F176" s="105" t="s">
        <v>34</v>
      </c>
      <c r="G176" s="82" t="s">
        <v>540</v>
      </c>
    </row>
    <row r="177" spans="1:7" x14ac:dyDescent="0.25">
      <c r="E177" s="76" t="str">
        <f ca="1">IFERROR(OFFSET(Attributes!$A$1,MATCH(Rare!$A177,Attributes!$A:$A,0)-1,MATCH("Abbr",Attributes!$1:$1,0)-1),"")</f>
        <v/>
      </c>
      <c r="F177" s="110"/>
      <c r="G177" s="82"/>
    </row>
    <row r="178" spans="1:7" x14ac:dyDescent="0.25">
      <c r="E178" s="76" t="str">
        <f ca="1">IFERROR(OFFSET(Attributes!$A$1,MATCH(Rare!$A178,Attributes!$A:$A,0)-1,MATCH("Abbr",Attributes!$1:$1,0)-1),"")</f>
        <v/>
      </c>
      <c r="F178" s="103" t="s">
        <v>35</v>
      </c>
      <c r="G178" s="82" t="s">
        <v>541</v>
      </c>
    </row>
    <row r="179" spans="1:7" x14ac:dyDescent="0.25">
      <c r="A179" s="17">
        <v>7</v>
      </c>
      <c r="B179" s="17">
        <v>4</v>
      </c>
      <c r="C179" s="17">
        <v>7</v>
      </c>
      <c r="D179" s="76">
        <f ca="1">OFFSET(Attributes!$A$1,MATCH(Rare!$A179,Attributes!$A:$A,0)-1,MATCH("Type",Attributes!$1:$1,0)-1)</f>
        <v>1</v>
      </c>
      <c r="E179" s="76" t="str">
        <f ca="1">IFERROR(OFFSET(Attributes!$A$1,MATCH(Rare!$A179,Attributes!$A:$A,0)-1,MATCH("Abbr",Attributes!$1:$1,0)-1),"")</f>
        <v>ALLSTAT</v>
      </c>
      <c r="F179" s="101" t="str">
        <f ca="1">SUBSTITUTE(OFFSET(Attributes!$A$1,MATCH($A179,Attributes!$A:$A,0)-1,MATCH("Attr CN",Attributes!$1:$1,0)-1),"#",$B179*$B$1&amp;"-"&amp;$C179*$B$1)</f>
        <v>+12-21所有属性</v>
      </c>
      <c r="G179" s="83" t="str">
        <f ca="1">SUBSTITUTE(OFFSET(Attributes!$A$1,MATCH($A179,Attributes!$A:$A,0)-1,MATCH("Attr EN",Attributes!$1:$1,0)-1),"#",$B179*$B$1&amp;"-"&amp;$C179*$B$1)</f>
        <v>+12-21 All stats</v>
      </c>
    </row>
    <row r="180" spans="1:7" x14ac:dyDescent="0.25">
      <c r="A180" s="17">
        <v>12</v>
      </c>
      <c r="B180" s="17">
        <v>3</v>
      </c>
      <c r="C180" s="17">
        <v>5</v>
      </c>
      <c r="D180" s="76">
        <f ca="1">OFFSET(Attributes!$A$1,MATCH(Rare!$A180,Attributes!$A:$A,0)-1,MATCH("Type",Attributes!$1:$1,0)-1)</f>
        <v>1</v>
      </c>
      <c r="E180" s="76" t="str">
        <f ca="1">IFERROR(OFFSET(Attributes!$A$1,MATCH(Rare!$A180,Attributes!$A:$A,0)-1,MATCH("Abbr",Attributes!$1:$1,0)-1),"")</f>
        <v>IAS</v>
      </c>
      <c r="F180" s="101" t="str">
        <f ca="1">SUBSTITUTE(OFFSET(Attributes!$A$1,MATCH($A180,Attributes!$A:$A,0)-1,MATCH("Attr CN",Attributes!$1:$1,0)-1),"#",$B180*$B$1&amp;"-"&amp;$C180*$B$1)</f>
        <v>+9-15%攻击速度</v>
      </c>
      <c r="G180" s="83" t="str">
        <f ca="1">SUBSTITUTE(OFFSET(Attributes!$A$1,MATCH($A180,Attributes!$A:$A,0)-1,MATCH("Attr EN",Attributes!$1:$1,0)-1),"#",$B180*$B$1&amp;"-"&amp;$C180*$B$1)</f>
        <v>+9-15% Attack speed</v>
      </c>
    </row>
    <row r="181" spans="1:7" x14ac:dyDescent="0.25">
      <c r="A181" s="17">
        <v>19</v>
      </c>
      <c r="B181" s="17">
        <v>0.03</v>
      </c>
      <c r="C181" s="17">
        <v>0.05</v>
      </c>
      <c r="D181" s="76">
        <f ca="1">OFFSET(Attributes!$A$1,MATCH(Rare!$A181,Attributes!$A:$A,0)-1,MATCH("Type",Attributes!$1:$1,0)-1)</f>
        <v>1</v>
      </c>
      <c r="E181" s="76" t="str">
        <f ca="1">IFERROR(OFFSET(Attributes!$A$1,MATCH(Rare!$A181,Attributes!$A:$A,0)-1,MATCH("Abbr",Attributes!$1:$1,0)-1),"")</f>
        <v>SHASTE</v>
      </c>
      <c r="F181" s="101" t="str">
        <f ca="1">SUBSTITUTE(OFFSET(Attributes!$A$1,MATCH($A181,Attributes!$A:$A,0)-1,MATCH("Attr CN",Attributes!$1:$1,0)-1),"#",$B181*$B$1&amp;"-"&amp;$C181*$B$1)</f>
        <v>+0.09-0.15法术急速</v>
      </c>
      <c r="G181" s="83" t="str">
        <f ca="1">SUBSTITUTE(OFFSET(Attributes!$A$1,MATCH($A181,Attributes!$A:$A,0)-1,MATCH("Attr EN",Attributes!$1:$1,0)-1),"#",$B181*$B$1&amp;"-"&amp;$C181*$B$1)</f>
        <v>+0.09-0.15 Spell haste</v>
      </c>
    </row>
    <row r="182" spans="1:7" x14ac:dyDescent="0.25">
      <c r="A182" s="17">
        <v>93</v>
      </c>
      <c r="B182" s="17">
        <v>0.01</v>
      </c>
      <c r="C182" s="17">
        <v>0.03</v>
      </c>
      <c r="D182" s="76">
        <f ca="1">OFFSET(Attributes!$A$1,MATCH(Rare!$A182,Attributes!$A:$A,0)-1,MATCH("Type",Attributes!$1:$1,0)-1)</f>
        <v>2</v>
      </c>
      <c r="E182" s="76" t="str">
        <f ca="1">IFERROR(OFFSET(Attributes!$A$1,MATCH(Rare!$A182,Attributes!$A:$A,0)-1,MATCH("Abbr",Attributes!$1:$1,0)-1),"")</f>
        <v>SM_LASH</v>
      </c>
      <c r="F182" s="104" t="str">
        <f ca="1">SUBSTITUTE(OFFSET(Attributes!$A$1,MATCH($A182,Attributes!$A:$A,0)-1,MATCH("Attr CN",Attributes!$1:$1,0)-1),"#",$B182*$B$1&amp;"-"&amp;$C182*$B$1)</f>
        <v>风暴打击有0.03-0.09额外的几率冷却大地震击</v>
      </c>
      <c r="G182" s="83" t="str">
        <f ca="1">SUBSTITUTE(OFFSET(Attributes!$A$1,MATCH($A182,Attributes!$A:$A,0)-1,MATCH("Attr EN",Attributes!$1:$1,0)-1),"#",$B182*$B$1&amp;"-"&amp;$C182*$B$1)</f>
        <v>Storm Lash has 0.03-0.09 extra chance to cooldown Earth Shock (unique)</v>
      </c>
    </row>
    <row r="183" spans="1:7" x14ac:dyDescent="0.25">
      <c r="F183" s="105" t="s">
        <v>36</v>
      </c>
      <c r="G183" s="82" t="s">
        <v>542</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107"/>
  <sheetViews>
    <sheetView zoomScaleNormal="100" workbookViewId="0">
      <pane ySplit="2" topLeftCell="A3" activePane="bottomLeft" state="frozen"/>
      <selection pane="bottomLeft" activeCell="H15" sqref="H15"/>
    </sheetView>
  </sheetViews>
  <sheetFormatPr defaultColWidth="14.42578125" defaultRowHeight="14.25" x14ac:dyDescent="0.25"/>
  <cols>
    <col min="1" max="1" width="7.42578125" style="17" bestFit="1" customWidth="1"/>
    <col min="2" max="3" width="5" style="17" bestFit="1" customWidth="1"/>
    <col min="4" max="4" width="50.7109375" style="81" hidden="1" customWidth="1"/>
    <col min="5" max="5" width="50.7109375" style="81" customWidth="1"/>
    <col min="6" max="16384" width="14.42578125" style="18"/>
  </cols>
  <sheetData>
    <row r="1" spans="1:5" s="34" customFormat="1" x14ac:dyDescent="0.25">
      <c r="A1" s="70" t="s">
        <v>557</v>
      </c>
      <c r="B1" s="71">
        <v>3</v>
      </c>
      <c r="C1" s="71"/>
      <c r="D1" s="79"/>
      <c r="E1" s="79"/>
    </row>
    <row r="2" spans="1:5" s="34" customFormat="1" x14ac:dyDescent="0.25">
      <c r="A2" s="72" t="s">
        <v>662</v>
      </c>
      <c r="B2" s="73" t="s">
        <v>663</v>
      </c>
      <c r="C2" s="73" t="s">
        <v>664</v>
      </c>
      <c r="D2" s="80" t="s">
        <v>660</v>
      </c>
      <c r="E2" s="80" t="s">
        <v>661</v>
      </c>
    </row>
    <row r="3" spans="1:5" x14ac:dyDescent="0.25">
      <c r="D3" s="79" t="s">
        <v>44</v>
      </c>
      <c r="E3" s="79" t="s">
        <v>455</v>
      </c>
    </row>
    <row r="4" spans="1:5" x14ac:dyDescent="0.25">
      <c r="A4" s="17">
        <v>9</v>
      </c>
      <c r="B4" s="17">
        <v>5</v>
      </c>
      <c r="C4" s="17">
        <v>10</v>
      </c>
      <c r="D4" s="35" t="str">
        <f ca="1">SUBSTITUTE(OFFSET(Attributes!$A$1,MATCH($A4,Attributes!$A:$A,0)-1,MATCH("Attr CN",Attributes!$1:$1,0)-1),"#",$B4*$B$1&amp;"-"&amp;$C4*$B$1)</f>
        <v>+15-30攻击强度</v>
      </c>
      <c r="E4" s="35" t="str">
        <f ca="1">SUBSTITUTE(OFFSET(Attributes!$A$1,MATCH($A4,Attributes!$A:$A,0)-1,MATCH("Attr EN",Attributes!$1:$1,0)-1),"#",$B4&amp;"-"&amp;$C4*$B$1)</f>
        <v>+5-30 Attack power</v>
      </c>
    </row>
    <row r="5" spans="1:5" x14ac:dyDescent="0.25">
      <c r="A5" s="17">
        <v>18</v>
      </c>
      <c r="B5" s="17">
        <v>5</v>
      </c>
      <c r="C5" s="17">
        <v>10</v>
      </c>
      <c r="D5" s="35" t="str">
        <f ca="1">SUBSTITUTE(OFFSET(Attributes!$A$1,MATCH($A5,Attributes!$A:$A,0)-1,MATCH("Attr CN",Attributes!$1:$1,0)-1),"#",$B5*$B$1&amp;"-"&amp;$C5*$B$1)</f>
        <v>+15-30法术强度</v>
      </c>
      <c r="E5" s="35" t="str">
        <f ca="1">SUBSTITUTE(OFFSET(Attributes!$A$1,MATCH($A5,Attributes!$A:$A,0)-1,MATCH("Attr EN",Attributes!$1:$1,0)-1),"#",$B5&amp;"-"&amp;$C5*$B$1)</f>
        <v>+5-30 Spell power</v>
      </c>
    </row>
    <row r="6" spans="1:5" x14ac:dyDescent="0.25">
      <c r="A6" s="17">
        <v>73</v>
      </c>
      <c r="B6" s="17">
        <v>10</v>
      </c>
      <c r="C6" s="17">
        <v>17</v>
      </c>
      <c r="D6" s="35" t="str">
        <f ca="1">SUBSTITUTE(OFFSET(Attributes!$A$1,MATCH($A6,Attributes!$A:$A,0)-1,MATCH("Attr CN",Attributes!$1:$1,0)-1),"#",$B6*$B$1&amp;"-"&amp;$C6*$B$1)</f>
        <v>每秒回复30-51点生命值</v>
      </c>
      <c r="E6" s="35" t="str">
        <f ca="1">SUBSTITUTE(OFFSET(Attributes!$A$1,MATCH($A6,Attributes!$A:$A,0)-1,MATCH("Attr EN",Attributes!$1:$1,0)-1),"#",$B6&amp;"-"&amp;$C6*$B$1)</f>
        <v>Regens 10-51 HP per second</v>
      </c>
    </row>
    <row r="7" spans="1:5" x14ac:dyDescent="0.25">
      <c r="A7" s="17">
        <v>57</v>
      </c>
      <c r="B7" s="17">
        <v>10</v>
      </c>
      <c r="C7" s="17">
        <v>20</v>
      </c>
      <c r="D7" s="81" t="str">
        <f ca="1">SUBSTITUTE(OFFSET(Attributes!$A$1,MATCH($A7,Attributes!$A:$A,0)-1,MATCH("Attr CN",Attributes!$1:$1,0)-1),"#",$B7*$B$1&amp;"-"&amp;$C7*$B$1)</f>
        <v>攻击附加30-60点法术伤害</v>
      </c>
      <c r="E7" s="35" t="str">
        <f ca="1">SUBSTITUTE(OFFSET(Attributes!$A$1,MATCH($A7,Attributes!$A:$A,0)-1,MATCH("Attr EN",Attributes!$1:$1,0)-1),"#",$B7&amp;"-"&amp;$C7*$B$1)</f>
        <v>Deals 10-60 extra magic damage per hit</v>
      </c>
    </row>
    <row r="8" spans="1:5" ht="28.5" x14ac:dyDescent="0.25">
      <c r="A8" s="17">
        <v>29</v>
      </c>
      <c r="B8" s="17">
        <v>0.06</v>
      </c>
      <c r="C8" s="17">
        <v>0.12</v>
      </c>
      <c r="D8" s="81" t="str">
        <f ca="1">SUBSTITUTE(OFFSET(Attributes!$A$1,MATCH($A8,Attributes!$A:$A,0)-1,MATCH("Attr CN",Attributes!$1:$1,0)-1),"#",$B8*$B$1&amp;"-"&amp;$C8*$B$1)</f>
        <v>使用：命令怒吼，提升附近900码范围内所有友军的最大生命值0.18-0.36，持续75秒</v>
      </c>
      <c r="E8" s="35" t="str">
        <f ca="1">SUBSTITUTE(OFFSET(Attributes!$A$1,MATCH($A8,Attributes!$A:$A,0)-1,MATCH("Attr EN",Attributes!$1:$1,0)-1),"#",$B8&amp;"-"&amp;$C8*$B$1)</f>
        <v>Use: Battle Orders, increases 0.06-0.36 max HP to all allies within 900 yards, lasts for 75 seconds</v>
      </c>
    </row>
    <row r="9" spans="1:5" x14ac:dyDescent="0.25">
      <c r="D9" s="81" t="s">
        <v>46</v>
      </c>
      <c r="E9" s="81" t="s">
        <v>451</v>
      </c>
    </row>
    <row r="10" spans="1:5" ht="42.75" x14ac:dyDescent="0.25">
      <c r="D10" s="81" t="s">
        <v>47</v>
      </c>
      <c r="E10" s="81" t="s">
        <v>456</v>
      </c>
    </row>
    <row r="12" spans="1:5" x14ac:dyDescent="0.25">
      <c r="D12" s="79" t="s">
        <v>63</v>
      </c>
      <c r="E12" s="79" t="s">
        <v>457</v>
      </c>
    </row>
    <row r="13" spans="1:5" x14ac:dyDescent="0.25">
      <c r="A13" s="17">
        <v>9</v>
      </c>
      <c r="B13" s="17">
        <v>5</v>
      </c>
      <c r="C13" s="17">
        <v>15</v>
      </c>
      <c r="D13" s="35" t="str">
        <f ca="1">SUBSTITUTE(OFFSET(Attributes!$A$1,MATCH($A13,Attributes!$A:$A,0)-1,MATCH("Attr CN",Attributes!$1:$1,0)-1),"#",$B13*$B$1&amp;"-"&amp;$C13*$B$1)</f>
        <v>+15-45攻击强度</v>
      </c>
      <c r="E13" s="35" t="str">
        <f ca="1">SUBSTITUTE(OFFSET(Attributes!$A$1,MATCH($A13,Attributes!$A:$A,0)-1,MATCH("Attr EN",Attributes!$1:$1,0)-1),"#",$B13&amp;"-"&amp;$C13*$B$1)</f>
        <v>+5-45 Attack power</v>
      </c>
    </row>
    <row r="14" spans="1:5" x14ac:dyDescent="0.25">
      <c r="A14" s="17">
        <v>63</v>
      </c>
      <c r="B14" s="17">
        <v>0.01</v>
      </c>
      <c r="C14" s="17">
        <v>0.03</v>
      </c>
      <c r="D14" s="81" t="str">
        <f ca="1">SUBSTITUTE(OFFSET(Attributes!$A$1,MATCH($A14,Attributes!$A:$A,0)-1,MATCH("Attr CN",Attributes!$1:$1,0)-1),"#",$B14*$B$1&amp;"-"&amp;$C14*$B$1)</f>
        <v>命中：降低目标移动速度0.03-0.09</v>
      </c>
      <c r="E14" s="35" t="str">
        <f ca="1">SUBSTITUTE(OFFSET(Attributes!$A$1,MATCH($A14,Attributes!$A:$A,0)-1,MATCH("Attr EN",Attributes!$1:$1,0)-1),"#",$B14&amp;"-"&amp;$C14*$B$1)</f>
        <v>On Attack: Decrease target movement speed by 0.01-0.09</v>
      </c>
    </row>
    <row r="15" spans="1:5" x14ac:dyDescent="0.25">
      <c r="A15" s="17">
        <v>62</v>
      </c>
      <c r="B15" s="17">
        <v>0.02</v>
      </c>
      <c r="C15" s="17">
        <v>0.04</v>
      </c>
      <c r="D15" s="81" t="str">
        <f ca="1">SUBSTITUTE(OFFSET(Attributes!$A$1,MATCH($A15,Attributes!$A:$A,0)-1,MATCH("Attr CN",Attributes!$1:$1,0)-1),"#",$B15*$B$1&amp;"-"&amp;$C15*$B$1)</f>
        <v>命中：降低目标攻击速度0.06-0.12</v>
      </c>
      <c r="E15" s="35" t="str">
        <f ca="1">SUBSTITUTE(OFFSET(Attributes!$A$1,MATCH($A15,Attributes!$A:$A,0)-1,MATCH("Attr EN",Attributes!$1:$1,0)-1),"#",$B15&amp;"-"&amp;$C15*$B$1)</f>
        <v>On Attack: Decrease target attack speed by 0.02-0.12</v>
      </c>
    </row>
    <row r="16" spans="1:5" x14ac:dyDescent="0.25">
      <c r="A16" s="17">
        <v>61</v>
      </c>
      <c r="B16" s="17">
        <v>1</v>
      </c>
      <c r="C16" s="17">
        <v>2</v>
      </c>
      <c r="D16" s="81" t="str">
        <f ca="1">SUBSTITUTE(OFFSET(Attributes!$A$1,MATCH($A16,Attributes!$A:$A,0)-1,MATCH("Attr CN",Attributes!$1:$1,0)-1),"#",$B16*$B$1&amp;"-"&amp;$C16*$B$1)</f>
        <v>命中：降低目标护甲3-6点</v>
      </c>
      <c r="E16" s="35" t="str">
        <f ca="1">SUBSTITUTE(OFFSET(Attributes!$A$1,MATCH($A16,Attributes!$A:$A,0)-1,MATCH("Attr EN",Attributes!$1:$1,0)-1),"#",$B16&amp;"-"&amp;$C16*$B$1)</f>
        <v>On Attack: Decrease target armor by 1-6</v>
      </c>
    </row>
    <row r="17" spans="1:6" x14ac:dyDescent="0.25">
      <c r="A17" s="17">
        <v>60</v>
      </c>
      <c r="B17" s="17">
        <v>0.03</v>
      </c>
      <c r="C17" s="17">
        <v>0.04</v>
      </c>
      <c r="D17" s="81" t="str">
        <f ca="1">SUBSTITUTE(OFFSET(Attributes!$A$1,MATCH($A17,Attributes!$A:$A,0)-1,MATCH("Attr CN",Attributes!$1:$1,0)-1),"#",$B17*$B$1&amp;"-"&amp;$C17*$B$1)</f>
        <v>命中：降低目标命中几率0.09-0.12</v>
      </c>
      <c r="E17" s="35" t="str">
        <f ca="1">SUBSTITUTE(OFFSET(Attributes!$A$1,MATCH($A17,Attributes!$A:$A,0)-1,MATCH("Attr EN",Attributes!$1:$1,0)-1),"#",$B17&amp;"-"&amp;$C17*$B$1)</f>
        <v>On Attack: Decrease target attack hit chance by 0.03-0.12</v>
      </c>
    </row>
    <row r="18" spans="1:6" x14ac:dyDescent="0.25">
      <c r="A18" s="17">
        <v>64</v>
      </c>
      <c r="B18" s="17">
        <v>0.01</v>
      </c>
      <c r="C18" s="17">
        <v>0.01</v>
      </c>
      <c r="D18" s="81" t="str">
        <f ca="1">SUBSTITUTE(OFFSET(Attributes!$A$1,MATCH($A18,Attributes!$A:$A,0)-1,MATCH("Attr CN",Attributes!$1:$1,0)-1),"#",$B18*$B$1&amp;"-"&amp;$C18*$B$1)</f>
        <v>命中：降低目标造成的伤害和治疗0.03-0.03</v>
      </c>
      <c r="E18" s="35" t="str">
        <f ca="1">SUBSTITUTE(OFFSET(Attributes!$A$1,MATCH($A18,Attributes!$A:$A,0)-1,MATCH("Attr EN",Attributes!$1:$1,0)-1),"#",$B18&amp;"-"&amp;$C18*$B$1)</f>
        <v>On Attack: Decrease target damage and healing dealt by 0.01-0.03</v>
      </c>
    </row>
    <row r="19" spans="1:6" x14ac:dyDescent="0.25">
      <c r="A19" s="17">
        <v>59</v>
      </c>
      <c r="B19" s="17">
        <v>0.11</v>
      </c>
      <c r="C19" s="17">
        <v>0.17</v>
      </c>
      <c r="D19" s="81" t="str">
        <f ca="1">SUBSTITUTE(OFFSET(Attributes!$A$1,MATCH($A19,Attributes!$A:$A,0)-1,MATCH("Attr CN",Attributes!$1:$1,0)-1),"#",$B19*$B$1&amp;"-"&amp;$C19*$B$1)</f>
        <v>命中：降低目标受到的治疗0.33-0.51</v>
      </c>
      <c r="E19" s="35" t="str">
        <f ca="1">SUBSTITUTE(OFFSET(Attributes!$A$1,MATCH($A19,Attributes!$A:$A,0)-1,MATCH("Attr EN",Attributes!$1:$1,0)-1),"#",$B19&amp;"-"&amp;$C19*$B$1)</f>
        <v>On Attack: Decrease target healing taken by 0.11-0.51</v>
      </c>
    </row>
    <row r="20" spans="1:6" x14ac:dyDescent="0.25">
      <c r="D20" s="81" t="s">
        <v>77</v>
      </c>
      <c r="E20" s="81" t="s">
        <v>458</v>
      </c>
    </row>
    <row r="22" spans="1:6" x14ac:dyDescent="0.25">
      <c r="D22" s="79" t="s">
        <v>81</v>
      </c>
      <c r="E22" s="79" t="s">
        <v>453</v>
      </c>
    </row>
    <row r="23" spans="1:6" x14ac:dyDescent="0.25">
      <c r="A23" s="17">
        <v>1</v>
      </c>
      <c r="B23" s="17">
        <v>0.01</v>
      </c>
      <c r="C23" s="17">
        <v>0.02</v>
      </c>
      <c r="D23" s="35" t="str">
        <f ca="1">SUBSTITUTE(OFFSET(Attributes!$A$1,MATCH($A23,Attributes!$A:$A,0)-1,MATCH("Attr CN",Attributes!$1:$1,0)-1),"#",$B23*$B$1&amp;"-"&amp;$C23*$B$1)</f>
        <v>-0.03-0.06受到的伤害</v>
      </c>
      <c r="E23" s="35" t="str">
        <f ca="1">SUBSTITUTE(OFFSET(Attributes!$A$1,MATCH($A23,Attributes!$A:$A,0)-1,MATCH("Attr EN",Attributes!$1:$1,0)-1),"#",$B23&amp;"-"&amp;$C23*$B$1)</f>
        <v>-0.01-0.06 All damage taken</v>
      </c>
    </row>
    <row r="24" spans="1:6" x14ac:dyDescent="0.25">
      <c r="A24" s="17">
        <v>3</v>
      </c>
      <c r="B24" s="17">
        <v>0.01</v>
      </c>
      <c r="C24" s="17">
        <v>0.02</v>
      </c>
      <c r="D24" s="35" t="str">
        <f ca="1">SUBSTITUTE(OFFSET(Attributes!$A$1,MATCH($A24,Attributes!$A:$A,0)-1,MATCH("Attr CN",Attributes!$1:$1,0)-1),"#",$B24*$B$1&amp;"-"&amp;$C24*$B$1)</f>
        <v>+0.03-0.06伤害和治疗</v>
      </c>
      <c r="E24" s="35" t="str">
        <f ca="1">SUBSTITUTE(OFFSET(Attributes!$A$1,MATCH($A24,Attributes!$A:$A,0)-1,MATCH("Attr EN",Attributes!$1:$1,0)-1),"#",$B24&amp;"-"&amp;$C24*$B$1)</f>
        <v>+0.01-0.06 Damage and healing dealt</v>
      </c>
    </row>
    <row r="25" spans="1:6" x14ac:dyDescent="0.25">
      <c r="A25" s="17">
        <v>24</v>
      </c>
      <c r="B25" s="17">
        <v>12</v>
      </c>
      <c r="C25" s="17">
        <v>20</v>
      </c>
      <c r="D25" s="35" t="str">
        <f ca="1">SUBSTITUTE(OFFSET(Attributes!$A$1,MATCH($A25,Attributes!$A:$A,0)-1,MATCH("Attr CN",Attributes!$1:$1,0)-1),"#",$B25*$B$1&amp;"-"&amp;$C25*$B$1)</f>
        <v>+36-60移动速度</v>
      </c>
      <c r="E25" s="35" t="str">
        <f ca="1">SUBSTITUTE(OFFSET(Attributes!$A$1,MATCH($A25,Attributes!$A:$A,0)-1,MATCH("Attr EN",Attributes!$1:$1,0)-1),"#",$B25&amp;"-"&amp;$C25*$B$1)</f>
        <v>+12-60 Movement speed</v>
      </c>
    </row>
    <row r="26" spans="1:6" x14ac:dyDescent="0.25">
      <c r="A26" s="17">
        <v>4</v>
      </c>
      <c r="B26" s="17">
        <v>5</v>
      </c>
      <c r="C26" s="17">
        <v>10</v>
      </c>
      <c r="D26" s="35" t="str">
        <f ca="1">SUBSTITUTE(OFFSET(Attributes!$A$1,MATCH($A26,Attributes!$A:$A,0)-1,MATCH("Attr CN",Attributes!$1:$1,0)-1),"#",$B26*$B$1&amp;"-"&amp;$C26*$B$1)</f>
        <v>+15-30力量</v>
      </c>
      <c r="E26" s="35" t="str">
        <f ca="1">SUBSTITUTE(OFFSET(Attributes!$A$1,MATCH($A26,Attributes!$A:$A,0)-1,MATCH("Attr EN",Attributes!$1:$1,0)-1),"#",$B26&amp;"-"&amp;$C26*$B$1)</f>
        <v>+5-30 Strength</v>
      </c>
    </row>
    <row r="27" spans="1:6" x14ac:dyDescent="0.25">
      <c r="A27" s="17">
        <v>40</v>
      </c>
      <c r="B27" s="17">
        <v>0.01</v>
      </c>
      <c r="C27" s="17">
        <v>0.02</v>
      </c>
      <c r="D27" s="81" t="str">
        <f ca="1">SUBSTITUTE(OFFSET(Attributes!$A$1,MATCH($A27,Attributes!$A:$A,0)-1,MATCH("Attr CN",Attributes!$1:$1,0)-1),"#",$B27*$B$1&amp;"-"&amp;$C27*$B$1)</f>
        <v>从受到的伤害中回复0.03-0.06的法力值</v>
      </c>
      <c r="E27" s="35" t="str">
        <f ca="1">SUBSTITUTE(OFFSET(Attributes!$A$1,MATCH($A27,Attributes!$A:$A,0)-1,MATCH("Attr EN",Attributes!$1:$1,0)-1),"#",$B27&amp;"-"&amp;$C27*$B$1)</f>
        <v>Regens MP from 0.01-0.06 of the damage taken</v>
      </c>
    </row>
    <row r="28" spans="1:6" x14ac:dyDescent="0.25">
      <c r="A28" s="17">
        <v>28</v>
      </c>
      <c r="B28" s="17">
        <v>0</v>
      </c>
      <c r="C28" s="17">
        <v>0</v>
      </c>
      <c r="D28" s="81" t="str">
        <f ca="1">SUBSTITUTE(OFFSET(Attributes!$A$1,MATCH($A28,Attributes!$A:$A,0)-1,MATCH("Attr CN",Attributes!$1:$1,0)-1),"#",$B28*$B$1&amp;"-"&amp;$C28*$B$1)</f>
        <v>使用：传送到一个友军身后0-0</v>
      </c>
      <c r="E28" s="35" t="str">
        <f ca="1">SUBSTITUTE(OFFSET(Attributes!$A$1,MATCH($A28,Attributes!$A:$A,0)-1,MATCH("Attr EN",Attributes!$1:$1,0)-1),"#",$B28&amp;"-"&amp;$C28*$B$1)</f>
        <v>Use: Teleports to an ally0-0</v>
      </c>
    </row>
    <row r="29" spans="1:6" x14ac:dyDescent="0.25">
      <c r="D29" s="81" t="s">
        <v>46</v>
      </c>
      <c r="E29" s="81" t="s">
        <v>451</v>
      </c>
    </row>
    <row r="30" spans="1:6" x14ac:dyDescent="0.25">
      <c r="D30" s="81" t="s">
        <v>85</v>
      </c>
      <c r="E30" s="81" t="s">
        <v>454</v>
      </c>
      <c r="F30" s="17"/>
    </row>
    <row r="32" spans="1:6" x14ac:dyDescent="0.25">
      <c r="D32" s="79" t="s">
        <v>84</v>
      </c>
      <c r="E32" s="79" t="s">
        <v>450</v>
      </c>
    </row>
    <row r="33" spans="1:5" x14ac:dyDescent="0.25">
      <c r="A33" s="17">
        <v>7</v>
      </c>
      <c r="B33" s="17">
        <v>4</v>
      </c>
      <c r="C33" s="17">
        <v>7</v>
      </c>
      <c r="D33" s="35" t="str">
        <f ca="1">SUBSTITUTE(OFFSET(Attributes!$A$1,MATCH($A33,Attributes!$A:$A,0)-1,MATCH("Attr CN",Attributes!$1:$1,0)-1),"#",$B33*$B$1&amp;"-"&amp;$C33*$B$1)</f>
        <v>+12-21所有属性</v>
      </c>
      <c r="E33" s="35" t="str">
        <f ca="1">SUBSTITUTE(OFFSET(Attributes!$A$1,MATCH($A33,Attributes!$A:$A,0)-1,MATCH("Attr EN",Attributes!$1:$1,0)-1),"#",$B33&amp;"-"&amp;$C33*$B$1)</f>
        <v>+4-21 All stats</v>
      </c>
    </row>
    <row r="34" spans="1:5" x14ac:dyDescent="0.25">
      <c r="A34" s="17">
        <v>9</v>
      </c>
      <c r="B34" s="17">
        <v>5</v>
      </c>
      <c r="C34" s="17">
        <v>10</v>
      </c>
      <c r="D34" s="35" t="str">
        <f ca="1">SUBSTITUTE(OFFSET(Attributes!$A$1,MATCH($A34,Attributes!$A:$A,0)-1,MATCH("Attr CN",Attributes!$1:$1,0)-1),"#",$B34*$B$1&amp;"-"&amp;$C34*$B$1)</f>
        <v>+15-30攻击强度</v>
      </c>
      <c r="E34" s="35" t="str">
        <f ca="1">SUBSTITUTE(OFFSET(Attributes!$A$1,MATCH($A34,Attributes!$A:$A,0)-1,MATCH("Attr EN",Attributes!$1:$1,0)-1),"#",$B34&amp;"-"&amp;$C34*$B$1)</f>
        <v>+5-30 Attack power</v>
      </c>
    </row>
    <row r="35" spans="1:5" x14ac:dyDescent="0.25">
      <c r="A35" s="17">
        <v>12</v>
      </c>
      <c r="B35" s="17">
        <v>5</v>
      </c>
      <c r="C35" s="17">
        <v>10</v>
      </c>
      <c r="D35" s="35" t="str">
        <f ca="1">SUBSTITUTE(OFFSET(Attributes!$A$1,MATCH($A35,Attributes!$A:$A,0)-1,MATCH("Attr CN",Attributes!$1:$1,0)-1),"#",$B35*$B$1&amp;"-"&amp;$C35*$B$1)</f>
        <v>+15-30%攻击速度</v>
      </c>
      <c r="E35" s="35" t="str">
        <f ca="1">SUBSTITUTE(OFFSET(Attributes!$A$1,MATCH($A35,Attributes!$A:$A,0)-1,MATCH("Attr EN",Attributes!$1:$1,0)-1),"#",$B35&amp;"-"&amp;$C35*$B$1)</f>
        <v>+5-30% Attack speed</v>
      </c>
    </row>
    <row r="36" spans="1:5" s="34" customFormat="1" x14ac:dyDescent="0.25">
      <c r="A36" s="17">
        <v>45</v>
      </c>
      <c r="B36" s="17">
        <v>0.02</v>
      </c>
      <c r="C36" s="17">
        <v>0.04</v>
      </c>
      <c r="D36" s="81" t="str">
        <f ca="1">SUBSTITUTE(OFFSET(Attributes!$A$1,MATCH($A36,Attributes!$A:$A,0)-1,MATCH("Attr CN",Attributes!$1:$1,0)-1),"#",$B36*$B$1&amp;"-"&amp;$C36*$B$1)</f>
        <v>攻击汲取0.06-0.12生命和法力</v>
      </c>
      <c r="E36" s="35" t="str">
        <f ca="1">SUBSTITUTE(OFFSET(Attributes!$A$1,MATCH($A36,Attributes!$A:$A,0)-1,MATCH("Attr EN",Attributes!$1:$1,0)-1),"#",$B36&amp;"-"&amp;$C36*$B$1)</f>
        <v>+0.02-0.12 Life and mana stolen per hit</v>
      </c>
    </row>
    <row r="37" spans="1:5" s="34" customFormat="1" ht="28.5" x14ac:dyDescent="0.25">
      <c r="A37" s="17">
        <v>50</v>
      </c>
      <c r="B37" s="17">
        <v>18</v>
      </c>
      <c r="C37" s="17">
        <v>23</v>
      </c>
      <c r="D37" s="81" t="str">
        <f ca="1">SUBSTITUTE(OFFSET(Attributes!$A$1,MATCH($A37,Attributes!$A:$A,0)-1,MATCH("Attr CN",Attributes!$1:$1,0)-1),"#",$B37*$B$1&amp;"-"&amp;$C37*$B$1)</f>
        <v>命中：有15%的几率施展剧毒新星，对600码范围内的敌人造成54-69点持续的法术伤害</v>
      </c>
      <c r="E37" s="35" t="str">
        <f ca="1">SUBSTITUTE(OFFSET(Attributes!$A$1,MATCH($A37,Attributes!$A:$A,0)-1,MATCH("Attr EN",Attributes!$1:$1,0)-1),"#",$B37&amp;"-"&amp;$C37*$B$1)</f>
        <v>On Attack: 15% chance to cast poison nova, dealing 18-69 magic damage over time to all enemies within 600 yards</v>
      </c>
    </row>
    <row r="38" spans="1:5" s="34" customFormat="1" x14ac:dyDescent="0.25">
      <c r="A38" s="17"/>
      <c r="B38" s="17"/>
      <c r="C38" s="17"/>
      <c r="D38" s="81" t="s">
        <v>46</v>
      </c>
      <c r="E38" s="81" t="s">
        <v>451</v>
      </c>
    </row>
    <row r="39" spans="1:5" s="34" customFormat="1" ht="42.75" x14ac:dyDescent="0.25">
      <c r="A39" s="17"/>
      <c r="B39" s="17"/>
      <c r="C39" s="17"/>
      <c r="D39" s="81" t="s">
        <v>87</v>
      </c>
      <c r="E39" s="81" t="s">
        <v>452</v>
      </c>
    </row>
    <row r="40" spans="1:5" s="34" customFormat="1" x14ac:dyDescent="0.25">
      <c r="A40" s="17"/>
      <c r="B40" s="17"/>
      <c r="C40" s="17"/>
      <c r="D40" s="79"/>
      <c r="E40" s="79"/>
    </row>
    <row r="41" spans="1:5" s="34" customFormat="1" x14ac:dyDescent="0.25">
      <c r="A41" s="17"/>
      <c r="B41" s="17"/>
      <c r="C41" s="17"/>
      <c r="D41" s="79" t="s">
        <v>88</v>
      </c>
      <c r="E41" s="79" t="s">
        <v>459</v>
      </c>
    </row>
    <row r="42" spans="1:5" s="34" customFormat="1" x14ac:dyDescent="0.25">
      <c r="A42" s="17">
        <v>13</v>
      </c>
      <c r="B42" s="17">
        <v>5</v>
      </c>
      <c r="C42" s="17">
        <v>10</v>
      </c>
      <c r="D42" s="35" t="str">
        <f ca="1">SUBSTITUTE(OFFSET(Attributes!$A$1,MATCH($A42,Attributes!$A:$A,0)-1,MATCH("Attr CN",Attributes!$1:$1,0)-1),"#",$B42*$B$1&amp;"-"&amp;$C42*$B$1)</f>
        <v>+15-30敏捷</v>
      </c>
      <c r="E42" s="35" t="str">
        <f ca="1">SUBSTITUTE(OFFSET(Attributes!$A$1,MATCH($A42,Attributes!$A:$A,0)-1,MATCH("Attr EN",Attributes!$1:$1,0)-1),"#",$B42&amp;"-"&amp;$C42*$B$1)</f>
        <v>+5-30 Agility</v>
      </c>
    </row>
    <row r="43" spans="1:5" s="34" customFormat="1" x14ac:dyDescent="0.25">
      <c r="A43" s="17">
        <v>9</v>
      </c>
      <c r="B43" s="17">
        <v>5</v>
      </c>
      <c r="C43" s="17">
        <v>10</v>
      </c>
      <c r="D43" s="35" t="str">
        <f ca="1">SUBSTITUTE(OFFSET(Attributes!$A$1,MATCH($A43,Attributes!$A:$A,0)-1,MATCH("Attr CN",Attributes!$1:$1,0)-1),"#",$B43*$B$1&amp;"-"&amp;$C43*$B$1)</f>
        <v>+15-30攻击强度</v>
      </c>
      <c r="E43" s="35" t="str">
        <f ca="1">SUBSTITUTE(OFFSET(Attributes!$A$1,MATCH($A43,Attributes!$A:$A,0)-1,MATCH("Attr EN",Attributes!$1:$1,0)-1),"#",$B43&amp;"-"&amp;$C43*$B$1)</f>
        <v>+5-30 Attack power</v>
      </c>
    </row>
    <row r="44" spans="1:5" s="34" customFormat="1" x14ac:dyDescent="0.25">
      <c r="A44" s="17">
        <v>12</v>
      </c>
      <c r="B44" s="17">
        <v>3</v>
      </c>
      <c r="C44" s="17">
        <v>5</v>
      </c>
      <c r="D44" s="35" t="str">
        <f ca="1">SUBSTITUTE(OFFSET(Attributes!$A$1,MATCH($A44,Attributes!$A:$A,0)-1,MATCH("Attr CN",Attributes!$1:$1,0)-1),"#",$B44*$B$1&amp;"-"&amp;$C44*$B$1)</f>
        <v>+9-15%攻击速度</v>
      </c>
      <c r="E44" s="35" t="str">
        <f ca="1">SUBSTITUTE(OFFSET(Attributes!$A$1,MATCH($A44,Attributes!$A:$A,0)-1,MATCH("Attr EN",Attributes!$1:$1,0)-1),"#",$B44&amp;"-"&amp;$C44*$B$1)</f>
        <v>+3-15% Attack speed</v>
      </c>
    </row>
    <row r="45" spans="1:5" s="34" customFormat="1" x14ac:dyDescent="0.25">
      <c r="A45" s="17">
        <v>11</v>
      </c>
      <c r="B45" s="17">
        <v>0.03</v>
      </c>
      <c r="C45" s="17">
        <v>0.05</v>
      </c>
      <c r="D45" s="35" t="str">
        <f ca="1">SUBSTITUTE(OFFSET(Attributes!$A$1,MATCH($A45,Attributes!$A:$A,0)-1,MATCH("Attr CN",Attributes!$1:$1,0)-1),"#",$B45*$B$1&amp;"-"&amp;$C45*$B$1)</f>
        <v>+0.09-0.15攻击暴击</v>
      </c>
      <c r="E45" s="35" t="str">
        <f ca="1">SUBSTITUTE(OFFSET(Attributes!$A$1,MATCH($A45,Attributes!$A:$A,0)-1,MATCH("Attr EN",Attributes!$1:$1,0)-1),"#",$B45&amp;"-"&amp;$C45*$B$1)</f>
        <v>+0.03-0.15 Attack critical</v>
      </c>
    </row>
    <row r="46" spans="1:5" s="34" customFormat="1" x14ac:dyDescent="0.25">
      <c r="A46" s="17">
        <v>47</v>
      </c>
      <c r="B46" s="17">
        <v>0.05</v>
      </c>
      <c r="C46" s="17">
        <v>0.1</v>
      </c>
      <c r="D46" s="81" t="str">
        <f ca="1">SUBSTITUTE(OFFSET(Attributes!$A$1,MATCH($A46,Attributes!$A:$A,0)-1,MATCH("Attr CN",Attributes!$1:$1,0)-1),"#",$B46*$B$1&amp;"-"&amp;$C46*$B$1)</f>
        <v>命中：有0.15-0.3的几率击退敌人</v>
      </c>
      <c r="E46" s="35" t="str">
        <f ca="1">SUBSTITUTE(OFFSET(Attributes!$A$1,MATCH($A46,Attributes!$A:$A,0)-1,MATCH("Attr EN",Attributes!$1:$1,0)-1),"#",$B46&amp;"-"&amp;$C46*$B$1)</f>
        <v>On Attack: 0.05-0.3 chance to knock back target</v>
      </c>
    </row>
    <row r="47" spans="1:5" s="34" customFormat="1" ht="28.5" x14ac:dyDescent="0.25">
      <c r="A47" s="17"/>
      <c r="B47" s="17"/>
      <c r="C47" s="17"/>
      <c r="D47" s="81" t="s">
        <v>91</v>
      </c>
      <c r="E47" s="81" t="s">
        <v>460</v>
      </c>
    </row>
    <row r="48" spans="1:5" s="34" customFormat="1" x14ac:dyDescent="0.25">
      <c r="A48" s="17"/>
      <c r="B48" s="17"/>
      <c r="C48" s="17"/>
      <c r="D48" s="79"/>
      <c r="E48" s="79"/>
    </row>
    <row r="49" spans="1:5" s="34" customFormat="1" x14ac:dyDescent="0.25">
      <c r="A49" s="17"/>
      <c r="B49" s="17"/>
      <c r="C49" s="17"/>
      <c r="D49" s="79" t="s">
        <v>93</v>
      </c>
      <c r="E49" s="79" t="s">
        <v>461</v>
      </c>
    </row>
    <row r="50" spans="1:5" s="34" customFormat="1" x14ac:dyDescent="0.25">
      <c r="A50" s="17">
        <v>4</v>
      </c>
      <c r="B50" s="17">
        <v>6</v>
      </c>
      <c r="C50" s="17">
        <v>12</v>
      </c>
      <c r="D50" s="35" t="str">
        <f ca="1">SUBSTITUTE(OFFSET(Attributes!$A$1,MATCH($A50,Attributes!$A:$A,0)-1,MATCH("Attr CN",Attributes!$1:$1,0)-1),"#",$B50*$B$1&amp;"-"&amp;$C50*$B$1)</f>
        <v>+18-36力量</v>
      </c>
      <c r="E50" s="35" t="str">
        <f ca="1">SUBSTITUTE(OFFSET(Attributes!$A$1,MATCH($A50,Attributes!$A:$A,0)-1,MATCH("Attr EN",Attributes!$1:$1,0)-1),"#",$B50&amp;"-"&amp;$C50*$B$1)</f>
        <v>+6-36 Strength</v>
      </c>
    </row>
    <row r="51" spans="1:5" s="34" customFormat="1" x14ac:dyDescent="0.25">
      <c r="A51" s="17">
        <v>9</v>
      </c>
      <c r="B51" s="17">
        <v>6</v>
      </c>
      <c r="C51" s="17">
        <v>12</v>
      </c>
      <c r="D51" s="35" t="str">
        <f ca="1">SUBSTITUTE(OFFSET(Attributes!$A$1,MATCH($A51,Attributes!$A:$A,0)-1,MATCH("Attr CN",Attributes!$1:$1,0)-1),"#",$B51*$B$1&amp;"-"&amp;$C51*$B$1)</f>
        <v>+18-36攻击强度</v>
      </c>
      <c r="E51" s="35" t="str">
        <f ca="1">SUBSTITUTE(OFFSET(Attributes!$A$1,MATCH($A51,Attributes!$A:$A,0)-1,MATCH("Attr EN",Attributes!$1:$1,0)-1),"#",$B51&amp;"-"&amp;$C51*$B$1)</f>
        <v>+6-36 Attack power</v>
      </c>
    </row>
    <row r="52" spans="1:5" s="34" customFormat="1" x14ac:dyDescent="0.25">
      <c r="A52" s="17">
        <v>11</v>
      </c>
      <c r="B52" s="17">
        <v>0.03</v>
      </c>
      <c r="C52" s="17">
        <v>0.05</v>
      </c>
      <c r="D52" s="35" t="str">
        <f ca="1">SUBSTITUTE(OFFSET(Attributes!$A$1,MATCH($A52,Attributes!$A:$A,0)-1,MATCH("Attr CN",Attributes!$1:$1,0)-1),"#",$B52*$B$1&amp;"-"&amp;$C52*$B$1)</f>
        <v>+0.09-0.15攻击暴击</v>
      </c>
      <c r="E52" s="35" t="str">
        <f ca="1">SUBSTITUTE(OFFSET(Attributes!$A$1,MATCH($A52,Attributes!$A:$A,0)-1,MATCH("Attr EN",Attributes!$1:$1,0)-1),"#",$B52&amp;"-"&amp;$C52*$B$1)</f>
        <v>+0.03-0.15 Attack critical</v>
      </c>
    </row>
    <row r="53" spans="1:5" s="34" customFormat="1" x14ac:dyDescent="0.25">
      <c r="A53" s="17">
        <v>74</v>
      </c>
      <c r="B53" s="17">
        <v>3</v>
      </c>
      <c r="C53" s="17">
        <v>30</v>
      </c>
      <c r="D53" s="35" t="str">
        <f ca="1">SUBSTITUTE(OFFSET(Attributes!$A$1,MATCH($A53,Attributes!$A:$A,0)-1,MATCH("Attr CN",Attributes!$1:$1,0)-1),"#",$B53*$B$1&amp;"-"&amp;$C53*$B$1)</f>
        <v>每秒流失9-90生命值</v>
      </c>
      <c r="E53" s="35" t="str">
        <f ca="1">SUBSTITUTE(OFFSET(Attributes!$A$1,MATCH($A53,Attributes!$A:$A,0)-1,MATCH("Attr EN",Attributes!$1:$1,0)-1),"#",$B53&amp;"-"&amp;$C53*$B$1)</f>
        <v>Lost 3-90 HP per second during combat</v>
      </c>
    </row>
    <row r="54" spans="1:5" s="34" customFormat="1" x14ac:dyDescent="0.25">
      <c r="A54" s="17">
        <v>44</v>
      </c>
      <c r="B54" s="17">
        <v>0.03</v>
      </c>
      <c r="C54" s="17">
        <v>0.06</v>
      </c>
      <c r="D54" s="81" t="str">
        <f ca="1">SUBSTITUTE(OFFSET(Attributes!$A$1,MATCH($A54,Attributes!$A:$A,0)-1,MATCH("Attr CN",Attributes!$1:$1,0)-1),"#",$B54*$B$1&amp;"-"&amp;$C54*$B$1)</f>
        <v>攻击汲取0.09-0.18生命</v>
      </c>
      <c r="E54" s="35" t="str">
        <f ca="1">SUBSTITUTE(OFFSET(Attributes!$A$1,MATCH($A54,Attributes!$A:$A,0)-1,MATCH("Attr EN",Attributes!$1:$1,0)-1),"#",$B54&amp;"-"&amp;$C54*$B$1)</f>
        <v>+0.03-0.18 Life stolen per hit</v>
      </c>
    </row>
    <row r="55" spans="1:5" s="34" customFormat="1" x14ac:dyDescent="0.25">
      <c r="A55" s="17">
        <v>46</v>
      </c>
      <c r="B55" s="17">
        <v>0.04</v>
      </c>
      <c r="C55" s="17">
        <v>0.06</v>
      </c>
      <c r="D55" s="81" t="str">
        <f ca="1">SUBSTITUTE(OFFSET(Attributes!$A$1,MATCH($A55,Attributes!$A:$A,0)-1,MATCH("Attr CN",Attributes!$1:$1,0)-1),"#",$B55*$B$1&amp;"-"&amp;$C55*$B$1)</f>
        <v>命中：提升1%的攻击速度，最多0.12-0.18，持续3秒</v>
      </c>
      <c r="E55" s="35" t="str">
        <f ca="1">SUBSTITUTE(OFFSET(Attributes!$A$1,MATCH($A55,Attributes!$A:$A,0)-1,MATCH("Attr EN",Attributes!$1:$1,0)-1),"#",$B55&amp;"-"&amp;$C55*$B$1)</f>
        <v>On Attack: Increase attack speed by 1% per attack, stacks up to 0.04-0.18, lasts for 3 seconds</v>
      </c>
    </row>
    <row r="56" spans="1:5" s="34" customFormat="1" ht="28.5" x14ac:dyDescent="0.25">
      <c r="A56" s="17">
        <v>37</v>
      </c>
      <c r="B56" s="17">
        <v>0.05</v>
      </c>
      <c r="C56" s="17">
        <v>0.5</v>
      </c>
      <c r="D56" s="81" t="str">
        <f ca="1">SUBSTITUTE(OFFSET(Attributes!$A$1,MATCH($A56,Attributes!$A:$A,0)-1,MATCH("Attr CN",Attributes!$1:$1,0)-1),"#",$B56*$B$1&amp;"-"&amp;$C56*$B$1)</f>
        <v>使用：获得上古狂乱的效果，提升100%攻击速度，受到的伤害提高0.15-1.5</v>
      </c>
      <c r="E56" s="35" t="str">
        <f ca="1">SUBSTITUTE(OFFSET(Attributes!$A$1,MATCH($A56,Attributes!$A:$A,0)-1,MATCH("Attr EN",Attributes!$1:$1,0)-1),"#",$B56&amp;"-"&amp;$C56*$B$1)</f>
        <v>Use: Increase attack speed by 100%, take 0.05-1.5 extra damage (unique)</v>
      </c>
    </row>
    <row r="57" spans="1:5" s="34" customFormat="1" x14ac:dyDescent="0.25">
      <c r="A57" s="17"/>
      <c r="B57" s="17"/>
      <c r="C57" s="17"/>
      <c r="D57" s="81" t="s">
        <v>46</v>
      </c>
      <c r="E57" s="81" t="s">
        <v>451</v>
      </c>
    </row>
    <row r="58" spans="1:5" s="34" customFormat="1" ht="42.75" x14ac:dyDescent="0.25">
      <c r="A58" s="17"/>
      <c r="B58" s="17"/>
      <c r="C58" s="17"/>
      <c r="D58" s="81" t="s">
        <v>94</v>
      </c>
      <c r="E58" s="81" t="s">
        <v>462</v>
      </c>
    </row>
    <row r="59" spans="1:5" s="34" customFormat="1" x14ac:dyDescent="0.25">
      <c r="A59" s="17"/>
      <c r="B59" s="17"/>
      <c r="C59" s="17"/>
      <c r="D59" s="79"/>
      <c r="E59" s="79"/>
    </row>
    <row r="60" spans="1:5" x14ac:dyDescent="0.25">
      <c r="D60" s="79" t="s">
        <v>74</v>
      </c>
      <c r="E60" s="79" t="s">
        <v>463</v>
      </c>
    </row>
    <row r="61" spans="1:5" x14ac:dyDescent="0.25">
      <c r="A61" s="17">
        <v>8</v>
      </c>
      <c r="B61" s="17">
        <v>2</v>
      </c>
      <c r="C61" s="17">
        <v>3</v>
      </c>
      <c r="D61" s="35" t="str">
        <f ca="1">SUBSTITUTE(OFFSET(Attributes!$A$1,MATCH($A61,Attributes!$A:$A,0)-1,MATCH("Attr CN",Attributes!$1:$1,0)-1),"#",$B61*$B$1&amp;"-"&amp;$C61*$B$1)</f>
        <v>+6-9护甲</v>
      </c>
      <c r="E61" s="35" t="str">
        <f ca="1">SUBSTITUTE(OFFSET(Attributes!$A$1,MATCH($A61,Attributes!$A:$A,0)-1,MATCH("Attr EN",Attributes!$1:$1,0)-1),"#",$B61&amp;"-"&amp;$C61*$B$1)</f>
        <v>+2-9 Armor</v>
      </c>
    </row>
    <row r="62" spans="1:5" x14ac:dyDescent="0.25">
      <c r="A62" s="17">
        <v>1</v>
      </c>
      <c r="B62" s="17">
        <v>0.01</v>
      </c>
      <c r="C62" s="17">
        <v>0.02</v>
      </c>
      <c r="D62" s="35" t="str">
        <f ca="1">SUBSTITUTE(OFFSET(Attributes!$A$1,MATCH($A62,Attributes!$A:$A,0)-1,MATCH("Attr CN",Attributes!$1:$1,0)-1),"#",$B62*$B$1&amp;"-"&amp;$C62*$B$1)</f>
        <v>-0.03-0.06受到的伤害</v>
      </c>
      <c r="E62" s="35" t="str">
        <f ca="1">SUBSTITUTE(OFFSET(Attributes!$A$1,MATCH($A62,Attributes!$A:$A,0)-1,MATCH("Attr EN",Attributes!$1:$1,0)-1),"#",$B62&amp;"-"&amp;$C62*$B$1)</f>
        <v>-0.01-0.06 All damage taken</v>
      </c>
    </row>
    <row r="63" spans="1:5" x14ac:dyDescent="0.25">
      <c r="A63" s="17">
        <v>2</v>
      </c>
      <c r="B63" s="17">
        <v>0.02</v>
      </c>
      <c r="C63" s="17">
        <v>0.04</v>
      </c>
      <c r="D63" s="35" t="str">
        <f ca="1">SUBSTITUTE(OFFSET(Attributes!$A$1,MATCH($A63,Attributes!$A:$A,0)-1,MATCH("Attr CN",Attributes!$1:$1,0)-1),"#",$B63*$B$1&amp;"-"&amp;$C63*$B$1)</f>
        <v>-0.06-0.12受到的法术伤害</v>
      </c>
      <c r="E63" s="35" t="str">
        <f ca="1">SUBSTITUTE(OFFSET(Attributes!$A$1,MATCH($A63,Attributes!$A:$A,0)-1,MATCH("Attr EN",Attributes!$1:$1,0)-1),"#",$B63&amp;"-"&amp;$C63*$B$1)</f>
        <v>-0.02-0.12 magic damage taken</v>
      </c>
    </row>
    <row r="64" spans="1:5" x14ac:dyDescent="0.25">
      <c r="A64" s="17">
        <v>24</v>
      </c>
      <c r="B64" s="17">
        <v>12</v>
      </c>
      <c r="C64" s="17">
        <v>24</v>
      </c>
      <c r="D64" s="35" t="str">
        <f ca="1">SUBSTITUTE(OFFSET(Attributes!$A$1,MATCH($A64,Attributes!$A:$A,0)-1,MATCH("Attr CN",Attributes!$1:$1,0)-1),"#",$B64*$B$1&amp;"-"&amp;$C64*$B$1)</f>
        <v>+36-72移动速度</v>
      </c>
      <c r="E64" s="35" t="str">
        <f ca="1">SUBSTITUTE(OFFSET(Attributes!$A$1,MATCH($A64,Attributes!$A:$A,0)-1,MATCH("Attr EN",Attributes!$1:$1,0)-1),"#",$B64&amp;"-"&amp;$C64*$B$1)</f>
        <v>+12-72 Movement speed</v>
      </c>
    </row>
    <row r="65" spans="1:5" x14ac:dyDescent="0.25">
      <c r="A65" s="17">
        <v>42</v>
      </c>
      <c r="B65" s="17">
        <v>2</v>
      </c>
      <c r="C65" s="17">
        <v>5</v>
      </c>
      <c r="D65" s="81" t="str">
        <f ca="1">SUBSTITUTE(OFFSET(Attributes!$A$1,MATCH($A65,Attributes!$A:$A,0)-1,MATCH("Attr CN",Attributes!$1:$1,0)-1),"#",$B65*$B$1&amp;"-"&amp;$C65*$B$1)</f>
        <v>受到治疗：积累1点神圣能量，最多6-15点</v>
      </c>
      <c r="E65" s="35" t="str">
        <f ca="1">SUBSTITUTE(OFFSET(Attributes!$A$1,MATCH($A65,Attributes!$A:$A,0)-1,MATCH("Attr EN",Attributes!$1:$1,0)-1),"#",$B65&amp;"-"&amp;$C65*$B$1)</f>
        <v>On Healed: Charges 1 holy power, stacks up to 2-15 points</v>
      </c>
    </row>
    <row r="66" spans="1:5" ht="28.5" x14ac:dyDescent="0.25">
      <c r="A66" s="17">
        <v>38</v>
      </c>
      <c r="B66" s="17">
        <v>25</v>
      </c>
      <c r="C66" s="17">
        <v>35</v>
      </c>
      <c r="D66" s="81" t="str">
        <f ca="1">SUBSTITUTE(OFFSET(Attributes!$A$1,MATCH($A66,Attributes!$A:$A,0)-1,MATCH("Attr CN",Attributes!$1:$1,0)-1),"#",$B66*$B$1&amp;"-"&amp;$C66*$B$1)</f>
        <v>使用：释放所有神圣能量以治疗自己，每点神圣能量治疗75-105点生命值</v>
      </c>
      <c r="E66" s="35" t="str">
        <f ca="1">SUBSTITUTE(OFFSET(Attributes!$A$1,MATCH($A66,Attributes!$A:$A,0)-1,MATCH("Attr EN",Attributes!$1:$1,0)-1),"#",$B66&amp;"-"&amp;$C66*$B$1)</f>
        <v>Use: Release all holy power to heal yourself, each point heals 25-105 HP</v>
      </c>
    </row>
    <row r="67" spans="1:5" x14ac:dyDescent="0.25">
      <c r="D67" s="81" t="s">
        <v>46</v>
      </c>
      <c r="E67" s="81" t="s">
        <v>451</v>
      </c>
    </row>
    <row r="68" spans="1:5" ht="28.5" x14ac:dyDescent="0.25">
      <c r="D68" s="81" t="s">
        <v>82</v>
      </c>
      <c r="E68" s="81" t="s">
        <v>464</v>
      </c>
    </row>
    <row r="70" spans="1:5" x14ac:dyDescent="0.25">
      <c r="D70" s="79" t="s">
        <v>40</v>
      </c>
      <c r="E70" s="79" t="s">
        <v>465</v>
      </c>
    </row>
    <row r="71" spans="1:5" x14ac:dyDescent="0.25">
      <c r="A71" s="17">
        <v>14</v>
      </c>
      <c r="B71" s="17">
        <v>5</v>
      </c>
      <c r="C71" s="17">
        <v>10</v>
      </c>
      <c r="D71" s="35" t="str">
        <f ca="1">SUBSTITUTE(OFFSET(Attributes!$A$1,MATCH($A71,Attributes!$A:$A,0)-1,MATCH("Attr CN",Attributes!$1:$1,0)-1),"#",$B71*$B$1&amp;"-"&amp;$C71*$B$1)</f>
        <v>+15-30智力</v>
      </c>
      <c r="E71" s="35" t="str">
        <f ca="1">SUBSTITUTE(OFFSET(Attributes!$A$1,MATCH($A71,Attributes!$A:$A,0)-1,MATCH("Attr EN",Attributes!$1:$1,0)-1),"#",$B71&amp;"-"&amp;$C71*$B$1)</f>
        <v>+5-30 Intelligence</v>
      </c>
    </row>
    <row r="72" spans="1:5" x14ac:dyDescent="0.25">
      <c r="A72" s="17">
        <v>21</v>
      </c>
      <c r="B72" s="17">
        <v>100</v>
      </c>
      <c r="C72" s="17">
        <v>200</v>
      </c>
      <c r="D72" s="35" t="str">
        <f ca="1">SUBSTITUTE(OFFSET(Attributes!$A$1,MATCH($A72,Attributes!$A:$A,0)-1,MATCH("Attr CN",Attributes!$1:$1,0)-1),"#",$B72*$B$1&amp;"-"&amp;$C72*$B$1)</f>
        <v>+300-600生命上限</v>
      </c>
      <c r="E72" s="35" t="str">
        <f ca="1">SUBSTITUTE(OFFSET(Attributes!$A$1,MATCH($A72,Attributes!$A:$A,0)-1,MATCH("Attr EN",Attributes!$1:$1,0)-1),"#",$B72&amp;"-"&amp;$C72*$B$1)</f>
        <v>+100-600 Max HP</v>
      </c>
    </row>
    <row r="73" spans="1:5" x14ac:dyDescent="0.25">
      <c r="A73" s="17">
        <v>18</v>
      </c>
      <c r="B73" s="17">
        <v>5</v>
      </c>
      <c r="C73" s="17">
        <v>10</v>
      </c>
      <c r="D73" s="35" t="str">
        <f ca="1">SUBSTITUTE(OFFSET(Attributes!$A$1,MATCH($A73,Attributes!$A:$A,0)-1,MATCH("Attr CN",Attributes!$1:$1,0)-1),"#",$B73*$B$1&amp;"-"&amp;$C73*$B$1)</f>
        <v>+15-30法术强度</v>
      </c>
      <c r="E73" s="35" t="str">
        <f ca="1">SUBSTITUTE(OFFSET(Attributes!$A$1,MATCH($A73,Attributes!$A:$A,0)-1,MATCH("Attr EN",Attributes!$1:$1,0)-1),"#",$B73&amp;"-"&amp;$C73*$B$1)</f>
        <v>+5-30 Spell power</v>
      </c>
    </row>
    <row r="74" spans="1:5" ht="28.5" x14ac:dyDescent="0.25">
      <c r="A74" s="17">
        <v>82</v>
      </c>
      <c r="B74" s="17">
        <v>0.01</v>
      </c>
      <c r="C74" s="17">
        <v>0.02</v>
      </c>
      <c r="D74" s="81" t="str">
        <f ca="1">SUBSTITUTE(OFFSET(Attributes!$A$1,MATCH($A74,Attributes!$A:$A,0)-1,MATCH("Attr CN",Attributes!$1:$1,0)-1),"#",$B74*$B$1&amp;"-"&amp;$C74*$B$1)</f>
        <v>赋予信念光环：使附近600码范围内所有敌人受到的法术伤害提高0.03-0.06</v>
      </c>
      <c r="E74" s="35" t="str">
        <f ca="1">SUBSTITUTE(OFFSET(Attributes!$A$1,MATCH($A74,Attributes!$A:$A,0)-1,MATCH("Attr EN",Attributes!$1:$1,0)-1),"#",$B74&amp;"-"&amp;$C74*$B$1)</f>
        <v>Grant Aura of Conviction: All enemies within 600 yards take 0.01-0.06 more magic damage</v>
      </c>
    </row>
    <row r="75" spans="1:5" ht="28.5" x14ac:dyDescent="0.25">
      <c r="A75" s="17">
        <v>89</v>
      </c>
      <c r="B75" s="17">
        <v>60</v>
      </c>
      <c r="C75" s="17">
        <v>100</v>
      </c>
      <c r="D75" s="81" t="str">
        <f ca="1">SUBSTITUTE(OFFSET(Attributes!$A$1,MATCH($A75,Attributes!$A:$A,0)-1,MATCH("Attr CN",Attributes!$1:$1,0)-1),"#",$B75*$B$1&amp;"-"&amp;$C75*$B$1)</f>
        <v>造成法术伤害：有10%的几率施放闪电链，造成180-300点法术伤害</v>
      </c>
      <c r="E75" s="35" t="str">
        <f ca="1">SUBSTITUTE(OFFSET(Attributes!$A$1,MATCH($A75,Attributes!$A:$A,0)-1,MATCH("Attr EN",Attributes!$1:$1,0)-1),"#",$B75&amp;"-"&amp;$C75*$B$1)</f>
        <v>Dealing Magical Damage: 10% chance to cast Chain Lightning to target, dealing 60-300 magic damage</v>
      </c>
    </row>
    <row r="76" spans="1:5" x14ac:dyDescent="0.25">
      <c r="D76" s="81" t="s">
        <v>46</v>
      </c>
      <c r="E76" s="81" t="s">
        <v>451</v>
      </c>
    </row>
    <row r="77" spans="1:5" ht="57" x14ac:dyDescent="0.25">
      <c r="D77" s="81" t="s">
        <v>845</v>
      </c>
      <c r="E77" s="81" t="s">
        <v>466</v>
      </c>
    </row>
    <row r="79" spans="1:5" s="34" customFormat="1" x14ac:dyDescent="0.25">
      <c r="A79" s="17"/>
      <c r="B79" s="17"/>
      <c r="C79" s="17"/>
      <c r="D79" s="79" t="s">
        <v>86</v>
      </c>
      <c r="E79" s="79" t="s">
        <v>467</v>
      </c>
    </row>
    <row r="80" spans="1:5" s="34" customFormat="1" x14ac:dyDescent="0.25">
      <c r="A80" s="17">
        <v>14</v>
      </c>
      <c r="B80" s="17">
        <v>5</v>
      </c>
      <c r="C80" s="17">
        <v>10</v>
      </c>
      <c r="D80" s="35" t="str">
        <f ca="1">SUBSTITUTE(OFFSET(Attributes!$A$1,MATCH($A80,Attributes!$A:$A,0)-1,MATCH("Attr CN",Attributes!$1:$1,0)-1),"#",$B80*$B$1&amp;"-"&amp;$C80*$B$1)</f>
        <v>+15-30智力</v>
      </c>
      <c r="E80" s="35" t="str">
        <f ca="1">SUBSTITUTE(OFFSET(Attributes!$A$1,MATCH($A80,Attributes!$A:$A,0)-1,MATCH("Attr EN",Attributes!$1:$1,0)-1),"#",$B80&amp;"-"&amp;$C80*$B$1)</f>
        <v>+5-30 Intelligence</v>
      </c>
    </row>
    <row r="81" spans="1:5" s="34" customFormat="1" x14ac:dyDescent="0.25">
      <c r="A81" s="17">
        <v>18</v>
      </c>
      <c r="B81" s="17">
        <v>5</v>
      </c>
      <c r="C81" s="17">
        <v>10</v>
      </c>
      <c r="D81" s="35" t="str">
        <f ca="1">SUBSTITUTE(OFFSET(Attributes!$A$1,MATCH($A81,Attributes!$A:$A,0)-1,MATCH("Attr CN",Attributes!$1:$1,0)-1),"#",$B81*$B$1&amp;"-"&amp;$C81*$B$1)</f>
        <v>+15-30法术强度</v>
      </c>
      <c r="E81" s="35" t="str">
        <f ca="1">SUBSTITUTE(OFFSET(Attributes!$A$1,MATCH($A81,Attributes!$A:$A,0)-1,MATCH("Attr EN",Attributes!$1:$1,0)-1),"#",$B81&amp;"-"&amp;$C81*$B$1)</f>
        <v>+5-30 Spell power</v>
      </c>
    </row>
    <row r="82" spans="1:5" s="34" customFormat="1" x14ac:dyDescent="0.25">
      <c r="A82" s="17">
        <v>19</v>
      </c>
      <c r="B82" s="17">
        <v>0.03</v>
      </c>
      <c r="C82" s="17">
        <v>0.05</v>
      </c>
      <c r="D82" s="35" t="str">
        <f ca="1">SUBSTITUTE(OFFSET(Attributes!$A$1,MATCH($A82,Attributes!$A:$A,0)-1,MATCH("Attr CN",Attributes!$1:$1,0)-1),"#",$B82*$B$1&amp;"-"&amp;$C82*$B$1)</f>
        <v>+0.09-0.15法术急速</v>
      </c>
      <c r="E82" s="35" t="str">
        <f ca="1">SUBSTITUTE(OFFSET(Attributes!$A$1,MATCH($A82,Attributes!$A:$A,0)-1,MATCH("Attr EN",Attributes!$1:$1,0)-1),"#",$B82&amp;"-"&amp;$C82*$B$1)</f>
        <v>+0.03-0.15 Spell haste</v>
      </c>
    </row>
    <row r="83" spans="1:5" s="34" customFormat="1" x14ac:dyDescent="0.25">
      <c r="A83" s="17">
        <v>68</v>
      </c>
      <c r="B83" s="17">
        <v>0</v>
      </c>
      <c r="C83" s="17">
        <v>0</v>
      </c>
      <c r="D83" s="81" t="str">
        <f ca="1">SUBSTITUTE(OFFSET(Attributes!$A$1,MATCH($A83,Attributes!$A:$A,0)-1,MATCH("Attr CN",Attributes!$1:$1,0)-1),"#",$B83*$B$1&amp;"-"&amp;$C83*$B$1)</f>
        <v>将普通攻击转化为法术伤害0-0</v>
      </c>
      <c r="E83" s="35" t="str">
        <f ca="1">SUBSTITUTE(OFFSET(Attributes!$A$1,MATCH($A83,Attributes!$A:$A,0)-1,MATCH("Attr EN",Attributes!$1:$1,0)-1),"#",$B83&amp;"-"&amp;$C83*$B$1)</f>
        <v>Converts your normal attacks into magic damage0-0</v>
      </c>
    </row>
    <row r="84" spans="1:5" s="34" customFormat="1" ht="28.5" x14ac:dyDescent="0.25">
      <c r="A84" s="17">
        <v>83</v>
      </c>
      <c r="B84" s="17">
        <v>2</v>
      </c>
      <c r="C84" s="17">
        <v>4</v>
      </c>
      <c r="D84" s="81" t="str">
        <f ca="1">SUBSTITUTE(OFFSET(Attributes!$A$1,MATCH($A84,Attributes!$A:$A,0)-1,MATCH("Attr CN",Attributes!$1:$1,0)-1),"#",$B84*$B$1&amp;"-"&amp;$C84*$B$1)</f>
        <v>赋予冥想光环：使附近600码范围内的所有友军每秒回复6-12点法力值</v>
      </c>
      <c r="E84" s="35" t="str">
        <f ca="1">SUBSTITUTE(OFFSET(Attributes!$A$1,MATCH($A84,Attributes!$A:$A,0)-1,MATCH("Attr EN",Attributes!$1:$1,0)-1),"#",$B84&amp;"-"&amp;$C84*$B$1)</f>
        <v>Grant Aura of Meditation: All allies within 600 yards regen 2-12 MP per second</v>
      </c>
    </row>
    <row r="85" spans="1:5" s="34" customFormat="1" x14ac:dyDescent="0.25">
      <c r="A85" s="17"/>
      <c r="B85" s="17"/>
      <c r="C85" s="17"/>
      <c r="D85" s="81" t="s">
        <v>46</v>
      </c>
      <c r="E85" s="81" t="s">
        <v>451</v>
      </c>
    </row>
    <row r="86" spans="1:5" s="34" customFormat="1" ht="42.75" x14ac:dyDescent="0.25">
      <c r="A86" s="17"/>
      <c r="B86" s="17"/>
      <c r="C86" s="17"/>
      <c r="D86" s="81" t="s">
        <v>89</v>
      </c>
      <c r="E86" s="81" t="s">
        <v>468</v>
      </c>
    </row>
    <row r="87" spans="1:5" s="34" customFormat="1" x14ac:dyDescent="0.25">
      <c r="A87" s="17"/>
      <c r="B87" s="17"/>
      <c r="C87" s="17"/>
      <c r="D87" s="79"/>
      <c r="E87" s="79"/>
    </row>
    <row r="88" spans="1:5" s="34" customFormat="1" x14ac:dyDescent="0.25">
      <c r="A88" s="17"/>
      <c r="B88" s="17"/>
      <c r="C88" s="17"/>
      <c r="D88" s="79" t="s">
        <v>90</v>
      </c>
      <c r="E88" s="79" t="s">
        <v>469</v>
      </c>
    </row>
    <row r="89" spans="1:5" s="34" customFormat="1" x14ac:dyDescent="0.25">
      <c r="A89" s="17">
        <v>14</v>
      </c>
      <c r="B89" s="17">
        <v>5</v>
      </c>
      <c r="C89" s="17">
        <v>10</v>
      </c>
      <c r="D89" s="35" t="str">
        <f ca="1">SUBSTITUTE(OFFSET(Attributes!$A$1,MATCH($A89,Attributes!$A:$A,0)-1,MATCH("Attr CN",Attributes!$1:$1,0)-1),"#",$B89*$B$1&amp;"-"&amp;$C89*$B$1)</f>
        <v>+15-30智力</v>
      </c>
      <c r="E89" s="35" t="str">
        <f ca="1">SUBSTITUTE(OFFSET(Attributes!$A$1,MATCH($A89,Attributes!$A:$A,0)-1,MATCH("Attr EN",Attributes!$1:$1,0)-1),"#",$B89&amp;"-"&amp;$C89*$B$1)</f>
        <v>+5-30 Intelligence</v>
      </c>
    </row>
    <row r="90" spans="1:5" s="34" customFormat="1" x14ac:dyDescent="0.25">
      <c r="A90" s="17">
        <v>20</v>
      </c>
      <c r="B90" s="17">
        <v>0.03</v>
      </c>
      <c r="C90" s="17">
        <v>0.05</v>
      </c>
      <c r="D90" s="35" t="str">
        <f ca="1">SUBSTITUTE(OFFSET(Attributes!$A$1,MATCH($A90,Attributes!$A:$A,0)-1,MATCH("Attr CN",Attributes!$1:$1,0)-1),"#",$B90*$B$1&amp;"-"&amp;$C90*$B$1)</f>
        <v>+0.09-0.15法术暴击</v>
      </c>
      <c r="E90" s="35" t="str">
        <f ca="1">SUBSTITUTE(OFFSET(Attributes!$A$1,MATCH($A90,Attributes!$A:$A,0)-1,MATCH("Attr EN",Attributes!$1:$1,0)-1),"#",$B90&amp;"-"&amp;$C90*$B$1)</f>
        <v>+0.03-0.15 Spell critical</v>
      </c>
    </row>
    <row r="91" spans="1:5" s="34" customFormat="1" x14ac:dyDescent="0.25">
      <c r="A91" s="17">
        <v>19</v>
      </c>
      <c r="B91" s="17">
        <v>0.03</v>
      </c>
      <c r="C91" s="17">
        <v>0.05</v>
      </c>
      <c r="D91" s="35" t="str">
        <f ca="1">SUBSTITUTE(OFFSET(Attributes!$A$1,MATCH($A91,Attributes!$A:$A,0)-1,MATCH("Attr CN",Attributes!$1:$1,0)-1),"#",$B91*$B$1&amp;"-"&amp;$C91*$B$1)</f>
        <v>+0.09-0.15法术急速</v>
      </c>
      <c r="E91" s="35" t="str">
        <f ca="1">SUBSTITUTE(OFFSET(Attributes!$A$1,MATCH($A91,Attributes!$A:$A,0)-1,MATCH("Attr EN",Attributes!$1:$1,0)-1),"#",$B91&amp;"-"&amp;$C91*$B$1)</f>
        <v>+0.03-0.15 Spell haste</v>
      </c>
    </row>
    <row r="92" spans="1:5" s="34" customFormat="1" ht="28.5" x14ac:dyDescent="0.25">
      <c r="A92" s="17">
        <v>88</v>
      </c>
      <c r="B92" s="17">
        <v>12</v>
      </c>
      <c r="C92" s="17">
        <v>20</v>
      </c>
      <c r="D92" s="81" t="str">
        <f ca="1">SUBSTITUTE(OFFSET(Attributes!$A$1,MATCH($A92,Attributes!$A:$A,0)-1,MATCH("Attr CN",Attributes!$1:$1,0)-1),"#",$B92*$B$1&amp;"-"&amp;$C92*$B$1)</f>
        <v>造成法术伤害：有10%的几率使敌人中毒，每秒造成36-60点法术伤害</v>
      </c>
      <c r="E92" s="35" t="str">
        <f ca="1">SUBSTITUTE(OFFSET(Attributes!$A$1,MATCH($A92,Attributes!$A:$A,0)-1,MATCH("Attr EN",Attributes!$1:$1,0)-1),"#",$B92&amp;"-"&amp;$C92*$B$1)</f>
        <v>Dealing Magical Damage: 10% chance to poison target, dealing 12-60 magic damage over time</v>
      </c>
    </row>
    <row r="93" spans="1:5" s="34" customFormat="1" ht="28.5" x14ac:dyDescent="0.25">
      <c r="A93" s="17">
        <v>32</v>
      </c>
      <c r="B93" s="17">
        <v>15</v>
      </c>
      <c r="C93" s="17">
        <v>30</v>
      </c>
      <c r="D93" s="81" t="str">
        <f ca="1">SUBSTITUTE(OFFSET(Attributes!$A$1,MATCH($A93,Attributes!$A:$A,0)-1,MATCH("Attr CN",Attributes!$1:$1,0)-1),"#",$B93*$B$1&amp;"-"&amp;$C93*$B$1)</f>
        <v>使用：投掷一个巫毒瓶到目标区域，释放出里面的邪恶生物，对区域内的敌人造成45-90点持续的法术伤害</v>
      </c>
      <c r="E93" s="35" t="str">
        <f ca="1">SUBSTITUTE(OFFSET(Attributes!$A$1,MATCH($A93,Attributes!$A:$A,0)-1,MATCH("Attr EN",Attributes!$1:$1,0)-1),"#",$B93&amp;"-"&amp;$C93*$B$1)</f>
        <v>Use: Deals 15-90 magic damage to all enemies within range over time</v>
      </c>
    </row>
    <row r="94" spans="1:5" s="34" customFormat="1" x14ac:dyDescent="0.25">
      <c r="A94" s="17"/>
      <c r="B94" s="17"/>
      <c r="C94" s="17"/>
      <c r="D94" s="81" t="s">
        <v>46</v>
      </c>
      <c r="E94" s="81" t="s">
        <v>451</v>
      </c>
    </row>
    <row r="95" spans="1:5" s="34" customFormat="1" ht="28.5" x14ac:dyDescent="0.25">
      <c r="A95" s="17"/>
      <c r="B95" s="17"/>
      <c r="C95" s="17"/>
      <c r="D95" s="81" t="s">
        <v>92</v>
      </c>
      <c r="E95" s="81" t="s">
        <v>470</v>
      </c>
    </row>
    <row r="96" spans="1:5" s="34" customFormat="1" x14ac:dyDescent="0.25">
      <c r="A96" s="17"/>
      <c r="B96" s="17"/>
      <c r="C96" s="17"/>
      <c r="D96" s="79"/>
      <c r="E96" s="79"/>
    </row>
    <row r="97" spans="1:5" s="34" customFormat="1" x14ac:dyDescent="0.25">
      <c r="A97" s="17"/>
      <c r="B97" s="17"/>
      <c r="C97" s="17"/>
      <c r="D97" s="79" t="s">
        <v>329</v>
      </c>
      <c r="E97" s="79" t="s">
        <v>858</v>
      </c>
    </row>
    <row r="98" spans="1:5" s="34" customFormat="1" x14ac:dyDescent="0.25">
      <c r="A98" s="17">
        <v>4</v>
      </c>
      <c r="B98" s="17">
        <v>5</v>
      </c>
      <c r="C98" s="17">
        <v>10</v>
      </c>
      <c r="D98" s="35" t="str">
        <f ca="1">SUBSTITUTE(OFFSET(Attributes!$A$1,MATCH($A98,Attributes!$A:$A,0)-1,MATCH("Attr CN",Attributes!$1:$1,0)-1),"#",$B98*$B$1&amp;"-"&amp;$C98*$B$1)</f>
        <v>+15-30力量</v>
      </c>
      <c r="E98" s="35" t="str">
        <f ca="1">SUBSTITUTE(OFFSET(Attributes!$A$1,MATCH($A98,Attributes!$A:$A,0)-1,MATCH("Attr EN",Attributes!$1:$1,0)-1),"#",$B98&amp;"-"&amp;$C98*$B$1)</f>
        <v>+5-30 Strength</v>
      </c>
    </row>
    <row r="99" spans="1:5" s="34" customFormat="1" x14ac:dyDescent="0.25">
      <c r="A99" s="17">
        <v>21</v>
      </c>
      <c r="B99" s="17">
        <v>75</v>
      </c>
      <c r="C99" s="17">
        <v>150</v>
      </c>
      <c r="D99" s="35" t="str">
        <f ca="1">SUBSTITUTE(OFFSET(Attributes!$A$1,MATCH($A99,Attributes!$A:$A,0)-1,MATCH("Attr CN",Attributes!$1:$1,0)-1),"#",$B99*$B$1&amp;"-"&amp;$C99*$B$1)</f>
        <v>+225-450生命上限</v>
      </c>
      <c r="E99" s="35" t="str">
        <f ca="1">SUBSTITUTE(OFFSET(Attributes!$A$1,MATCH($A99,Attributes!$A:$A,0)-1,MATCH("Attr EN",Attributes!$1:$1,0)-1),"#",$B99&amp;"-"&amp;$C99*$B$1)</f>
        <v>+75-450 Max HP</v>
      </c>
    </row>
    <row r="100" spans="1:5" s="34" customFormat="1" x14ac:dyDescent="0.25">
      <c r="A100" s="17">
        <v>57</v>
      </c>
      <c r="B100" s="17">
        <v>10</v>
      </c>
      <c r="C100" s="17">
        <v>20</v>
      </c>
      <c r="D100" s="81" t="str">
        <f ca="1">SUBSTITUTE(OFFSET(Attributes!$A$1,MATCH($A100,Attributes!$A:$A,0)-1,MATCH("Attr CN",Attributes!$1:$1,0)-1),"#",$B100*$B$1&amp;"-"&amp;$C100*$B$1)</f>
        <v>攻击附加30-60点法术伤害</v>
      </c>
      <c r="E100" s="35" t="str">
        <f ca="1">SUBSTITUTE(OFFSET(Attributes!$A$1,MATCH($A100,Attributes!$A:$A,0)-1,MATCH("Attr EN",Attributes!$1:$1,0)-1),"#",$B100&amp;"-"&amp;$C100*$B$1)</f>
        <v>Deals 10-60 extra magic damage per hit</v>
      </c>
    </row>
    <row r="101" spans="1:5" s="34" customFormat="1" x14ac:dyDescent="0.25">
      <c r="A101" s="17">
        <v>43</v>
      </c>
      <c r="B101" s="17">
        <v>0.02</v>
      </c>
      <c r="C101" s="17">
        <v>0.04</v>
      </c>
      <c r="D101" s="81" t="str">
        <f ca="1">SUBSTITUTE(OFFSET(Attributes!$A$1,MATCH($A101,Attributes!$A:$A,0)-1,MATCH("Attr CN",Attributes!$1:$1,0)-1),"#",$B101*$B$1&amp;"-"&amp;$C101*$B$1)</f>
        <v>攻击汲取0.06-0.12法力</v>
      </c>
      <c r="E101" s="35" t="str">
        <f ca="1">SUBSTITUTE(OFFSET(Attributes!$A$1,MATCH($A101,Attributes!$A:$A,0)-1,MATCH("Attr EN",Attributes!$1:$1,0)-1),"#",$B101&amp;"-"&amp;$C101*$B$1)</f>
        <v>+0.02-0.12 Mana stolen per hit</v>
      </c>
    </row>
    <row r="102" spans="1:5" s="34" customFormat="1" ht="28.5" x14ac:dyDescent="0.25">
      <c r="A102" s="17">
        <v>75</v>
      </c>
      <c r="B102" s="17">
        <v>75</v>
      </c>
      <c r="C102" s="17">
        <v>100</v>
      </c>
      <c r="D102" s="81" t="str">
        <f ca="1">SUBSTITUTE(OFFSET(Attributes!$A$1,MATCH($A102,Attributes!$A:$A,0)-1,MATCH("Attr CN",Attributes!$1:$1,0)-1),"#",$B102*$B$1&amp;"-"&amp;$C102*$B$1)</f>
        <v>每第三次普通攻击：消耗5%的法力值，引爆月光，对附近的敌人造成225-300点法术伤害</v>
      </c>
      <c r="E102" s="35" t="str">
        <f ca="1">SUBSTITUTE(OFFSET(Attributes!$A$1,MATCH($A102,Attributes!$A:$A,0)-1,MATCH("Attr EN",Attributes!$1:$1,0)-1),"#",$B102&amp;"-"&amp;$C102*$B$1)</f>
        <v>Every Third Attack: Consumes 5% of max MP, deals 75-300 magic damage to all enemies nearby</v>
      </c>
    </row>
    <row r="103" spans="1:5" s="34" customFormat="1" ht="28.5" x14ac:dyDescent="0.25">
      <c r="A103" s="17">
        <v>49</v>
      </c>
      <c r="B103" s="17">
        <v>60</v>
      </c>
      <c r="C103" s="17">
        <v>80</v>
      </c>
      <c r="D103" s="81" t="str">
        <f ca="1">SUBSTITUTE(OFFSET(Attributes!$A$1,MATCH($A103,Attributes!$A:$A,0)-1,MATCH("Attr CN",Attributes!$1:$1,0)-1),"#",$B103*$B$1&amp;"-"&amp;$C103*$B$1)</f>
        <v>命中：有10%的几率消耗5%的法力值，向前方释放一道月光波，对直线上的敌人造成180-240点法术伤害</v>
      </c>
      <c r="E103" s="35" t="str">
        <f ca="1">SUBSTITUTE(OFFSET(Attributes!$A$1,MATCH($A103,Attributes!$A:$A,0)-1,MATCH("Attr EN",Attributes!$1:$1,0)-1),"#",$B103&amp;"-"&amp;$C103*$B$1)</f>
        <v>On Attack: 10% chance to consume 5% of max MP, deals 60-240 magic damage to all enemies in a row</v>
      </c>
    </row>
    <row r="104" spans="1:5" s="34" customFormat="1" x14ac:dyDescent="0.25">
      <c r="A104" s="17"/>
      <c r="B104" s="17"/>
      <c r="C104" s="17"/>
      <c r="D104" s="81" t="s">
        <v>330</v>
      </c>
      <c r="E104" s="81" t="s">
        <v>471</v>
      </c>
    </row>
    <row r="105" spans="1:5" s="34" customFormat="1" x14ac:dyDescent="0.25">
      <c r="A105" s="17"/>
      <c r="B105" s="17"/>
      <c r="C105" s="17"/>
      <c r="D105" s="79"/>
      <c r="E105" s="79"/>
    </row>
    <row r="106" spans="1:5" s="34" customFormat="1" x14ac:dyDescent="0.25">
      <c r="A106" s="17"/>
      <c r="B106" s="17"/>
      <c r="C106" s="17"/>
      <c r="D106" s="79"/>
      <c r="E106" s="79"/>
    </row>
    <row r="107" spans="1:5" s="34" customFormat="1" x14ac:dyDescent="0.25">
      <c r="A107" s="17"/>
      <c r="B107" s="17"/>
      <c r="C107" s="17"/>
      <c r="D107" s="79"/>
      <c r="E107" s="79"/>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topLeftCell="A10" workbookViewId="0">
      <selection activeCell="G10" sqref="G1:G1048576"/>
    </sheetView>
  </sheetViews>
  <sheetFormatPr defaultColWidth="14.42578125" defaultRowHeight="14.25" x14ac:dyDescent="0.25"/>
  <cols>
    <col min="1" max="1" width="6.5703125" style="44" bestFit="1" customWidth="1"/>
    <col min="2" max="3" width="5" style="44" bestFit="1" customWidth="1"/>
    <col min="4" max="4" width="4.7109375" style="44" bestFit="1" customWidth="1"/>
    <col min="5" max="5" width="13.85546875" style="44" bestFit="1" customWidth="1"/>
    <col min="6" max="6" width="50.7109375" style="47" hidden="1" customWidth="1"/>
    <col min="7" max="7" width="50.7109375" style="47" customWidth="1"/>
    <col min="8" max="8" width="29.28515625" style="17" customWidth="1"/>
    <col min="9" max="20" width="17.28515625" style="18" customWidth="1"/>
    <col min="21" max="16384" width="14.42578125" style="18"/>
  </cols>
  <sheetData>
    <row r="1" spans="1:11" s="33" customFormat="1" x14ac:dyDescent="0.25">
      <c r="A1" s="35" t="s">
        <v>557</v>
      </c>
      <c r="B1" s="36">
        <v>3</v>
      </c>
      <c r="C1" s="36"/>
      <c r="D1" s="37"/>
      <c r="E1" s="38"/>
      <c r="F1" s="45"/>
      <c r="G1" s="45"/>
      <c r="H1" s="17"/>
      <c r="K1" s="33" t="str">
        <f ca="1">CodeGenItemMetaEN(A3:G199)</f>
        <v/>
      </c>
    </row>
    <row r="2" spans="1:11" s="33" customFormat="1" x14ac:dyDescent="0.25">
      <c r="A2" s="39" t="s">
        <v>662</v>
      </c>
      <c r="B2" s="40" t="s">
        <v>663</v>
      </c>
      <c r="C2" s="40" t="s">
        <v>664</v>
      </c>
      <c r="D2" s="41" t="s">
        <v>850</v>
      </c>
      <c r="E2" s="42" t="s">
        <v>856</v>
      </c>
      <c r="F2" s="46" t="s">
        <v>660</v>
      </c>
      <c r="G2" s="46" t="s">
        <v>661</v>
      </c>
      <c r="H2" s="17"/>
    </row>
    <row r="3" spans="1:11" x14ac:dyDescent="0.25">
      <c r="D3" s="43"/>
      <c r="E3" s="43"/>
      <c r="F3" s="53" t="s">
        <v>0</v>
      </c>
      <c r="G3" s="53" t="s">
        <v>873</v>
      </c>
      <c r="H3" s="17" t="str">
        <f ca="1">_xlfn.CONCAT(G3:G6)</f>
        <v>Fallen of ArthasOn Attack: 15% chance to cast Death Coil, deals 120-420 magic damage to target. Target takes 3% extra damge+3-12 All statsGrant Aura of Unholy: All allies within 600 yards regen 3-21 HP per second</v>
      </c>
      <c r="I3" s="17">
        <f ca="1">LEN(H3)</f>
        <v>212</v>
      </c>
    </row>
    <row r="4" spans="1:11" ht="28.5" x14ac:dyDescent="0.25">
      <c r="A4" s="44">
        <v>51</v>
      </c>
      <c r="B4" s="44">
        <v>120</v>
      </c>
      <c r="C4" s="44">
        <v>140</v>
      </c>
      <c r="D4" s="43">
        <f ca="1">OFFSET(Attributes!$A$1,MATCH(Relic!$A4,Attributes!$A:$A,0)-1,MATCH("Type",Attributes!$1:$1,0)-1)</f>
        <v>2</v>
      </c>
      <c r="E4" s="43" t="str">
        <f ca="1">IFERROR(OFFSET(Attributes!$A$1,MATCH(Relic!$A4,Attributes!$A:$A,0)-1,MATCH("Abbr",Attributes!$1:$1,0)-1),"")</f>
        <v>ATK_COIL</v>
      </c>
      <c r="F4" s="53" t="s">
        <v>860</v>
      </c>
      <c r="G4" s="53" t="str">
        <f ca="1">SUBSTITUTE(OFFSET(Attributes!$A$1,MATCH($A4,Attributes!$A:$A,0)-1,MATCH("Attr EN",Attributes!$1:$1,0)-1),"#",$B4&amp;"-"&amp;$C4*$B$1)</f>
        <v>On Attack: 15% chance to cast Death Coil, deals 120-420 magic damage to target. Target takes 3% extra damge</v>
      </c>
      <c r="I4" s="17"/>
    </row>
    <row r="5" spans="1:11" x14ac:dyDescent="0.25">
      <c r="A5" s="44">
        <v>7</v>
      </c>
      <c r="B5" s="44">
        <v>3</v>
      </c>
      <c r="C5" s="44">
        <v>4</v>
      </c>
      <c r="D5" s="43">
        <f ca="1">OFFSET(Attributes!$A$1,MATCH(Relic!$A5,Attributes!$A:$A,0)-1,MATCH("Type",Attributes!$1:$1,0)-1)</f>
        <v>1</v>
      </c>
      <c r="E5" s="43" t="str">
        <f ca="1">IFERROR(OFFSET(Attributes!$A$1,MATCH(Relic!$A5,Attributes!$A:$A,0)-1,MATCH("Abbr",Attributes!$1:$1,0)-1),"")</f>
        <v>ALLSTAT</v>
      </c>
      <c r="F5" s="53" t="s">
        <v>861</v>
      </c>
      <c r="G5" s="53" t="str">
        <f ca="1">SUBSTITUTE(OFFSET(Attributes!$A$1,MATCH($A5,Attributes!$A:$A,0)-1,MATCH("Attr EN",Attributes!$1:$1,0)-1),"#",$B5&amp;"-"&amp;$C5*$B$1)</f>
        <v>+3-12 All stats</v>
      </c>
    </row>
    <row r="6" spans="1:11" ht="28.5" x14ac:dyDescent="0.25">
      <c r="A6" s="44">
        <v>85</v>
      </c>
      <c r="B6" s="44">
        <v>3</v>
      </c>
      <c r="C6" s="44">
        <v>7</v>
      </c>
      <c r="D6" s="43">
        <f ca="1">OFFSET(Attributes!$A$1,MATCH(Relic!$A6,Attributes!$A:$A,0)-1,MATCH("Type",Attributes!$1:$1,0)-1)</f>
        <v>2</v>
      </c>
      <c r="E6" s="43" t="str">
        <f ca="1">IFERROR(OFFSET(Attributes!$A$1,MATCH(Relic!$A6,Attributes!$A:$A,0)-1,MATCH("Abbr",Attributes!$1:$1,0)-1),"")</f>
        <v>AURA_UNHOLY</v>
      </c>
      <c r="F6" s="53" t="s">
        <v>862</v>
      </c>
      <c r="G6" s="53" t="str">
        <f ca="1">SUBSTITUTE(OFFSET(Attributes!$A$1,MATCH($A6,Attributes!$A:$A,0)-1,MATCH("Attr EN",Attributes!$1:$1,0)-1),"#",$B6&amp;"-"&amp;$C6*$B$1)</f>
        <v>Grant Aura of Unholy: All allies within 600 yards regen 3-21 HP per second</v>
      </c>
    </row>
    <row r="8" spans="1:11" x14ac:dyDescent="0.25">
      <c r="F8" s="49" t="s">
        <v>1</v>
      </c>
      <c r="G8" s="49" t="s">
        <v>869</v>
      </c>
      <c r="H8" s="17" t="e">
        <f>FormatItemName(G8)</f>
        <v>#VALUE!</v>
      </c>
      <c r="I8" s="17" t="e">
        <f>LEN(H8)</f>
        <v>#VALUE!</v>
      </c>
    </row>
    <row r="9" spans="1:11" x14ac:dyDescent="0.25">
      <c r="A9" s="44">
        <v>13</v>
      </c>
      <c r="B9" s="44">
        <v>5</v>
      </c>
      <c r="C9" s="44">
        <v>8</v>
      </c>
      <c r="D9" s="43">
        <f ca="1">OFFSET(Attributes!$A$1,MATCH(Relic!$A9,Attributes!$A:$A,0)-1,MATCH("Type",Attributes!$1:$1,0)-1)</f>
        <v>1</v>
      </c>
      <c r="E9" s="43" t="str">
        <f ca="1">IFERROR(OFFSET(Attributes!$A$1,MATCH(Relic!$A9,Attributes!$A:$A,0)-1,MATCH("Abbr",Attributes!$1:$1,0)-1),"")</f>
        <v>AGI</v>
      </c>
      <c r="F9" s="50" t="s">
        <v>272</v>
      </c>
      <c r="G9" s="50" t="str">
        <f ca="1">SUBSTITUTE(OFFSET(Attributes!$A$1,MATCH($A9,Attributes!$A:$A,0)-1,MATCH("Attr EN",Attributes!$1:$1,0)-1),"#",$B9&amp;"-"&amp;$C9*$B$1)</f>
        <v>+5-24 Agility</v>
      </c>
      <c r="H9" s="17" t="e">
        <f>FormatItemDescription(G8:G13)</f>
        <v>#VALUE!</v>
      </c>
    </row>
    <row r="10" spans="1:11" x14ac:dyDescent="0.25">
      <c r="A10" s="44">
        <v>21</v>
      </c>
      <c r="B10" s="44">
        <v>50</v>
      </c>
      <c r="C10" s="44">
        <v>75</v>
      </c>
      <c r="D10" s="43">
        <f ca="1">OFFSET(Attributes!$A$1,MATCH(Relic!$A10,Attributes!$A:$A,0)-1,MATCH("Type",Attributes!$1:$1,0)-1)</f>
        <v>1</v>
      </c>
      <c r="E10" s="43" t="str">
        <f ca="1">IFERROR(OFFSET(Attributes!$A$1,MATCH(Relic!$A10,Attributes!$A:$A,0)-1,MATCH("Abbr",Attributes!$1:$1,0)-1),"")</f>
        <v>HP</v>
      </c>
      <c r="F10" s="50" t="s">
        <v>275</v>
      </c>
      <c r="G10" s="50" t="str">
        <f ca="1">SUBSTITUTE(OFFSET(Attributes!$A$1,MATCH($A10,Attributes!$A:$A,0)-1,MATCH("Attr EN",Attributes!$1:$1,0)-1),"#",$B10&amp;"-"&amp;$C10*$B$1)</f>
        <v>+50-225 Max HP</v>
      </c>
      <c r="H10" s="17" t="str">
        <f ca="1">FormatItemUbertip(G9:G12)</f>
        <v>+5-24 Agility|N+50-225 Max HP|N-0.01-0.06 All damage taken|N|CFFFFFF33+0.02-0.12 Block chance|R</v>
      </c>
    </row>
    <row r="11" spans="1:11" x14ac:dyDescent="0.25">
      <c r="A11" s="44">
        <v>1</v>
      </c>
      <c r="B11" s="44">
        <v>0.01</v>
      </c>
      <c r="C11" s="44">
        <v>0.02</v>
      </c>
      <c r="D11" s="43">
        <f ca="1">OFFSET(Attributes!$A$1,MATCH(Relic!$A11,Attributes!$A:$A,0)-1,MATCH("Type",Attributes!$1:$1,0)-1)</f>
        <v>1</v>
      </c>
      <c r="E11" s="43" t="str">
        <f ca="1">IFERROR(OFFSET(Attributes!$A$1,MATCH(Relic!$A11,Attributes!$A:$A,0)-1,MATCH("Abbr",Attributes!$1:$1,0)-1),"")</f>
        <v>DR</v>
      </c>
      <c r="F11" s="50" t="s">
        <v>276</v>
      </c>
      <c r="G11" s="50" t="str">
        <f ca="1">SUBSTITUTE(OFFSET(Attributes!$A$1,MATCH($A11,Attributes!$A:$A,0)-1,MATCH("Attr EN",Attributes!$1:$1,0)-1),"#",$B11&amp;"-"&amp;$C11*$B$1)</f>
        <v>-0.01-0.06 All damage taken</v>
      </c>
    </row>
    <row r="12" spans="1:11" x14ac:dyDescent="0.25">
      <c r="A12" s="44">
        <v>16</v>
      </c>
      <c r="B12" s="44">
        <v>0.02</v>
      </c>
      <c r="C12" s="44">
        <v>0.04</v>
      </c>
      <c r="D12" s="43">
        <f ca="1">OFFSET(Attributes!$A$1,MATCH(Relic!$A12,Attributes!$A:$A,0)-1,MATCH("Type",Attributes!$1:$1,0)-1)</f>
        <v>1</v>
      </c>
      <c r="E12" s="43" t="str">
        <f ca="1">IFERROR(OFFSET(Attributes!$A$1,MATCH(Relic!$A12,Attributes!$A:$A,0)-1,MATCH("Abbr",Attributes!$1:$1,0)-1),"")</f>
        <v>BR</v>
      </c>
      <c r="F12" s="53" t="s">
        <v>863</v>
      </c>
      <c r="G12" s="53" t="str">
        <f ca="1">SUBSTITUTE(OFFSET(Attributes!$A$1,MATCH($A12,Attributes!$A:$A,0)-1,MATCH("Attr EN",Attributes!$1:$1,0)-1),"#",$B12&amp;"-"&amp;$C12*$B$1)</f>
        <v>+0.02-0.12 Block chance</v>
      </c>
    </row>
    <row r="13" spans="1:11" x14ac:dyDescent="0.25">
      <c r="F13" s="51" t="s">
        <v>2</v>
      </c>
      <c r="G13" s="51" t="s">
        <v>874</v>
      </c>
      <c r="I13" s="17"/>
    </row>
    <row r="15" spans="1:11" x14ac:dyDescent="0.25">
      <c r="F15" s="49" t="s">
        <v>3</v>
      </c>
      <c r="G15" s="49" t="s">
        <v>870</v>
      </c>
      <c r="H15" s="17" t="e">
        <f>FormatItemName(G15)</f>
        <v>#VALUE!</v>
      </c>
      <c r="I15" s="17" t="e">
        <f>LEN(H15)</f>
        <v>#VALUE!</v>
      </c>
    </row>
    <row r="16" spans="1:11" x14ac:dyDescent="0.25">
      <c r="A16" s="44">
        <v>9</v>
      </c>
      <c r="B16" s="44">
        <v>9</v>
      </c>
      <c r="C16" s="44">
        <v>12</v>
      </c>
      <c r="D16" s="43">
        <f ca="1">OFFSET(Attributes!$A$1,MATCH(Relic!$A16,Attributes!$A:$A,0)-1,MATCH("Type",Attributes!$1:$1,0)-1)</f>
        <v>1</v>
      </c>
      <c r="E16" s="43" t="str">
        <f ca="1">IFERROR(OFFSET(Attributes!$A$1,MATCH(Relic!$A16,Attributes!$A:$A,0)-1,MATCH("Abbr",Attributes!$1:$1,0)-1),"")</f>
        <v>AP</v>
      </c>
      <c r="F16" s="50" t="str">
        <f ca="1">SUBSTITUTE(OFFSET(Attributes!$A$1,MATCH($A16,Attributes!$A:$A,0)-1,MATCH("Attr CN",Attributes!$1:$1,0)-1),"#",$B16&amp;"-"&amp;$C16*$B$1)</f>
        <v>+9-36攻击强度</v>
      </c>
      <c r="G16" s="50" t="str">
        <f ca="1">SUBSTITUTE(OFFSET(Attributes!$A$1,MATCH($A16,Attributes!$A:$A,0)-1,MATCH("Attr EN",Attributes!$1:$1,0)-1),"#",$B16&amp;"-"&amp;$C16*$B$1)</f>
        <v>+9-36 Attack power</v>
      </c>
      <c r="H16" s="17" t="e">
        <f>FormatItemDescription(G15:G20)</f>
        <v>#VALUE!</v>
      </c>
    </row>
    <row r="17" spans="1:9" x14ac:dyDescent="0.25">
      <c r="A17" s="44">
        <v>12</v>
      </c>
      <c r="B17" s="44">
        <v>4</v>
      </c>
      <c r="C17" s="44">
        <v>6</v>
      </c>
      <c r="D17" s="43">
        <f ca="1">OFFSET(Attributes!$A$1,MATCH(Relic!$A17,Attributes!$A:$A,0)-1,MATCH("Type",Attributes!$1:$1,0)-1)</f>
        <v>1</v>
      </c>
      <c r="E17" s="43" t="str">
        <f ca="1">IFERROR(OFFSET(Attributes!$A$1,MATCH(Relic!$A17,Attributes!$A:$A,0)-1,MATCH("Abbr",Attributes!$1:$1,0)-1),"")</f>
        <v>IAS</v>
      </c>
      <c r="F17" s="50" t="s">
        <v>274</v>
      </c>
      <c r="G17" s="50" t="str">
        <f ca="1">SUBSTITUTE(OFFSET(Attributes!$A$1,MATCH($A17,Attributes!$A:$A,0)-1,MATCH("Attr EN",Attributes!$1:$1,0)-1),"#",$B17&amp;"-"&amp;$C17*$B$1)</f>
        <v>+4-18% Attack speed</v>
      </c>
      <c r="H17" s="17" t="str">
        <f ca="1">FormatItemUbertip(G16:G19)</f>
        <v>+9-36 Attack power|N+4-18% Attack speed|N|CFF33FF33Deals 0.05-0.27 extra damage to non-hero targets|R|N|CFFFFFF33+12-54 Movement speed|R</v>
      </c>
    </row>
    <row r="18" spans="1:9" x14ac:dyDescent="0.25">
      <c r="A18" s="44">
        <v>67</v>
      </c>
      <c r="B18" s="44">
        <v>0.05</v>
      </c>
      <c r="C18" s="44">
        <v>0.09</v>
      </c>
      <c r="D18" s="43">
        <f ca="1">OFFSET(Attributes!$A$1,MATCH(Relic!$A18,Attributes!$A:$A,0)-1,MATCH("Type",Attributes!$1:$1,0)-1)</f>
        <v>2</v>
      </c>
      <c r="E18" s="43" t="str">
        <f ca="1">IFERROR(OFFSET(Attributes!$A$1,MATCH(Relic!$A18,Attributes!$A:$A,0)-1,MATCH("Abbr",Attributes!$1:$1,0)-1),"")</f>
        <v>CRKILLER</v>
      </c>
      <c r="F18" s="48" t="s">
        <v>4</v>
      </c>
      <c r="G18" s="48" t="str">
        <f ca="1">SUBSTITUTE(OFFSET(Attributes!$A$1,MATCH($A18,Attributes!$A:$A,0)-1,MATCH("Attr EN",Attributes!$1:$1,0)-1),"#",$B18&amp;"-"&amp;$C18*$B$1)</f>
        <v>Deals 0.05-0.27 extra damage to non-hero targets</v>
      </c>
    </row>
    <row r="19" spans="1:9" x14ac:dyDescent="0.25">
      <c r="A19" s="44">
        <v>24</v>
      </c>
      <c r="B19" s="44">
        <v>12</v>
      </c>
      <c r="C19" s="44">
        <v>18</v>
      </c>
      <c r="D19" s="43">
        <f ca="1">OFFSET(Attributes!$A$1,MATCH(Relic!$A19,Attributes!$A:$A,0)-1,MATCH("Type",Attributes!$1:$1,0)-1)</f>
        <v>1</v>
      </c>
      <c r="E19" s="43" t="str">
        <f ca="1">IFERROR(OFFSET(Attributes!$A$1,MATCH(Relic!$A19,Attributes!$A:$A,0)-1,MATCH("Abbr",Attributes!$1:$1,0)-1),"")</f>
        <v>MS</v>
      </c>
      <c r="F19" s="53" t="s">
        <v>864</v>
      </c>
      <c r="G19" s="53" t="str">
        <f ca="1">SUBSTITUTE(OFFSET(Attributes!$A$1,MATCH($A19,Attributes!$A:$A,0)-1,MATCH("Attr EN",Attributes!$1:$1,0)-1),"#",$B19&amp;"-"&amp;$C19*$B$1)</f>
        <v>+12-54 Movement speed</v>
      </c>
    </row>
    <row r="20" spans="1:9" ht="28.5" x14ac:dyDescent="0.25">
      <c r="F20" s="51" t="s">
        <v>5</v>
      </c>
      <c r="G20" s="51" t="s">
        <v>875</v>
      </c>
    </row>
    <row r="22" spans="1:9" x14ac:dyDescent="0.25">
      <c r="F22" s="49" t="s">
        <v>6</v>
      </c>
      <c r="G22" s="49" t="s">
        <v>871</v>
      </c>
      <c r="H22" s="17" t="e">
        <f>FormatItemName(G22)</f>
        <v>#VALUE!</v>
      </c>
      <c r="I22" s="17" t="e">
        <f>LEN(H22)</f>
        <v>#VALUE!</v>
      </c>
    </row>
    <row r="23" spans="1:9" x14ac:dyDescent="0.25">
      <c r="A23" s="44">
        <v>9</v>
      </c>
      <c r="B23" s="44">
        <v>12</v>
      </c>
      <c r="C23" s="44">
        <v>16</v>
      </c>
      <c r="D23" s="43">
        <f ca="1">OFFSET(Attributes!$A$1,MATCH(Relic!$A23,Attributes!$A:$A,0)-1,MATCH("Type",Attributes!$1:$1,0)-1)</f>
        <v>1</v>
      </c>
      <c r="E23" s="43" t="str">
        <f ca="1">IFERROR(OFFSET(Attributes!$A$1,MATCH(Relic!$A23,Attributes!$A:$A,0)-1,MATCH("Abbr",Attributes!$1:$1,0)-1),"")</f>
        <v>AP</v>
      </c>
      <c r="F23" s="50" t="str">
        <f ca="1">SUBSTITUTE(OFFSET(Attributes!$A$1,MATCH($A23,Attributes!$A:$A,0)-1,MATCH("Attr CN",Attributes!$1:$1,0)-1),"#",$B23&amp;"-"&amp;$C23*$B$1)</f>
        <v>+12-48攻击强度</v>
      </c>
      <c r="G23" s="50" t="str">
        <f ca="1">SUBSTITUTE(OFFSET(Attributes!$A$1,MATCH($A23,Attributes!$A:$A,0)-1,MATCH("Attr EN",Attributes!$1:$1,0)-1),"#",$B23&amp;"-"&amp;$C23*$B$1)</f>
        <v>+12-48 Attack power</v>
      </c>
      <c r="H23" s="17" t="e">
        <f>FormatItemDescription(G22:G28)</f>
        <v>#VALUE!</v>
      </c>
    </row>
    <row r="24" spans="1:9" ht="42.75" x14ac:dyDescent="0.25">
      <c r="A24" s="44">
        <v>52</v>
      </c>
      <c r="B24" s="44">
        <v>26</v>
      </c>
      <c r="C24" s="44">
        <v>48</v>
      </c>
      <c r="D24" s="43">
        <f ca="1">OFFSET(Attributes!$A$1,MATCH(Relic!$A24,Attributes!$A:$A,0)-1,MATCH("Type",Attributes!$1:$1,0)-1)</f>
        <v>2</v>
      </c>
      <c r="E24" s="43" t="str">
        <f ca="1">IFERROR(OFFSET(Attributes!$A$1,MATCH(Relic!$A24,Attributes!$A:$A,0)-1,MATCH("Abbr",Attributes!$1:$1,0)-1),"")</f>
        <v>ATK_BLEED</v>
      </c>
      <c r="F24" s="48" t="s">
        <v>7</v>
      </c>
      <c r="G24" s="48" t="str">
        <f ca="1">SUBSTITUTE(OFFSET(Attributes!$A$1,MATCH($A24,Attributes!$A:$A,0)-1,MATCH("Attr EN",Attributes!$1:$1,0)-1),"#",$B24&amp;"-"&amp;$C24*$B$1)</f>
        <v>On Attack: 20% chance to deal bleed effect to target. Target takes 26-144 physical damage over time, lasts for 10 seconds</v>
      </c>
      <c r="H24" s="17" t="str">
        <f ca="1">FormatItemUbertip(G23:G27)</f>
        <v>+12-48 Attack power|N|CFF33FF33On Attack: 20% chance to deal bleed effect to target. Target takes 26-144 physical damage over time, lasts for 10 seconds|R|N|CFF33FF33On Attack: 5% chance to increase 0.02-0.12 attack critical chance, lasts for 5 seconds|R|N|CFFFFFF33+3-12% Attack speed|R|N|CFFFFFF33On Attack: 5% chance to stun target for 1-3 seconds|R</v>
      </c>
    </row>
    <row r="25" spans="1:9" ht="28.5" x14ac:dyDescent="0.25">
      <c r="A25" s="44">
        <v>55</v>
      </c>
      <c r="B25" s="44">
        <v>0.02</v>
      </c>
      <c r="C25" s="44">
        <v>0.04</v>
      </c>
      <c r="D25" s="43">
        <f ca="1">OFFSET(Attributes!$A$1,MATCH(Relic!$A25,Attributes!$A:$A,0)-1,MATCH("Type",Attributes!$1:$1,0)-1)</f>
        <v>2</v>
      </c>
      <c r="E25" s="43" t="str">
        <f ca="1">IFERROR(OFFSET(Attributes!$A$1,MATCH(Relic!$A25,Attributes!$A:$A,0)-1,MATCH("Abbr",Attributes!$1:$1,0)-1),"")</f>
        <v>ATK_CRIT</v>
      </c>
      <c r="F25" s="48" t="s">
        <v>8</v>
      </c>
      <c r="G25" s="48" t="str">
        <f ca="1">SUBSTITUTE(OFFSET(Attributes!$A$1,MATCH($A25,Attributes!$A:$A,0)-1,MATCH("Attr EN",Attributes!$1:$1,0)-1),"#",$B25&amp;"-"&amp;$C25*$B$1)</f>
        <v>On Attack: 5% chance to increase 0.02-0.12 attack critical chance, lasts for 5 seconds</v>
      </c>
    </row>
    <row r="26" spans="1:9" x14ac:dyDescent="0.25">
      <c r="A26" s="44">
        <v>12</v>
      </c>
      <c r="B26" s="44">
        <v>3</v>
      </c>
      <c r="C26" s="44">
        <v>4</v>
      </c>
      <c r="D26" s="43">
        <f ca="1">OFFSET(Attributes!$A$1,MATCH(Relic!$A26,Attributes!$A:$A,0)-1,MATCH("Type",Attributes!$1:$1,0)-1)</f>
        <v>1</v>
      </c>
      <c r="E26" s="43" t="str">
        <f ca="1">IFERROR(OFFSET(Attributes!$A$1,MATCH(Relic!$A26,Attributes!$A:$A,0)-1,MATCH("Abbr",Attributes!$1:$1,0)-1),"")</f>
        <v>IAS</v>
      </c>
      <c r="F26" s="53" t="s">
        <v>865</v>
      </c>
      <c r="G26" s="53" t="str">
        <f ca="1">SUBSTITUTE(OFFSET(Attributes!$A$1,MATCH($A26,Attributes!$A:$A,0)-1,MATCH("Attr EN",Attributes!$1:$1,0)-1),"#",$B26&amp;"-"&amp;$C26*$B$1)</f>
        <v>+3-12% Attack speed</v>
      </c>
    </row>
    <row r="27" spans="1:9" x14ac:dyDescent="0.25">
      <c r="A27" s="44">
        <v>54</v>
      </c>
      <c r="B27" s="44">
        <v>1</v>
      </c>
      <c r="C27" s="44">
        <v>1</v>
      </c>
      <c r="D27" s="43">
        <f ca="1">OFFSET(Attributes!$A$1,MATCH(Relic!$A27,Attributes!$A:$A,0)-1,MATCH("Type",Attributes!$1:$1,0)-1)</f>
        <v>2</v>
      </c>
      <c r="E27" s="43" t="str">
        <f ca="1">IFERROR(OFFSET(Attributes!$A$1,MATCH(Relic!$A27,Attributes!$A:$A,0)-1,MATCH("Abbr",Attributes!$1:$1,0)-1),"")</f>
        <v>ATK_STUN</v>
      </c>
      <c r="F27" s="53" t="s">
        <v>866</v>
      </c>
      <c r="G27" s="53" t="str">
        <f ca="1">SUBSTITUTE(OFFSET(Attributes!$A$1,MATCH($A27,Attributes!$A:$A,0)-1,MATCH("Attr EN",Attributes!$1:$1,0)-1),"#",$B27&amp;"-"&amp;$C27*$B$1)</f>
        <v>On Attack: 5% chance to stun target for 1-3 seconds</v>
      </c>
    </row>
    <row r="28" spans="1:9" x14ac:dyDescent="0.25">
      <c r="F28" s="51" t="s">
        <v>9</v>
      </c>
      <c r="G28" s="51" t="s">
        <v>876</v>
      </c>
    </row>
    <row r="30" spans="1:9" x14ac:dyDescent="0.25">
      <c r="F30" s="49" t="s">
        <v>10</v>
      </c>
      <c r="G30" s="49" t="s">
        <v>872</v>
      </c>
      <c r="H30" s="17" t="e">
        <f>FormatItemName(G30)</f>
        <v>#VALUE!</v>
      </c>
      <c r="I30" s="17" t="e">
        <f>LEN(H30)</f>
        <v>#VALUE!</v>
      </c>
    </row>
    <row r="31" spans="1:9" x14ac:dyDescent="0.25">
      <c r="A31" s="44">
        <v>4</v>
      </c>
      <c r="B31" s="44">
        <v>4</v>
      </c>
      <c r="C31" s="44">
        <v>6</v>
      </c>
      <c r="D31" s="43">
        <f ca="1">OFFSET(Attributes!$A$1,MATCH(Relic!$A31,Attributes!$A:$A,0)-1,MATCH("Type",Attributes!$1:$1,0)-1)</f>
        <v>1</v>
      </c>
      <c r="E31" s="43" t="str">
        <f ca="1">IFERROR(OFFSET(Attributes!$A$1,MATCH(Relic!$A31,Attributes!$A:$A,0)-1,MATCH("Abbr",Attributes!$1:$1,0)-1),"")</f>
        <v>STR</v>
      </c>
      <c r="F31" s="50" t="s">
        <v>271</v>
      </c>
      <c r="G31" s="50" t="str">
        <f ca="1">SUBSTITUTE(OFFSET(Attributes!$A$1,MATCH($A31,Attributes!$A:$A,0)-1,MATCH("Attr EN",Attributes!$1:$1,0)-1),"#",$B31&amp;"-"&amp;$C31*$B$1)</f>
        <v>+4-18 Strength</v>
      </c>
      <c r="H31" s="17" t="e">
        <f>FormatItemDescription(G30:G36)</f>
        <v>#VALUE!</v>
      </c>
    </row>
    <row r="32" spans="1:9" x14ac:dyDescent="0.25">
      <c r="A32" s="44">
        <v>44</v>
      </c>
      <c r="B32" s="44">
        <v>0.02</v>
      </c>
      <c r="C32" s="44">
        <v>0.04</v>
      </c>
      <c r="D32" s="43">
        <f ca="1">OFFSET(Attributes!$A$1,MATCH(Relic!$A32,Attributes!$A:$A,0)-1,MATCH("Type",Attributes!$1:$1,0)-1)</f>
        <v>3</v>
      </c>
      <c r="E32" s="43" t="str">
        <f ca="1">IFERROR(OFFSET(Attributes!$A$1,MATCH(Relic!$A32,Attributes!$A:$A,0)-1,MATCH("Abbr",Attributes!$1:$1,0)-1),"")</f>
        <v>ATK_LL</v>
      </c>
      <c r="F32" s="52" t="s">
        <v>11</v>
      </c>
      <c r="G32" s="52" t="str">
        <f ca="1">SUBSTITUTE(OFFSET(Attributes!$A$1,MATCH($A32,Attributes!$A:$A,0)-1,MATCH("Attr EN",Attributes!$1:$1,0)-1),"#",$B32&amp;"-"&amp;$C32*$B$1)</f>
        <v>+0.02-0.12 Life stolen per hit</v>
      </c>
      <c r="H32" s="17" t="str">
        <f ca="1">FormatItemUbertip(G31:G35)</f>
        <v>+4-18 Strength|N|CFF87CEEB+0.02-0.12 Life stolen per hit|R|N|CFF33FF33Absorb 7-36 HP from all enemies nearby every second|R|N|CFFFFFF33+0.02-0.09 Mana stolen per hit|R|N|CFFFFFF33Deals 24-165 extra magic damage per hit, scaled up by target HP lost|R</v>
      </c>
    </row>
    <row r="33" spans="1:7" x14ac:dyDescent="0.25">
      <c r="A33" s="44">
        <v>71</v>
      </c>
      <c r="B33" s="44">
        <v>7</v>
      </c>
      <c r="C33" s="44">
        <v>12</v>
      </c>
      <c r="D33" s="43">
        <f ca="1">OFFSET(Attributes!$A$1,MATCH(Relic!$A33,Attributes!$A:$A,0)-1,MATCH("Type",Attributes!$1:$1,0)-1)</f>
        <v>2</v>
      </c>
      <c r="E33" s="43" t="str">
        <f ca="1">IFERROR(OFFSET(Attributes!$A$1,MATCH(Relic!$A33,Attributes!$A:$A,0)-1,MATCH("Abbr",Attributes!$1:$1,0)-1),"")</f>
        <v>LEECHAURA</v>
      </c>
      <c r="F33" s="48" t="s">
        <v>12</v>
      </c>
      <c r="G33" s="48" t="str">
        <f ca="1">SUBSTITUTE(OFFSET(Attributes!$A$1,MATCH($A33,Attributes!$A:$A,0)-1,MATCH("Attr EN",Attributes!$1:$1,0)-1),"#",$B33&amp;"-"&amp;$C33*$B$1)</f>
        <v>Absorb 7-36 HP from all enemies nearby every second</v>
      </c>
    </row>
    <row r="34" spans="1:7" x14ac:dyDescent="0.25">
      <c r="A34" s="44">
        <v>43</v>
      </c>
      <c r="B34" s="44">
        <v>0.02</v>
      </c>
      <c r="C34" s="44">
        <v>0.03</v>
      </c>
      <c r="D34" s="43">
        <f ca="1">OFFSET(Attributes!$A$1,MATCH(Relic!$A34,Attributes!$A:$A,0)-1,MATCH("Type",Attributes!$1:$1,0)-1)</f>
        <v>3</v>
      </c>
      <c r="E34" s="43" t="str">
        <f ca="1">IFERROR(OFFSET(Attributes!$A$1,MATCH(Relic!$A34,Attributes!$A:$A,0)-1,MATCH("Abbr",Attributes!$1:$1,0)-1),"")</f>
        <v>ATK_ML</v>
      </c>
      <c r="F34" s="53" t="s">
        <v>867</v>
      </c>
      <c r="G34" s="53" t="str">
        <f ca="1">SUBSTITUTE(OFFSET(Attributes!$A$1,MATCH($A34,Attributes!$A:$A,0)-1,MATCH("Attr EN",Attributes!$1:$1,0)-1),"#",$B34&amp;"-"&amp;$C34*$B$1)</f>
        <v>+0.02-0.09 Mana stolen per hit</v>
      </c>
    </row>
    <row r="35" spans="1:7" ht="28.5" x14ac:dyDescent="0.25">
      <c r="A35" s="44">
        <v>58</v>
      </c>
      <c r="B35" s="44">
        <v>24</v>
      </c>
      <c r="C35" s="44">
        <v>55</v>
      </c>
      <c r="D35" s="43">
        <f ca="1">OFFSET(Attributes!$A$1,MATCH(Relic!$A35,Attributes!$A:$A,0)-1,MATCH("Type",Attributes!$1:$1,0)-1)</f>
        <v>3</v>
      </c>
      <c r="E35" s="43" t="str">
        <f ca="1">IFERROR(OFFSET(Attributes!$A$1,MATCH(Relic!$A35,Attributes!$A:$A,0)-1,MATCH("Abbr",Attributes!$1:$1,0)-1),"")</f>
        <v>ATK_MDK</v>
      </c>
      <c r="F35" s="53" t="s">
        <v>868</v>
      </c>
      <c r="G35" s="53" t="str">
        <f ca="1">SUBSTITUTE(OFFSET(Attributes!$A$1,MATCH($A35,Attributes!$A:$A,0)-1,MATCH("Attr EN",Attributes!$1:$1,0)-1),"#",$B35&amp;"-"&amp;$C35*$B$1)</f>
        <v>Deals 24-165 extra magic damage per hit, scaled up by target HP lost</v>
      </c>
    </row>
    <row r="36" spans="1:7" x14ac:dyDescent="0.25">
      <c r="F36" s="51" t="s">
        <v>15</v>
      </c>
      <c r="G36" s="51" t="s">
        <v>877</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30" bestFit="1" customWidth="1"/>
    <col min="9" max="9" width="116" style="30"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54" t="s">
        <v>331</v>
      </c>
      <c r="B1" s="54"/>
      <c r="C1" s="55"/>
      <c r="D1" s="54"/>
      <c r="E1" s="54"/>
      <c r="F1" s="55"/>
      <c r="G1" s="55"/>
      <c r="H1" s="56"/>
      <c r="I1" s="56"/>
      <c r="J1" s="54" t="s">
        <v>96</v>
      </c>
      <c r="K1" s="54"/>
      <c r="L1" s="54"/>
    </row>
    <row r="2" spans="1:12" ht="24.95" customHeight="1" x14ac:dyDescent="0.25">
      <c r="A2" s="54"/>
      <c r="B2" s="57" t="s">
        <v>97</v>
      </c>
      <c r="C2" s="58">
        <v>2</v>
      </c>
      <c r="D2" s="57"/>
      <c r="E2" s="59" t="s">
        <v>98</v>
      </c>
      <c r="F2" s="58">
        <v>1</v>
      </c>
      <c r="G2" s="58">
        <v>1</v>
      </c>
      <c r="H2" s="56" t="s">
        <v>99</v>
      </c>
      <c r="I2" s="60" t="s">
        <v>100</v>
      </c>
      <c r="J2" s="61"/>
      <c r="K2" s="54"/>
      <c r="L2" s="54" t="str">
        <f t="shared" ref="L2:L69" si="0">IF(F2, CONCATENATE("thistype.create('",B2, "', ", C2, ", true, false, ",F2,", ",G2,");"), "")</f>
        <v>thistype.create('Ial0', 2, true, false, 1, 1);</v>
      </c>
    </row>
    <row r="3" spans="1:12" ht="24.95" customHeight="1" x14ac:dyDescent="0.25">
      <c r="A3" s="54"/>
      <c r="B3" s="57" t="s">
        <v>101</v>
      </c>
      <c r="C3" s="58">
        <v>2</v>
      </c>
      <c r="D3" s="57"/>
      <c r="E3" s="59" t="s">
        <v>102</v>
      </c>
      <c r="F3" s="58">
        <v>1</v>
      </c>
      <c r="G3" s="58">
        <v>1</v>
      </c>
      <c r="H3" s="56" t="s">
        <v>103</v>
      </c>
      <c r="I3" s="56"/>
      <c r="J3" s="61"/>
      <c r="K3" s="54"/>
      <c r="L3" s="54" t="str">
        <f t="shared" si="0"/>
        <v>thistype.create('shas', 2, true, false, 1, 1);</v>
      </c>
    </row>
    <row r="4" spans="1:12" ht="24.95" customHeight="1" x14ac:dyDescent="0.25">
      <c r="A4" s="54"/>
      <c r="B4" s="57" t="s">
        <v>104</v>
      </c>
      <c r="C4" s="58">
        <v>2</v>
      </c>
      <c r="D4" s="57"/>
      <c r="E4" s="62" t="s">
        <v>105</v>
      </c>
      <c r="F4" s="58">
        <v>1</v>
      </c>
      <c r="G4" s="58">
        <v>1</v>
      </c>
      <c r="H4" s="56" t="s">
        <v>106</v>
      </c>
      <c r="I4" s="56"/>
      <c r="J4" s="61"/>
      <c r="K4" s="54"/>
      <c r="L4" s="54" t="str">
        <f t="shared" si="0"/>
        <v>thistype.create('Ifz0', 2, true, false, 1, 1);</v>
      </c>
    </row>
    <row r="5" spans="1:12" ht="24.95" customHeight="1" x14ac:dyDescent="0.25">
      <c r="A5" s="54"/>
      <c r="B5" s="57" t="s">
        <v>107</v>
      </c>
      <c r="C5" s="58">
        <v>2</v>
      </c>
      <c r="D5" s="57"/>
      <c r="E5" s="59" t="s">
        <v>108</v>
      </c>
      <c r="F5" s="58">
        <v>1</v>
      </c>
      <c r="G5" s="58">
        <v>2</v>
      </c>
      <c r="H5" s="56" t="s">
        <v>109</v>
      </c>
      <c r="I5" s="56"/>
      <c r="J5" s="61"/>
      <c r="K5" s="54"/>
      <c r="L5" s="54" t="str">
        <f t="shared" si="0"/>
        <v>thistype.create('spro', 2, true, false, 1, 2);</v>
      </c>
    </row>
    <row r="6" spans="1:12" ht="24.95" customHeight="1" x14ac:dyDescent="0.25">
      <c r="A6" s="54"/>
      <c r="B6" s="57" t="s">
        <v>110</v>
      </c>
      <c r="C6" s="58">
        <v>2</v>
      </c>
      <c r="D6" s="57"/>
      <c r="E6" s="62" t="s">
        <v>111</v>
      </c>
      <c r="F6" s="58">
        <v>1</v>
      </c>
      <c r="G6" s="58">
        <v>1</v>
      </c>
      <c r="H6" s="56" t="s">
        <v>112</v>
      </c>
      <c r="I6" s="56"/>
      <c r="J6" s="61"/>
      <c r="K6" s="54"/>
      <c r="L6" s="54" t="str">
        <f t="shared" si="0"/>
        <v>thistype.create('sman', 2, true, false, 1, 1);</v>
      </c>
    </row>
    <row r="7" spans="1:12" ht="24.95" customHeight="1" x14ac:dyDescent="0.25">
      <c r="A7" s="54"/>
      <c r="B7" s="57" t="s">
        <v>113</v>
      </c>
      <c r="C7" s="58">
        <v>3</v>
      </c>
      <c r="D7" s="57"/>
      <c r="E7" s="63" t="s">
        <v>114</v>
      </c>
      <c r="F7" s="58">
        <v>1</v>
      </c>
      <c r="G7" s="58">
        <v>0</v>
      </c>
      <c r="H7" s="56" t="s">
        <v>115</v>
      </c>
      <c r="I7" s="56"/>
      <c r="J7" s="61"/>
      <c r="K7" s="54"/>
      <c r="L7" s="54" t="str">
        <f t="shared" si="0"/>
        <v>thistype.create('shea', 3, true, false, 1, 0);</v>
      </c>
    </row>
    <row r="8" spans="1:12" ht="24.95" customHeight="1" x14ac:dyDescent="0.25">
      <c r="A8" s="54"/>
      <c r="B8" s="57" t="s">
        <v>116</v>
      </c>
      <c r="C8" s="58">
        <v>4</v>
      </c>
      <c r="D8" s="57"/>
      <c r="E8" s="64" t="s">
        <v>117</v>
      </c>
      <c r="F8" s="58">
        <v>1</v>
      </c>
      <c r="G8" s="58">
        <v>0</v>
      </c>
      <c r="H8" s="56" t="s">
        <v>118</v>
      </c>
      <c r="I8" s="65" t="s">
        <v>119</v>
      </c>
      <c r="J8" s="61"/>
      <c r="K8" s="54"/>
      <c r="L8" s="54" t="str">
        <f t="shared" si="0"/>
        <v>thistype.create('I003', 4, true, false, 1, 0);</v>
      </c>
    </row>
    <row r="9" spans="1:12" ht="24.95" customHeight="1" x14ac:dyDescent="0.25">
      <c r="A9" s="54"/>
      <c r="B9" s="57" t="s">
        <v>120</v>
      </c>
      <c r="C9" s="58">
        <v>2</v>
      </c>
      <c r="D9" s="57"/>
      <c r="E9" s="59" t="s">
        <v>121</v>
      </c>
      <c r="F9" s="58">
        <v>1</v>
      </c>
      <c r="G9" s="58">
        <v>1</v>
      </c>
      <c r="H9" s="56" t="s">
        <v>122</v>
      </c>
      <c r="I9" s="56"/>
      <c r="J9" s="61"/>
      <c r="K9" s="54"/>
      <c r="L9" s="54" t="str">
        <f t="shared" si="0"/>
        <v>thistype.create('sror', 2, true, false, 1, 1);</v>
      </c>
    </row>
    <row r="10" spans="1:12" ht="24.95" customHeight="1" x14ac:dyDescent="0.25">
      <c r="A10" s="54"/>
      <c r="B10" s="57" t="s">
        <v>123</v>
      </c>
      <c r="C10" s="58">
        <v>3</v>
      </c>
      <c r="D10" s="57"/>
      <c r="E10" s="66" t="s">
        <v>124</v>
      </c>
      <c r="F10" s="58">
        <v>1</v>
      </c>
      <c r="G10" s="58">
        <v>0</v>
      </c>
      <c r="H10" s="56" t="s">
        <v>125</v>
      </c>
      <c r="I10" s="56"/>
      <c r="J10" s="61"/>
      <c r="K10" s="54"/>
      <c r="L10" s="54" t="str">
        <f t="shared" si="0"/>
        <v>thistype.create('srrc', 3, true, false, 1, 0);</v>
      </c>
    </row>
    <row r="11" spans="1:12" ht="24.95" customHeight="1" x14ac:dyDescent="0.25">
      <c r="A11" s="54"/>
      <c r="B11" s="57" t="s">
        <v>126</v>
      </c>
      <c r="C11" s="58">
        <v>3</v>
      </c>
      <c r="D11" s="57"/>
      <c r="E11" s="66" t="s">
        <v>127</v>
      </c>
      <c r="F11" s="58">
        <v>1</v>
      </c>
      <c r="G11" s="58">
        <v>0</v>
      </c>
      <c r="H11" s="56" t="s">
        <v>128</v>
      </c>
      <c r="I11" s="67" t="s">
        <v>129</v>
      </c>
      <c r="J11" s="61"/>
      <c r="K11" s="54"/>
      <c r="L11" s="54" t="str">
        <f t="shared" si="0"/>
        <v>thistype.create('I006', 3, true, false, 1, 0);</v>
      </c>
    </row>
    <row r="12" spans="1:12" ht="24.95" customHeight="1" x14ac:dyDescent="0.25">
      <c r="A12" s="54"/>
      <c r="B12" s="57" t="s">
        <v>130</v>
      </c>
      <c r="C12" s="58">
        <v>2</v>
      </c>
      <c r="D12" s="57"/>
      <c r="E12" s="62" t="s">
        <v>131</v>
      </c>
      <c r="F12" s="58">
        <v>1</v>
      </c>
      <c r="G12" s="58">
        <v>1</v>
      </c>
      <c r="H12" s="56" t="s">
        <v>132</v>
      </c>
      <c r="I12" s="67" t="s">
        <v>133</v>
      </c>
      <c r="J12" s="61"/>
      <c r="K12" s="54"/>
      <c r="L12" s="54" t="str">
        <f t="shared" si="0"/>
        <v>thistype.create('I00M', 2, true, false, 1, 1);</v>
      </c>
    </row>
    <row r="13" spans="1:12" ht="24.95" customHeight="1" x14ac:dyDescent="0.25">
      <c r="A13" s="54"/>
      <c r="B13" s="57" t="s">
        <v>134</v>
      </c>
      <c r="C13" s="58">
        <v>2</v>
      </c>
      <c r="D13" s="57"/>
      <c r="E13" s="62" t="s">
        <v>135</v>
      </c>
      <c r="F13" s="58">
        <v>1</v>
      </c>
      <c r="G13" s="58">
        <v>3</v>
      </c>
      <c r="H13" s="56" t="s">
        <v>136</v>
      </c>
      <c r="I13" s="60"/>
      <c r="J13" s="61"/>
      <c r="K13" s="54"/>
      <c r="L13" s="54" t="str">
        <f t="shared" si="0"/>
        <v>thistype.create('I017', 2, true, false, 1, 3);</v>
      </c>
    </row>
    <row r="14" spans="1:12" ht="24.95" customHeight="1" x14ac:dyDescent="0.25">
      <c r="A14" s="54"/>
      <c r="B14" s="57" t="s">
        <v>137</v>
      </c>
      <c r="C14" s="58">
        <v>2</v>
      </c>
      <c r="D14" s="57"/>
      <c r="E14" s="59" t="s">
        <v>138</v>
      </c>
      <c r="F14" s="58">
        <v>1</v>
      </c>
      <c r="G14" s="58">
        <v>1</v>
      </c>
      <c r="H14" s="56" t="s">
        <v>139</v>
      </c>
      <c r="I14" s="60" t="s">
        <v>140</v>
      </c>
      <c r="J14" s="61"/>
      <c r="K14" s="54"/>
      <c r="L14" s="54" t="str">
        <f t="shared" si="0"/>
        <v>thistype.create('I002', 2, true, false, 1, 1);</v>
      </c>
    </row>
    <row r="15" spans="1:12" ht="24.95" customHeight="1" x14ac:dyDescent="0.25">
      <c r="A15" s="54"/>
      <c r="B15" s="57" t="s">
        <v>141</v>
      </c>
      <c r="C15" s="58">
        <v>2</v>
      </c>
      <c r="D15" s="57"/>
      <c r="E15" s="59" t="s">
        <v>142</v>
      </c>
      <c r="F15" s="58">
        <v>1</v>
      </c>
      <c r="G15" s="58">
        <v>2</v>
      </c>
      <c r="H15" s="56" t="s">
        <v>143</v>
      </c>
      <c r="I15" s="60"/>
      <c r="J15" s="61"/>
      <c r="K15" s="54"/>
      <c r="L15" s="54" t="str">
        <f t="shared" si="0"/>
        <v>thistype.create('I004', 2, true, false, 1, 2);</v>
      </c>
    </row>
    <row r="16" spans="1:12" ht="24.95" customHeight="1" x14ac:dyDescent="0.25">
      <c r="A16" s="54"/>
      <c r="B16" s="57" t="s">
        <v>144</v>
      </c>
      <c r="C16" s="58">
        <v>3</v>
      </c>
      <c r="D16" s="57"/>
      <c r="E16" s="66" t="s">
        <v>145</v>
      </c>
      <c r="F16" s="58">
        <v>1</v>
      </c>
      <c r="G16" s="58">
        <v>0</v>
      </c>
      <c r="H16" s="56" t="s">
        <v>146</v>
      </c>
      <c r="I16" s="60" t="s">
        <v>147</v>
      </c>
      <c r="J16" s="61"/>
      <c r="K16" s="54"/>
      <c r="L16" s="54" t="str">
        <f t="shared" si="0"/>
        <v>thistype.create('I00C', 3, true, false, 1, 0);</v>
      </c>
    </row>
    <row r="17" spans="1:12" ht="24.95" customHeight="1" x14ac:dyDescent="0.25">
      <c r="A17" s="54"/>
      <c r="B17" s="57" t="s">
        <v>148</v>
      </c>
      <c r="C17" s="58">
        <v>4</v>
      </c>
      <c r="D17" s="57"/>
      <c r="E17" s="68" t="s">
        <v>149</v>
      </c>
      <c r="F17" s="58">
        <v>1</v>
      </c>
      <c r="G17" s="58">
        <v>0</v>
      </c>
      <c r="H17" s="56" t="s">
        <v>150</v>
      </c>
      <c r="I17" s="65" t="s">
        <v>151</v>
      </c>
      <c r="J17" s="61"/>
      <c r="K17" s="54"/>
      <c r="L17" s="54" t="str">
        <f t="shared" si="0"/>
        <v>thistype.create('I00D', 4, true, false, 1, 0);</v>
      </c>
    </row>
    <row r="18" spans="1:12" ht="24.95" customHeight="1" x14ac:dyDescent="0.25">
      <c r="A18" s="54"/>
      <c r="B18" s="54"/>
      <c r="C18" s="55"/>
      <c r="D18" s="54"/>
      <c r="E18" s="54"/>
      <c r="F18" s="55"/>
      <c r="G18" s="55"/>
      <c r="H18" s="56"/>
      <c r="I18" s="56"/>
      <c r="J18" s="54"/>
      <c r="K18" s="54"/>
      <c r="L18" s="54" t="str">
        <f t="shared" si="0"/>
        <v/>
      </c>
    </row>
    <row r="19" spans="1:12" ht="24.95" customHeight="1" x14ac:dyDescent="0.25">
      <c r="A19" s="54"/>
      <c r="B19" s="54" t="s">
        <v>152</v>
      </c>
      <c r="C19" s="55">
        <v>1</v>
      </c>
      <c r="D19" s="54"/>
      <c r="E19" s="54" t="s">
        <v>153</v>
      </c>
      <c r="F19" s="55">
        <v>2</v>
      </c>
      <c r="G19" s="55">
        <v>2</v>
      </c>
      <c r="H19" s="56" t="s">
        <v>247</v>
      </c>
      <c r="I19" s="56"/>
      <c r="J19" s="61"/>
      <c r="K19" s="54"/>
      <c r="L19" s="54" t="str">
        <f t="shared" si="0"/>
        <v>thistype.create('phea', 1, true, false, 2, 2);</v>
      </c>
    </row>
    <row r="20" spans="1:12" ht="24.95" customHeight="1" x14ac:dyDescent="0.25">
      <c r="A20" s="54"/>
      <c r="B20" s="54" t="s">
        <v>154</v>
      </c>
      <c r="C20" s="55">
        <v>1</v>
      </c>
      <c r="D20" s="54"/>
      <c r="E20" s="54" t="s">
        <v>155</v>
      </c>
      <c r="F20" s="55">
        <v>2</v>
      </c>
      <c r="G20" s="55">
        <v>2</v>
      </c>
      <c r="H20" s="56" t="s">
        <v>248</v>
      </c>
      <c r="I20" s="56"/>
      <c r="J20" s="61"/>
      <c r="K20" s="54"/>
      <c r="L20" s="54" t="str">
        <f t="shared" si="0"/>
        <v>thistype.create('pman', 1, true, false, 2, 2);</v>
      </c>
    </row>
    <row r="21" spans="1:12" ht="24.95" customHeight="1" x14ac:dyDescent="0.25">
      <c r="A21" s="54"/>
      <c r="B21" s="57" t="s">
        <v>156</v>
      </c>
      <c r="C21" s="58">
        <v>2</v>
      </c>
      <c r="D21" s="57"/>
      <c r="E21" s="59" t="s">
        <v>157</v>
      </c>
      <c r="F21" s="58">
        <v>1</v>
      </c>
      <c r="G21" s="58">
        <v>1</v>
      </c>
      <c r="H21" s="56" t="s">
        <v>242</v>
      </c>
      <c r="I21" s="56"/>
      <c r="J21" s="61"/>
      <c r="K21" s="54"/>
      <c r="L21" s="54" t="str">
        <f t="shared" si="0"/>
        <v>thistype.create('I00A', 2, true, false, 1, 1);</v>
      </c>
    </row>
    <row r="22" spans="1:12" ht="24.95" customHeight="1" x14ac:dyDescent="0.25">
      <c r="A22" s="54"/>
      <c r="B22" s="57" t="s">
        <v>158</v>
      </c>
      <c r="C22" s="58">
        <v>2</v>
      </c>
      <c r="D22" s="57"/>
      <c r="E22" s="59" t="s">
        <v>159</v>
      </c>
      <c r="F22" s="58">
        <v>1</v>
      </c>
      <c r="G22" s="58">
        <v>1</v>
      </c>
      <c r="H22" s="56" t="s">
        <v>243</v>
      </c>
      <c r="I22" s="56"/>
      <c r="J22" s="61"/>
      <c r="K22" s="54"/>
      <c r="L22" s="54" t="str">
        <f t="shared" si="0"/>
        <v>thistype.create('I00Q', 2, true, false, 1, 1);</v>
      </c>
    </row>
    <row r="23" spans="1:12" ht="24.95" customHeight="1" x14ac:dyDescent="0.25">
      <c r="A23" s="54"/>
      <c r="B23" s="57" t="s">
        <v>160</v>
      </c>
      <c r="C23" s="58">
        <v>2</v>
      </c>
      <c r="D23" s="57"/>
      <c r="E23" s="59" t="s">
        <v>161</v>
      </c>
      <c r="F23" s="58">
        <v>1</v>
      </c>
      <c r="G23" s="58">
        <v>1</v>
      </c>
      <c r="H23" s="56" t="s">
        <v>244</v>
      </c>
      <c r="I23" s="56"/>
      <c r="J23" s="61"/>
      <c r="K23" s="54"/>
      <c r="L23" s="54" t="str">
        <f t="shared" si="0"/>
        <v>thistype.create('I00R', 2, true, false, 1, 1);</v>
      </c>
    </row>
    <row r="24" spans="1:12" ht="24.95" customHeight="1" x14ac:dyDescent="0.25">
      <c r="A24" s="54"/>
      <c r="B24" s="57" t="s">
        <v>162</v>
      </c>
      <c r="C24" s="58">
        <v>4</v>
      </c>
      <c r="D24" s="57"/>
      <c r="E24" s="68" t="s">
        <v>163</v>
      </c>
      <c r="F24" s="58">
        <v>2</v>
      </c>
      <c r="G24" s="58">
        <v>1</v>
      </c>
      <c r="H24" s="56" t="s">
        <v>245</v>
      </c>
      <c r="I24" s="56"/>
      <c r="J24" s="61"/>
      <c r="K24" s="54"/>
      <c r="L24" s="54" t="str">
        <f t="shared" si="0"/>
        <v>thistype.create('I00E', 4, true, false, 2, 1);</v>
      </c>
    </row>
    <row r="25" spans="1:12" ht="24.95" customHeight="1" x14ac:dyDescent="0.25">
      <c r="A25" s="54"/>
      <c r="B25" s="57" t="s">
        <v>164</v>
      </c>
      <c r="C25" s="58">
        <v>2</v>
      </c>
      <c r="D25" s="57"/>
      <c r="E25" s="59" t="s">
        <v>165</v>
      </c>
      <c r="F25" s="58">
        <v>1</v>
      </c>
      <c r="G25" s="58">
        <v>1</v>
      </c>
      <c r="H25" s="56" t="s">
        <v>246</v>
      </c>
      <c r="I25" s="56"/>
      <c r="J25" s="61"/>
      <c r="K25" s="54"/>
      <c r="L25" s="54" t="str">
        <f t="shared" si="0"/>
        <v>thistype.create('I00F', 2, true, false, 1, 1);</v>
      </c>
    </row>
    <row r="26" spans="1:12" ht="24.95" customHeight="1" x14ac:dyDescent="0.25">
      <c r="A26" s="54"/>
      <c r="B26" s="57" t="s">
        <v>166</v>
      </c>
      <c r="C26" s="58">
        <v>2</v>
      </c>
      <c r="D26" s="57"/>
      <c r="E26" s="59" t="s">
        <v>167</v>
      </c>
      <c r="F26" s="58">
        <v>2</v>
      </c>
      <c r="G26" s="58">
        <v>1</v>
      </c>
      <c r="H26" s="56" t="s">
        <v>249</v>
      </c>
      <c r="I26" s="56"/>
      <c r="J26" s="61"/>
      <c r="K26" s="54"/>
      <c r="L26" s="54" t="str">
        <f t="shared" si="0"/>
        <v>thistype.create('I00I', 2, true, false, 2, 1);</v>
      </c>
    </row>
    <row r="27" spans="1:12" ht="24.95" customHeight="1" x14ac:dyDescent="0.25">
      <c r="A27" s="54"/>
      <c r="B27" s="57" t="s">
        <v>168</v>
      </c>
      <c r="C27" s="58">
        <v>3</v>
      </c>
      <c r="D27" s="57"/>
      <c r="E27" s="66" t="s">
        <v>169</v>
      </c>
      <c r="F27" s="58">
        <v>2</v>
      </c>
      <c r="G27" s="58">
        <v>1</v>
      </c>
      <c r="H27" s="56" t="s">
        <v>250</v>
      </c>
      <c r="I27" s="56"/>
      <c r="J27" s="61"/>
      <c r="K27" s="54"/>
      <c r="L27" s="54" t="str">
        <f t="shared" si="0"/>
        <v>thistype.create('I00J', 3, true, false, 2, 1);</v>
      </c>
    </row>
    <row r="28" spans="1:12" ht="24.95" customHeight="1" x14ac:dyDescent="0.25">
      <c r="A28" s="54"/>
      <c r="B28" s="57" t="s">
        <v>170</v>
      </c>
      <c r="C28" s="58">
        <v>3</v>
      </c>
      <c r="D28" s="57"/>
      <c r="E28" s="66" t="s">
        <v>171</v>
      </c>
      <c r="F28" s="58">
        <v>2</v>
      </c>
      <c r="G28" s="58">
        <v>1</v>
      </c>
      <c r="H28" s="56" t="s">
        <v>251</v>
      </c>
      <c r="I28" s="56"/>
      <c r="J28" s="61"/>
      <c r="K28" s="54"/>
      <c r="L28" s="54" t="str">
        <f t="shared" si="0"/>
        <v>thistype.create('I00N', 3, true, false, 2, 1);</v>
      </c>
    </row>
    <row r="29" spans="1:12" ht="24.95" customHeight="1" x14ac:dyDescent="0.25">
      <c r="A29" s="54"/>
      <c r="B29" s="57" t="s">
        <v>172</v>
      </c>
      <c r="C29" s="58">
        <v>2</v>
      </c>
      <c r="D29" s="57"/>
      <c r="E29" s="59" t="s">
        <v>173</v>
      </c>
      <c r="F29" s="58">
        <v>1</v>
      </c>
      <c r="G29" s="58">
        <v>0</v>
      </c>
      <c r="H29" s="56" t="s">
        <v>252</v>
      </c>
      <c r="I29" s="56"/>
      <c r="J29" s="61"/>
      <c r="K29" s="54"/>
      <c r="L29" s="54" t="str">
        <f t="shared" si="0"/>
        <v>thistype.create('I00O', 2, true, false, 1, 0);</v>
      </c>
    </row>
    <row r="30" spans="1:12" ht="24.95" customHeight="1" x14ac:dyDescent="0.25">
      <c r="A30" s="54"/>
      <c r="B30" s="57" t="s">
        <v>174</v>
      </c>
      <c r="C30" s="58">
        <v>2</v>
      </c>
      <c r="D30" s="57"/>
      <c r="E30" s="59" t="s">
        <v>175</v>
      </c>
      <c r="F30" s="58">
        <v>1</v>
      </c>
      <c r="G30" s="58">
        <v>1</v>
      </c>
      <c r="H30" s="56" t="s">
        <v>253</v>
      </c>
      <c r="I30" s="56"/>
      <c r="J30" s="61"/>
      <c r="K30" s="54"/>
      <c r="L30" s="54" t="str">
        <f t="shared" si="0"/>
        <v>thistype.create('I01J', 2, true, false, 1, 1);</v>
      </c>
    </row>
    <row r="31" spans="1:12" ht="24.95" customHeight="1" x14ac:dyDescent="0.25">
      <c r="A31" s="54"/>
      <c r="B31" s="54"/>
      <c r="C31" s="55"/>
      <c r="D31" s="54"/>
      <c r="E31" s="54"/>
      <c r="F31" s="55"/>
      <c r="G31" s="55"/>
      <c r="H31" s="56"/>
      <c r="I31" s="56"/>
      <c r="J31" s="54"/>
      <c r="K31" s="54"/>
      <c r="L31" s="54" t="str">
        <f t="shared" si="0"/>
        <v/>
      </c>
    </row>
    <row r="32" spans="1:12" ht="24.95" customHeight="1" x14ac:dyDescent="0.25">
      <c r="A32" s="54"/>
      <c r="B32" s="57" t="s">
        <v>176</v>
      </c>
      <c r="C32" s="58">
        <v>3</v>
      </c>
      <c r="D32" s="57"/>
      <c r="E32" s="66" t="s">
        <v>177</v>
      </c>
      <c r="F32" s="58">
        <v>1</v>
      </c>
      <c r="G32" s="58">
        <v>1</v>
      </c>
      <c r="H32" s="56" t="s">
        <v>254</v>
      </c>
      <c r="I32" s="56"/>
      <c r="J32" s="61"/>
      <c r="K32" s="54"/>
      <c r="L32" s="54" t="str">
        <f t="shared" si="0"/>
        <v>thistype.create('I00S', 3, true, false, 1, 1);</v>
      </c>
    </row>
    <row r="33" spans="1:12" ht="24.95" customHeight="1" x14ac:dyDescent="0.25">
      <c r="A33" s="54"/>
      <c r="B33" s="57" t="s">
        <v>178</v>
      </c>
      <c r="C33" s="58">
        <v>3</v>
      </c>
      <c r="D33" s="57"/>
      <c r="E33" s="66" t="s">
        <v>179</v>
      </c>
      <c r="F33" s="58">
        <v>1</v>
      </c>
      <c r="G33" s="58">
        <v>1</v>
      </c>
      <c r="H33" s="56" t="s">
        <v>255</v>
      </c>
      <c r="I33" s="56"/>
      <c r="J33" s="61"/>
      <c r="K33" s="54"/>
      <c r="L33" s="54" t="str">
        <f t="shared" si="0"/>
        <v>thistype.create('I00V', 3, true, false, 1, 1);</v>
      </c>
    </row>
    <row r="34" spans="1:12" ht="24.95" customHeight="1" x14ac:dyDescent="0.25">
      <c r="A34" s="54"/>
      <c r="B34" s="57" t="s">
        <v>180</v>
      </c>
      <c r="C34" s="58">
        <v>2</v>
      </c>
      <c r="D34" s="57"/>
      <c r="E34" s="59" t="s">
        <v>181</v>
      </c>
      <c r="F34" s="58">
        <v>1</v>
      </c>
      <c r="G34" s="58">
        <v>1</v>
      </c>
      <c r="H34" s="56" t="s">
        <v>256</v>
      </c>
      <c r="I34" s="56"/>
      <c r="J34" s="61"/>
      <c r="K34" s="54"/>
      <c r="L34" s="54" t="str">
        <f t="shared" si="0"/>
        <v>thistype.create('I00W', 2, true, false, 1, 1);</v>
      </c>
    </row>
    <row r="35" spans="1:12" ht="24.95" customHeight="1" x14ac:dyDescent="0.25">
      <c r="A35" s="54"/>
      <c r="B35" s="57" t="s">
        <v>182</v>
      </c>
      <c r="C35" s="58">
        <v>2</v>
      </c>
      <c r="D35" s="57"/>
      <c r="E35" s="59" t="s">
        <v>183</v>
      </c>
      <c r="F35" s="58">
        <v>1</v>
      </c>
      <c r="G35" s="58">
        <v>1</v>
      </c>
      <c r="H35" s="56" t="s">
        <v>257</v>
      </c>
      <c r="I35" s="56"/>
      <c r="J35" s="61"/>
      <c r="K35" s="54"/>
      <c r="L35" s="54" t="str">
        <f t="shared" si="0"/>
        <v>thistype.create('pnvl', 2, true, false, 1, 1);</v>
      </c>
    </row>
    <row r="36" spans="1:12" ht="24.95" customHeight="1" x14ac:dyDescent="0.25">
      <c r="A36" s="54"/>
      <c r="B36" s="57" t="s">
        <v>184</v>
      </c>
      <c r="C36" s="58">
        <v>3</v>
      </c>
      <c r="D36" s="57"/>
      <c r="E36" s="63" t="s">
        <v>185</v>
      </c>
      <c r="F36" s="58">
        <v>1</v>
      </c>
      <c r="G36" s="58">
        <v>0</v>
      </c>
      <c r="H36" s="56" t="s">
        <v>258</v>
      </c>
      <c r="I36" s="56"/>
      <c r="J36" s="61"/>
      <c r="K36" s="54"/>
      <c r="L36" s="54" t="str">
        <f t="shared" si="0"/>
        <v>thistype.create('pnvu', 3, true, false, 1, 0);</v>
      </c>
    </row>
    <row r="37" spans="1:12" ht="24.95" customHeight="1" x14ac:dyDescent="0.25">
      <c r="A37" s="54"/>
      <c r="B37" s="57" t="s">
        <v>186</v>
      </c>
      <c r="C37" s="58">
        <v>2</v>
      </c>
      <c r="D37" s="57"/>
      <c r="E37" s="69" t="s">
        <v>187</v>
      </c>
      <c r="F37" s="58">
        <v>1</v>
      </c>
      <c r="G37" s="58">
        <v>1</v>
      </c>
      <c r="H37" s="56" t="s">
        <v>259</v>
      </c>
      <c r="I37" s="56"/>
      <c r="J37" s="61"/>
      <c r="K37" s="54"/>
      <c r="L37" s="54" t="str">
        <f t="shared" si="0"/>
        <v>thistype.create('I008', 2, true, false, 1, 1);</v>
      </c>
    </row>
    <row r="38" spans="1:12" ht="24.95" customHeight="1" x14ac:dyDescent="0.25">
      <c r="A38" s="54"/>
      <c r="B38" s="54"/>
      <c r="C38" s="55"/>
      <c r="D38" s="54"/>
      <c r="E38" s="54"/>
      <c r="F38" s="55"/>
      <c r="G38" s="55"/>
      <c r="H38" s="56"/>
      <c r="I38" s="56"/>
      <c r="J38" s="54"/>
      <c r="K38" s="54"/>
      <c r="L38" s="54" t="str">
        <f t="shared" si="0"/>
        <v/>
      </c>
    </row>
    <row r="39" spans="1:12" ht="24.95" customHeight="1" x14ac:dyDescent="0.25">
      <c r="A39" s="54"/>
      <c r="B39" s="57" t="s">
        <v>188</v>
      </c>
      <c r="C39" s="58">
        <v>2</v>
      </c>
      <c r="D39" s="57"/>
      <c r="E39" s="59" t="s">
        <v>189</v>
      </c>
      <c r="F39" s="58">
        <v>1</v>
      </c>
      <c r="G39" s="58">
        <v>1</v>
      </c>
      <c r="H39" s="56" t="s">
        <v>261</v>
      </c>
      <c r="I39" s="56"/>
      <c r="J39" s="61"/>
      <c r="K39" s="54"/>
      <c r="L39" s="54" t="str">
        <f t="shared" si="0"/>
        <v>thistype.create('I00B', 2, true, false, 1, 1);</v>
      </c>
    </row>
    <row r="40" spans="1:12" ht="24.95" customHeight="1" x14ac:dyDescent="0.25">
      <c r="A40" s="54"/>
      <c r="B40" s="57" t="s">
        <v>190</v>
      </c>
      <c r="C40" s="58">
        <v>2</v>
      </c>
      <c r="D40" s="57"/>
      <c r="E40" s="59" t="s">
        <v>191</v>
      </c>
      <c r="F40" s="58">
        <v>1</v>
      </c>
      <c r="G40" s="58">
        <v>1</v>
      </c>
      <c r="H40" s="56" t="s">
        <v>262</v>
      </c>
      <c r="I40" s="56"/>
      <c r="J40" s="61"/>
      <c r="K40" s="54"/>
      <c r="L40" s="54" t="str">
        <f t="shared" si="0"/>
        <v>thistype.create('I00X', 2, true, false, 1, 1);</v>
      </c>
    </row>
    <row r="41" spans="1:12" ht="24.95" customHeight="1" x14ac:dyDescent="0.25">
      <c r="A41" s="54"/>
      <c r="B41" s="57" t="s">
        <v>192</v>
      </c>
      <c r="C41" s="58">
        <v>2</v>
      </c>
      <c r="D41" s="57"/>
      <c r="E41" s="59" t="s">
        <v>193</v>
      </c>
      <c r="F41" s="58">
        <v>1</v>
      </c>
      <c r="G41" s="58">
        <v>1</v>
      </c>
      <c r="H41" s="56" t="s">
        <v>263</v>
      </c>
      <c r="I41" s="56"/>
      <c r="J41" s="61"/>
      <c r="K41" s="54"/>
      <c r="L41" s="54" t="str">
        <f t="shared" si="0"/>
        <v>thistype.create('I01Q', 2, true, false, 1, 1);</v>
      </c>
    </row>
    <row r="42" spans="1:12" ht="24.95" customHeight="1" x14ac:dyDescent="0.25">
      <c r="A42" s="54"/>
      <c r="B42" s="54"/>
      <c r="C42" s="55"/>
      <c r="D42" s="54"/>
      <c r="E42" s="54"/>
      <c r="F42" s="55"/>
      <c r="G42" s="55"/>
      <c r="H42" s="56"/>
      <c r="I42" s="56"/>
      <c r="J42" s="54"/>
      <c r="K42" s="54"/>
      <c r="L42" s="54" t="str">
        <f t="shared" si="0"/>
        <v/>
      </c>
    </row>
    <row r="43" spans="1:12" ht="24.95" customHeight="1" x14ac:dyDescent="0.25">
      <c r="A43" s="54"/>
      <c r="B43" s="57" t="s">
        <v>194</v>
      </c>
      <c r="C43" s="58">
        <v>2</v>
      </c>
      <c r="D43" s="57"/>
      <c r="E43" s="59" t="s">
        <v>195</v>
      </c>
      <c r="F43" s="58">
        <v>1</v>
      </c>
      <c r="G43" s="58">
        <v>1</v>
      </c>
      <c r="H43" s="56" t="s">
        <v>196</v>
      </c>
      <c r="I43" s="56"/>
      <c r="J43" s="61"/>
      <c r="K43" s="54"/>
      <c r="L43" s="54" t="str">
        <f t="shared" si="0"/>
        <v>thistype.create('I007', 2, true, false, 1, 1);</v>
      </c>
    </row>
    <row r="44" spans="1:12" ht="24.95" customHeight="1" x14ac:dyDescent="0.25">
      <c r="A44" s="54"/>
      <c r="B44" s="57" t="s">
        <v>197</v>
      </c>
      <c r="C44" s="58">
        <v>2</v>
      </c>
      <c r="D44" s="57"/>
      <c r="E44" s="59" t="s">
        <v>198</v>
      </c>
      <c r="F44" s="58">
        <v>1</v>
      </c>
      <c r="G44" s="58">
        <v>1</v>
      </c>
      <c r="H44" s="56" t="s">
        <v>199</v>
      </c>
      <c r="I44" s="56"/>
      <c r="J44" s="61"/>
      <c r="K44" s="54"/>
      <c r="L44" s="54" t="str">
        <f t="shared" si="0"/>
        <v>thistype.create('I00Z', 2, true, false, 1, 1);</v>
      </c>
    </row>
    <row r="45" spans="1:12" ht="24.95" customHeight="1" x14ac:dyDescent="0.25">
      <c r="A45" s="54"/>
      <c r="B45" s="57" t="s">
        <v>200</v>
      </c>
      <c r="C45" s="58">
        <v>3</v>
      </c>
      <c r="D45" s="57"/>
      <c r="E45" s="66" t="s">
        <v>201</v>
      </c>
      <c r="F45" s="58">
        <v>1</v>
      </c>
      <c r="G45" s="58">
        <v>1</v>
      </c>
      <c r="H45" s="56" t="s">
        <v>266</v>
      </c>
      <c r="I45" s="56"/>
      <c r="J45" s="61"/>
      <c r="K45" s="54"/>
      <c r="L45" s="54" t="str">
        <f t="shared" si="0"/>
        <v>thistype.create('I010', 3, true, false, 1, 1);</v>
      </c>
    </row>
    <row r="46" spans="1:12" ht="24.95" customHeight="1" x14ac:dyDescent="0.25">
      <c r="A46" s="54"/>
      <c r="B46" s="54"/>
      <c r="C46" s="55"/>
      <c r="D46" s="54"/>
      <c r="E46" s="54"/>
      <c r="F46" s="55"/>
      <c r="G46" s="55"/>
      <c r="H46" s="56"/>
      <c r="I46" s="56"/>
      <c r="J46" s="54"/>
      <c r="K46" s="54"/>
      <c r="L46" s="54" t="str">
        <f t="shared" si="0"/>
        <v/>
      </c>
    </row>
    <row r="47" spans="1:12" ht="24.95" customHeight="1" x14ac:dyDescent="0.25">
      <c r="A47" s="54"/>
      <c r="B47" s="57" t="s">
        <v>202</v>
      </c>
      <c r="C47" s="58">
        <v>2</v>
      </c>
      <c r="D47" s="57"/>
      <c r="E47" s="59" t="s">
        <v>203</v>
      </c>
      <c r="F47" s="58">
        <v>1</v>
      </c>
      <c r="G47" s="58">
        <v>1</v>
      </c>
      <c r="H47" s="56" t="s">
        <v>270</v>
      </c>
      <c r="I47" s="56"/>
      <c r="J47" s="61"/>
      <c r="K47" s="54"/>
      <c r="L47" s="54" t="str">
        <f t="shared" si="0"/>
        <v>thistype.create('I009', 2, true, false, 1, 1);</v>
      </c>
    </row>
    <row r="48" spans="1:12" ht="24.95" customHeight="1" x14ac:dyDescent="0.25">
      <c r="A48" s="54"/>
      <c r="B48" s="57" t="s">
        <v>204</v>
      </c>
      <c r="C48" s="58">
        <v>2</v>
      </c>
      <c r="D48" s="57"/>
      <c r="E48" s="59" t="s">
        <v>205</v>
      </c>
      <c r="F48" s="58">
        <v>1</v>
      </c>
      <c r="G48" s="58">
        <v>1</v>
      </c>
      <c r="H48" s="56" t="s">
        <v>267</v>
      </c>
      <c r="I48" s="56"/>
      <c r="J48" s="61"/>
      <c r="K48" s="54"/>
      <c r="L48" s="54" t="str">
        <f t="shared" si="0"/>
        <v>thistype.create('I011', 2, true, false, 1, 1);</v>
      </c>
    </row>
    <row r="49" spans="1:12" ht="24.95" customHeight="1" x14ac:dyDescent="0.25">
      <c r="A49" s="54"/>
      <c r="B49" s="57" t="s">
        <v>206</v>
      </c>
      <c r="C49" s="58">
        <v>2</v>
      </c>
      <c r="D49" s="57"/>
      <c r="E49" s="59" t="s">
        <v>207</v>
      </c>
      <c r="F49" s="58">
        <v>1</v>
      </c>
      <c r="G49" s="58">
        <v>1</v>
      </c>
      <c r="H49" s="56" t="s">
        <v>268</v>
      </c>
      <c r="I49" s="56"/>
      <c r="J49" s="61"/>
      <c r="K49" s="54"/>
      <c r="L49" s="54" t="str">
        <f t="shared" si="0"/>
        <v>thistype.create('I00Y', 2, true, false, 1, 1);</v>
      </c>
    </row>
    <row r="50" spans="1:12" ht="24.95" customHeight="1" x14ac:dyDescent="0.25">
      <c r="A50" s="54"/>
      <c r="B50" s="57"/>
      <c r="C50" s="58"/>
      <c r="D50" s="57"/>
      <c r="E50" s="59"/>
      <c r="F50" s="58"/>
      <c r="G50" s="58"/>
      <c r="H50" s="56"/>
      <c r="I50" s="56"/>
      <c r="J50" s="54"/>
      <c r="K50" s="54"/>
      <c r="L50" s="54" t="str">
        <f t="shared" si="0"/>
        <v/>
      </c>
    </row>
    <row r="51" spans="1:12" ht="24.95" customHeight="1" x14ac:dyDescent="0.25">
      <c r="A51" s="54"/>
      <c r="B51" s="57" t="s">
        <v>208</v>
      </c>
      <c r="C51" s="58">
        <v>2</v>
      </c>
      <c r="D51" s="57" t="s">
        <v>209</v>
      </c>
      <c r="E51" s="59" t="s">
        <v>210</v>
      </c>
      <c r="F51" s="58">
        <v>8</v>
      </c>
      <c r="G51" s="58">
        <v>0</v>
      </c>
      <c r="H51" s="56" t="s">
        <v>211</v>
      </c>
      <c r="I51" s="56"/>
      <c r="J51" s="61"/>
      <c r="K51" s="54"/>
      <c r="L51" s="54" t="str">
        <f t="shared" si="0"/>
        <v>thistype.create('I01I', 2, true, false, 8, 0);</v>
      </c>
    </row>
    <row r="52" spans="1:12" ht="24.95" customHeight="1" x14ac:dyDescent="0.25">
      <c r="A52" s="54"/>
      <c r="B52" s="57" t="s">
        <v>212</v>
      </c>
      <c r="C52" s="58">
        <v>2</v>
      </c>
      <c r="D52" s="57" t="s">
        <v>213</v>
      </c>
      <c r="E52" s="59" t="s">
        <v>214</v>
      </c>
      <c r="F52" s="58">
        <v>10</v>
      </c>
      <c r="G52" s="58">
        <v>5</v>
      </c>
      <c r="H52" s="56" t="s">
        <v>215</v>
      </c>
      <c r="I52" s="56"/>
      <c r="J52" s="61"/>
      <c r="K52" s="54"/>
      <c r="L52" s="54" t="str">
        <f t="shared" si="0"/>
        <v>thistype.create('I01G', 2, true, false, 10, 5);</v>
      </c>
    </row>
    <row r="53" spans="1:12" ht="24.95" customHeight="1" x14ac:dyDescent="0.25">
      <c r="A53" s="54"/>
      <c r="B53" s="57" t="s">
        <v>216</v>
      </c>
      <c r="C53" s="58">
        <v>2</v>
      </c>
      <c r="D53" s="57" t="s">
        <v>217</v>
      </c>
      <c r="E53" s="59" t="s">
        <v>218</v>
      </c>
      <c r="F53" s="58">
        <v>3</v>
      </c>
      <c r="G53" s="58">
        <v>4</v>
      </c>
      <c r="H53" s="56" t="s">
        <v>264</v>
      </c>
      <c r="I53" s="56"/>
      <c r="J53" s="61"/>
      <c r="K53" s="54"/>
      <c r="L53" s="54" t="str">
        <f t="shared" si="0"/>
        <v>thistype.create('I01F', 2, true, false, 3, 4);</v>
      </c>
    </row>
    <row r="54" spans="1:12" ht="24.95" customHeight="1" x14ac:dyDescent="0.25">
      <c r="A54" s="54"/>
      <c r="B54" s="57" t="s">
        <v>219</v>
      </c>
      <c r="C54" s="58">
        <v>2</v>
      </c>
      <c r="D54" s="57" t="s">
        <v>220</v>
      </c>
      <c r="E54" s="62" t="s">
        <v>221</v>
      </c>
      <c r="F54" s="58">
        <v>8</v>
      </c>
      <c r="G54" s="58">
        <v>4</v>
      </c>
      <c r="H54" s="56" t="s">
        <v>269</v>
      </c>
      <c r="I54" s="56"/>
      <c r="J54" s="61"/>
      <c r="K54" s="54"/>
      <c r="L54" s="54" t="str">
        <f t="shared" si="0"/>
        <v>thistype.create('I01E', 2, true, false, 8, 4);</v>
      </c>
    </row>
    <row r="55" spans="1:12" ht="24.95" customHeight="1" x14ac:dyDescent="0.25">
      <c r="A55" s="54"/>
      <c r="B55" s="57" t="s">
        <v>222</v>
      </c>
      <c r="C55" s="58">
        <v>3</v>
      </c>
      <c r="D55" s="57" t="s">
        <v>223</v>
      </c>
      <c r="E55" s="66" t="s">
        <v>224</v>
      </c>
      <c r="F55" s="58">
        <v>3</v>
      </c>
      <c r="G55" s="58">
        <v>2</v>
      </c>
      <c r="H55" s="56" t="s">
        <v>265</v>
      </c>
      <c r="I55" s="56"/>
      <c r="J55" s="61"/>
      <c r="K55" s="54"/>
      <c r="L55" s="54" t="str">
        <f t="shared" si="0"/>
        <v>thistype.create('I005', 3, true, false, 3, 2);</v>
      </c>
    </row>
    <row r="56" spans="1:12" ht="24.95" customHeight="1" x14ac:dyDescent="0.25">
      <c r="A56" s="54"/>
      <c r="B56" s="57" t="s">
        <v>225</v>
      </c>
      <c r="C56" s="58">
        <v>3</v>
      </c>
      <c r="D56" s="57" t="s">
        <v>226</v>
      </c>
      <c r="E56" s="66" t="s">
        <v>227</v>
      </c>
      <c r="F56" s="58">
        <v>3</v>
      </c>
      <c r="G56" s="58">
        <v>2</v>
      </c>
      <c r="H56" s="56" t="s">
        <v>260</v>
      </c>
      <c r="I56" s="56"/>
      <c r="J56" s="61"/>
      <c r="K56" s="54"/>
      <c r="L56" s="54" t="str">
        <f t="shared" si="0"/>
        <v>thistype.create('I00G', 3, true, false, 3, 2);</v>
      </c>
    </row>
    <row r="57" spans="1:12" ht="24.95" customHeight="1" x14ac:dyDescent="0.25">
      <c r="A57" s="54"/>
      <c r="B57" s="57" t="s">
        <v>228</v>
      </c>
      <c r="C57" s="58">
        <v>2</v>
      </c>
      <c r="D57" s="57" t="s">
        <v>229</v>
      </c>
      <c r="E57" s="62" t="s">
        <v>230</v>
      </c>
      <c r="F57" s="58">
        <v>5</v>
      </c>
      <c r="G57" s="58">
        <v>4</v>
      </c>
      <c r="H57" s="56" t="s">
        <v>231</v>
      </c>
      <c r="I57" s="56"/>
      <c r="J57" s="61"/>
      <c r="K57" s="54"/>
      <c r="L57" s="54" t="str">
        <f t="shared" si="0"/>
        <v>thistype.create('I020', 2, true, false, 5, 4);</v>
      </c>
    </row>
    <row r="58" spans="1:12" ht="24.95" customHeight="1" x14ac:dyDescent="0.25">
      <c r="A58" s="54"/>
      <c r="B58" s="57" t="s">
        <v>232</v>
      </c>
      <c r="C58" s="58">
        <v>2</v>
      </c>
      <c r="D58" s="57" t="s">
        <v>233</v>
      </c>
      <c r="E58" s="59" t="s">
        <v>234</v>
      </c>
      <c r="F58" s="58">
        <v>4</v>
      </c>
      <c r="G58" s="58">
        <v>4</v>
      </c>
      <c r="H58" s="56" t="s">
        <v>235</v>
      </c>
      <c r="I58" s="67" t="s">
        <v>236</v>
      </c>
      <c r="J58" s="61"/>
      <c r="K58" s="54"/>
      <c r="L58" s="54" t="str">
        <f t="shared" si="0"/>
        <v>thistype.create('I021', 2, true, false, 4, 4);</v>
      </c>
    </row>
    <row r="59" spans="1:12" ht="24.95" customHeight="1" x14ac:dyDescent="0.25">
      <c r="A59" s="54"/>
      <c r="B59" s="57" t="s">
        <v>237</v>
      </c>
      <c r="C59" s="58">
        <v>3</v>
      </c>
      <c r="D59" s="57" t="s">
        <v>238</v>
      </c>
      <c r="E59" s="63" t="s">
        <v>239</v>
      </c>
      <c r="F59" s="58">
        <v>2</v>
      </c>
      <c r="G59" s="58">
        <v>2</v>
      </c>
      <c r="H59" s="56" t="s">
        <v>240</v>
      </c>
      <c r="I59" s="67" t="s">
        <v>241</v>
      </c>
      <c r="J59" s="61"/>
      <c r="K59" s="54"/>
      <c r="L59" s="54" t="str">
        <f t="shared" si="0"/>
        <v>thistype.create('I023', 3, true, false, 2, 2);</v>
      </c>
    </row>
    <row r="60" spans="1:12" ht="24.95" customHeight="1" x14ac:dyDescent="0.25">
      <c r="A60" s="54"/>
      <c r="B60" s="54"/>
      <c r="C60" s="55"/>
      <c r="D60" s="54"/>
      <c r="E60" s="54"/>
      <c r="F60" s="55"/>
      <c r="G60" s="55"/>
      <c r="H60" s="56"/>
      <c r="I60" s="56"/>
      <c r="J60" s="54"/>
      <c r="K60" s="54"/>
      <c r="L60" s="54" t="str">
        <f t="shared" si="0"/>
        <v/>
      </c>
    </row>
    <row r="61" spans="1:12" ht="24.95" customHeight="1" x14ac:dyDescent="0.25">
      <c r="A61" s="54"/>
      <c r="B61" s="57"/>
      <c r="C61" s="58"/>
      <c r="D61" s="57"/>
      <c r="E61" s="59"/>
      <c r="F61" s="58"/>
      <c r="G61" s="58"/>
      <c r="H61" s="56"/>
      <c r="I61" s="56"/>
      <c r="J61" s="54"/>
      <c r="K61" s="54"/>
      <c r="L61" s="54" t="str">
        <f t="shared" si="0"/>
        <v/>
      </c>
    </row>
    <row r="62" spans="1:12" ht="24.95" customHeight="1" x14ac:dyDescent="0.25">
      <c r="A62" s="54"/>
      <c r="B62" s="57"/>
      <c r="C62" s="58"/>
      <c r="D62" s="57"/>
      <c r="E62" s="59"/>
      <c r="F62" s="58"/>
      <c r="G62" s="58"/>
      <c r="H62" s="56"/>
      <c r="I62" s="56"/>
      <c r="J62" s="54"/>
      <c r="K62" s="54"/>
      <c r="L62" s="54" t="str">
        <f t="shared" si="0"/>
        <v/>
      </c>
    </row>
    <row r="63" spans="1:12" ht="24.95" customHeight="1" x14ac:dyDescent="0.25">
      <c r="A63" s="54"/>
      <c r="B63" s="57"/>
      <c r="C63" s="58"/>
      <c r="D63" s="57"/>
      <c r="E63" s="59"/>
      <c r="F63" s="58"/>
      <c r="G63" s="58"/>
      <c r="H63" s="56"/>
      <c r="I63" s="56"/>
      <c r="J63" s="54"/>
      <c r="K63" s="54"/>
      <c r="L63" s="54" t="str">
        <f t="shared" si="0"/>
        <v/>
      </c>
    </row>
    <row r="64" spans="1:12" ht="24.95" customHeight="1" x14ac:dyDescent="0.25">
      <c r="A64" s="54"/>
      <c r="B64" s="57"/>
      <c r="C64" s="58"/>
      <c r="D64" s="57"/>
      <c r="E64" s="59"/>
      <c r="F64" s="58"/>
      <c r="G64" s="58"/>
      <c r="H64" s="56"/>
      <c r="I64" s="56"/>
      <c r="J64" s="54"/>
      <c r="K64" s="54"/>
      <c r="L64" s="54" t="str">
        <f t="shared" si="0"/>
        <v/>
      </c>
    </row>
    <row r="65" spans="1:12" ht="24.95" customHeight="1" x14ac:dyDescent="0.25">
      <c r="A65" s="54"/>
      <c r="B65" s="57"/>
      <c r="C65" s="58"/>
      <c r="D65" s="57"/>
      <c r="E65" s="59"/>
      <c r="F65" s="58"/>
      <c r="G65" s="58"/>
      <c r="H65" s="56"/>
      <c r="I65" s="56"/>
      <c r="J65" s="54"/>
      <c r="K65" s="54"/>
      <c r="L65" s="54" t="str">
        <f t="shared" si="0"/>
        <v/>
      </c>
    </row>
    <row r="66" spans="1:12" ht="24.95" customHeight="1" x14ac:dyDescent="0.25">
      <c r="A66" s="54"/>
      <c r="B66" s="57"/>
      <c r="C66" s="58"/>
      <c r="D66" s="57"/>
      <c r="E66" s="59"/>
      <c r="F66" s="58"/>
      <c r="G66" s="58"/>
      <c r="H66" s="56"/>
      <c r="I66" s="56"/>
      <c r="J66" s="54"/>
      <c r="K66" s="54"/>
      <c r="L66" s="54" t="str">
        <f t="shared" si="0"/>
        <v/>
      </c>
    </row>
    <row r="67" spans="1:12" ht="24.95" customHeight="1" x14ac:dyDescent="0.25">
      <c r="A67" s="54"/>
      <c r="B67" s="57"/>
      <c r="C67" s="58"/>
      <c r="D67" s="57"/>
      <c r="E67" s="59"/>
      <c r="F67" s="58"/>
      <c r="G67" s="58"/>
      <c r="H67" s="56"/>
      <c r="I67" s="56"/>
      <c r="J67" s="54"/>
      <c r="K67" s="54"/>
      <c r="L67" s="54" t="str">
        <f t="shared" si="0"/>
        <v/>
      </c>
    </row>
    <row r="68" spans="1:12" ht="24.95" customHeight="1" x14ac:dyDescent="0.25">
      <c r="A68" s="54"/>
      <c r="B68" s="57"/>
      <c r="C68" s="58"/>
      <c r="D68" s="57"/>
      <c r="E68" s="59"/>
      <c r="F68" s="58"/>
      <c r="G68" s="58"/>
      <c r="H68" s="56"/>
      <c r="I68" s="56"/>
      <c r="J68" s="54"/>
      <c r="K68" s="54"/>
      <c r="L68" s="54" t="str">
        <f t="shared" si="0"/>
        <v/>
      </c>
    </row>
    <row r="69" spans="1:12" ht="24.95" customHeight="1" x14ac:dyDescent="0.25">
      <c r="A69" s="54"/>
      <c r="B69" s="57"/>
      <c r="C69" s="58"/>
      <c r="D69" s="57"/>
      <c r="E69" s="59"/>
      <c r="F69" s="58"/>
      <c r="G69" s="58"/>
      <c r="H69" s="56"/>
      <c r="I69" s="56"/>
      <c r="J69" s="54"/>
      <c r="K69" s="54"/>
      <c r="L69" s="54"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78" t="s">
        <v>543</v>
      </c>
      <c r="B1" s="78"/>
      <c r="C1" s="78"/>
      <c r="D1" s="78"/>
      <c r="E1" s="78"/>
      <c r="F1" s="78"/>
      <c r="G1" s="78"/>
      <c r="H1" s="78"/>
      <c r="I1" s="78"/>
      <c r="J1" s="78"/>
    </row>
    <row r="2" spans="1:21" x14ac:dyDescent="0.25">
      <c r="A2" s="21"/>
      <c r="B2" s="21" t="s">
        <v>544</v>
      </c>
      <c r="C2" s="21" t="s">
        <v>545</v>
      </c>
      <c r="D2" s="21" t="s">
        <v>546</v>
      </c>
      <c r="E2" s="21" t="s">
        <v>547</v>
      </c>
      <c r="F2" s="21" t="s">
        <v>548</v>
      </c>
      <c r="G2" s="21" t="s">
        <v>549</v>
      </c>
      <c r="H2" s="21" t="s">
        <v>550</v>
      </c>
      <c r="I2" s="21" t="s">
        <v>551</v>
      </c>
      <c r="J2" s="21"/>
      <c r="K2" s="21"/>
      <c r="L2" s="21"/>
      <c r="M2" s="21"/>
      <c r="N2" s="21"/>
      <c r="O2" s="21"/>
      <c r="P2" s="21"/>
      <c r="Q2" s="21"/>
      <c r="R2" s="21"/>
      <c r="S2" s="21"/>
      <c r="T2" s="21"/>
      <c r="U2" s="21"/>
    </row>
    <row r="3" spans="1:21" x14ac:dyDescent="0.25">
      <c r="A3" s="22" t="str">
        <f>Legendary!D3</f>
        <v>战斗召唤</v>
      </c>
      <c r="B3" s="20" t="s">
        <v>552</v>
      </c>
    </row>
    <row r="4" spans="1:21" x14ac:dyDescent="0.25">
      <c r="A4" s="22" t="str">
        <f>Legendary!D12</f>
        <v>烦恼诗集</v>
      </c>
      <c r="B4" s="20" t="s">
        <v>552</v>
      </c>
    </row>
    <row r="5" spans="1:21" x14ac:dyDescent="0.25">
      <c r="A5" s="22" t="str">
        <f>Legendary!D22</f>
        <v>谜团</v>
      </c>
      <c r="B5" s="20" t="s">
        <v>552</v>
      </c>
    </row>
    <row r="6" spans="1:21" x14ac:dyDescent="0.25">
      <c r="A6" s="22" t="str">
        <f>Legendary!D32</f>
        <v>死亡呼吸</v>
      </c>
      <c r="B6" s="20" t="s">
        <v>552</v>
      </c>
    </row>
    <row r="7" spans="1:21" x14ac:dyDescent="0.25">
      <c r="A7" s="22" t="str">
        <f>Legendary!D41</f>
        <v>风之力</v>
      </c>
      <c r="B7" s="20" t="s">
        <v>552</v>
      </c>
    </row>
    <row r="8" spans="1:21" x14ac:dyDescent="0.25">
      <c r="A8" s="22" t="str">
        <f>Legendary!D49</f>
        <v>克苏恩的疯狂</v>
      </c>
      <c r="B8" s="20" t="s">
        <v>552</v>
      </c>
    </row>
    <row r="9" spans="1:21" x14ac:dyDescent="0.25">
      <c r="A9" s="22" t="str">
        <f>Legendary!D60</f>
        <v>正义天使之力</v>
      </c>
      <c r="B9" s="20" t="s">
        <v>552</v>
      </c>
    </row>
    <row r="10" spans="1:21" x14ac:dyDescent="0.25">
      <c r="A10" s="22" t="str">
        <f>Legendary!D70</f>
        <v>无限</v>
      </c>
      <c r="B10" s="20" t="s">
        <v>552</v>
      </c>
    </row>
    <row r="11" spans="1:21" x14ac:dyDescent="0.25">
      <c r="A11" s="22" t="str">
        <f>Legendary!D79</f>
        <v>洞察</v>
      </c>
      <c r="B11" s="20" t="s">
        <v>552</v>
      </c>
    </row>
    <row r="12" spans="1:21" x14ac:dyDescent="0.25">
      <c r="A12" s="22" t="str">
        <f>Legendary!D88</f>
        <v>巫毒瓶</v>
      </c>
      <c r="B12" s="20" t="s">
        <v>552</v>
      </c>
    </row>
    <row r="13" spans="1:21" x14ac:dyDescent="0.25">
      <c r="A13" s="23" t="e">
        <f>#REF!</f>
        <v>#REF!</v>
      </c>
      <c r="B13" s="20" t="s">
        <v>553</v>
      </c>
    </row>
    <row r="14" spans="1:21" x14ac:dyDescent="0.25">
      <c r="A14" s="23" t="e">
        <f>#REF!</f>
        <v>#REF!</v>
      </c>
      <c r="B14" s="20" t="s">
        <v>553</v>
      </c>
    </row>
    <row r="15" spans="1:21" x14ac:dyDescent="0.25">
      <c r="A15" s="23" t="e">
        <f>#REF!</f>
        <v>#REF!</v>
      </c>
      <c r="B15" s="20" t="s">
        <v>553</v>
      </c>
    </row>
    <row r="16" spans="1:21" x14ac:dyDescent="0.25">
      <c r="A16" s="23" t="e">
        <f>#REF!</f>
        <v>#REF!</v>
      </c>
      <c r="B16" s="20" t="s">
        <v>553</v>
      </c>
    </row>
    <row r="17" spans="1:11" x14ac:dyDescent="0.25">
      <c r="A17" s="23" t="e">
        <f>#REF!</f>
        <v>#REF!</v>
      </c>
      <c r="B17" s="20" t="s">
        <v>553</v>
      </c>
    </row>
    <row r="18" spans="1:11" x14ac:dyDescent="0.25">
      <c r="A18" s="23" t="e">
        <f>#REF!</f>
        <v>#REF!</v>
      </c>
      <c r="B18" s="20" t="s">
        <v>553</v>
      </c>
    </row>
    <row r="19" spans="1:11" x14ac:dyDescent="0.25">
      <c r="A19" s="23" t="e">
        <f>#REF!</f>
        <v>#REF!</v>
      </c>
      <c r="B19" s="20" t="s">
        <v>553</v>
      </c>
    </row>
    <row r="20" spans="1:11" x14ac:dyDescent="0.25">
      <c r="A20" s="23" t="e">
        <f>#REF!</f>
        <v>#REF!</v>
      </c>
      <c r="B20" s="20" t="s">
        <v>553</v>
      </c>
    </row>
    <row r="21" spans="1:11" x14ac:dyDescent="0.25">
      <c r="A21" s="23" t="e">
        <f>#REF!</f>
        <v>#REF!</v>
      </c>
      <c r="B21" s="20" t="s">
        <v>553</v>
      </c>
    </row>
    <row r="22" spans="1:11" x14ac:dyDescent="0.25">
      <c r="A22" s="23" t="e">
        <f>#REF!</f>
        <v>#REF!</v>
      </c>
      <c r="B22" s="20" t="s">
        <v>553</v>
      </c>
    </row>
    <row r="23" spans="1:11" x14ac:dyDescent="0.25">
      <c r="A23" s="23" t="e">
        <f>#REF!</f>
        <v>#REF!</v>
      </c>
      <c r="B23" s="20" t="s">
        <v>553</v>
      </c>
    </row>
    <row r="24" spans="1:11" x14ac:dyDescent="0.25">
      <c r="A24" s="23"/>
    </row>
    <row r="25" spans="1:11" x14ac:dyDescent="0.25">
      <c r="A25" s="23" t="e">
        <f>Rare!#REF!</f>
        <v>#REF!</v>
      </c>
      <c r="B25" s="20" t="s">
        <v>554</v>
      </c>
      <c r="C25" s="24">
        <v>15</v>
      </c>
      <c r="D25" s="24">
        <v>10</v>
      </c>
      <c r="E25" s="24">
        <v>11</v>
      </c>
      <c r="F25" s="24"/>
      <c r="G25" s="24"/>
      <c r="H25" s="24"/>
      <c r="I25" s="24">
        <v>7</v>
      </c>
      <c r="J25" s="19">
        <f t="shared" ref="J25:J40" si="0">SUM(C25:I25)</f>
        <v>43</v>
      </c>
      <c r="K25" s="23" t="s">
        <v>13</v>
      </c>
    </row>
    <row r="26" spans="1:11" x14ac:dyDescent="0.25">
      <c r="A26" s="23" t="e">
        <f>Rare!#REF!</f>
        <v>#REF!</v>
      </c>
      <c r="B26" s="20" t="s">
        <v>554</v>
      </c>
      <c r="C26" s="24">
        <v>25</v>
      </c>
      <c r="D26" s="24"/>
      <c r="E26" s="24">
        <v>11</v>
      </c>
      <c r="F26" s="24"/>
      <c r="G26" s="24"/>
      <c r="H26" s="24"/>
      <c r="I26" s="24">
        <v>7</v>
      </c>
      <c r="J26" s="19">
        <f t="shared" si="0"/>
        <v>43</v>
      </c>
      <c r="K26" s="23" t="s">
        <v>38</v>
      </c>
    </row>
    <row r="27" spans="1:11" x14ac:dyDescent="0.25">
      <c r="A27" s="23" t="str">
        <f>Rare!F19</f>
        <v>战歌之鼓</v>
      </c>
      <c r="B27" s="20" t="s">
        <v>554</v>
      </c>
      <c r="C27" s="24"/>
      <c r="D27" s="24"/>
      <c r="E27" s="24"/>
      <c r="F27" s="24">
        <v>11</v>
      </c>
      <c r="G27" s="24">
        <v>13</v>
      </c>
      <c r="H27" s="24">
        <v>12</v>
      </c>
      <c r="I27" s="24">
        <v>7</v>
      </c>
      <c r="J27" s="19">
        <f t="shared" si="0"/>
        <v>43</v>
      </c>
      <c r="K27" s="23" t="s">
        <v>42</v>
      </c>
    </row>
    <row r="28" spans="1:11" x14ac:dyDescent="0.25">
      <c r="A28" s="23" t="str">
        <f>Rare!F25</f>
        <v>托尔贝恩</v>
      </c>
      <c r="B28" s="20" t="s">
        <v>554</v>
      </c>
      <c r="C28" s="24"/>
      <c r="D28" s="24">
        <v>9</v>
      </c>
      <c r="E28" s="24"/>
      <c r="F28" s="24">
        <v>17</v>
      </c>
      <c r="G28" s="24">
        <v>12</v>
      </c>
      <c r="H28" s="24"/>
      <c r="I28" s="24">
        <v>6</v>
      </c>
      <c r="J28" s="19">
        <f t="shared" si="0"/>
        <v>44</v>
      </c>
      <c r="K28" s="23" t="s">
        <v>50</v>
      </c>
    </row>
    <row r="29" spans="1:11" x14ac:dyDescent="0.25">
      <c r="A29" s="23" t="str">
        <f>Rare!F31</f>
        <v>血吼</v>
      </c>
      <c r="B29" s="20" t="s">
        <v>554</v>
      </c>
      <c r="C29" s="24"/>
      <c r="D29" s="24"/>
      <c r="E29" s="24"/>
      <c r="F29" s="24">
        <v>10</v>
      </c>
      <c r="G29" s="24">
        <v>12</v>
      </c>
      <c r="H29" s="24">
        <v>15</v>
      </c>
      <c r="I29" s="24">
        <v>7</v>
      </c>
      <c r="J29" s="19">
        <f t="shared" si="0"/>
        <v>44</v>
      </c>
      <c r="K29" s="23" t="s">
        <v>54</v>
      </c>
    </row>
    <row r="30" spans="1:11" x14ac:dyDescent="0.25">
      <c r="A30" s="23" t="str">
        <f>Rare!F37</f>
        <v>熔火犬牙</v>
      </c>
      <c r="B30" s="20" t="s">
        <v>554</v>
      </c>
      <c r="C30" s="24">
        <v>7</v>
      </c>
      <c r="D30" s="24"/>
      <c r="E30" s="24"/>
      <c r="F30" s="24"/>
      <c r="G30" s="24">
        <v>14</v>
      </c>
      <c r="H30" s="24">
        <v>17</v>
      </c>
      <c r="I30" s="24">
        <v>6</v>
      </c>
      <c r="J30" s="19">
        <f t="shared" si="0"/>
        <v>44</v>
      </c>
      <c r="K30" s="23" t="s">
        <v>59</v>
      </c>
    </row>
    <row r="31" spans="1:11" x14ac:dyDescent="0.25">
      <c r="A31" s="23" t="str">
        <f>Rare!F42</f>
        <v>维斯卡格</v>
      </c>
      <c r="B31" s="20" t="s">
        <v>554</v>
      </c>
      <c r="C31" s="24">
        <v>11</v>
      </c>
      <c r="D31" s="24"/>
      <c r="E31" s="24">
        <v>12</v>
      </c>
      <c r="F31" s="24">
        <v>14</v>
      </c>
      <c r="G31" s="24"/>
      <c r="H31" s="24"/>
      <c r="I31" s="24">
        <v>7</v>
      </c>
      <c r="J31" s="19">
        <f t="shared" si="0"/>
        <v>44</v>
      </c>
      <c r="K31" s="23" t="s">
        <v>69</v>
      </c>
    </row>
    <row r="32" spans="1:11" x14ac:dyDescent="0.25">
      <c r="A32" s="23" t="str">
        <f>Rare!F49</f>
        <v>风暴狮角</v>
      </c>
      <c r="B32" s="20" t="s">
        <v>554</v>
      </c>
      <c r="C32" s="24"/>
      <c r="D32" s="24">
        <v>20</v>
      </c>
      <c r="E32" s="24"/>
      <c r="F32" s="24"/>
      <c r="G32" s="24">
        <v>10</v>
      </c>
      <c r="H32" s="24">
        <v>7</v>
      </c>
      <c r="I32" s="24">
        <v>7</v>
      </c>
      <c r="J32" s="19">
        <f t="shared" si="0"/>
        <v>44</v>
      </c>
      <c r="K32" s="23" t="s">
        <v>78</v>
      </c>
    </row>
    <row r="33" spans="1:11" x14ac:dyDescent="0.25">
      <c r="A33" s="23" t="str">
        <f>Rare!F55</f>
        <v>诅咒铠甲</v>
      </c>
      <c r="B33" s="20" t="s">
        <v>554</v>
      </c>
      <c r="C33" s="24">
        <v>10</v>
      </c>
      <c r="D33" s="24"/>
      <c r="E33" s="24"/>
      <c r="F33" s="24"/>
      <c r="G33" s="24">
        <v>15</v>
      </c>
      <c r="H33" s="24">
        <v>12</v>
      </c>
      <c r="I33" s="24">
        <v>7</v>
      </c>
      <c r="J33" s="19">
        <f t="shared" si="0"/>
        <v>44</v>
      </c>
      <c r="K33" s="23" t="s">
        <v>45</v>
      </c>
    </row>
    <row r="34" spans="1:11" x14ac:dyDescent="0.25">
      <c r="A34" s="23" t="str">
        <f>Rare!F62</f>
        <v>阿曼尼帝国壁垒</v>
      </c>
      <c r="B34" s="20" t="s">
        <v>554</v>
      </c>
      <c r="C34" s="24">
        <v>11</v>
      </c>
      <c r="D34" s="24"/>
      <c r="E34" s="24"/>
      <c r="F34" s="24"/>
      <c r="G34" s="24">
        <v>15</v>
      </c>
      <c r="H34" s="24">
        <v>12</v>
      </c>
      <c r="I34" s="24">
        <v>6</v>
      </c>
      <c r="J34" s="19">
        <f t="shared" si="0"/>
        <v>44</v>
      </c>
      <c r="K34" s="23" t="s">
        <v>57</v>
      </c>
    </row>
    <row r="35" spans="1:11" x14ac:dyDescent="0.25">
      <c r="A35" s="23" t="str">
        <f>Rare!F68</f>
        <v>末日防御者徽记</v>
      </c>
      <c r="B35" s="20" t="s">
        <v>554</v>
      </c>
      <c r="C35" s="24"/>
      <c r="D35" s="24"/>
      <c r="E35" s="24">
        <v>15</v>
      </c>
      <c r="F35" s="24">
        <v>14</v>
      </c>
      <c r="G35" s="24">
        <v>9</v>
      </c>
      <c r="H35" s="24"/>
      <c r="I35" s="24">
        <v>6</v>
      </c>
      <c r="J35" s="19">
        <f t="shared" si="0"/>
        <v>44</v>
      </c>
      <c r="K35" s="23" t="s">
        <v>67</v>
      </c>
    </row>
    <row r="36" spans="1:11" x14ac:dyDescent="0.25">
      <c r="A36" s="23" t="str">
        <f>Rare!F74</f>
        <v>埃兰的镇定宝石</v>
      </c>
      <c r="B36" s="20" t="s">
        <v>554</v>
      </c>
      <c r="C36" s="24"/>
      <c r="D36" s="24">
        <v>9</v>
      </c>
      <c r="E36" s="24">
        <v>13</v>
      </c>
      <c r="F36" s="24"/>
      <c r="G36" s="24"/>
      <c r="H36" s="24">
        <v>15</v>
      </c>
      <c r="I36" s="24">
        <v>7</v>
      </c>
      <c r="J36" s="19">
        <f t="shared" si="0"/>
        <v>44</v>
      </c>
      <c r="K36" s="23" t="s">
        <v>48</v>
      </c>
    </row>
    <row r="37" spans="1:11" x14ac:dyDescent="0.25">
      <c r="A37" s="23" t="str">
        <f>Rare!F80</f>
        <v>纯净秘法</v>
      </c>
      <c r="B37" s="20" t="s">
        <v>554</v>
      </c>
      <c r="C37" s="24">
        <v>11</v>
      </c>
      <c r="D37" s="24">
        <v>13</v>
      </c>
      <c r="E37" s="24">
        <v>13</v>
      </c>
      <c r="F37" s="24"/>
      <c r="G37" s="24"/>
      <c r="H37" s="24"/>
      <c r="I37" s="24">
        <v>7</v>
      </c>
      <c r="J37" s="19">
        <f t="shared" si="0"/>
        <v>44</v>
      </c>
      <c r="K37" s="23" t="s">
        <v>55</v>
      </c>
    </row>
    <row r="38" spans="1:11" x14ac:dyDescent="0.25">
      <c r="A38" s="23" t="str">
        <f>Rare!F84</f>
        <v>妖术之颅</v>
      </c>
      <c r="B38" s="20" t="s">
        <v>554</v>
      </c>
      <c r="C38" s="24"/>
      <c r="D38" s="24">
        <v>10</v>
      </c>
      <c r="E38" s="24">
        <v>9</v>
      </c>
      <c r="F38" s="24">
        <v>14</v>
      </c>
      <c r="G38" s="24"/>
      <c r="H38" s="24">
        <v>10</v>
      </c>
      <c r="I38" s="24"/>
      <c r="J38" s="19">
        <f t="shared" si="0"/>
        <v>43</v>
      </c>
      <c r="K38" s="23" t="s">
        <v>58</v>
      </c>
    </row>
    <row r="39" spans="1:11" x14ac:dyDescent="0.25">
      <c r="A39" s="23" t="str">
        <f>Rare!F90</f>
        <v>暗影烈焰法杖</v>
      </c>
      <c r="B39" s="20" t="s">
        <v>554</v>
      </c>
      <c r="C39" s="24">
        <v>10</v>
      </c>
      <c r="D39" s="24">
        <v>13</v>
      </c>
      <c r="E39" s="24"/>
      <c r="F39" s="24">
        <v>14</v>
      </c>
      <c r="G39" s="24"/>
      <c r="H39" s="24"/>
      <c r="I39" s="24">
        <v>7</v>
      </c>
      <c r="J39" s="19">
        <f t="shared" si="0"/>
        <v>44</v>
      </c>
      <c r="K39" s="23" t="s">
        <v>64</v>
      </c>
    </row>
    <row r="40" spans="1:11" x14ac:dyDescent="0.25">
      <c r="A40" s="23" t="str">
        <f>Rare!F96</f>
        <v>潮汐指环</v>
      </c>
      <c r="B40" s="20" t="s">
        <v>554</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555</v>
      </c>
      <c r="B44" s="20" t="s">
        <v>552</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2018-06-04T11:52:17Z</dcterms:modified>
</cp:coreProperties>
</file>