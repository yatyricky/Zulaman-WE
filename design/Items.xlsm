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527A66C8-15BA-46ED-972D-A445FEFADEA3}" xr6:coauthVersionLast="32" xr6:coauthVersionMax="32" xr10:uidLastSave="{00000000-0000-0000-0000-000000000000}"/>
  <bookViews>
    <workbookView xWindow="0" yWindow="60" windowWidth="20490" windowHeight="7380" activeTab="3"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4" i="4"/>
  <c r="D5" i="4" l="1"/>
  <c r="D9" i="4"/>
  <c r="D13" i="4"/>
  <c r="D14" i="4"/>
  <c r="D15" i="4"/>
  <c r="D16" i="4"/>
  <c r="D17" i="4"/>
  <c r="D21" i="4"/>
  <c r="D22" i="4"/>
  <c r="D23" i="4"/>
  <c r="D27" i="4"/>
  <c r="D28" i="4"/>
  <c r="D29" i="4"/>
  <c r="D33" i="4"/>
  <c r="D34" i="4"/>
  <c r="D35" i="4"/>
  <c r="D39" i="4"/>
  <c r="D40" i="4"/>
  <c r="D41" i="4"/>
  <c r="D42" i="4"/>
  <c r="D45" i="4"/>
  <c r="D46" i="4"/>
  <c r="D47" i="4"/>
  <c r="D48" i="4"/>
  <c r="D52" i="4"/>
  <c r="D53" i="4"/>
  <c r="D54" i="4"/>
  <c r="D58" i="4"/>
  <c r="D59" i="4"/>
  <c r="D60" i="4"/>
  <c r="D61" i="4"/>
  <c r="D62" i="4"/>
  <c r="D66" i="4"/>
  <c r="D67" i="4"/>
  <c r="D68" i="4"/>
  <c r="D69" i="4"/>
  <c r="D73" i="4"/>
  <c r="D74" i="4"/>
  <c r="D75" i="4"/>
  <c r="D76" i="4"/>
  <c r="D80" i="4"/>
  <c r="D81" i="4"/>
  <c r="D82" i="4"/>
  <c r="D83" i="4"/>
  <c r="D87" i="4"/>
  <c r="D91" i="4"/>
  <c r="D92" i="4"/>
  <c r="D93" i="4"/>
  <c r="D97" i="4"/>
  <c r="D98" i="4"/>
  <c r="D99" i="4"/>
  <c r="D103" i="4"/>
  <c r="D104" i="4"/>
  <c r="D105" i="4"/>
  <c r="D106" i="4"/>
  <c r="D110" i="4"/>
  <c r="D111" i="4"/>
  <c r="D112" i="4"/>
  <c r="D113" i="4"/>
  <c r="D114" i="4"/>
  <c r="D118" i="4"/>
  <c r="D119" i="4"/>
  <c r="D120" i="4"/>
  <c r="D121" i="4"/>
  <c r="D122" i="4"/>
  <c r="D123" i="4"/>
  <c r="D127" i="4"/>
  <c r="D128" i="4"/>
  <c r="D129" i="4"/>
  <c r="D130" i="4"/>
  <c r="D131" i="4"/>
  <c r="D135" i="4"/>
  <c r="D136" i="4"/>
  <c r="D137" i="4"/>
  <c r="D138" i="4"/>
  <c r="D139" i="4"/>
  <c r="D140" i="4"/>
  <c r="D144" i="4"/>
  <c r="D145" i="4"/>
  <c r="D146" i="4"/>
  <c r="D147" i="4"/>
  <c r="D148" i="4"/>
  <c r="D152" i="4"/>
  <c r="D153" i="4"/>
  <c r="D154" i="4"/>
  <c r="D155" i="4"/>
  <c r="D156" i="4"/>
  <c r="D160" i="4"/>
  <c r="D161" i="4"/>
  <c r="D162" i="4"/>
  <c r="D163" i="4"/>
  <c r="D164" i="4"/>
  <c r="D165" i="4"/>
  <c r="D169" i="4"/>
  <c r="D170" i="4"/>
  <c r="D171" i="4"/>
  <c r="D172" i="4"/>
  <c r="D173" i="4"/>
  <c r="D177" i="4"/>
  <c r="D178" i="4"/>
  <c r="D179" i="4"/>
  <c r="D180" i="4"/>
  <c r="D181" i="4"/>
  <c r="D185" i="4"/>
  <c r="D186" i="4"/>
  <c r="D187" i="4"/>
  <c r="D188" i="4"/>
  <c r="D189" i="4"/>
  <c r="D193" i="4"/>
  <c r="D194" i="4"/>
  <c r="D195" i="4"/>
  <c r="D196" i="4"/>
  <c r="D197" i="4"/>
  <c r="D4" i="4"/>
  <c r="G114" i="4" l="1"/>
  <c r="F114" i="4"/>
  <c r="G123" i="4"/>
  <c r="F123" i="4"/>
  <c r="G122" i="4"/>
  <c r="F122" i="4"/>
  <c r="G131" i="4"/>
  <c r="F131" i="4"/>
  <c r="G140" i="4"/>
  <c r="F140" i="4"/>
  <c r="G139" i="4"/>
  <c r="F139" i="4"/>
  <c r="G148" i="4"/>
  <c r="F148" i="4"/>
  <c r="G156" i="4"/>
  <c r="F156" i="4"/>
  <c r="G165" i="4"/>
  <c r="F165" i="4"/>
  <c r="G164" i="4"/>
  <c r="F164" i="4"/>
  <c r="G173" i="4"/>
  <c r="F173" i="4"/>
  <c r="G181" i="4"/>
  <c r="F181" i="4"/>
  <c r="G189" i="4"/>
  <c r="F189" i="4"/>
  <c r="G197" i="4"/>
  <c r="F197" i="4"/>
  <c r="G196" i="4"/>
  <c r="F196" i="4"/>
  <c r="G195" i="4"/>
  <c r="F195" i="4"/>
  <c r="G194" i="4"/>
  <c r="F194" i="4"/>
  <c r="G193" i="4"/>
  <c r="F193" i="4"/>
  <c r="G188" i="4"/>
  <c r="F188" i="4"/>
  <c r="G187" i="4"/>
  <c r="F187" i="4"/>
  <c r="G186" i="4"/>
  <c r="F186" i="4"/>
  <c r="G185" i="4"/>
  <c r="F185" i="4"/>
  <c r="G180" i="4"/>
  <c r="F180" i="4"/>
  <c r="G179" i="4"/>
  <c r="F179" i="4"/>
  <c r="G178" i="4"/>
  <c r="F178" i="4"/>
  <c r="G177" i="4"/>
  <c r="F177" i="4"/>
  <c r="G172" i="4"/>
  <c r="F172" i="4"/>
  <c r="G171" i="4"/>
  <c r="F171" i="4"/>
  <c r="G170" i="4"/>
  <c r="F170" i="4"/>
  <c r="G169" i="4"/>
  <c r="F169" i="4"/>
  <c r="G163" i="4"/>
  <c r="F163" i="4"/>
  <c r="G162" i="4"/>
  <c r="F162" i="4"/>
  <c r="G161" i="4"/>
  <c r="F161" i="4"/>
  <c r="G160" i="4"/>
  <c r="F160" i="4"/>
  <c r="G155" i="4"/>
  <c r="F155" i="4"/>
  <c r="G154" i="4"/>
  <c r="F154" i="4"/>
  <c r="G153" i="4"/>
  <c r="F153" i="4"/>
  <c r="G152" i="4"/>
  <c r="F152" i="4"/>
  <c r="G147" i="4"/>
  <c r="F147" i="4"/>
  <c r="G146" i="4"/>
  <c r="F146" i="4"/>
  <c r="G145" i="4"/>
  <c r="F145" i="4"/>
  <c r="G144" i="4"/>
  <c r="F144" i="4"/>
  <c r="G138" i="4"/>
  <c r="F138" i="4"/>
  <c r="G137" i="4"/>
  <c r="F137" i="4"/>
  <c r="G136" i="4"/>
  <c r="F136" i="4"/>
  <c r="G135" i="4"/>
  <c r="F135" i="4"/>
  <c r="G130" i="4"/>
  <c r="F130" i="4"/>
  <c r="G129" i="4"/>
  <c r="F129" i="4"/>
  <c r="G128" i="4"/>
  <c r="F128" i="4"/>
  <c r="G127" i="4"/>
  <c r="F127" i="4"/>
  <c r="G121" i="4"/>
  <c r="F121" i="4"/>
  <c r="G120" i="4"/>
  <c r="F120" i="4"/>
  <c r="G119" i="4"/>
  <c r="F119" i="4"/>
  <c r="G118" i="4"/>
  <c r="F118" i="4"/>
  <c r="G113" i="4"/>
  <c r="F113" i="4"/>
  <c r="G112" i="4"/>
  <c r="F112" i="4"/>
  <c r="G111" i="4"/>
  <c r="F111" i="4"/>
  <c r="G110" i="4"/>
  <c r="F110" i="4"/>
  <c r="G106" i="4"/>
  <c r="F106" i="4"/>
  <c r="G105" i="4"/>
  <c r="F105" i="4"/>
  <c r="G104" i="4"/>
  <c r="F104" i="4"/>
  <c r="G103" i="4"/>
  <c r="F103" i="4"/>
  <c r="G99" i="4"/>
  <c r="F99" i="4"/>
  <c r="G98" i="4"/>
  <c r="F98" i="4"/>
  <c r="G97" i="4"/>
  <c r="F97" i="4"/>
  <c r="G93" i="4"/>
  <c r="F93" i="4"/>
  <c r="G92" i="4"/>
  <c r="F92" i="4"/>
  <c r="G91" i="4"/>
  <c r="F91" i="4"/>
  <c r="G87" i="4"/>
  <c r="F87" i="4"/>
  <c r="G83" i="4"/>
  <c r="F83" i="4"/>
  <c r="G82" i="4"/>
  <c r="F82" i="4"/>
  <c r="G81" i="4"/>
  <c r="F81" i="4"/>
  <c r="G80" i="4"/>
  <c r="F80" i="4"/>
  <c r="G76" i="4"/>
  <c r="F76" i="4"/>
  <c r="G75" i="4"/>
  <c r="F75" i="4"/>
  <c r="G74" i="4"/>
  <c r="F74" i="4"/>
  <c r="G73" i="4"/>
  <c r="F73" i="4"/>
  <c r="G69" i="4"/>
  <c r="F69" i="4"/>
  <c r="G68" i="4"/>
  <c r="F68" i="4"/>
  <c r="G67" i="4"/>
  <c r="F67" i="4"/>
  <c r="G66" i="4"/>
  <c r="F66" i="4"/>
  <c r="G62" i="4"/>
  <c r="F62" i="4"/>
  <c r="G61" i="4"/>
  <c r="F61" i="4"/>
  <c r="G60" i="4"/>
  <c r="F60" i="4"/>
  <c r="G59" i="4"/>
  <c r="F59" i="4"/>
  <c r="G58" i="4"/>
  <c r="F58" i="4"/>
  <c r="G54" i="4"/>
  <c r="F54" i="4"/>
  <c r="G53" i="4"/>
  <c r="F53" i="4"/>
  <c r="G52" i="4"/>
  <c r="F52" i="4"/>
  <c r="G48" i="4"/>
  <c r="F48" i="4"/>
  <c r="G47" i="4"/>
  <c r="F47" i="4"/>
  <c r="G46" i="4"/>
  <c r="F46" i="4"/>
  <c r="G45" i="4"/>
  <c r="F45" i="4"/>
  <c r="G42" i="4"/>
  <c r="F42" i="4"/>
  <c r="G41" i="4"/>
  <c r="F41" i="4"/>
  <c r="G40" i="4"/>
  <c r="F40" i="4"/>
  <c r="G39" i="4"/>
  <c r="F39" i="4"/>
  <c r="G35" i="4"/>
  <c r="F35" i="4"/>
  <c r="G34" i="4"/>
  <c r="F34" i="4"/>
  <c r="G33" i="4"/>
  <c r="F33" i="4"/>
  <c r="G29" i="4"/>
  <c r="F29" i="4"/>
  <c r="G28" i="4"/>
  <c r="F28" i="4"/>
  <c r="G27" i="4"/>
  <c r="F27" i="4"/>
  <c r="G23" i="4"/>
  <c r="F23" i="4"/>
  <c r="G22" i="4"/>
  <c r="F22" i="4"/>
  <c r="G21" i="4"/>
  <c r="F21" i="4"/>
  <c r="G17" i="4"/>
  <c r="F17" i="4"/>
  <c r="G16" i="4"/>
  <c r="F16" i="4"/>
  <c r="G15" i="4"/>
  <c r="F15" i="4"/>
  <c r="G14" i="4"/>
  <c r="F14" i="4"/>
  <c r="G13" i="4"/>
  <c r="F13" i="4"/>
  <c r="G9" i="4"/>
  <c r="F9" i="4"/>
  <c r="G5" i="4"/>
  <c r="F5" i="4"/>
  <c r="G4" i="4"/>
  <c r="F4" i="4"/>
  <c r="E61" i="14"/>
  <c r="D61" i="14"/>
  <c r="E83" i="14"/>
  <c r="D83" i="14"/>
  <c r="E82" i="14"/>
  <c r="D82" i="14"/>
  <c r="E78" i="14"/>
  <c r="D78" i="14"/>
  <c r="E77" i="14"/>
  <c r="D77" i="14"/>
  <c r="E73" i="14"/>
  <c r="D73" i="14"/>
  <c r="E72" i="14"/>
  <c r="D72" i="14"/>
  <c r="E68" i="14"/>
  <c r="D68" i="14"/>
  <c r="E65" i="14"/>
  <c r="D65" i="14"/>
  <c r="E64" i="14"/>
  <c r="D64" i="14"/>
  <c r="E60" i="14"/>
  <c r="D60" i="14"/>
  <c r="E56" i="14"/>
  <c r="D56" i="14"/>
  <c r="E52" i="14"/>
  <c r="D52" i="14"/>
  <c r="E48" i="14"/>
  <c r="D48" i="14"/>
  <c r="E44" i="14"/>
  <c r="D44" i="14"/>
  <c r="E40" i="14"/>
  <c r="D40" i="14"/>
  <c r="E36" i="14"/>
  <c r="D36" i="14"/>
  <c r="E32" i="14"/>
  <c r="D32" i="14"/>
  <c r="E28" i="14"/>
  <c r="D28" i="14"/>
  <c r="E24" i="14"/>
  <c r="D24" i="14"/>
  <c r="E21" i="14"/>
  <c r="D21" i="14"/>
  <c r="E20" i="14"/>
  <c r="D20" i="14"/>
  <c r="E17" i="14"/>
  <c r="D17" i="14"/>
  <c r="E16" i="14"/>
  <c r="D16" i="14"/>
  <c r="E13" i="14"/>
  <c r="D13" i="14"/>
  <c r="E12" i="14"/>
  <c r="D12" i="14"/>
  <c r="E8" i="14"/>
  <c r="D8" i="14"/>
  <c r="E4" i="14"/>
  <c r="D4" i="14"/>
  <c r="J2" i="17"/>
  <c r="J73" i="17"/>
  <c r="I118" i="4"/>
  <c r="I161" i="4"/>
  <c r="L118" i="4" l="1"/>
  <c r="L161" i="4"/>
  <c r="E104" i="3"/>
  <c r="D104" i="3"/>
  <c r="E103" i="3"/>
  <c r="D103" i="3"/>
  <c r="E96" i="3"/>
  <c r="D96" i="3"/>
  <c r="E95" i="3"/>
  <c r="D95" i="3"/>
  <c r="E94" i="3"/>
  <c r="D94" i="3"/>
  <c r="E93" i="3"/>
  <c r="D93" i="3"/>
  <c r="E85" i="3"/>
  <c r="D85" i="3"/>
  <c r="E84" i="3"/>
  <c r="D84" i="3"/>
  <c r="E83" i="3"/>
  <c r="D83" i="3"/>
  <c r="E82" i="3"/>
  <c r="D82" i="3"/>
  <c r="E75" i="3"/>
  <c r="D75" i="3"/>
  <c r="E74" i="3"/>
  <c r="D74" i="3"/>
  <c r="E73" i="3"/>
  <c r="D73" i="3"/>
  <c r="E66" i="3"/>
  <c r="D66" i="3"/>
  <c r="E65" i="3"/>
  <c r="D65" i="3"/>
  <c r="E64" i="3"/>
  <c r="D64" i="3"/>
  <c r="E63" i="3"/>
  <c r="D63" i="3"/>
  <c r="E62" i="3"/>
  <c r="D62" i="3"/>
  <c r="E54" i="3"/>
  <c r="D54" i="3"/>
  <c r="E53" i="3"/>
  <c r="D53" i="3"/>
  <c r="E52" i="3"/>
  <c r="D52" i="3"/>
  <c r="E51" i="3"/>
  <c r="D51" i="3"/>
  <c r="E46" i="3"/>
  <c r="D46" i="3"/>
  <c r="E45" i="3"/>
  <c r="D45" i="3"/>
  <c r="E44" i="3"/>
  <c r="D44" i="3"/>
  <c r="E43" i="3"/>
  <c r="D43" i="3"/>
  <c r="E36" i="3"/>
  <c r="D36" i="3"/>
  <c r="E35" i="3"/>
  <c r="D35" i="3"/>
  <c r="E34" i="3"/>
  <c r="D34" i="3"/>
  <c r="E27" i="3"/>
  <c r="D27" i="3"/>
  <c r="E26" i="3"/>
  <c r="D26" i="3"/>
  <c r="E25" i="3"/>
  <c r="D25" i="3"/>
  <c r="E24" i="3"/>
  <c r="D24" i="3"/>
  <c r="E14" i="3"/>
  <c r="D14" i="3"/>
  <c r="E108" i="3"/>
  <c r="D108" i="3"/>
  <c r="E107" i="3"/>
  <c r="D107" i="3"/>
  <c r="E106" i="3"/>
  <c r="D106" i="3"/>
  <c r="E105" i="3"/>
  <c r="D105" i="3"/>
  <c r="E98" i="3"/>
  <c r="D98" i="3"/>
  <c r="E97" i="3"/>
  <c r="D97" i="3"/>
  <c r="E88" i="3"/>
  <c r="D88" i="3"/>
  <c r="E87" i="3"/>
  <c r="D87" i="3"/>
  <c r="E86" i="3"/>
  <c r="D86" i="3"/>
  <c r="E77" i="3"/>
  <c r="D77" i="3"/>
  <c r="E76" i="3"/>
  <c r="D76" i="3"/>
  <c r="E68" i="3"/>
  <c r="D68" i="3"/>
  <c r="E67" i="3"/>
  <c r="D67" i="3"/>
  <c r="E57" i="3"/>
  <c r="D57" i="3"/>
  <c r="E56" i="3"/>
  <c r="D56" i="3"/>
  <c r="E55" i="3"/>
  <c r="D55" i="3"/>
  <c r="E47" i="3"/>
  <c r="D47" i="3"/>
  <c r="E38" i="3"/>
  <c r="D38" i="3"/>
  <c r="E37" i="3"/>
  <c r="D37" i="3"/>
  <c r="E29" i="3"/>
  <c r="D29" i="3"/>
  <c r="E28" i="3"/>
  <c r="D28" i="3"/>
  <c r="E19" i="3"/>
  <c r="D19" i="3"/>
  <c r="E18" i="3"/>
  <c r="D18" i="3"/>
  <c r="E17" i="3"/>
  <c r="D17" i="3"/>
  <c r="E16" i="3"/>
  <c r="D16" i="3"/>
  <c r="E15" i="3"/>
  <c r="D15" i="3"/>
  <c r="E9" i="3"/>
  <c r="D9" i="3"/>
  <c r="E8" i="3"/>
  <c r="D8" i="3"/>
  <c r="E7" i="3"/>
  <c r="D7" i="3"/>
  <c r="E20" i="3"/>
  <c r="D20" i="3"/>
  <c r="E6" i="3"/>
  <c r="D6" i="3"/>
  <c r="E5" i="3"/>
  <c r="D5" i="3"/>
  <c r="E4" i="3"/>
  <c r="D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I67" i="14"/>
  <c r="I69" i="14"/>
  <c r="J45" i="17"/>
  <c r="J14" i="17"/>
  <c r="I9" i="14"/>
  <c r="J68" i="14"/>
  <c r="K57" i="4"/>
  <c r="J31" i="17"/>
  <c r="J13" i="17"/>
  <c r="K190" i="4"/>
  <c r="K175" i="4"/>
  <c r="I81" i="14"/>
  <c r="I42" i="17"/>
  <c r="K125" i="4"/>
  <c r="K107" i="4"/>
  <c r="K101" i="4"/>
  <c r="J40" i="17"/>
  <c r="I51" i="14"/>
  <c r="K44" i="4"/>
  <c r="I41" i="14"/>
  <c r="K174" i="4"/>
  <c r="I41" i="17"/>
  <c r="K90" i="4"/>
  <c r="J36" i="17"/>
  <c r="I34" i="14"/>
  <c r="I10" i="14"/>
  <c r="I14" i="17"/>
  <c r="J38" i="17"/>
  <c r="J28" i="17"/>
  <c r="J94" i="17"/>
  <c r="I90" i="17"/>
  <c r="I86" i="17"/>
  <c r="I82" i="17"/>
  <c r="J78" i="17"/>
  <c r="I74" i="17"/>
  <c r="J70" i="17"/>
  <c r="J66" i="17"/>
  <c r="I62" i="17"/>
  <c r="I58" i="17"/>
  <c r="I54" i="17"/>
  <c r="I50" i="17"/>
  <c r="I83" i="14"/>
  <c r="I64" i="14"/>
  <c r="I32" i="14"/>
  <c r="I12" i="14"/>
  <c r="I73" i="14"/>
  <c r="I72" i="14"/>
  <c r="I47" i="17"/>
  <c r="I9" i="17"/>
  <c r="I7" i="17"/>
  <c r="J24" i="17"/>
  <c r="I75" i="14"/>
  <c r="I19" i="14"/>
  <c r="J79" i="17"/>
  <c r="J54" i="17"/>
  <c r="I36" i="14"/>
  <c r="K55" i="4"/>
  <c r="K50" i="4"/>
  <c r="I33" i="17"/>
  <c r="J46" i="17"/>
  <c r="K18" i="4"/>
  <c r="K150" i="4"/>
  <c r="I14" i="14"/>
  <c r="J39" i="17"/>
  <c r="J29" i="17"/>
  <c r="I24" i="17"/>
  <c r="I31" i="14"/>
  <c r="K141" i="4"/>
  <c r="I35" i="17"/>
  <c r="J8" i="17"/>
  <c r="I59" i="14"/>
  <c r="K198" i="4"/>
  <c r="I10" i="17"/>
  <c r="K6" i="4"/>
  <c r="J35" i="17"/>
  <c r="K37" i="4"/>
  <c r="I71" i="14"/>
  <c r="J5" i="17"/>
  <c r="J42" i="17"/>
  <c r="J9" i="17"/>
  <c r="I26" i="14"/>
  <c r="I84" i="14"/>
  <c r="I29" i="17"/>
  <c r="J19" i="17"/>
  <c r="I80" i="14"/>
  <c r="I94" i="17"/>
  <c r="J90" i="17"/>
  <c r="J86" i="17"/>
  <c r="J82" i="17"/>
  <c r="I78" i="17"/>
  <c r="J74" i="17"/>
  <c r="I69" i="17"/>
  <c r="I65" i="17"/>
  <c r="I61" i="17"/>
  <c r="I57" i="17"/>
  <c r="J53" i="17"/>
  <c r="J49" i="17"/>
  <c r="I82" i="14"/>
  <c r="I60" i="14"/>
  <c r="I28" i="14"/>
  <c r="I8" i="14"/>
  <c r="I48" i="14"/>
  <c r="K31" i="4"/>
  <c r="I57" i="14"/>
  <c r="K159" i="4"/>
  <c r="I18" i="14"/>
  <c r="I3" i="14"/>
  <c r="I95" i="17"/>
  <c r="I75" i="17"/>
  <c r="J50" i="17"/>
  <c r="K86" i="4"/>
  <c r="K32" i="4"/>
  <c r="J17" i="17"/>
  <c r="I4" i="17"/>
  <c r="K49" i="4"/>
  <c r="I38" i="14"/>
  <c r="K77" i="4"/>
  <c r="J21" i="17"/>
  <c r="I58" i="14"/>
  <c r="J33" i="17"/>
  <c r="K19" i="4"/>
  <c r="I62" i="14"/>
  <c r="J20" i="17"/>
  <c r="I19" i="17"/>
  <c r="K65" i="4"/>
  <c r="I7" i="14"/>
  <c r="I36" i="17"/>
  <c r="K126" i="4"/>
  <c r="I23" i="17"/>
  <c r="K96" i="4"/>
  <c r="K24" i="4"/>
  <c r="I2" i="17"/>
  <c r="J16" i="17"/>
  <c r="K71" i="4"/>
  <c r="K38" i="4"/>
  <c r="I22" i="14"/>
  <c r="J12" i="17"/>
  <c r="I34" i="17"/>
  <c r="I97" i="17"/>
  <c r="I93" i="17"/>
  <c r="J89" i="17"/>
  <c r="I85" i="17"/>
  <c r="J81" i="17"/>
  <c r="I77" i="17"/>
  <c r="I73" i="17"/>
  <c r="J69" i="17"/>
  <c r="J65" i="17"/>
  <c r="J61" i="17"/>
  <c r="J57" i="17"/>
  <c r="I53" i="17"/>
  <c r="I49" i="17"/>
  <c r="I78" i="14"/>
  <c r="I56" i="14"/>
  <c r="I24" i="14"/>
  <c r="I4" i="14"/>
  <c r="I20" i="14"/>
  <c r="I44" i="14"/>
  <c r="I16" i="14"/>
  <c r="I17" i="17"/>
  <c r="J47" i="17"/>
  <c r="I44" i="17"/>
  <c r="J18" i="17"/>
  <c r="J6" i="17"/>
  <c r="K88" i="4"/>
  <c r="J87" i="17"/>
  <c r="I70" i="17"/>
  <c r="I37" i="14"/>
  <c r="K108" i="4"/>
  <c r="J43" i="17"/>
  <c r="K43" i="4"/>
  <c r="J3" i="17"/>
  <c r="I53" i="14"/>
  <c r="I5" i="14"/>
  <c r="I28" i="17"/>
  <c r="K102" i="4"/>
  <c r="J22" i="17"/>
  <c r="I45" i="14"/>
  <c r="K95" i="4"/>
  <c r="I37" i="17"/>
  <c r="K166" i="4"/>
  <c r="I49" i="14"/>
  <c r="K182" i="4"/>
  <c r="J15" i="17"/>
  <c r="I70" i="14"/>
  <c r="K7" i="4"/>
  <c r="K133" i="4"/>
  <c r="K70" i="4"/>
  <c r="I12" i="17"/>
  <c r="I13" i="17"/>
  <c r="I33" i="14"/>
  <c r="I63" i="14"/>
  <c r="J27" i="17"/>
  <c r="I18" i="17"/>
  <c r="K132" i="4"/>
  <c r="J97" i="17"/>
  <c r="J93" i="17"/>
  <c r="I89" i="17"/>
  <c r="J85" i="17"/>
  <c r="I81" i="17"/>
  <c r="J77" i="17"/>
  <c r="I72" i="17"/>
  <c r="I68" i="17"/>
  <c r="I64" i="17"/>
  <c r="J60" i="17"/>
  <c r="I56" i="17"/>
  <c r="I52" i="17"/>
  <c r="J48" i="17"/>
  <c r="I77" i="14"/>
  <c r="I52" i="14"/>
  <c r="I21" i="14"/>
  <c r="J3" i="14"/>
  <c r="K56" i="4"/>
  <c r="I13" i="14"/>
  <c r="I39" i="14"/>
  <c r="I76" i="14"/>
  <c r="J34" i="17"/>
  <c r="I54" i="14"/>
  <c r="I22" i="17"/>
  <c r="K64" i="4"/>
  <c r="K85" i="4"/>
  <c r="J44" i="17"/>
  <c r="I74" i="14"/>
  <c r="K78" i="4"/>
  <c r="K100" i="4"/>
  <c r="I15" i="14"/>
  <c r="I46" i="17"/>
  <c r="K142" i="4"/>
  <c r="K183" i="4"/>
  <c r="I43" i="14"/>
  <c r="I26" i="17"/>
  <c r="I45" i="17"/>
  <c r="I35" i="14"/>
  <c r="K10" i="4"/>
  <c r="I31" i="17"/>
  <c r="I3" i="17"/>
  <c r="K12" i="4"/>
  <c r="I46" i="14"/>
  <c r="K149" i="4"/>
  <c r="I38" i="17"/>
  <c r="J23" i="17"/>
  <c r="K84" i="4"/>
  <c r="J96" i="17"/>
  <c r="I92" i="17"/>
  <c r="J88" i="17"/>
  <c r="J84" i="17"/>
  <c r="I80" i="17"/>
  <c r="I76" i="17"/>
  <c r="J72" i="17"/>
  <c r="J68" i="17"/>
  <c r="J64" i="17"/>
  <c r="I60" i="17"/>
  <c r="J56" i="17"/>
  <c r="J52" i="17"/>
  <c r="I48" i="17"/>
  <c r="I17" i="14"/>
  <c r="J26" i="17"/>
  <c r="I6" i="14"/>
  <c r="K30" i="4"/>
  <c r="K51" i="4"/>
  <c r="I91" i="17"/>
  <c r="J62" i="17"/>
  <c r="K94" i="4"/>
  <c r="K116" i="4"/>
  <c r="I15" i="17"/>
  <c r="K167" i="4"/>
  <c r="K191" i="4"/>
  <c r="K36" i="4"/>
  <c r="K134" i="4"/>
  <c r="J32" i="17"/>
  <c r="I25" i="17"/>
  <c r="I30" i="14"/>
  <c r="K8" i="4"/>
  <c r="J7" i="17"/>
  <c r="J11" i="17"/>
  <c r="I23" i="14"/>
  <c r="K72" i="4"/>
  <c r="I32" i="17"/>
  <c r="I5" i="17"/>
  <c r="J25" i="17"/>
  <c r="K3" i="4"/>
  <c r="I79" i="14"/>
  <c r="J30" i="17"/>
  <c r="I8" i="17"/>
  <c r="K89" i="4"/>
  <c r="K20" i="4"/>
  <c r="K157" i="4"/>
  <c r="I27" i="17"/>
  <c r="J4" i="17"/>
  <c r="I50" i="14"/>
  <c r="I96" i="17"/>
  <c r="J92" i="17"/>
  <c r="I88" i="17"/>
  <c r="I84" i="17"/>
  <c r="J80" i="17"/>
  <c r="J76" i="17"/>
  <c r="I71" i="17"/>
  <c r="J67" i="17"/>
  <c r="J63" i="17"/>
  <c r="J59" i="17"/>
  <c r="J55" i="17"/>
  <c r="J51" i="17"/>
  <c r="K25" i="4"/>
  <c r="J58" i="17"/>
  <c r="I65" i="14"/>
  <c r="K109" i="4"/>
  <c r="I11" i="14"/>
  <c r="I27" i="14"/>
  <c r="J41" i="17"/>
  <c r="J37" i="17"/>
  <c r="I29" i="14"/>
  <c r="K143" i="4"/>
  <c r="I16" i="17"/>
  <c r="I43" i="17"/>
  <c r="I42" i="14"/>
  <c r="K158" i="4"/>
  <c r="I55" i="14"/>
  <c r="I6" i="17"/>
  <c r="I11" i="17"/>
  <c r="K192" i="4"/>
  <c r="I66" i="14"/>
  <c r="I21" i="17"/>
  <c r="I39" i="17"/>
  <c r="K176" i="4"/>
  <c r="I25" i="14"/>
  <c r="K124" i="4"/>
  <c r="J10" i="17"/>
  <c r="I40" i="17"/>
  <c r="I47" i="14"/>
  <c r="K184" i="4"/>
  <c r="K63" i="4"/>
  <c r="I30" i="17"/>
  <c r="K117" i="4"/>
  <c r="K115" i="4"/>
  <c r="J95" i="17"/>
  <c r="J91" i="17"/>
  <c r="I87" i="17"/>
  <c r="J83" i="17"/>
  <c r="I79" i="17"/>
  <c r="J75" i="17"/>
  <c r="J71" i="17"/>
  <c r="I67" i="17"/>
  <c r="I63" i="17"/>
  <c r="I59" i="17"/>
  <c r="I55" i="17"/>
  <c r="I51" i="17"/>
  <c r="I68" i="14"/>
  <c r="I40" i="14"/>
  <c r="K26" i="4"/>
  <c r="K151" i="4"/>
  <c r="K11" i="4"/>
  <c r="K168" i="4"/>
  <c r="K79" i="4"/>
  <c r="I20" i="17"/>
  <c r="I83" i="17"/>
  <c r="I66" i="17"/>
  <c r="I61" i="14"/>
  <c r="K131" i="4"/>
  <c r="K91" i="4"/>
  <c r="K140" i="4"/>
  <c r="K87" i="4"/>
  <c r="K197" i="4"/>
  <c r="K69" i="4"/>
  <c r="K148" i="4"/>
  <c r="K82" i="4"/>
  <c r="K156" i="4"/>
  <c r="K165" i="4"/>
  <c r="K111" i="4"/>
  <c r="K15" i="4"/>
  <c r="K118" i="4"/>
  <c r="K13" i="4"/>
  <c r="K130" i="4"/>
  <c r="K35" i="4"/>
  <c r="K119" i="4"/>
  <c r="K34" i="4"/>
  <c r="K17" i="4"/>
  <c r="K181" i="4"/>
  <c r="K74" i="4"/>
  <c r="K189" i="4"/>
  <c r="K73" i="4"/>
  <c r="K188" i="4"/>
  <c r="K58" i="4"/>
  <c r="K193" i="4"/>
  <c r="K68" i="4"/>
  <c r="K196" i="4"/>
  <c r="K67" i="4"/>
  <c r="K194" i="4"/>
  <c r="K66" i="4"/>
  <c r="K123" i="4"/>
  <c r="K93" i="4"/>
  <c r="K154" i="4"/>
  <c r="K122" i="4"/>
  <c r="K144" i="4"/>
  <c r="K48" i="4"/>
  <c r="K112" i="4"/>
  <c r="K185" i="4"/>
  <c r="K60" i="4"/>
  <c r="K186" i="4"/>
  <c r="K59" i="4"/>
  <c r="K170" i="4"/>
  <c r="K42" i="4"/>
  <c r="K178" i="4"/>
  <c r="K54" i="4"/>
  <c r="K39" i="4"/>
  <c r="K179" i="4"/>
  <c r="K53" i="4"/>
  <c r="K180" i="4"/>
  <c r="K52" i="4"/>
  <c r="K164" i="4"/>
  <c r="K76" i="4"/>
  <c r="K187" i="4"/>
  <c r="K33" i="4"/>
  <c r="K29" i="4"/>
  <c r="K14" i="4"/>
  <c r="K173" i="4"/>
  <c r="K27" i="4"/>
  <c r="K23" i="4"/>
  <c r="K16" i="4"/>
  <c r="K138" i="4"/>
  <c r="K120" i="4"/>
  <c r="K9" i="4"/>
  <c r="K160" i="4"/>
  <c r="K121" i="4"/>
  <c r="K113" i="4"/>
  <c r="K171" i="4"/>
  <c r="K46" i="4"/>
  <c r="K169" i="4"/>
  <c r="K45" i="4"/>
  <c r="K5" i="4"/>
  <c r="K155" i="4"/>
  <c r="K28" i="4"/>
  <c r="K163" i="4"/>
  <c r="K41" i="4"/>
  <c r="K162" i="4"/>
  <c r="K40" i="4"/>
  <c r="K161" i="4"/>
  <c r="K22" i="4"/>
  <c r="K195" i="4"/>
  <c r="K62" i="4"/>
  <c r="K106" i="4"/>
  <c r="K153" i="4"/>
  <c r="K172" i="4"/>
  <c r="K152" i="4"/>
  <c r="K136" i="4"/>
  <c r="K146" i="4"/>
  <c r="K145" i="4"/>
  <c r="K177" i="4"/>
  <c r="K61" i="4"/>
  <c r="K47" i="4"/>
  <c r="K128" i="4"/>
  <c r="K127" i="4"/>
  <c r="K110" i="4"/>
  <c r="K147" i="4"/>
  <c r="K105" i="4"/>
  <c r="K104" i="4"/>
  <c r="K139" i="4"/>
  <c r="K83" i="4"/>
  <c r="K99" i="4"/>
  <c r="K98" i="4"/>
  <c r="K114" i="4"/>
  <c r="K97" i="4"/>
  <c r="K129" i="4"/>
  <c r="K4" i="4"/>
  <c r="K81" i="4"/>
  <c r="K80" i="4"/>
  <c r="K137" i="4"/>
  <c r="K75" i="4"/>
  <c r="K135" i="4"/>
  <c r="K103" i="4"/>
  <c r="K92" i="4"/>
  <c r="K21" i="4"/>
  <c r="G15" i="3"/>
  <c r="G83" i="3"/>
  <c r="K1" i="4"/>
  <c r="I1" i="14"/>
  <c r="G5" i="3"/>
  <c r="G104" i="3"/>
  <c r="G74" i="3"/>
  <c r="G52" i="3"/>
  <c r="J15" i="3" l="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27" i="14"/>
  <c r="H102" i="4"/>
  <c r="I168" i="4"/>
  <c r="H184" i="4"/>
  <c r="G62" i="3"/>
  <c r="F51" i="3"/>
  <c r="G73" i="3"/>
  <c r="H44" i="4"/>
  <c r="F50" i="3"/>
  <c r="H57" i="4"/>
  <c r="G81" i="3"/>
  <c r="I96" i="4"/>
  <c r="F59" i="14"/>
  <c r="F31" i="14"/>
  <c r="G19" i="14"/>
  <c r="H151" i="4"/>
  <c r="F62" i="3"/>
  <c r="F76" i="14"/>
  <c r="I72" i="4"/>
  <c r="G15" i="14"/>
  <c r="F43" i="3"/>
  <c r="F23" i="3"/>
  <c r="I3" i="4"/>
  <c r="H117" i="4"/>
  <c r="H32" i="4"/>
  <c r="G61" i="3"/>
  <c r="G50" i="3"/>
  <c r="G93" i="3"/>
  <c r="H90" i="4"/>
  <c r="F15" i="14"/>
  <c r="F7" i="14"/>
  <c r="G51" i="3"/>
  <c r="G34" i="3"/>
  <c r="G76" i="14"/>
  <c r="F67" i="14"/>
  <c r="G82" i="3"/>
  <c r="I38" i="4"/>
  <c r="G3" i="3"/>
  <c r="F34" i="3"/>
  <c r="F3" i="14"/>
  <c r="G33" i="3"/>
  <c r="H8" i="4"/>
  <c r="G24" i="3"/>
  <c r="F51" i="14"/>
  <c r="I32" i="4"/>
  <c r="G23" i="3"/>
  <c r="G23" i="14"/>
  <c r="G4" i="3"/>
  <c r="H26" i="4"/>
  <c r="G43" i="14"/>
  <c r="G7" i="14"/>
  <c r="G42" i="3"/>
  <c r="F73" i="3"/>
  <c r="H168" i="4"/>
  <c r="G11" i="14"/>
  <c r="G14" i="3"/>
  <c r="G92" i="3"/>
  <c r="I151" i="4"/>
  <c r="H96" i="4"/>
  <c r="I86" i="4"/>
  <c r="F19" i="14"/>
  <c r="F81" i="14"/>
  <c r="H79" i="4"/>
  <c r="H3" i="4"/>
  <c r="G39" i="14"/>
  <c r="I192" i="4"/>
  <c r="F81" i="3"/>
  <c r="G35" i="14"/>
  <c r="H65" i="4"/>
  <c r="G81" i="14"/>
  <c r="I126" i="4"/>
  <c r="F103" i="3"/>
  <c r="H109" i="4"/>
  <c r="F93" i="3"/>
  <c r="I143" i="4"/>
  <c r="F71" i="14"/>
  <c r="F14" i="3"/>
  <c r="F27" i="14"/>
  <c r="I44" i="4"/>
  <c r="F63" i="14"/>
  <c r="G59" i="14"/>
  <c r="G31" i="14"/>
  <c r="F55" i="14"/>
  <c r="H192" i="4"/>
  <c r="F39" i="14"/>
  <c r="I79" i="4"/>
  <c r="F47" i="14"/>
  <c r="G55" i="14"/>
  <c r="H12" i="4"/>
  <c r="F61" i="3"/>
  <c r="H86" i="4"/>
  <c r="I20" i="4"/>
  <c r="F42" i="3"/>
  <c r="I51" i="4"/>
  <c r="G72" i="3"/>
  <c r="G43" i="3"/>
  <c r="G51" i="14"/>
  <c r="F92" i="3"/>
  <c r="F11" i="14"/>
  <c r="I176" i="4"/>
  <c r="H38" i="4"/>
  <c r="H20" i="4"/>
  <c r="H143" i="4"/>
  <c r="H72" i="4"/>
  <c r="I90" i="4"/>
  <c r="F3" i="3"/>
  <c r="G71" i="14"/>
  <c r="F43" i="14"/>
  <c r="I184" i="4"/>
  <c r="I117" i="4"/>
  <c r="H159" i="4"/>
  <c r="F72" i="3"/>
  <c r="G3" i="14"/>
  <c r="G63" i="14"/>
  <c r="I26" i="4"/>
  <c r="G13" i="3"/>
  <c r="I12" i="4"/>
  <c r="H126" i="4"/>
  <c r="F102" i="3"/>
  <c r="H176" i="4"/>
  <c r="I57" i="4"/>
  <c r="G103" i="3"/>
  <c r="G67" i="14"/>
  <c r="I159" i="4"/>
  <c r="I65" i="4"/>
  <c r="G47" i="14"/>
  <c r="F23" i="14"/>
  <c r="I109" i="4"/>
  <c r="I134" i="4"/>
  <c r="H51" i="4"/>
  <c r="F33" i="3"/>
  <c r="I102" i="4"/>
  <c r="F24" i="3"/>
  <c r="G102" i="3"/>
  <c r="F4" i="3"/>
  <c r="F13" i="3"/>
  <c r="F35" i="14"/>
  <c r="F82" i="3"/>
  <c r="I8" i="4"/>
  <c r="H134" i="4"/>
  <c r="G17" i="14"/>
  <c r="G29" i="14"/>
  <c r="I193" i="4"/>
  <c r="G9" i="14"/>
  <c r="G25" i="14"/>
  <c r="I110" i="4"/>
  <c r="I40" i="4"/>
  <c r="H74" i="4"/>
  <c r="G69" i="14"/>
  <c r="F25" i="3"/>
  <c r="H9" i="4"/>
  <c r="G49" i="14"/>
  <c r="H33" i="4"/>
  <c r="I52" i="4"/>
  <c r="H5" i="4"/>
  <c r="G8" i="14"/>
  <c r="H66" i="4"/>
  <c r="H104" i="4"/>
  <c r="F48" i="14"/>
  <c r="F83" i="14"/>
  <c r="H193" i="4"/>
  <c r="G77" i="14"/>
  <c r="I53" i="4"/>
  <c r="F77" i="14"/>
  <c r="G12" i="14"/>
  <c r="H13" i="4"/>
  <c r="G24" i="14"/>
  <c r="I45" i="4"/>
  <c r="H91" i="4"/>
  <c r="I5" i="4"/>
  <c r="H160" i="4"/>
  <c r="I4" i="4"/>
  <c r="F68" i="14"/>
  <c r="F61" i="14"/>
  <c r="F72" i="14"/>
  <c r="G72" i="14"/>
  <c r="I194" i="4"/>
  <c r="H67" i="4"/>
  <c r="G82" i="14"/>
  <c r="I127" i="4"/>
  <c r="I13" i="4"/>
  <c r="I59" i="4"/>
  <c r="G16" i="14"/>
  <c r="I103" i="4"/>
  <c r="G44" i="14"/>
  <c r="I135" i="4"/>
  <c r="G37" i="14"/>
  <c r="I87" i="4"/>
  <c r="F13" i="14"/>
  <c r="G57" i="14"/>
  <c r="G83" i="14"/>
  <c r="G94" i="3"/>
  <c r="F32" i="14"/>
  <c r="H127" i="4"/>
  <c r="H81" i="4"/>
  <c r="G5" i="14"/>
  <c r="H186" i="4"/>
  <c r="H28" i="4"/>
  <c r="H128" i="4"/>
  <c r="G4" i="14"/>
  <c r="G33" i="14"/>
  <c r="F52" i="3"/>
  <c r="G56" i="14"/>
  <c r="H87" i="4"/>
  <c r="H118" i="4"/>
  <c r="I66" i="4"/>
  <c r="H135" i="4"/>
  <c r="H22" i="4"/>
  <c r="F74" i="3"/>
  <c r="I136" i="4"/>
  <c r="F73" i="14"/>
  <c r="F12" i="14"/>
  <c r="G52" i="14"/>
  <c r="I81" i="4"/>
  <c r="H170" i="4"/>
  <c r="G61" i="14"/>
  <c r="F69" i="14"/>
  <c r="F29" i="14"/>
  <c r="F20" i="14"/>
  <c r="H34" i="4"/>
  <c r="H185" i="4"/>
  <c r="F35" i="3"/>
  <c r="I170" i="4"/>
  <c r="I152" i="4"/>
  <c r="H110" i="4"/>
  <c r="I34" i="4"/>
  <c r="H45" i="4"/>
  <c r="I10" i="4"/>
  <c r="G44" i="3"/>
  <c r="I80" i="4"/>
  <c r="H161" i="4"/>
  <c r="G25" i="3"/>
  <c r="F24" i="14"/>
  <c r="I178" i="4"/>
  <c r="I67" i="4"/>
  <c r="F28" i="14"/>
  <c r="F83" i="3"/>
  <c r="F9" i="14"/>
  <c r="H4" i="4"/>
  <c r="F64" i="14"/>
  <c r="I9" i="4"/>
  <c r="G40" i="14"/>
  <c r="F36" i="14"/>
  <c r="H194" i="4"/>
  <c r="F37" i="14"/>
  <c r="G48" i="14"/>
  <c r="H98" i="4"/>
  <c r="G21" i="14"/>
  <c r="I21" i="4"/>
  <c r="H80" i="4"/>
  <c r="H73" i="4"/>
  <c r="I97" i="4"/>
  <c r="H52" i="4"/>
  <c r="G13" i="14"/>
  <c r="H21" i="4"/>
  <c r="I22" i="4"/>
  <c r="F56" i="14"/>
  <c r="I74" i="4"/>
  <c r="H136" i="4"/>
  <c r="H27" i="4"/>
  <c r="I58" i="4"/>
  <c r="H145" i="4"/>
  <c r="I33" i="4"/>
  <c r="G68" i="14"/>
  <c r="I186" i="4"/>
  <c r="I14" i="4"/>
  <c r="G41" i="14"/>
  <c r="H59" i="4"/>
  <c r="F57" i="14"/>
  <c r="G28" i="14"/>
  <c r="G53" i="14"/>
  <c r="F60" i="14"/>
  <c r="I128" i="4"/>
  <c r="I92" i="4"/>
  <c r="H169" i="4"/>
  <c r="G36" i="14"/>
  <c r="I39" i="4"/>
  <c r="F44" i="14"/>
  <c r="F78" i="14"/>
  <c r="G35" i="3"/>
  <c r="H88" i="4"/>
  <c r="G45" i="14"/>
  <c r="H111" i="4"/>
  <c r="I153" i="4"/>
  <c r="H178" i="4"/>
  <c r="H10" i="4"/>
  <c r="F104" i="3"/>
  <c r="F15" i="3"/>
  <c r="F25" i="14"/>
  <c r="H97" i="4"/>
  <c r="I73" i="4"/>
  <c r="F40" i="14"/>
  <c r="H92" i="4"/>
  <c r="H144" i="4"/>
  <c r="I27" i="4"/>
  <c r="F17" i="14"/>
  <c r="H152" i="4"/>
  <c r="H40" i="4"/>
  <c r="H119" i="4"/>
  <c r="H46" i="4"/>
  <c r="G64" i="14"/>
  <c r="G73" i="14"/>
  <c r="F33" i="14"/>
  <c r="G60" i="14"/>
  <c r="I91" i="4"/>
  <c r="G78" i="14"/>
  <c r="I169" i="4"/>
  <c r="H103" i="4"/>
  <c r="I111" i="4"/>
  <c r="H39" i="4"/>
  <c r="F41" i="14"/>
  <c r="I28" i="4"/>
  <c r="H53" i="4"/>
  <c r="I46" i="4"/>
  <c r="F5" i="3"/>
  <c r="F52" i="14"/>
  <c r="F63" i="3"/>
  <c r="F16" i="14"/>
  <c r="F44" i="3"/>
  <c r="F82" i="14"/>
  <c r="G65" i="14"/>
  <c r="F94" i="3"/>
  <c r="F4" i="14"/>
  <c r="F53" i="14"/>
  <c r="I177" i="4"/>
  <c r="F5" i="14"/>
  <c r="F8" i="14"/>
  <c r="I185" i="4"/>
  <c r="H14" i="4"/>
  <c r="H58" i="4"/>
  <c r="H153" i="4"/>
  <c r="I144" i="4"/>
  <c r="G63" i="3"/>
  <c r="F65" i="14"/>
  <c r="I88" i="4"/>
  <c r="F21" i="14"/>
  <c r="F45" i="14"/>
  <c r="I119" i="4"/>
  <c r="I98" i="4"/>
  <c r="F49" i="14"/>
  <c r="H177" i="4"/>
  <c r="G20" i="14"/>
  <c r="I104" i="4"/>
  <c r="I145" i="4"/>
  <c r="I160" i="4"/>
  <c r="G32" i="14"/>
</calcChain>
</file>

<file path=xl/sharedStrings.xml><?xml version="1.0" encoding="utf-8"?>
<sst xmlns="http://schemas.openxmlformats.org/spreadsheetml/2006/main" count="1733" uniqueCount="1018">
  <si>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</si>
  <si>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</si>
  <si>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</si>
  <si>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</si>
  <si>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</si>
  <si>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</si>
  <si>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</si>
  <si>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</si>
  <si>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</si>
  <si>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</si>
  <si>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</si>
  <si>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</si>
  <si>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</si>
  <si>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</si>
  <si>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</si>
  <si>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</si>
  <si>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</si>
  <si>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</si>
  <si>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</si>
  <si>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</si>
  <si>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</si>
  <si>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</si>
  <si>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</si>
  <si>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</si>
  <si>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</si>
  <si>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</si>
  <si>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</si>
  <si>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</si>
  <si>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</si>
  <si>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</si>
  <si>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</si>
  <si>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</si>
  <si>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</si>
  <si>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</si>
  <si>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</si>
  <si>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</si>
  <si>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</si>
  <si>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</si>
  <si>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</si>
  <si>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</si>
  <si>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</si>
  <si>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</si>
  <si>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</si>
  <si>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</si>
  <si>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</si>
  <si>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</si>
  <si>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</si>
  <si>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</si>
  <si>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</si>
  <si>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</si>
  <si>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</si>
  <si>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</si>
  <si>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</si>
  <si>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</si>
  <si>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</si>
  <si>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</si>
  <si>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</si>
  <si>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</si>
  <si>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</si>
  <si>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</si>
  <si>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</si>
  <si>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</si>
  <si>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</si>
  <si>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</si>
  <si>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</si>
  <si>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</si>
  <si>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</si>
  <si>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</si>
  <si>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</si>
  <si>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</si>
  <si>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</si>
  <si>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</si>
  <si>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</si>
  <si>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</si>
  <si>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</si>
  <si>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</si>
  <si>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</si>
  <si>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</si>
  <si>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</si>
  <si>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</si>
  <si>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</si>
  <si>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</si>
  <si>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</si>
  <si>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</si>
  <si>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</si>
  <si>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</si>
  <si>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</si>
  <si>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</si>
  <si>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</si>
  <si>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</si>
  <si>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</si>
  <si>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</si>
  <si>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</si>
  <si>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</si>
  <si>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</si>
  <si>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</si>
  <si>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</si>
  <si>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</si>
  <si>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</si>
  <si>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</si>
  <si>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</si>
  <si>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</si>
  <si>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</si>
  <si>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</si>
  <si>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</si>
  <si>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</si>
  <si>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</si>
  <si>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</si>
  <si>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</si>
  <si>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</si>
  <si>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</si>
  <si>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</si>
  <si>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</si>
  <si>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</si>
  <si>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</si>
  <si>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</si>
  <si>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</si>
  <si>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</si>
  <si>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</si>
  <si>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</si>
  <si>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</si>
  <si>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</si>
  <si>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</si>
  <si>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</si>
  <si>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</si>
  <si>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</si>
  <si>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</si>
  <si>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</si>
  <si>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</si>
  <si>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</si>
  <si>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</si>
  <si>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</si>
  <si>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</si>
  <si>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</si>
  <si>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</si>
  <si>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</si>
  <si>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</si>
  <si>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</si>
  <si>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</si>
  <si>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</si>
  <si>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</si>
  <si>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</si>
  <si>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</si>
  <si>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</si>
  <si>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</si>
  <si>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</si>
  <si>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</si>
  <si>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</si>
  <si>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</si>
  <si>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</si>
  <si>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</si>
  <si>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</si>
  <si>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</si>
  <si>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</si>
  <si>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</si>
  <si>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</si>
  <si>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</si>
  <si>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</si>
  <si>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</si>
  <si>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</si>
  <si>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</si>
  <si>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</si>
  <si>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</si>
  <si>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</si>
  <si>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</si>
  <si>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</si>
  <si>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</si>
  <si>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</si>
  <si>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</si>
  <si>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</si>
  <si>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</si>
  <si>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</si>
  <si>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</si>
  <si>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</si>
  <si>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</si>
  <si>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</si>
  <si>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</si>
  <si>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</si>
  <si>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</si>
  <si>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</si>
  <si>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</si>
  <si>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</si>
  <si>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</si>
  <si>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</si>
  <si>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</si>
  <si>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</si>
  <si>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</si>
  <si>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</si>
  <si>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</si>
  <si>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</si>
  <si>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</si>
  <si>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</si>
  <si>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</si>
  <si>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</si>
  <si>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</si>
  <si>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</si>
  <si>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</si>
  <si>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</si>
  <si>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</si>
  <si>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</si>
  <si>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</si>
  <si>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</si>
  <si>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</si>
  <si>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</si>
  <si>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</si>
  <si>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</si>
  <si>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</si>
  <si>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</si>
  <si>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</si>
  <si>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</si>
  <si>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</si>
  <si>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</si>
  <si>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</si>
  <si>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</si>
  <si>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</si>
  <si>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</si>
  <si>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</si>
  <si>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</si>
  <si>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</si>
  <si>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</si>
  <si>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</si>
  <si>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</si>
  <si>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</si>
  <si>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</si>
  <si>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</si>
  <si>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</si>
  <si>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</si>
  <si>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</si>
  <si>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</si>
  <si>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</si>
  <si>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</si>
  <si>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</si>
  <si>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</si>
  <si>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</si>
  <si>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</si>
  <si>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</si>
  <si>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</si>
  <si>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</si>
  <si>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</si>
  <si>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</si>
  <si>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</si>
  <si>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</si>
  <si>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</si>
  <si>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</si>
  <si>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</si>
  <si>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</si>
  <si>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</si>
  <si>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</si>
  <si>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</si>
  <si>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</si>
  <si>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</si>
  <si>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</si>
  <si>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</si>
  <si>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</si>
  <si>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</si>
  <si>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</si>
  <si>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</si>
  <si>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</si>
  <si>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</si>
  <si>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</si>
  <si>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</si>
  <si>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</si>
  <si>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</si>
  <si>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</si>
  <si>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</si>
  <si>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</si>
  <si>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</si>
  <si>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</si>
  <si>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</si>
  <si>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</si>
  <si>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</si>
  <si>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</si>
  <si>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</si>
  <si>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</si>
  <si>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</si>
  <si>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</si>
  <si>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</si>
  <si>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</si>
  <si>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</si>
  <si>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</si>
  <si>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</si>
  <si>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</si>
  <si>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</si>
  <si>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+30攻击强度</t>
  </si>
  <si>
    <t>+10%攻击速度</t>
  </si>
  <si>
    <t>“这把格罗姆地狱咆哮的战斧曾在无数的战场上令敌人闻风丧胆。”</t>
  </si>
  <si>
    <t>+15%攻击速度</t>
  </si>
  <si>
    <t>+20移动速度</t>
  </si>
  <si>
    <t>+100生命上限</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</si>
  <si>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</si>
  <si>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</si>
  <si>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</si>
  <si>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</si>
  <si>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</si>
  <si>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</si>
  <si>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</si>
  <si>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</si>
  <si>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</si>
  <si>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</si>
  <si>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</si>
  <si>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</si>
  <si>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</si>
  <si>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</si>
  <si>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</si>
  <si>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</si>
  <si>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</si>
  <si>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</si>
  <si>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</si>
  <si>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</si>
  <si>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</si>
  <si>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</si>
  <si>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</si>
  <si>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</si>
  <si>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</si>
  <si>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</si>
  <si>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</si>
  <si>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</si>
  <si>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</si>
  <si>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</si>
  <si>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</si>
  <si>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</si>
  <si>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</si>
  <si>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</si>
  <si>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</si>
  <si>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</si>
  <si>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</si>
  <si>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</si>
  <si>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</si>
  <si>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</si>
  <si>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</si>
  <si>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</si>
  <si>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</si>
  <si>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</si>
  <si>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</si>
  <si>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</si>
  <si>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</si>
  <si>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</si>
  <si>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</si>
  <si>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</si>
  <si>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</si>
  <si>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</si>
  <si>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</si>
  <si>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</si>
  <si>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</si>
  <si>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</si>
  <si>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</si>
  <si>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</si>
  <si>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</si>
  <si>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</si>
  <si>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</si>
  <si>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</si>
  <si>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</si>
  <si>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</si>
  <si>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</si>
  <si>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</si>
  <si>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</si>
  <si>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</si>
  <si>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</si>
  <si>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</si>
  <si>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</si>
  <si>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</si>
  <si>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</si>
  <si>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</si>
  <si>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</si>
  <si>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</si>
  <si>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</si>
  <si>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</si>
  <si>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</si>
  <si>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</si>
  <si>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</si>
  <si>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</si>
  <si>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</si>
  <si>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</si>
  <si>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</si>
  <si>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</si>
  <si>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</si>
  <si>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</si>
  <si>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</si>
  <si>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</si>
  <si>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</si>
  <si>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</si>
  <si>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</si>
  <si>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</si>
  <si>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</si>
  <si>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</si>
  <si>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</si>
  <si>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</si>
  <si>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</si>
  <si>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</si>
  <si>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</si>
  <si>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</si>
  <si>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</si>
  <si>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</si>
  <si>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</si>
  <si>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</si>
  <si>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</si>
  <si>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</si>
  <si>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</si>
  <si>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</si>
  <si>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</si>
  <si>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</si>
  <si>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</si>
  <si>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</si>
  <si>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</si>
  <si>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</si>
  <si>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</si>
  <si>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</si>
  <si>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</si>
  <si>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</si>
  <si>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</si>
  <si>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</si>
  <si>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</si>
  <si>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</si>
  <si>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</si>
  <si>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</si>
  <si>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</si>
  <si>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</si>
  <si>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</si>
  <si>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</si>
  <si>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</si>
  <si>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</si>
  <si>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</si>
  <si>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</si>
  <si>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</si>
  <si>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</si>
  <si>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</si>
  <si>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</si>
  <si>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</si>
  <si>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</si>
  <si>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</si>
  <si>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</si>
  <si>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</si>
  <si>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</si>
  <si>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</si>
  <si>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</si>
  <si>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</si>
  <si>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</si>
  <si>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</si>
  <si>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</si>
  <si>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</si>
  <si>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</si>
  <si>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</si>
  <si>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</si>
  <si>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</si>
  <si>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</si>
  <si>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</si>
  <si>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</si>
  <si>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</si>
  <si>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</si>
  <si>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</si>
  <si>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</si>
  <si>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</si>
  <si>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</si>
  <si>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</si>
  <si>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</si>
  <si>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</si>
  <si>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</si>
  <si>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</si>
  <si>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</si>
  <si>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</si>
  <si>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</si>
  <si>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</si>
  <si>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</si>
  <si>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</si>
  <si>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</si>
  <si>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</si>
  <si>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</si>
  <si>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</si>
  <si>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</si>
  <si>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</si>
  <si>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</si>
  <si>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</si>
  <si>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</si>
  <si>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</si>
  <si>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</si>
  <si>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</si>
  <si>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</si>
  <si>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</si>
  <si>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</si>
  <si>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</si>
  <si>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</si>
  <si>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</si>
  <si>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</si>
  <si>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</si>
  <si>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</si>
  <si>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</si>
  <si>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</si>
  <si>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</si>
  <si>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</si>
  <si>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</si>
  <si>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</si>
  <si>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</si>
  <si>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</si>
  <si>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</si>
  <si>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</si>
  <si>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</si>
  <si>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</si>
  <si>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</si>
  <si>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</si>
  <si>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</si>
  <si>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</si>
  <si>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</si>
  <si>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</si>
  <si>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</si>
  <si>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</si>
  <si>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</si>
  <si>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</si>
  <si>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</si>
  <si>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</si>
  <si>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</si>
  <si>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</si>
  <si>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</si>
  <si>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</si>
  <si>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</si>
  <si>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</si>
  <si>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</si>
  <si>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</si>
  <si>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</si>
  <si>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</si>
  <si>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</si>
  <si>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</si>
  <si>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</si>
  <si>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</si>
  <si>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</si>
  <si>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</si>
  <si>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</si>
  <si>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</si>
  <si>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</si>
  <si>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</si>
  <si>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</si>
  <si>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</si>
  <si>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</si>
  <si>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</si>
  <si>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</si>
  <si>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</si>
  <si>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</si>
  <si>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</si>
  <si>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</si>
  <si>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</si>
  <si>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</si>
  <si>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</si>
  <si>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Holy Moonlight Sword</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</si>
  <si>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</si>
  <si>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</si>
  <si>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</si>
  <si>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</si>
  <si>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</si>
  <si>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</si>
  <si>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</si>
  <si>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</si>
  <si>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</si>
  <si>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</si>
  <si>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</si>
  <si>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</si>
  <si>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</si>
  <si>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</si>
  <si>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</si>
  <si>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</si>
  <si>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</si>
  <si>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</si>
  <si>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</si>
  <si>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</si>
  <si>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</si>
  <si>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</si>
  <si>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</si>
  <si>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</si>
  <si>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</si>
  <si>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</si>
  <si>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</si>
  <si>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</si>
  <si>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</si>
  <si>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</si>
  <si>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</si>
  <si>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</si>
  <si>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</si>
  <si>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</si>
  <si>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</si>
  <si>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</si>
  <si>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</si>
  <si>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</si>
  <si>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</si>
  <si>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</si>
  <si>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</si>
  <si>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</si>
  <si>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</si>
  <si>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</si>
  <si>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</si>
  <si>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</si>
  <si>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</si>
  <si>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</si>
  <si>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</si>
  <si>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</si>
  <si>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</si>
  <si>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</si>
  <si>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</si>
  <si>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</si>
  <si>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</si>
  <si>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</si>
  <si>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</si>
  <si>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</si>
  <si>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</si>
  <si>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</si>
  <si>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</si>
  <si>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</si>
  <si>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</si>
  <si>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</si>
  <si>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</si>
  <si>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</si>
  <si>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</si>
  <si>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</si>
  <si>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</si>
  <si>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</si>
  <si>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</si>
  <si>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</si>
  <si>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</si>
  <si>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</si>
  <si>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</si>
  <si>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</si>
  <si>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</si>
  <si>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</si>
  <si>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</si>
  <si>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</si>
  <si>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</si>
  <si>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</si>
  <si>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</si>
  <si>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</si>
  <si>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</si>
  <si>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</si>
  <si>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</si>
  <si>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</si>
  <si>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</si>
  <si>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</si>
  <si>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</si>
  <si>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</si>
  <si>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</si>
  <si>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</si>
  <si>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</si>
  <si>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</si>
  <si>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</si>
  <si>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</si>
  <si>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</si>
  <si>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</si>
  <si>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</si>
  <si>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</si>
  <si>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</si>
  <si>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</si>
  <si>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</si>
  <si>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</si>
  <si>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</si>
  <si>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</si>
  <si>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</si>
  <si>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</si>
  <si>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</si>
  <si>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</si>
  <si>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</si>
  <si>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</si>
  <si>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</si>
  <si>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</si>
  <si>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</si>
  <si>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</si>
  <si>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</si>
  <si>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</si>
  <si>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</si>
  <si>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</si>
  <si>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</si>
  <si>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</si>
  <si>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</si>
  <si>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</si>
  <si>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</si>
  <si>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</si>
  <si>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</si>
  <si>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</si>
  <si>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降低生存本能的冷却时间#秒</t>
  </si>
  <si>
    <t>辛多雷之盾能提供#额外的伤害减免，并且在开启时可以强迫附近所有敌人攻击你</t>
  </si>
  <si>
    <t>生存本能可以提供#额外的生命值和生命上限</t>
  </si>
  <si>
    <t>治疗祷言可以提升目标#点护甲</t>
  </si>
  <si>
    <t>愈合的瞬发效果的冷却时间缩短#秒</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</si>
  <si>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</si>
  <si>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</si>
  <si>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</si>
  <si>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</si>
  <si>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</si>
  <si>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</si>
  <si>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</si>
  <si>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</si>
  <si>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</si>
  <si>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</si>
  <si>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</si>
  <si>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</si>
  <si>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</si>
  <si>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</si>
  <si>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</si>
  <si>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</si>
  <si>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</si>
  <si>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</si>
  <si>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</si>
  <si>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</si>
  <si>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</si>
  <si>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</si>
  <si>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</si>
  <si>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</si>
  <si>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</si>
  <si>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</si>
  <si>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</si>
  <si>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</si>
  <si>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</si>
  <si>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</si>
  <si>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</si>
  <si>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</si>
  <si>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</si>
  <si>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</si>
  <si>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</si>
  <si>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</si>
  <si>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</si>
  <si>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</si>
  <si>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</si>
  <si>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</si>
  <si>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</si>
  <si>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</si>
  <si>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</si>
  <si>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</si>
  <si>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</si>
  <si>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</si>
  <si>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</si>
  <si>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</si>
  <si>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</si>
  <si>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</si>
  <si>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</si>
  <si>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</si>
  <si>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</si>
  <si>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</si>
  <si>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</si>
  <si>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</si>
  <si>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</si>
  <si>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</si>
  <si>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</si>
  <si>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</si>
  <si>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</si>
  <si>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</si>
  <si>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</si>
  <si>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</si>
  <si>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</si>
  <si>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</si>
  <si>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</si>
  <si>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</si>
  <si>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</si>
  <si>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</si>
  <si>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</si>
  <si>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</si>
  <si>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</si>
  <si>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</si>
  <si>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</si>
  <si>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</si>
  <si>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</si>
  <si>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</si>
  <si>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</si>
  <si>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</si>
  <si>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</si>
  <si>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</si>
  <si>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</si>
  <si>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</si>
  <si>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</si>
  <si>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</si>
  <si>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</si>
  <si>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</si>
  <si>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</si>
  <si>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</si>
  <si>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</si>
  <si>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</si>
  <si>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</si>
  <si>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</si>
  <si>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</si>
  <si>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</si>
  <si>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</si>
  <si>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</si>
  <si>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</si>
  <si>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</si>
  <si>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</si>
  <si>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</si>
  <si>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</si>
  <si>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</si>
  <si>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</si>
  <si>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</si>
  <si>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</si>
  <si>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</si>
  <si>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</si>
  <si>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</si>
  <si>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</si>
  <si>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</si>
  <si>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</si>
  <si>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</si>
  <si>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</si>
  <si>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</si>
  <si>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</si>
  <si>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</si>
  <si>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</si>
  <si>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</si>
  <si>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</si>
  <si>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</si>
  <si>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</si>
  <si>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</si>
  <si>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</si>
  <si>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</si>
  <si>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</si>
  <si>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</si>
  <si>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</si>
  <si>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</si>
  <si>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</si>
  <si>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</si>
  <si>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</si>
  <si>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</si>
  <si>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</si>
  <si>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</si>
  <si>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</si>
  <si>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</si>
  <si>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</si>
  <si>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</si>
  <si>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</si>
  <si>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</si>
  <si>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</si>
  <si>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</si>
  <si>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</si>
  <si>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</si>
  <si>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</si>
  <si>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</si>
  <si>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</si>
  <si>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</si>
  <si>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</si>
  <si>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</si>
  <si>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</si>
  <si>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</si>
  <si>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</si>
  <si>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</si>
  <si>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</si>
  <si>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</si>
  <si>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</si>
  <si>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</si>
  <si>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</si>
  <si>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</si>
  <si>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</si>
  <si>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</si>
  <si>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</si>
  <si>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</si>
  <si>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</si>
  <si>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</si>
  <si>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</si>
  <si>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</si>
  <si>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</si>
  <si>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</si>
  <si>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</si>
  <si>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</si>
  <si>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</si>
  <si>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</si>
  <si>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</si>
  <si>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</si>
  <si>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</si>
  <si>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</si>
  <si>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</si>
  <si>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</si>
  <si>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</si>
  <si>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</si>
  <si>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</si>
  <si>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</si>
  <si>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</si>
  <si>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</si>
  <si>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</si>
  <si>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</si>
  <si>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</si>
  <si>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</si>
  <si>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</si>
  <si>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</si>
  <si>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</si>
  <si>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</si>
  <si>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</si>
  <si>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</si>
  <si>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</si>
  <si>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</si>
  <si>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</si>
  <si>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</si>
  <si>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</si>
  <si>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</si>
  <si>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</si>
  <si>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</si>
  <si>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</si>
  <si>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</si>
  <si>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</si>
  <si>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</si>
  <si>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</si>
  <si>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</si>
  <si>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</si>
  <si>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</si>
  <si>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</si>
  <si>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</si>
  <si>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</si>
  <si>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</si>
  <si>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</si>
  <si>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</si>
  <si>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</si>
  <si>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</si>
  <si>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</si>
  <si>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</si>
  <si>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</si>
  <si>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</si>
  <si>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</si>
  <si>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</si>
  <si>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</si>
  <si>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</si>
  <si>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</si>
  <si>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</si>
  <si>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</si>
  <si>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</si>
  <si>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</si>
  <si>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</si>
  <si>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</si>
  <si>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</si>
  <si>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</si>
  <si>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</si>
  <si>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</si>
  <si>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</si>
  <si>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</si>
  <si>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</si>
  <si>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</si>
  <si>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</si>
  <si>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</si>
  <si>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</si>
  <si>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</si>
  <si>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</si>
  <si>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</si>
  <si>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</si>
  <si>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</si>
  <si>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</si>
  <si>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</si>
  <si>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</si>
  <si>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</si>
  <si>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</si>
  <si>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</si>
  <si>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</si>
  <si>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</si>
  <si>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</si>
  <si>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</si>
  <si>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</si>
  <si>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</si>
  <si>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</si>
  <si>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</si>
  <si>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</si>
  <si>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</si>
  <si>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</si>
  <si>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</si>
  <si>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</si>
  <si>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</si>
  <si>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</si>
  <si>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</si>
  <si>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</si>
  <si>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</si>
  <si>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</si>
  <si>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</si>
  <si>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</si>
  <si>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</si>
  <si>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</si>
  <si>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</si>
  <si>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</si>
  <si>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</si>
  <si>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</si>
  <si>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</si>
  <si>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</si>
  <si>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</si>
  <si>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</si>
  <si>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</si>
  <si>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</si>
  <si>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</si>
  <si>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</si>
  <si>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</si>
  <si>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</si>
  <si>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</si>
  <si>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</si>
  <si>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</si>
  <si>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</si>
  <si>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</si>
  <si>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</si>
  <si>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</si>
  <si>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</si>
  <si>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</si>
  <si>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</si>
  <si>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</si>
  <si>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</si>
  <si>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</si>
  <si>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</si>
  <si>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</si>
  <si>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</si>
  <si>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</si>
  <si>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</si>
  <si>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</si>
  <si>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</si>
  <si>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</si>
  <si>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</si>
  <si>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</si>
  <si>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</si>
  <si>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</si>
  <si>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</si>
  <si>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</si>
  <si>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 xml:space="preserve">              </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</si>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</sst>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67"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color rgb="FF6AA84F"/>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999999"/>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
      <sz val="10"/>
      <color rgb="FF000000"/>
      <name val="Arial"/>
    </font>
    <font>
      <sz val="10.5"/>
      <color rgb="FF000000"/>
      <name val="Calibri Light"/>
      <family val="2"/>
      <scheme val="major"/>
    </font>
    <font>
      <b/>
      <sz val="10.5"/>
      <color rgb="FF000000"/>
      <name val="Calibri Light"/>
      <family val="2"/>
      <scheme val="major"/>
    </font>
    <font>
      <b/>
      <sz val="10.5"/>
      <color rgb="FF000000"/>
      <name val="Calibri"/>
      <family val="2"/>
      <scheme val="min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
      <sz val="10"/>
      <color rgb="FF000000"/>
      <name val="Arial"/>
      <family val="2"/>
    </font>
    <font>
      <sz val="10.5"/>
      <color rgb="FF000000"/>
      <name val="Friz Quadrata TT"/>
    </font>
    <font>
      <sz val="10.5"/>
      <color theme="0"/>
      <name val="Friz Quadrata TT"/>
    </font>
    <font>
      <sz val="10.5"/>
      <color rgb="FF33FF33"/>
      <name val="Friz Quadrata TT"/>
    </font>
    <font>
      <sz val="10.5"/>
      <color rgb="FFFFDEAD"/>
      <name val="Friz Quadrata TT"/>
    </font>
    <font>
      <b/>
      <sz val="10.5"/>
      <color theme="0"/>
      <name val="Friz Quadrata TT"/>
    </font>
    <font>
      <sz val="10.5"/>
      <color rgb="FF87CEEB"/>
      <name val="Friz Quadrata TT"/>
    </font>
    <font>
      <sz val="10.5"/>
      <color rgb="FF11FF11"/>
      <name val="Calibri Light"/>
      <family val="2"/>
      <scheme val="major"/>
    </font>
    <font>
      <sz val="10.5"/>
      <color rgb="FF999999"/>
      <name val="Calibri Light"/>
      <family val="2"/>
      <scheme val="major"/>
    </font>
    <font>
      <sz val="10.5"/>
      <color rgb="FF8B66FF"/>
      <name val="Calibri Light"/>
      <family val="2"/>
      <scheme val="major"/>
    </font>
    <font>
      <sz val="10.5"/>
      <color rgb="FF9900FF"/>
      <name val="Calibri Light"/>
      <family val="2"/>
      <scheme val="major"/>
    </font>
    <font>
      <sz val="10.5"/>
      <color rgb="FFFF9900"/>
      <name val="Calibri Light"/>
      <family val="2"/>
      <scheme val="major"/>
    </font>
    <font>
      <sz val="10.5"/>
      <color rgb="FF38761D"/>
      <name val="Calibri Light"/>
      <family val="2"/>
      <scheme val="major"/>
    </font>
    <font>
      <b/>
      <sz val="10.5"/>
      <color rgb="FF000000"/>
      <name val="Friz Quadrata TT"/>
    </font>
    <font>
      <sz val="10.5"/>
      <color rgb="FF11FF11"/>
      <name val="Friz Quadrata TT"/>
    </font>
    <font>
      <sz val="10.5"/>
      <color rgb="FF999999"/>
      <name val="Friz Quadrata TT"/>
    </font>
    <font>
      <sz val="10.5"/>
      <color rgb="FF38761D"/>
      <name val="Friz Quadrata TT"/>
    </font>
    <font>
      <sz val="10.5"/>
      <color rgb="FF8B66FF"/>
      <name val="Friz Quadrata TT"/>
    </font>
    <font>
      <sz val="10.5"/>
      <color rgb="FF9900FF"/>
      <name val="Friz Quadrata TT"/>
    </font>
    <font>
      <sz val="10.5"/>
      <color rgb="FFFF9900"/>
      <name val="Friz Quadrata TT"/>
    </font>
    <font>
      <sz val="12"/>
      <color rgb="FF000000"/>
      <name val="AvQest"/>
    </font>
    <font>
      <b/>
      <sz val="12"/>
      <color theme="0"/>
      <name val="AvQest"/>
    </font>
    <font>
      <sz val="12"/>
      <color rgb="FFFF8C00"/>
      <name val="AvQest"/>
    </font>
    <font>
      <sz val="12"/>
      <color theme="0"/>
      <name val="AvQest"/>
    </font>
    <font>
      <sz val="12"/>
      <color rgb="FF87CEEB"/>
      <name val="AvQest"/>
    </font>
    <font>
      <sz val="12"/>
      <color rgb="FF33FF33"/>
      <name val="AvQest"/>
    </font>
    <font>
      <sz val="12"/>
      <color rgb="FFFFCC00"/>
      <name val="AvQest"/>
    </font>
    <font>
      <sz val="12"/>
      <color rgb="FFFFDEAD"/>
      <name val="AvQest"/>
    </font>
    <font>
      <sz val="12"/>
      <name val="AvQest"/>
    </font>
  </fonts>
  <fills count="12">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s>
  <borders count="1">
    <border>
      <left/>
      <right/>
      <top/>
      <bottom/>
      <diagonal/>
    </border>
  </borders>
  <cellStyleXfs count="3">
    <xf numFmtId="0" fontId="0" fillId="0" borderId="0"/>
    <xf numFmtId="0" fontId="11" fillId="4" borderId="0" applyNumberFormat="0" applyBorder="0" applyAlignment="0" applyProtection="0"/>
    <xf numFmtId="43" fontId="27" fillId="0" borderId="0" applyFont="0" applyFill="0" applyBorder="0" applyAlignment="0" applyProtection="0"/>
  </cellStyleXfs>
  <cellXfs count="147">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0" borderId="0" xfId="0" applyNumberFormat="1" applyFont="1" applyAlignment="1"/>
    <xf numFmtId="49" fontId="17" fillId="0" borderId="0" xfId="0" applyNumberFormat="1" applyFont="1" applyAlignment="1">
      <alignment wrapText="1"/>
    </xf>
    <xf numFmtId="49" fontId="17" fillId="0" borderId="0" xfId="0" applyNumberFormat="1" applyFont="1" applyAlignment="1"/>
    <xf numFmtId="0" fontId="17" fillId="0" borderId="0" xfId="0" applyFont="1" applyAlignment="1"/>
    <xf numFmtId="0" fontId="17" fillId="0" borderId="0" xfId="0" applyFont="1" applyAlignment="1">
      <alignment wrapText="1"/>
    </xf>
    <xf numFmtId="49" fontId="19" fillId="0" borderId="0" xfId="0" applyNumberFormat="1" applyFont="1" applyAlignment="1"/>
    <xf numFmtId="49" fontId="20" fillId="0" borderId="0" xfId="0" applyNumberFormat="1" applyFont="1" applyAlignment="1"/>
    <xf numFmtId="49" fontId="18" fillId="0" borderId="0" xfId="0" applyNumberFormat="1" applyFont="1" applyAlignment="1"/>
    <xf numFmtId="0" fontId="19" fillId="0" borderId="0" xfId="0" applyFont="1" applyAlignment="1"/>
    <xf numFmtId="49" fontId="21" fillId="0" borderId="0" xfId="0" applyNumberFormat="1" applyFont="1" applyAlignment="1">
      <alignment wrapText="1"/>
    </xf>
    <xf numFmtId="0" fontId="17" fillId="0" borderId="0" xfId="0" applyFont="1" applyAlignment="1">
      <alignment vertical="center" wrapText="1"/>
    </xf>
    <xf numFmtId="0" fontId="17" fillId="0" borderId="0" xfId="0" applyFont="1" applyAlignment="1">
      <alignment horizontal="center" vertical="center" wrapText="1"/>
    </xf>
    <xf numFmtId="49" fontId="17" fillId="0" borderId="0" xfId="0" applyNumberFormat="1" applyFont="1" applyAlignment="1">
      <alignment vertical="center"/>
    </xf>
    <xf numFmtId="0" fontId="19" fillId="0" borderId="0" xfId="0" applyFont="1" applyAlignment="1">
      <alignment vertical="center" wrapText="1"/>
    </xf>
    <xf numFmtId="0" fontId="19" fillId="0" borderId="0" xfId="0" applyFont="1" applyAlignment="1">
      <alignment horizontal="center" vertical="center" wrapText="1"/>
    </xf>
    <xf numFmtId="0" fontId="21" fillId="0" borderId="0" xfId="0" applyFont="1" applyAlignment="1">
      <alignment vertical="center" wrapText="1"/>
    </xf>
    <xf numFmtId="49" fontId="20" fillId="0" borderId="0" xfId="0" applyNumberFormat="1" applyFont="1" applyAlignment="1">
      <alignment vertical="center"/>
    </xf>
    <xf numFmtId="0" fontId="17" fillId="3" borderId="0" xfId="0" applyFont="1" applyFill="1" applyAlignment="1">
      <alignment vertical="center" wrapText="1"/>
    </xf>
    <xf numFmtId="0" fontId="23" fillId="0" borderId="0" xfId="0" applyFont="1" applyAlignment="1">
      <alignment vertical="center" wrapText="1"/>
    </xf>
    <xf numFmtId="0" fontId="24" fillId="0" borderId="0" xfId="0" applyFont="1" applyAlignment="1">
      <alignment vertical="center" wrapText="1"/>
    </xf>
    <xf numFmtId="49" fontId="25" fillId="0" borderId="0" xfId="0" applyNumberFormat="1" applyFont="1" applyAlignment="1">
      <alignment vertical="center"/>
    </xf>
    <xf numFmtId="49" fontId="22" fillId="0" borderId="0" xfId="0" applyNumberFormat="1" applyFont="1" applyAlignment="1">
      <alignment vertical="center"/>
    </xf>
    <xf numFmtId="0" fontId="23" fillId="9" borderId="0" xfId="0" applyFont="1" applyFill="1" applyAlignment="1">
      <alignment vertical="center" wrapText="1"/>
    </xf>
    <xf numFmtId="0" fontId="24" fillId="9" borderId="0" xfId="0" applyFont="1" applyFill="1" applyAlignment="1">
      <alignment vertical="center" wrapText="1"/>
    </xf>
    <xf numFmtId="0" fontId="21" fillId="9" borderId="0" xfId="0" applyFont="1" applyFill="1" applyAlignment="1">
      <alignment vertical="center" wrapText="1"/>
    </xf>
    <xf numFmtId="0" fontId="21" fillId="0" borderId="0" xfId="0" applyFont="1" applyFill="1" applyAlignment="1">
      <alignment vertical="center" wrapText="1"/>
    </xf>
    <xf numFmtId="0" fontId="17" fillId="0" borderId="0" xfId="0" applyFont="1" applyAlignment="1"/>
    <xf numFmtId="0" fontId="26" fillId="0" borderId="0" xfId="0" applyFont="1" applyAlignment="1"/>
    <xf numFmtId="0" fontId="24" fillId="0" borderId="0" xfId="0" applyFont="1" applyAlignment="1"/>
    <xf numFmtId="0" fontId="23" fillId="0" borderId="0" xfId="0" applyFont="1" applyAlignment="1"/>
    <xf numFmtId="0" fontId="17" fillId="2" borderId="0" xfId="0" applyFont="1" applyFill="1" applyAlignment="1"/>
    <xf numFmtId="0" fontId="21" fillId="0" borderId="0" xfId="0" applyFont="1" applyAlignment="1"/>
    <xf numFmtId="0" fontId="28" fillId="0" borderId="0" xfId="0" applyFont="1" applyAlignment="1">
      <alignment wrapText="1"/>
    </xf>
    <xf numFmtId="0" fontId="29" fillId="0" borderId="0" xfId="0" applyFont="1" applyAlignment="1">
      <alignment wrapText="1"/>
    </xf>
    <xf numFmtId="49" fontId="29" fillId="0" borderId="0" xfId="0" applyNumberFormat="1" applyFont="1" applyAlignment="1">
      <alignment wrapText="1"/>
    </xf>
    <xf numFmtId="49" fontId="28" fillId="0" borderId="0" xfId="0" applyNumberFormat="1" applyFont="1" applyAlignment="1">
      <alignment wrapText="1"/>
    </xf>
    <xf numFmtId="49" fontId="28" fillId="0" borderId="0" xfId="0" applyNumberFormat="1" applyFont="1" applyAlignment="1"/>
    <xf numFmtId="0" fontId="29" fillId="0" borderId="0" xfId="0" applyFont="1" applyAlignment="1"/>
    <xf numFmtId="0" fontId="28" fillId="0" borderId="0" xfId="0" applyFont="1" applyAlignment="1"/>
    <xf numFmtId="0" fontId="17" fillId="0" borderId="0" xfId="0" applyFont="1" applyFill="1" applyAlignment="1">
      <alignment wrapText="1"/>
    </xf>
    <xf numFmtId="0" fontId="30" fillId="0" borderId="0" xfId="0" applyFont="1" applyFill="1" applyAlignment="1">
      <alignment wrapText="1"/>
    </xf>
    <xf numFmtId="0" fontId="17" fillId="0" borderId="0" xfId="0" applyNumberFormat="1" applyFont="1" applyFill="1" applyAlignment="1">
      <alignment wrapText="1"/>
    </xf>
    <xf numFmtId="0" fontId="17" fillId="0" borderId="0" xfId="2" applyNumberFormat="1" applyFont="1" applyFill="1" applyAlignment="1">
      <alignment wrapText="1"/>
    </xf>
    <xf numFmtId="0" fontId="30" fillId="0" borderId="0" xfId="0" applyNumberFormat="1" applyFont="1" applyFill="1" applyAlignment="1">
      <alignment wrapText="1"/>
    </xf>
    <xf numFmtId="0" fontId="30" fillId="0" borderId="0" xfId="2" applyNumberFormat="1" applyFont="1" applyFill="1" applyAlignment="1">
      <alignment wrapText="1"/>
    </xf>
    <xf numFmtId="0" fontId="17" fillId="0" borderId="0" xfId="2" applyNumberFormat="1" applyFont="1" applyAlignment="1">
      <alignment wrapText="1"/>
    </xf>
    <xf numFmtId="0" fontId="28" fillId="0" borderId="0" xfId="2" applyNumberFormat="1" applyFont="1" applyFill="1" applyAlignment="1">
      <alignment wrapText="1"/>
    </xf>
    <xf numFmtId="0" fontId="28" fillId="0" borderId="0" xfId="0" applyFont="1" applyFill="1" applyAlignment="1">
      <alignment wrapText="1"/>
    </xf>
    <xf numFmtId="0" fontId="29" fillId="0" borderId="0" xfId="2" applyNumberFormat="1" applyFont="1" applyFill="1" applyAlignment="1">
      <alignment wrapText="1"/>
    </xf>
    <xf numFmtId="0" fontId="29" fillId="0" borderId="0" xfId="0" applyFont="1" applyFill="1" applyAlignment="1">
      <alignment wrapText="1"/>
    </xf>
    <xf numFmtId="0" fontId="28" fillId="0" borderId="0" xfId="0" applyNumberFormat="1" applyFont="1" applyAlignment="1"/>
    <xf numFmtId="0" fontId="31" fillId="7" borderId="0" xfId="0" applyFont="1" applyFill="1" applyAlignment="1">
      <alignment wrapText="1"/>
    </xf>
    <xf numFmtId="0" fontId="32" fillId="7" borderId="0" xfId="0" applyNumberFormat="1" applyFont="1" applyFill="1" applyAlignment="1">
      <alignment wrapText="1"/>
    </xf>
    <xf numFmtId="49" fontId="33" fillId="7" borderId="0" xfId="0" applyNumberFormat="1" applyFont="1" applyFill="1" applyAlignment="1">
      <alignment wrapText="1"/>
    </xf>
    <xf numFmtId="0" fontId="34" fillId="0" borderId="0" xfId="0" applyNumberFormat="1" applyFont="1" applyAlignment="1"/>
    <xf numFmtId="49" fontId="35" fillId="7" borderId="0" xfId="0" applyNumberFormat="1" applyFont="1" applyFill="1" applyAlignment="1">
      <alignment wrapText="1"/>
    </xf>
    <xf numFmtId="49" fontId="36" fillId="7" borderId="0" xfId="0" applyNumberFormat="1" applyFont="1" applyFill="1" applyAlignment="1">
      <alignment wrapText="1"/>
    </xf>
    <xf numFmtId="49" fontId="28" fillId="8" borderId="0" xfId="0" applyNumberFormat="1" applyFont="1" applyFill="1" applyAlignment="1">
      <alignment wrapText="1"/>
    </xf>
    <xf numFmtId="0" fontId="28" fillId="8" borderId="0" xfId="0" applyFont="1" applyFill="1" applyAlignment="1">
      <alignment wrapText="1"/>
    </xf>
    <xf numFmtId="0" fontId="28" fillId="0" borderId="0" xfId="0" applyNumberFormat="1" applyFont="1" applyFill="1" applyAlignment="1"/>
    <xf numFmtId="0" fontId="29" fillId="0" borderId="0" xfId="0" applyNumberFormat="1" applyFont="1" applyFill="1" applyAlignment="1"/>
    <xf numFmtId="0" fontId="37" fillId="0" borderId="0" xfId="0" applyFont="1" applyAlignment="1"/>
    <xf numFmtId="0" fontId="37" fillId="0" borderId="0" xfId="0" applyNumberFormat="1" applyFont="1" applyAlignment="1"/>
    <xf numFmtId="0" fontId="17" fillId="0" borderId="0" xfId="0" applyFont="1" applyAlignment="1"/>
    <xf numFmtId="0" fontId="39" fillId="10" borderId="0" xfId="0" applyFont="1" applyFill="1" applyAlignment="1">
      <alignment wrapText="1"/>
    </xf>
    <xf numFmtId="0" fontId="40" fillId="10" borderId="0" xfId="0" applyNumberFormat="1" applyFont="1" applyFill="1" applyAlignment="1">
      <alignment wrapText="1"/>
    </xf>
    <xf numFmtId="49" fontId="42" fillId="10" borderId="0" xfId="0" applyNumberFormat="1" applyFont="1" applyFill="1" applyAlignment="1">
      <alignment wrapText="1"/>
    </xf>
    <xf numFmtId="49" fontId="39" fillId="10" borderId="0" xfId="0" applyNumberFormat="1" applyFont="1" applyFill="1" applyAlignment="1">
      <alignment wrapText="1"/>
    </xf>
    <xf numFmtId="0" fontId="43" fillId="10" borderId="0" xfId="0" applyFont="1" applyFill="1" applyAlignment="1">
      <alignment wrapText="1"/>
    </xf>
    <xf numFmtId="49" fontId="45" fillId="7" borderId="0" xfId="0" applyNumberFormat="1" applyFont="1" applyFill="1" applyAlignment="1">
      <alignment wrapText="1"/>
    </xf>
    <xf numFmtId="49" fontId="46" fillId="7" borderId="0" xfId="0" applyNumberFormat="1" applyFont="1" applyFill="1" applyAlignment="1">
      <alignment wrapText="1"/>
    </xf>
    <xf numFmtId="49" fontId="47" fillId="7" borderId="0" xfId="0" applyNumberFormat="1" applyFont="1" applyFill="1" applyAlignment="1">
      <alignment wrapText="1"/>
    </xf>
    <xf numFmtId="0" fontId="48" fillId="0" borderId="0" xfId="0" applyFont="1" applyAlignment="1">
      <alignment wrapText="1"/>
    </xf>
    <xf numFmtId="49" fontId="49" fillId="0" borderId="0" xfId="0" applyNumberFormat="1" applyFont="1" applyAlignment="1">
      <alignment wrapText="1"/>
    </xf>
    <xf numFmtId="49" fontId="48" fillId="0" borderId="0" xfId="0" applyNumberFormat="1" applyFont="1" applyAlignment="1">
      <alignment wrapText="1"/>
    </xf>
    <xf numFmtId="49" fontId="45" fillId="7" borderId="0" xfId="0" applyNumberFormat="1" applyFont="1" applyFill="1" applyAlignment="1"/>
    <xf numFmtId="49" fontId="28" fillId="7" borderId="0" xfId="0" applyNumberFormat="1" applyFont="1" applyFill="1" applyAlignment="1"/>
    <xf numFmtId="49" fontId="46" fillId="7" borderId="0" xfId="0" applyNumberFormat="1" applyFont="1" applyFill="1" applyAlignment="1"/>
    <xf numFmtId="0" fontId="28" fillId="7" borderId="0" xfId="0" applyFont="1" applyFill="1" applyAlignment="1">
      <alignment wrapText="1"/>
    </xf>
    <xf numFmtId="0" fontId="28" fillId="7" borderId="0" xfId="0" applyFont="1" applyFill="1" applyAlignment="1"/>
    <xf numFmtId="49" fontId="50" fillId="7" borderId="0" xfId="0" applyNumberFormat="1" applyFont="1" applyFill="1" applyAlignment="1"/>
    <xf numFmtId="0" fontId="39" fillId="0" borderId="0" xfId="0" applyFont="1" applyFill="1" applyAlignment="1">
      <alignment wrapText="1"/>
    </xf>
    <xf numFmtId="0" fontId="51" fillId="0" borderId="0" xfId="0" applyFont="1" applyFill="1" applyAlignment="1">
      <alignment wrapText="1"/>
    </xf>
    <xf numFmtId="49" fontId="52" fillId="7" borderId="0" xfId="0" applyNumberFormat="1" applyFont="1" applyFill="1" applyAlignment="1"/>
    <xf numFmtId="0" fontId="40" fillId="7" borderId="0" xfId="0" applyNumberFormat="1" applyFont="1" applyFill="1" applyAlignment="1"/>
    <xf numFmtId="49" fontId="39" fillId="7" borderId="0" xfId="0" applyNumberFormat="1" applyFont="1" applyFill="1" applyAlignment="1"/>
    <xf numFmtId="49" fontId="53" fillId="7" borderId="0" xfId="0" applyNumberFormat="1" applyFont="1" applyFill="1" applyAlignment="1"/>
    <xf numFmtId="0" fontId="39" fillId="7" borderId="0" xfId="0" applyFont="1" applyFill="1" applyAlignment="1">
      <alignment wrapText="1"/>
    </xf>
    <xf numFmtId="0" fontId="39" fillId="7" borderId="0" xfId="0" applyFont="1" applyFill="1" applyAlignment="1"/>
    <xf numFmtId="49" fontId="54" fillId="7" borderId="0" xfId="0" applyNumberFormat="1" applyFont="1" applyFill="1" applyAlignment="1"/>
    <xf numFmtId="49" fontId="52" fillId="10" borderId="0" xfId="0" applyNumberFormat="1" applyFont="1" applyFill="1" applyAlignment="1">
      <alignment wrapText="1"/>
    </xf>
    <xf numFmtId="49" fontId="53" fillId="10" borderId="0" xfId="0" applyNumberFormat="1" applyFont="1" applyFill="1" applyAlignment="1">
      <alignment wrapText="1"/>
    </xf>
    <xf numFmtId="49" fontId="55" fillId="10" borderId="0" xfId="0" applyNumberFormat="1" applyFont="1" applyFill="1" applyAlignment="1">
      <alignment wrapText="1"/>
    </xf>
    <xf numFmtId="0" fontId="56" fillId="10" borderId="0" xfId="0" applyFont="1" applyFill="1" applyAlignment="1">
      <alignment wrapText="1"/>
    </xf>
    <xf numFmtId="49" fontId="57" fillId="10" borderId="0" xfId="0" applyNumberFormat="1" applyFont="1" applyFill="1" applyAlignment="1">
      <alignment wrapText="1"/>
    </xf>
    <xf numFmtId="49" fontId="56" fillId="10" borderId="0" xfId="0" applyNumberFormat="1" applyFont="1" applyFill="1" applyAlignment="1">
      <alignment wrapText="1"/>
    </xf>
    <xf numFmtId="0" fontId="41" fillId="10" borderId="0" xfId="0" applyNumberFormat="1" applyFont="1" applyFill="1" applyAlignment="1">
      <alignment wrapText="1"/>
    </xf>
    <xf numFmtId="0" fontId="44" fillId="10" borderId="0" xfId="0" applyNumberFormat="1" applyFont="1" applyFill="1" applyAlignment="1">
      <alignment wrapText="1"/>
    </xf>
    <xf numFmtId="0" fontId="52" fillId="10" borderId="0" xfId="0" applyNumberFormat="1" applyFont="1" applyFill="1" applyAlignment="1">
      <alignment wrapText="1"/>
    </xf>
    <xf numFmtId="0" fontId="17" fillId="0" borderId="0" xfId="0" applyFont="1" applyAlignment="1"/>
    <xf numFmtId="0" fontId="58" fillId="10" borderId="0" xfId="0" applyFont="1" applyFill="1" applyAlignment="1">
      <alignment wrapText="1"/>
    </xf>
    <xf numFmtId="0" fontId="59" fillId="10" borderId="0" xfId="0" applyFont="1" applyFill="1" applyAlignment="1">
      <alignment wrapText="1"/>
    </xf>
    <xf numFmtId="0" fontId="60" fillId="10" borderId="0" xfId="0" applyFont="1" applyFill="1" applyAlignment="1">
      <alignment wrapText="1"/>
    </xf>
    <xf numFmtId="0" fontId="61" fillId="10" borderId="0" xfId="0" applyNumberFormat="1" applyFont="1" applyFill="1" applyAlignment="1">
      <alignment wrapText="1"/>
    </xf>
    <xf numFmtId="49" fontId="62" fillId="10" borderId="0" xfId="0" applyNumberFormat="1" applyFont="1" applyFill="1" applyAlignment="1">
      <alignment wrapText="1"/>
    </xf>
    <xf numFmtId="49" fontId="63" fillId="10" borderId="0" xfId="0" applyNumberFormat="1" applyFont="1" applyFill="1" applyAlignment="1">
      <alignment wrapText="1"/>
    </xf>
    <xf numFmtId="49" fontId="64" fillId="10" borderId="0" xfId="0" applyNumberFormat="1" applyFont="1" applyFill="1" applyAlignment="1">
      <alignment wrapText="1"/>
    </xf>
    <xf numFmtId="49" fontId="65" fillId="10" borderId="0" xfId="0" applyNumberFormat="1" applyFont="1" applyFill="1" applyAlignment="1">
      <alignment wrapText="1"/>
    </xf>
    <xf numFmtId="49" fontId="58" fillId="10" borderId="0" xfId="0" applyNumberFormat="1" applyFont="1" applyFill="1" applyAlignment="1">
      <alignment wrapText="1"/>
    </xf>
    <xf numFmtId="0" fontId="66" fillId="10" borderId="0" xfId="0" applyFont="1" applyFill="1" applyAlignment="1">
      <alignment wrapText="1"/>
    </xf>
    <xf numFmtId="0" fontId="17" fillId="11" borderId="0" xfId="2" applyNumberFormat="1" applyFont="1" applyFill="1" applyAlignment="1">
      <alignment wrapText="1"/>
    </xf>
    <xf numFmtId="0" fontId="30" fillId="11" borderId="0" xfId="2" applyNumberFormat="1" applyFont="1" applyFill="1" applyAlignment="1">
      <alignment wrapText="1"/>
    </xf>
    <xf numFmtId="0" fontId="17" fillId="11" borderId="0" xfId="0" applyNumberFormat="1" applyFont="1" applyFill="1" applyAlignment="1"/>
    <xf numFmtId="0" fontId="17" fillId="11" borderId="0" xfId="2" applyNumberFormat="1" applyFont="1" applyFill="1" applyAlignment="1"/>
    <xf numFmtId="0" fontId="30" fillId="11" borderId="0" xfId="2" applyNumberFormat="1" applyFont="1" applyFill="1" applyAlignment="1"/>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87CEEB"/>
      <color rgb="FF33FF33"/>
      <color rgb="FF11FF11"/>
      <color rgb="FF8B66FF"/>
      <color rgb="FFFF8C00"/>
      <color rgb="FF999999"/>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H26" sqref="H26"/>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bestFit="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348</v>
      </c>
      <c r="F1" s="29" t="s">
        <v>349</v>
      </c>
      <c r="G1" s="29" t="s">
        <v>350</v>
      </c>
      <c r="H1" s="29" t="s">
        <v>351</v>
      </c>
      <c r="I1" s="29" t="s">
        <v>352</v>
      </c>
      <c r="J1" s="28" t="s">
        <v>353</v>
      </c>
      <c r="K1" s="28" t="s">
        <v>354</v>
      </c>
      <c r="L1" s="29" t="s">
        <v>355</v>
      </c>
      <c r="M1" s="28" t="s">
        <v>356</v>
      </c>
      <c r="N1" s="28" t="s">
        <v>357</v>
      </c>
      <c r="O1" s="29" t="s">
        <v>358</v>
      </c>
      <c r="P1" s="29" t="s">
        <v>447</v>
      </c>
      <c r="Q1" s="28" t="s">
        <v>359</v>
      </c>
      <c r="R1" s="28" t="s">
        <v>403</v>
      </c>
    </row>
    <row r="2" spans="1:18" x14ac:dyDescent="0.25">
      <c r="A2" s="25" t="s">
        <v>445</v>
      </c>
      <c r="B2" s="25" t="s">
        <v>404</v>
      </c>
      <c r="C2" s="26" t="s">
        <v>482</v>
      </c>
      <c r="D2" s="26" t="s">
        <v>481</v>
      </c>
      <c r="E2" s="26"/>
      <c r="F2" s="26"/>
      <c r="G2" s="26"/>
      <c r="H2" s="26"/>
      <c r="I2" s="26"/>
      <c r="J2" s="26" t="s">
        <v>444</v>
      </c>
      <c r="K2" s="26"/>
      <c r="L2" s="26"/>
      <c r="M2" s="26"/>
      <c r="N2" s="26"/>
      <c r="O2" s="26"/>
      <c r="P2" s="26"/>
      <c r="Q2" s="26"/>
    </row>
    <row r="3" spans="1:18" x14ac:dyDescent="0.25">
      <c r="A3" s="25" t="s">
        <v>485</v>
      </c>
      <c r="B3" s="25" t="s">
        <v>404</v>
      </c>
      <c r="C3" s="26" t="s">
        <v>456</v>
      </c>
      <c r="D3" s="26" t="s">
        <v>457</v>
      </c>
      <c r="E3" s="26"/>
      <c r="F3" s="26"/>
      <c r="G3" s="26"/>
      <c r="H3" s="26"/>
      <c r="I3" s="26"/>
      <c r="J3" s="26"/>
      <c r="K3" s="26"/>
      <c r="L3" s="26"/>
      <c r="M3" s="26" t="s">
        <v>444</v>
      </c>
      <c r="N3" s="26"/>
      <c r="O3" s="26"/>
      <c r="P3" s="26"/>
      <c r="Q3" s="26"/>
    </row>
    <row r="4" spans="1:18" x14ac:dyDescent="0.25">
      <c r="A4" s="25" t="s">
        <v>486</v>
      </c>
      <c r="B4" s="25" t="s">
        <v>404</v>
      </c>
      <c r="C4" s="26" t="s">
        <v>480</v>
      </c>
      <c r="D4" s="26" t="s">
        <v>483</v>
      </c>
      <c r="E4" s="26"/>
      <c r="F4" s="26"/>
      <c r="G4" s="26"/>
      <c r="H4" s="26"/>
      <c r="I4" s="26"/>
      <c r="J4" s="26"/>
      <c r="K4" s="26" t="s">
        <v>458</v>
      </c>
      <c r="L4" s="26"/>
      <c r="M4" s="26"/>
      <c r="N4" s="26"/>
      <c r="O4" s="26"/>
      <c r="P4" s="26"/>
      <c r="Q4" s="26"/>
    </row>
    <row r="5" spans="1:18" x14ac:dyDescent="0.25">
      <c r="A5" s="25" t="s">
        <v>487</v>
      </c>
      <c r="B5" s="25" t="s">
        <v>404</v>
      </c>
      <c r="C5" s="26" t="s">
        <v>454</v>
      </c>
      <c r="D5" s="26" t="s">
        <v>455</v>
      </c>
      <c r="E5" s="26"/>
      <c r="F5" s="26"/>
      <c r="G5" s="26"/>
      <c r="H5" s="26"/>
      <c r="I5" s="26"/>
      <c r="J5" s="26"/>
      <c r="K5" s="26"/>
      <c r="L5" s="26"/>
      <c r="M5" s="26"/>
      <c r="N5" s="26" t="s">
        <v>459</v>
      </c>
      <c r="O5" s="26"/>
      <c r="P5" s="26"/>
      <c r="Q5" s="26"/>
    </row>
    <row r="6" spans="1:18" x14ac:dyDescent="0.25">
      <c r="A6" s="25" t="s">
        <v>488</v>
      </c>
      <c r="B6" s="25" t="s">
        <v>404</v>
      </c>
      <c r="C6" s="26" t="s">
        <v>360</v>
      </c>
      <c r="D6" s="26" t="s">
        <v>361</v>
      </c>
      <c r="E6" s="26" t="s">
        <v>460</v>
      </c>
      <c r="F6" s="26"/>
      <c r="G6" s="26"/>
      <c r="H6" s="26"/>
      <c r="I6" s="26"/>
      <c r="J6" s="26"/>
      <c r="K6" s="26"/>
      <c r="L6" s="26"/>
      <c r="M6" s="26"/>
      <c r="N6" s="26"/>
      <c r="O6" s="26"/>
      <c r="P6" s="26"/>
      <c r="Q6" s="26"/>
    </row>
    <row r="7" spans="1:18" x14ac:dyDescent="0.25">
      <c r="A7" s="25" t="s">
        <v>489</v>
      </c>
      <c r="B7" s="25" t="s">
        <v>404</v>
      </c>
      <c r="C7" s="26" t="s">
        <v>362</v>
      </c>
      <c r="D7" s="26" t="s">
        <v>363</v>
      </c>
      <c r="E7" s="26"/>
      <c r="F7" s="26" t="s">
        <v>460</v>
      </c>
      <c r="G7" s="26"/>
      <c r="H7" s="26"/>
      <c r="I7" s="26"/>
      <c r="J7" s="26"/>
      <c r="K7" s="26"/>
      <c r="L7" s="26"/>
      <c r="M7" s="26"/>
      <c r="N7" s="26"/>
      <c r="O7" s="26"/>
      <c r="P7" s="26"/>
      <c r="Q7" s="26"/>
    </row>
    <row r="8" spans="1:18" x14ac:dyDescent="0.25">
      <c r="A8" s="25" t="s">
        <v>490</v>
      </c>
      <c r="B8" s="25" t="s">
        <v>404</v>
      </c>
      <c r="C8" s="26" t="s">
        <v>364</v>
      </c>
      <c r="D8" s="26" t="s">
        <v>365</v>
      </c>
      <c r="E8" s="26"/>
      <c r="F8" s="26"/>
      <c r="G8" s="26" t="s">
        <v>460</v>
      </c>
      <c r="H8" s="26"/>
      <c r="I8" s="26"/>
      <c r="J8" s="26"/>
      <c r="K8" s="26"/>
      <c r="L8" s="26"/>
      <c r="M8" s="26"/>
      <c r="N8" s="26"/>
      <c r="O8" s="26"/>
      <c r="P8" s="26"/>
      <c r="Q8" s="26"/>
    </row>
    <row r="9" spans="1:18" x14ac:dyDescent="0.25">
      <c r="A9" s="25" t="s">
        <v>491</v>
      </c>
      <c r="B9" s="25" t="s">
        <v>404</v>
      </c>
      <c r="C9" s="26" t="s">
        <v>462</v>
      </c>
      <c r="D9" s="26" t="s">
        <v>461</v>
      </c>
      <c r="E9" s="26"/>
      <c r="F9" s="26"/>
      <c r="G9" s="26"/>
      <c r="H9" s="26" t="s">
        <v>463</v>
      </c>
      <c r="I9" s="26"/>
      <c r="J9" s="26"/>
      <c r="K9" s="26"/>
      <c r="L9" s="26"/>
      <c r="M9" s="26"/>
      <c r="N9" s="26"/>
      <c r="O9" s="26"/>
      <c r="P9" s="26"/>
      <c r="Q9" s="26"/>
    </row>
    <row r="10" spans="1:18" s="30" customFormat="1" x14ac:dyDescent="0.25">
      <c r="A10" s="30" t="s">
        <v>492</v>
      </c>
      <c r="B10" s="30" t="s">
        <v>404</v>
      </c>
      <c r="C10" s="31" t="s">
        <v>366</v>
      </c>
      <c r="D10" s="31" t="s">
        <v>367</v>
      </c>
      <c r="E10" s="31" t="s">
        <v>446</v>
      </c>
      <c r="F10" s="31"/>
      <c r="G10" s="31"/>
      <c r="H10" s="31"/>
      <c r="I10" s="31" t="s">
        <v>464</v>
      </c>
      <c r="J10" s="31"/>
      <c r="K10" s="31"/>
      <c r="L10" s="31"/>
      <c r="M10" s="31"/>
      <c r="N10" s="31"/>
      <c r="O10" s="31"/>
      <c r="P10" s="31"/>
      <c r="Q10" s="31"/>
      <c r="R10" s="31"/>
    </row>
    <row r="11" spans="1:18" s="30" customFormat="1" x14ac:dyDescent="0.25">
      <c r="A11" s="25" t="s">
        <v>493</v>
      </c>
      <c r="B11" s="30" t="s">
        <v>404</v>
      </c>
      <c r="C11" s="31" t="s">
        <v>368</v>
      </c>
      <c r="D11" s="31" t="s">
        <v>369</v>
      </c>
      <c r="E11" s="31" t="s">
        <v>446</v>
      </c>
      <c r="F11" s="31"/>
      <c r="G11" s="31"/>
      <c r="H11" s="31"/>
      <c r="I11" s="31"/>
      <c r="J11" s="31" t="s">
        <v>443</v>
      </c>
      <c r="K11" s="31"/>
      <c r="L11" s="31"/>
      <c r="M11" s="31"/>
      <c r="N11" s="31"/>
      <c r="O11" s="31"/>
      <c r="P11" s="31"/>
      <c r="Q11" s="31"/>
      <c r="R11" s="31"/>
    </row>
    <row r="12" spans="1:18" s="30" customFormat="1" x14ac:dyDescent="0.25">
      <c r="A12" s="25" t="s">
        <v>494</v>
      </c>
      <c r="B12" s="30" t="s">
        <v>404</v>
      </c>
      <c r="C12" s="31" t="s">
        <v>370</v>
      </c>
      <c r="D12" s="31" t="s">
        <v>371</v>
      </c>
      <c r="E12" s="31"/>
      <c r="F12" s="31" t="s">
        <v>446</v>
      </c>
      <c r="G12" s="31"/>
      <c r="H12" s="31"/>
      <c r="I12" s="31"/>
      <c r="J12" s="31" t="s">
        <v>443</v>
      </c>
      <c r="K12" s="31"/>
      <c r="L12" s="31"/>
      <c r="M12" s="31"/>
      <c r="N12" s="31"/>
      <c r="O12" s="31"/>
      <c r="P12" s="31"/>
      <c r="Q12" s="31"/>
      <c r="R12" s="31"/>
    </row>
    <row r="13" spans="1:18" s="30" customFormat="1" x14ac:dyDescent="0.25">
      <c r="A13" s="25" t="s">
        <v>495</v>
      </c>
      <c r="B13" s="30" t="s">
        <v>404</v>
      </c>
      <c r="C13" s="31" t="s">
        <v>372</v>
      </c>
      <c r="D13" s="31" t="s">
        <v>465</v>
      </c>
      <c r="E13" s="31"/>
      <c r="F13" s="31" t="s">
        <v>446</v>
      </c>
      <c r="G13" s="31"/>
      <c r="H13" s="31"/>
      <c r="I13" s="31" t="s">
        <v>464</v>
      </c>
      <c r="J13" s="31"/>
      <c r="K13" s="31"/>
      <c r="L13" s="31"/>
      <c r="M13" s="31"/>
      <c r="N13" s="31"/>
      <c r="O13" s="31"/>
      <c r="P13" s="31"/>
      <c r="Q13" s="31"/>
      <c r="R13" s="31"/>
    </row>
    <row r="14" spans="1:18" s="30" customFormat="1" x14ac:dyDescent="0.25">
      <c r="A14" s="25" t="s">
        <v>496</v>
      </c>
      <c r="B14" s="30" t="s">
        <v>404</v>
      </c>
      <c r="C14" s="31" t="s">
        <v>373</v>
      </c>
      <c r="D14" s="31" t="s">
        <v>374</v>
      </c>
      <c r="E14" s="31"/>
      <c r="F14" s="31"/>
      <c r="G14" s="31" t="s">
        <v>446</v>
      </c>
      <c r="H14" s="31"/>
      <c r="I14" s="31"/>
      <c r="J14" s="31"/>
      <c r="K14" s="31"/>
      <c r="L14" s="31"/>
      <c r="M14" s="31"/>
      <c r="N14" s="31" t="s">
        <v>466</v>
      </c>
      <c r="O14" s="31"/>
      <c r="P14" s="31"/>
      <c r="Q14" s="31"/>
      <c r="R14" s="31"/>
    </row>
    <row r="15" spans="1:18" s="30" customFormat="1" x14ac:dyDescent="0.25">
      <c r="A15" s="25" t="s">
        <v>497</v>
      </c>
      <c r="B15" s="30" t="s">
        <v>404</v>
      </c>
      <c r="C15" s="31" t="s">
        <v>375</v>
      </c>
      <c r="D15" s="31" t="s">
        <v>376</v>
      </c>
      <c r="E15" s="31"/>
      <c r="F15" s="31"/>
      <c r="G15" s="31" t="s">
        <v>446</v>
      </c>
      <c r="H15" s="31"/>
      <c r="I15" s="31"/>
      <c r="J15" s="31"/>
      <c r="K15" s="31"/>
      <c r="L15" s="31"/>
      <c r="M15" s="31"/>
      <c r="N15" s="31"/>
      <c r="O15" s="31" t="s">
        <v>441</v>
      </c>
      <c r="P15" s="31"/>
      <c r="Q15" s="31"/>
      <c r="R15" s="31"/>
    </row>
    <row r="16" spans="1:18" s="30" customFormat="1" x14ac:dyDescent="0.25">
      <c r="A16" s="25" t="s">
        <v>498</v>
      </c>
      <c r="B16" s="30" t="s">
        <v>404</v>
      </c>
      <c r="C16" s="31" t="s">
        <v>377</v>
      </c>
      <c r="D16" s="31" t="s">
        <v>378</v>
      </c>
      <c r="E16" s="31"/>
      <c r="F16" s="31"/>
      <c r="G16" s="31"/>
      <c r="H16" s="31" t="s">
        <v>467</v>
      </c>
      <c r="I16" s="31"/>
      <c r="J16" s="31"/>
      <c r="K16" s="31"/>
      <c r="L16" s="31"/>
      <c r="M16" s="31"/>
      <c r="N16" s="31"/>
      <c r="O16" s="31"/>
      <c r="P16" s="31"/>
      <c r="Q16" s="31" t="s">
        <v>443</v>
      </c>
      <c r="R16" s="31"/>
    </row>
    <row r="17" spans="1:18" x14ac:dyDescent="0.25">
      <c r="A17" s="25" t="s">
        <v>499</v>
      </c>
      <c r="B17" s="25" t="s">
        <v>404</v>
      </c>
      <c r="C17" s="26" t="s">
        <v>469</v>
      </c>
      <c r="D17" s="26" t="s">
        <v>468</v>
      </c>
      <c r="E17" s="26"/>
      <c r="F17" s="26"/>
      <c r="G17" s="26"/>
      <c r="H17" s="26"/>
      <c r="I17" s="26"/>
      <c r="J17" s="26"/>
      <c r="K17" s="26"/>
      <c r="L17" s="26"/>
      <c r="M17" s="26"/>
      <c r="N17" s="26"/>
      <c r="O17" s="26"/>
      <c r="P17" s="26"/>
      <c r="Q17" s="26"/>
      <c r="R17" s="26" t="s">
        <v>444</v>
      </c>
    </row>
    <row r="18" spans="1:18" x14ac:dyDescent="0.25">
      <c r="A18" s="25" t="s">
        <v>500</v>
      </c>
      <c r="B18" s="25" t="s">
        <v>404</v>
      </c>
      <c r="C18" s="26" t="s">
        <v>471</v>
      </c>
      <c r="D18" s="26" t="s">
        <v>470</v>
      </c>
      <c r="E18" s="26"/>
      <c r="F18" s="26"/>
      <c r="G18" s="26"/>
      <c r="H18" s="26"/>
      <c r="I18" s="26"/>
      <c r="J18" s="26"/>
      <c r="K18" s="26"/>
      <c r="L18" s="26"/>
      <c r="M18" s="26"/>
      <c r="N18" s="26"/>
      <c r="O18" s="26"/>
      <c r="P18" s="26"/>
      <c r="Q18" s="26" t="s">
        <v>444</v>
      </c>
    </row>
    <row r="19" spans="1:18" x14ac:dyDescent="0.25">
      <c r="A19" s="25" t="s">
        <v>501</v>
      </c>
      <c r="B19" s="25" t="s">
        <v>404</v>
      </c>
      <c r="C19" s="26" t="s">
        <v>473</v>
      </c>
      <c r="D19" s="26" t="s">
        <v>472</v>
      </c>
      <c r="E19" s="26"/>
      <c r="F19" s="26"/>
      <c r="G19" s="26"/>
      <c r="H19" s="26"/>
      <c r="I19" s="26"/>
      <c r="J19" s="26"/>
      <c r="K19" s="26"/>
      <c r="L19" s="26"/>
      <c r="M19" s="26"/>
      <c r="N19" s="26"/>
      <c r="O19" s="26"/>
      <c r="P19" s="26" t="s">
        <v>458</v>
      </c>
      <c r="Q19" s="26"/>
    </row>
    <row r="20" spans="1:18" x14ac:dyDescent="0.25">
      <c r="A20" s="25" t="s">
        <v>502</v>
      </c>
      <c r="B20" s="25" t="s">
        <v>404</v>
      </c>
      <c r="C20" s="26" t="s">
        <v>475</v>
      </c>
      <c r="D20" s="26" t="s">
        <v>474</v>
      </c>
      <c r="E20" s="26"/>
      <c r="F20" s="26"/>
      <c r="G20" s="26"/>
      <c r="H20" s="26"/>
      <c r="I20" s="26"/>
      <c r="J20" s="26"/>
      <c r="K20" s="26"/>
      <c r="L20" s="26"/>
      <c r="M20" s="26"/>
      <c r="N20" s="26"/>
      <c r="O20" s="26" t="s">
        <v>476</v>
      </c>
      <c r="P20" s="26"/>
      <c r="Q20" s="26"/>
    </row>
    <row r="21" spans="1:18" x14ac:dyDescent="0.25">
      <c r="A21" s="25" t="s">
        <v>503</v>
      </c>
      <c r="B21" s="25" t="s">
        <v>404</v>
      </c>
      <c r="C21" s="26" t="s">
        <v>478</v>
      </c>
      <c r="D21" s="26" t="s">
        <v>477</v>
      </c>
      <c r="E21" s="26"/>
      <c r="F21" s="26"/>
      <c r="G21" s="26"/>
      <c r="H21" s="26"/>
      <c r="I21" s="26"/>
      <c r="J21" s="26"/>
      <c r="K21" s="26"/>
      <c r="L21" s="26" t="s">
        <v>479</v>
      </c>
      <c r="M21" s="26"/>
      <c r="N21" s="26"/>
      <c r="O21" s="26"/>
      <c r="P21" s="26"/>
      <c r="Q21" s="26"/>
    </row>
    <row r="22" spans="1:18" x14ac:dyDescent="0.25">
      <c r="A22" s="25" t="s">
        <v>504</v>
      </c>
      <c r="B22" s="25" t="s">
        <v>405</v>
      </c>
      <c r="C22" s="25" t="s">
        <v>407</v>
      </c>
      <c r="D22" s="25" t="s">
        <v>406</v>
      </c>
      <c r="E22" s="25" t="s">
        <v>408</v>
      </c>
    </row>
    <row r="23" spans="1:18" x14ac:dyDescent="0.25">
      <c r="A23" s="25" t="s">
        <v>505</v>
      </c>
      <c r="B23" s="25" t="s">
        <v>405</v>
      </c>
      <c r="C23" s="25" t="s">
        <v>410</v>
      </c>
      <c r="D23" s="25" t="s">
        <v>409</v>
      </c>
      <c r="E23" s="25" t="s">
        <v>411</v>
      </c>
    </row>
    <row r="24" spans="1:18" x14ac:dyDescent="0.25">
      <c r="A24" s="25" t="s">
        <v>506</v>
      </c>
      <c r="B24" s="25" t="s">
        <v>405</v>
      </c>
      <c r="C24" s="25" t="s">
        <v>419</v>
      </c>
      <c r="D24" s="25" t="s">
        <v>412</v>
      </c>
      <c r="F24" s="25" t="s">
        <v>408</v>
      </c>
    </row>
    <row r="25" spans="1:18" x14ac:dyDescent="0.25">
      <c r="A25" s="25" t="s">
        <v>507</v>
      </c>
      <c r="B25" s="25" t="s">
        <v>405</v>
      </c>
      <c r="C25" s="25" t="s">
        <v>414</v>
      </c>
      <c r="D25" s="25" t="s">
        <v>413</v>
      </c>
      <c r="F25" s="25" t="s">
        <v>411</v>
      </c>
    </row>
    <row r="26" spans="1:18" x14ac:dyDescent="0.25">
      <c r="A26" s="25" t="s">
        <v>508</v>
      </c>
      <c r="B26" s="25" t="s">
        <v>405</v>
      </c>
      <c r="C26" s="25" t="s">
        <v>416</v>
      </c>
      <c r="D26" s="25" t="s">
        <v>415</v>
      </c>
      <c r="G26" s="25" t="s">
        <v>408</v>
      </c>
    </row>
    <row r="27" spans="1:18" x14ac:dyDescent="0.25">
      <c r="A27" s="25" t="s">
        <v>509</v>
      </c>
      <c r="B27" s="25" t="s">
        <v>405</v>
      </c>
      <c r="C27" s="25" t="s">
        <v>418</v>
      </c>
      <c r="D27" s="25" t="s">
        <v>417</v>
      </c>
      <c r="G27" s="25" t="s">
        <v>411</v>
      </c>
    </row>
    <row r="28" spans="1:18" x14ac:dyDescent="0.25">
      <c r="A28" s="25" t="s">
        <v>510</v>
      </c>
      <c r="B28" s="25" t="s">
        <v>405</v>
      </c>
      <c r="C28" s="25" t="s">
        <v>423</v>
      </c>
      <c r="D28" s="25" t="s">
        <v>420</v>
      </c>
      <c r="H28" s="25" t="s">
        <v>424</v>
      </c>
    </row>
    <row r="29" spans="1:18" x14ac:dyDescent="0.25">
      <c r="A29" s="25" t="s">
        <v>511</v>
      </c>
      <c r="B29" s="25" t="s">
        <v>405</v>
      </c>
      <c r="C29" s="25" t="s">
        <v>422</v>
      </c>
      <c r="D29" s="25" t="s">
        <v>421</v>
      </c>
      <c r="H29" s="25" t="s">
        <v>433</v>
      </c>
    </row>
    <row r="30" spans="1:18" x14ac:dyDescent="0.25">
      <c r="A30" s="25" t="s">
        <v>512</v>
      </c>
      <c r="B30" s="25" t="s">
        <v>405</v>
      </c>
      <c r="C30" s="25" t="s">
        <v>426</v>
      </c>
      <c r="D30" s="25" t="s">
        <v>425</v>
      </c>
      <c r="I30" s="25" t="s">
        <v>427</v>
      </c>
    </row>
    <row r="31" spans="1:18" x14ac:dyDescent="0.25">
      <c r="A31" s="25" t="s">
        <v>513</v>
      </c>
      <c r="B31" s="25" t="s">
        <v>405</v>
      </c>
      <c r="C31" s="25" t="s">
        <v>438</v>
      </c>
      <c r="D31" s="25" t="s">
        <v>484</v>
      </c>
      <c r="I31" s="25" t="s">
        <v>434</v>
      </c>
    </row>
    <row r="32" spans="1:18" x14ac:dyDescent="0.25">
      <c r="A32" s="25" t="s">
        <v>514</v>
      </c>
      <c r="B32" s="25" t="s">
        <v>405</v>
      </c>
      <c r="C32" s="25" t="s">
        <v>429</v>
      </c>
      <c r="D32" s="25" t="s">
        <v>428</v>
      </c>
      <c r="L32" s="25" t="s">
        <v>432</v>
      </c>
    </row>
    <row r="33" spans="1:16" x14ac:dyDescent="0.25">
      <c r="A33" s="25" t="s">
        <v>515</v>
      </c>
      <c r="B33" s="25" t="s">
        <v>405</v>
      </c>
      <c r="C33" s="25" t="s">
        <v>431</v>
      </c>
      <c r="D33" s="25" t="s">
        <v>430</v>
      </c>
      <c r="L33" s="25" t="s">
        <v>435</v>
      </c>
    </row>
    <row r="34" spans="1:16" x14ac:dyDescent="0.25">
      <c r="A34" s="25" t="s">
        <v>516</v>
      </c>
      <c r="B34" s="25" t="s">
        <v>405</v>
      </c>
      <c r="C34" s="25" t="s">
        <v>437</v>
      </c>
      <c r="D34" s="25" t="s">
        <v>436</v>
      </c>
      <c r="O34" s="25" t="s">
        <v>441</v>
      </c>
    </row>
    <row r="35" spans="1:16" x14ac:dyDescent="0.25">
      <c r="A35" s="25" t="s">
        <v>517</v>
      </c>
      <c r="B35" s="25" t="s">
        <v>405</v>
      </c>
      <c r="C35" s="25" t="s">
        <v>440</v>
      </c>
      <c r="D35" s="25" t="s">
        <v>439</v>
      </c>
      <c r="O35" s="25" t="s">
        <v>442</v>
      </c>
    </row>
    <row r="36" spans="1:16" x14ac:dyDescent="0.25">
      <c r="A36" s="25" t="s">
        <v>518</v>
      </c>
      <c r="B36" s="25" t="s">
        <v>405</v>
      </c>
      <c r="C36" s="25" t="s">
        <v>449</v>
      </c>
      <c r="D36" s="25" t="s">
        <v>448</v>
      </c>
      <c r="P36" s="25" t="s">
        <v>452</v>
      </c>
    </row>
    <row r="37" spans="1:16" x14ac:dyDescent="0.25">
      <c r="A37" s="25" t="s">
        <v>519</v>
      </c>
      <c r="B37" s="25" t="s">
        <v>405</v>
      </c>
      <c r="C37" s="25" t="s">
        <v>451</v>
      </c>
      <c r="D37" s="25" t="s">
        <v>450</v>
      </c>
      <c r="P37" s="25" t="s">
        <v>453</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73" activePane="bottomLeft" state="frozen"/>
      <selection pane="bottomLeft" activeCell="J2" sqref="J2:J97"/>
    </sheetView>
  </sheetViews>
  <sheetFormatPr defaultRowHeight="14.25" x14ac:dyDescent="0.25"/>
  <cols>
    <col min="1" max="1" width="4" style="64" bestFit="1" customWidth="1"/>
    <col min="2" max="2" width="5.42578125" style="70" bestFit="1" customWidth="1"/>
    <col min="3" max="3" width="4.85546875" style="64" bestFit="1" customWidth="1"/>
    <col min="4" max="4" width="5.28515625" style="64" customWidth="1"/>
    <col min="5" max="5" width="50.7109375" style="67" hidden="1" customWidth="1"/>
    <col min="6" max="6" width="50.7109375" style="67" customWidth="1"/>
    <col min="7" max="7" width="15.85546875" style="64" bestFit="1" customWidth="1"/>
    <col min="8" max="8" width="11.7109375" style="70" customWidth="1"/>
    <col min="9" max="9" width="9.140625" style="64"/>
    <col min="10" max="10" width="54.140625" style="64" customWidth="1"/>
    <col min="11" max="11" width="4.5703125" style="64" bestFit="1" customWidth="1"/>
    <col min="12" max="12" width="21.7109375" style="70" bestFit="1" customWidth="1"/>
    <col min="13" max="16384" width="9.140625" style="64"/>
  </cols>
  <sheetData>
    <row r="1" spans="1:12" s="65" customFormat="1" x14ac:dyDescent="0.25">
      <c r="A1" s="65" t="s">
        <v>630</v>
      </c>
      <c r="B1" s="69" t="s">
        <v>661</v>
      </c>
      <c r="C1" s="65" t="s">
        <v>744</v>
      </c>
      <c r="D1" s="65" t="s">
        <v>1009</v>
      </c>
      <c r="E1" s="66" t="s">
        <v>632</v>
      </c>
      <c r="F1" s="66" t="s">
        <v>633</v>
      </c>
      <c r="G1" s="65" t="s">
        <v>864</v>
      </c>
      <c r="H1" s="69" t="s">
        <v>961</v>
      </c>
      <c r="I1" s="65" t="s">
        <v>747</v>
      </c>
      <c r="J1" s="65" t="s">
        <v>748</v>
      </c>
      <c r="K1" s="65" t="s">
        <v>571</v>
      </c>
      <c r="L1" s="69"/>
    </row>
    <row r="2" spans="1:12" x14ac:dyDescent="0.25">
      <c r="A2" s="64">
        <v>4</v>
      </c>
      <c r="B2" s="70">
        <v>1</v>
      </c>
      <c r="C2" s="64">
        <v>100</v>
      </c>
      <c r="D2" s="64">
        <v>0</v>
      </c>
      <c r="E2" s="67" t="s">
        <v>634</v>
      </c>
      <c r="F2" s="67" t="s">
        <v>696</v>
      </c>
      <c r="G2" s="70" t="s">
        <v>865</v>
      </c>
      <c r="H2" s="70" t="str">
        <f t="shared" ref="H2:H33" si="0">"IATTR_"&amp;G2</f>
        <v>IATTR_STR</v>
      </c>
      <c r="I2" s="70" t="str">
        <f>CodeGenAttrCN($A2:$H2)</f>
        <v>thistype.create(4,100,"0","",thistype.callback+# Strength);</v>
      </c>
      <c r="J2" s="70" t="str">
        <f>CodeGenAttrEN($A2:$H2)</f>
        <v>thistype.create(IATTR_STR,1,100,0,"+"," Strength",thistype.callbackSTR);</v>
      </c>
      <c r="K2" s="64" t="s">
        <v>571</v>
      </c>
      <c r="L2" s="70" t="str">
        <f t="shared" ref="L2:L33" si="1">"public constant integer IATTR_"&amp;G2&amp;" = "&amp;A2&amp;";"</f>
        <v>public constant integer IATTR_STR = 4;</v>
      </c>
    </row>
    <row r="3" spans="1:12" x14ac:dyDescent="0.25">
      <c r="A3" s="64">
        <v>5</v>
      </c>
      <c r="B3" s="70">
        <v>1</v>
      </c>
      <c r="C3" s="64">
        <v>101</v>
      </c>
      <c r="D3" s="64">
        <v>0</v>
      </c>
      <c r="E3" s="67" t="s">
        <v>656</v>
      </c>
      <c r="F3" s="67" t="s">
        <v>755</v>
      </c>
      <c r="G3" s="70" t="s">
        <v>868</v>
      </c>
      <c r="H3" s="70" t="str">
        <f t="shared" si="0"/>
        <v>IATTR_STRPL</v>
      </c>
      <c r="I3" s="70" t="str">
        <f t="shared" ref="I3:I34" si="2">CodeGenAttrCN(A3:H3)</f>
        <v>thistype.create(5,101,"0","",thistype.callback+# Strength/level);</v>
      </c>
      <c r="J3" s="70" t="str">
        <f t="shared" ref="J3:J33" si="3">CodeGenAttrEN($A3:$H3)</f>
        <v>thistype.create(IATTR_STRPL,1,101,0,"+"," Strength/level",thistype.callbackSTRPL);</v>
      </c>
      <c r="K3" s="64" t="s">
        <v>571</v>
      </c>
      <c r="L3" s="70" t="str">
        <f t="shared" si="1"/>
        <v>public constant integer IATTR_STRPL = 5;</v>
      </c>
    </row>
    <row r="4" spans="1:12" x14ac:dyDescent="0.25">
      <c r="A4" s="64">
        <v>13</v>
      </c>
      <c r="B4" s="70">
        <v>1</v>
      </c>
      <c r="C4" s="64">
        <v>102</v>
      </c>
      <c r="D4" s="64">
        <v>0</v>
      </c>
      <c r="E4" s="67" t="s">
        <v>635</v>
      </c>
      <c r="F4" s="67" t="s">
        <v>697</v>
      </c>
      <c r="G4" s="70" t="s">
        <v>866</v>
      </c>
      <c r="H4" s="70" t="str">
        <f t="shared" si="0"/>
        <v>IATTR_AGI</v>
      </c>
      <c r="I4" s="70" t="str">
        <f t="shared" si="2"/>
        <v>thistype.create(13,102,"0","",thistype.callback+# Agility);</v>
      </c>
      <c r="J4" s="70" t="str">
        <f t="shared" si="3"/>
        <v>thistype.create(IATTR_AGI,1,102,0,"+"," Agility",thistype.callbackAGI);</v>
      </c>
      <c r="K4" s="64" t="s">
        <v>571</v>
      </c>
      <c r="L4" s="70" t="str">
        <f t="shared" si="1"/>
        <v>public constant integer IATTR_AGI = 13;</v>
      </c>
    </row>
    <row r="5" spans="1:12" x14ac:dyDescent="0.25">
      <c r="A5" s="64">
        <v>14</v>
      </c>
      <c r="B5" s="70">
        <v>1</v>
      </c>
      <c r="C5" s="64">
        <v>104</v>
      </c>
      <c r="D5" s="64">
        <v>0</v>
      </c>
      <c r="E5" s="67" t="s">
        <v>636</v>
      </c>
      <c r="F5" s="67" t="s">
        <v>698</v>
      </c>
      <c r="G5" s="70" t="s">
        <v>867</v>
      </c>
      <c r="H5" s="70" t="str">
        <f t="shared" si="0"/>
        <v>IATTR_INT</v>
      </c>
      <c r="I5" s="70" t="str">
        <f t="shared" si="2"/>
        <v>thistype.create(14,104,"0","",thistype.callback+# Intelligence);</v>
      </c>
      <c r="J5" s="70" t="str">
        <f t="shared" si="3"/>
        <v>thistype.create(IATTR_INT,1,104,0,"+"," Intelligence",thistype.callbackINT);</v>
      </c>
      <c r="K5" s="64" t="s">
        <v>571</v>
      </c>
      <c r="L5" s="70" t="str">
        <f t="shared" si="1"/>
        <v>public constant integer IATTR_INT = 14;</v>
      </c>
    </row>
    <row r="6" spans="1:12" x14ac:dyDescent="0.25">
      <c r="A6" s="64">
        <v>7</v>
      </c>
      <c r="B6" s="70">
        <v>1</v>
      </c>
      <c r="C6" s="64">
        <v>106</v>
      </c>
      <c r="D6" s="64">
        <v>0</v>
      </c>
      <c r="E6" s="67" t="s">
        <v>637</v>
      </c>
      <c r="F6" s="67" t="s">
        <v>699</v>
      </c>
      <c r="G6" s="70" t="s">
        <v>869</v>
      </c>
      <c r="H6" s="70" t="str">
        <f t="shared" si="0"/>
        <v>IATTR_ALLSTAT</v>
      </c>
      <c r="I6" s="70" t="str">
        <f t="shared" si="2"/>
        <v>thistype.create(7,106,"0","",thistype.callback+# All stats);</v>
      </c>
      <c r="J6" s="70" t="str">
        <f t="shared" si="3"/>
        <v>thistype.create(IATTR_ALLSTAT,1,106,0,"+"," All stats",thistype.callbackALLSTAT);</v>
      </c>
      <c r="K6" s="64" t="s">
        <v>571</v>
      </c>
      <c r="L6" s="70" t="str">
        <f t="shared" si="1"/>
        <v>public constant integer IATTR_ALLSTAT = 7;</v>
      </c>
    </row>
    <row r="7" spans="1:12" x14ac:dyDescent="0.25">
      <c r="A7" s="64">
        <v>21</v>
      </c>
      <c r="B7" s="70">
        <v>1</v>
      </c>
      <c r="C7" s="64">
        <v>110</v>
      </c>
      <c r="D7" s="64">
        <v>0</v>
      </c>
      <c r="E7" s="67" t="s">
        <v>638</v>
      </c>
      <c r="F7" s="67" t="s">
        <v>749</v>
      </c>
      <c r="G7" s="70" t="s">
        <v>870</v>
      </c>
      <c r="H7" s="70" t="str">
        <f t="shared" si="0"/>
        <v>IATTR_HP</v>
      </c>
      <c r="I7" s="70" t="str">
        <f t="shared" si="2"/>
        <v>thistype.create(21,110,"0","",thistype.callback+# Max HP);</v>
      </c>
      <c r="J7" s="70" t="str">
        <f t="shared" si="3"/>
        <v>thistype.create(IATTR_HP,1,110,0,"+"," Max HP",thistype.callbackHP);</v>
      </c>
      <c r="K7" s="64" t="s">
        <v>571</v>
      </c>
      <c r="L7" s="70" t="str">
        <f t="shared" si="1"/>
        <v>public constant integer IATTR_HP = 21;</v>
      </c>
    </row>
    <row r="8" spans="1:12" x14ac:dyDescent="0.25">
      <c r="A8" s="64">
        <v>22</v>
      </c>
      <c r="B8" s="70">
        <v>1</v>
      </c>
      <c r="C8" s="64">
        <v>111</v>
      </c>
      <c r="D8" s="64">
        <v>0</v>
      </c>
      <c r="E8" s="67" t="s">
        <v>638</v>
      </c>
      <c r="F8" s="67" t="s">
        <v>749</v>
      </c>
      <c r="G8" s="70" t="s">
        <v>871</v>
      </c>
      <c r="H8" s="70" t="str">
        <f t="shared" si="0"/>
        <v>IATTR_HPPCT</v>
      </c>
      <c r="I8" s="70" t="str">
        <f t="shared" si="2"/>
        <v>thistype.create(22,111,"0","",thistype.callback+# Max HP);</v>
      </c>
      <c r="J8" s="70" t="str">
        <f t="shared" si="3"/>
        <v>thistype.create(IATTR_HPPCT,1,111,0,"+"," Max HP",thistype.callbackHPPCT);</v>
      </c>
      <c r="K8" s="64" t="s">
        <v>571</v>
      </c>
      <c r="L8" s="70" t="str">
        <f t="shared" si="1"/>
        <v>public constant integer IATTR_HPPCT = 22;</v>
      </c>
    </row>
    <row r="9" spans="1:12" x14ac:dyDescent="0.25">
      <c r="A9" s="64">
        <v>23</v>
      </c>
      <c r="B9" s="70">
        <v>1</v>
      </c>
      <c r="C9" s="64">
        <v>112</v>
      </c>
      <c r="D9" s="64">
        <v>0</v>
      </c>
      <c r="E9" s="67" t="s">
        <v>657</v>
      </c>
      <c r="F9" s="67" t="s">
        <v>756</v>
      </c>
      <c r="G9" s="70" t="s">
        <v>872</v>
      </c>
      <c r="H9" s="70" t="str">
        <f t="shared" si="0"/>
        <v>IATTR_HPPL</v>
      </c>
      <c r="I9" s="70" t="str">
        <f t="shared" si="2"/>
        <v>thistype.create(23,112,"0","",thistype.callback+# Max HP/level);</v>
      </c>
      <c r="J9" s="70" t="str">
        <f t="shared" si="3"/>
        <v>thistype.create(IATTR_HPPL,1,112,0,"+"," Max HP/level",thistype.callbackHPPL);</v>
      </c>
      <c r="K9" s="64" t="s">
        <v>571</v>
      </c>
      <c r="L9" s="70" t="str">
        <f t="shared" si="1"/>
        <v>public constant integer IATTR_HPPL = 23;</v>
      </c>
    </row>
    <row r="10" spans="1:12" x14ac:dyDescent="0.25">
      <c r="A10" s="64">
        <v>17</v>
      </c>
      <c r="B10" s="70">
        <v>1</v>
      </c>
      <c r="C10" s="64">
        <v>114</v>
      </c>
      <c r="D10" s="64">
        <v>0</v>
      </c>
      <c r="E10" s="67" t="s">
        <v>639</v>
      </c>
      <c r="F10" s="67" t="s">
        <v>760</v>
      </c>
      <c r="G10" s="70" t="s">
        <v>873</v>
      </c>
      <c r="H10" s="70" t="str">
        <f t="shared" si="0"/>
        <v>IATTR_MP</v>
      </c>
      <c r="I10" s="70" t="str">
        <f t="shared" si="2"/>
        <v>thistype.create(17,114,"0","",thistype.callback+# Max MP);</v>
      </c>
      <c r="J10" s="70" t="str">
        <f t="shared" si="3"/>
        <v>thistype.create(IATTR_MP,1,114,0,"+"," Max MP",thistype.callbackMP);</v>
      </c>
      <c r="K10" s="64" t="s">
        <v>571</v>
      </c>
      <c r="L10" s="70" t="str">
        <f t="shared" si="1"/>
        <v>public constant integer IATTR_MP = 17;</v>
      </c>
    </row>
    <row r="11" spans="1:12" x14ac:dyDescent="0.25">
      <c r="A11" s="64">
        <v>9</v>
      </c>
      <c r="B11" s="70">
        <v>1</v>
      </c>
      <c r="C11" s="64">
        <v>120</v>
      </c>
      <c r="D11" s="64">
        <v>0</v>
      </c>
      <c r="E11" s="67" t="s">
        <v>640</v>
      </c>
      <c r="F11" s="67" t="s">
        <v>700</v>
      </c>
      <c r="G11" s="70" t="s">
        <v>874</v>
      </c>
      <c r="H11" s="70" t="str">
        <f t="shared" si="0"/>
        <v>IATTR_AP</v>
      </c>
      <c r="I11" s="70" t="str">
        <f t="shared" si="2"/>
        <v>thistype.create(9,120,"0","",thistype.callback+# Attack power);</v>
      </c>
      <c r="J11" s="70" t="str">
        <f t="shared" si="3"/>
        <v>thistype.create(IATTR_AP,1,120,0,"+"," Attack power",thistype.callbackAP);</v>
      </c>
      <c r="K11" s="64" t="s">
        <v>571</v>
      </c>
      <c r="L11" s="70" t="str">
        <f t="shared" si="1"/>
        <v>public constant integer IATTR_AP = 9;</v>
      </c>
    </row>
    <row r="12" spans="1:12" x14ac:dyDescent="0.25">
      <c r="A12" s="64">
        <v>10</v>
      </c>
      <c r="B12" s="70">
        <v>1</v>
      </c>
      <c r="C12" s="64">
        <v>121</v>
      </c>
      <c r="D12" s="64">
        <v>0</v>
      </c>
      <c r="E12" s="67" t="s">
        <v>658</v>
      </c>
      <c r="F12" s="67" t="s">
        <v>757</v>
      </c>
      <c r="G12" s="70" t="s">
        <v>875</v>
      </c>
      <c r="H12" s="70" t="str">
        <f t="shared" si="0"/>
        <v>IATTR_APPL</v>
      </c>
      <c r="I12" s="70" t="str">
        <f t="shared" si="2"/>
        <v>thistype.create(10,121,"0","",thistype.callback+# Attack power/level);</v>
      </c>
      <c r="J12" s="70" t="str">
        <f t="shared" si="3"/>
        <v>thistype.create(IATTR_APPL,1,121,0,"+"," Attack power/level",thistype.callbackAPPL);</v>
      </c>
      <c r="K12" s="64" t="s">
        <v>571</v>
      </c>
      <c r="L12" s="70" t="str">
        <f t="shared" si="1"/>
        <v>public constant integer IATTR_APPL = 10;</v>
      </c>
    </row>
    <row r="13" spans="1:12" x14ac:dyDescent="0.25">
      <c r="A13" s="64">
        <v>11</v>
      </c>
      <c r="B13" s="70">
        <v>1</v>
      </c>
      <c r="C13" s="64">
        <v>122</v>
      </c>
      <c r="D13" s="64">
        <v>0</v>
      </c>
      <c r="E13" s="67" t="s">
        <v>641</v>
      </c>
      <c r="F13" s="67" t="s">
        <v>761</v>
      </c>
      <c r="G13" s="70" t="s">
        <v>876</v>
      </c>
      <c r="H13" s="70" t="str">
        <f t="shared" si="0"/>
        <v>IATTR_CRIT</v>
      </c>
      <c r="I13" s="70" t="str">
        <f t="shared" si="2"/>
        <v>thistype.create(11,122,"0","",thistype.callback+# Attack critical);</v>
      </c>
      <c r="J13" s="70" t="str">
        <f t="shared" si="3"/>
        <v>thistype.create(IATTR_CRIT,1,122,0,"+"," Attack critical",thistype.callbackCRIT);</v>
      </c>
      <c r="K13" s="64" t="s">
        <v>571</v>
      </c>
      <c r="L13" s="70" t="str">
        <f t="shared" si="1"/>
        <v>public constant integer IATTR_CRIT = 11;</v>
      </c>
    </row>
    <row r="14" spans="1:12" x14ac:dyDescent="0.25">
      <c r="A14" s="64">
        <v>12</v>
      </c>
      <c r="B14" s="70">
        <v>1</v>
      </c>
      <c r="C14" s="64">
        <v>124</v>
      </c>
      <c r="D14" s="64">
        <v>0</v>
      </c>
      <c r="E14" s="67" t="s">
        <v>741</v>
      </c>
      <c r="F14" s="67" t="s">
        <v>742</v>
      </c>
      <c r="G14" s="70" t="s">
        <v>877</v>
      </c>
      <c r="H14" s="70" t="str">
        <f t="shared" si="0"/>
        <v>IATTR_IAS</v>
      </c>
      <c r="I14" s="70" t="str">
        <f t="shared" si="2"/>
        <v>thistype.create(12,124,"0","",thistype.callback+#% Attack speed);</v>
      </c>
      <c r="J14" s="70" t="str">
        <f t="shared" si="3"/>
        <v>thistype.create(IATTR_IAS,1,124,0,"+","% Attack speed",thistype.callbackIAS);</v>
      </c>
      <c r="K14" s="64" t="s">
        <v>571</v>
      </c>
      <c r="L14" s="70" t="str">
        <f t="shared" si="1"/>
        <v>public constant integer IATTR_IAS = 12;</v>
      </c>
    </row>
    <row r="15" spans="1:12" x14ac:dyDescent="0.25">
      <c r="A15" s="64">
        <v>18</v>
      </c>
      <c r="B15" s="70">
        <v>1</v>
      </c>
      <c r="C15" s="64">
        <v>130</v>
      </c>
      <c r="D15" s="64">
        <v>0</v>
      </c>
      <c r="E15" s="67" t="s">
        <v>642</v>
      </c>
      <c r="F15" s="67" t="s">
        <v>701</v>
      </c>
      <c r="G15" s="70" t="s">
        <v>878</v>
      </c>
      <c r="H15" s="70" t="str">
        <f t="shared" si="0"/>
        <v>IATTR_SP</v>
      </c>
      <c r="I15" s="70" t="str">
        <f t="shared" si="2"/>
        <v>thistype.create(18,130,"0","",thistype.callback+# Spell power);</v>
      </c>
      <c r="J15" s="70" t="str">
        <f t="shared" si="3"/>
        <v>thistype.create(IATTR_SP,1,130,0,"+"," Spell power",thistype.callbackSP);</v>
      </c>
      <c r="K15" s="64" t="s">
        <v>571</v>
      </c>
      <c r="L15" s="70" t="str">
        <f t="shared" si="1"/>
        <v>public constant integer IATTR_SP = 18;</v>
      </c>
    </row>
    <row r="16" spans="1:12" x14ac:dyDescent="0.25">
      <c r="A16" s="64">
        <v>20</v>
      </c>
      <c r="B16" s="70">
        <v>1</v>
      </c>
      <c r="C16" s="64">
        <v>132</v>
      </c>
      <c r="D16" s="64">
        <v>0</v>
      </c>
      <c r="E16" s="67" t="s">
        <v>643</v>
      </c>
      <c r="F16" s="67" t="s">
        <v>762</v>
      </c>
      <c r="G16" s="70" t="s">
        <v>879</v>
      </c>
      <c r="H16" s="70" t="str">
        <f t="shared" si="0"/>
        <v>IATTR_SCRIT</v>
      </c>
      <c r="I16" s="70" t="str">
        <f t="shared" si="2"/>
        <v>thistype.create(20,132,"0","",thistype.callback+# Spell critical);</v>
      </c>
      <c r="J16" s="70" t="str">
        <f t="shared" si="3"/>
        <v>thistype.create(IATTR_SCRIT,1,132,0,"+"," Spell critical",thistype.callbackSCRIT);</v>
      </c>
      <c r="K16" s="64" t="s">
        <v>571</v>
      </c>
      <c r="L16" s="70" t="str">
        <f t="shared" si="1"/>
        <v>public constant integer IATTR_SCRIT = 20;</v>
      </c>
    </row>
    <row r="17" spans="1:12" x14ac:dyDescent="0.25">
      <c r="A17" s="64">
        <v>19</v>
      </c>
      <c r="B17" s="70">
        <v>1</v>
      </c>
      <c r="C17" s="64">
        <v>134</v>
      </c>
      <c r="D17" s="64">
        <v>0</v>
      </c>
      <c r="E17" s="67" t="s">
        <v>644</v>
      </c>
      <c r="F17" s="67" t="s">
        <v>702</v>
      </c>
      <c r="G17" s="70" t="s">
        <v>880</v>
      </c>
      <c r="H17" s="70" t="str">
        <f t="shared" si="0"/>
        <v>IATTR_SHASTE</v>
      </c>
      <c r="I17" s="70" t="str">
        <f t="shared" si="2"/>
        <v>thistype.create(19,134,"0","",thistype.callback+# Spell haste);</v>
      </c>
      <c r="J17" s="70" t="str">
        <f t="shared" si="3"/>
        <v>thistype.create(IATTR_SHASTE,1,134,0,"+"," Spell haste",thistype.callbackSHASTE);</v>
      </c>
      <c r="K17" s="64" t="s">
        <v>571</v>
      </c>
      <c r="L17" s="70" t="str">
        <f t="shared" si="1"/>
        <v>public constant integer IATTR_SHASTE = 19;</v>
      </c>
    </row>
    <row r="18" spans="1:12" x14ac:dyDescent="0.25">
      <c r="A18" s="64">
        <v>8</v>
      </c>
      <c r="B18" s="70">
        <v>1</v>
      </c>
      <c r="C18" s="64">
        <v>140</v>
      </c>
      <c r="D18" s="64">
        <v>0</v>
      </c>
      <c r="E18" s="67" t="s">
        <v>645</v>
      </c>
      <c r="F18" s="67" t="s">
        <v>703</v>
      </c>
      <c r="G18" s="70" t="s">
        <v>881</v>
      </c>
      <c r="H18" s="70" t="str">
        <f t="shared" si="0"/>
        <v>IATTR_DEF</v>
      </c>
      <c r="I18" s="70" t="str">
        <f t="shared" si="2"/>
        <v>thistype.create(8,140,"0","",thistype.callback+# Armor);</v>
      </c>
      <c r="J18" s="70" t="str">
        <f t="shared" si="3"/>
        <v>thistype.create(IATTR_DEF,1,140,0,"+"," Armor",thistype.callbackDEF);</v>
      </c>
      <c r="K18" s="64" t="s">
        <v>571</v>
      </c>
      <c r="L18" s="70" t="str">
        <f t="shared" si="1"/>
        <v>public constant integer IATTR_DEF = 8;</v>
      </c>
    </row>
    <row r="19" spans="1:12" x14ac:dyDescent="0.25">
      <c r="A19" s="64">
        <v>95</v>
      </c>
      <c r="B19" s="70">
        <v>1</v>
      </c>
      <c r="C19" s="64">
        <v>141</v>
      </c>
      <c r="D19" s="64">
        <v>0</v>
      </c>
      <c r="E19" s="67" t="s">
        <v>743</v>
      </c>
      <c r="F19" s="67" t="s">
        <v>758</v>
      </c>
      <c r="G19" s="70" t="s">
        <v>882</v>
      </c>
      <c r="H19" s="70" t="str">
        <f t="shared" si="0"/>
        <v>IATTR_DEFPL</v>
      </c>
      <c r="I19" s="70" t="str">
        <f t="shared" si="2"/>
        <v>thistype.create(95,141,"0","",thistype.callback+# Armor/level);</v>
      </c>
      <c r="J19" s="70" t="str">
        <f t="shared" si="3"/>
        <v>thistype.create(IATTR_DEFPL,1,141,0,"+"," Armor/level",thistype.callbackDEFPL);</v>
      </c>
      <c r="K19" s="64" t="s">
        <v>571</v>
      </c>
      <c r="L19" s="70" t="str">
        <f t="shared" si="1"/>
        <v>public constant integer IATTR_DEFPL = 95;</v>
      </c>
    </row>
    <row r="20" spans="1:12" x14ac:dyDescent="0.25">
      <c r="A20" s="64">
        <v>16</v>
      </c>
      <c r="B20" s="70">
        <v>1</v>
      </c>
      <c r="C20" s="64">
        <v>142</v>
      </c>
      <c r="D20" s="64">
        <v>0</v>
      </c>
      <c r="E20" s="67" t="s">
        <v>653</v>
      </c>
      <c r="F20" s="67" t="s">
        <v>708</v>
      </c>
      <c r="G20" s="70" t="s">
        <v>883</v>
      </c>
      <c r="H20" s="70" t="str">
        <f t="shared" si="0"/>
        <v>IATTR_BR</v>
      </c>
      <c r="I20" s="70" t="str">
        <f t="shared" si="2"/>
        <v>thistype.create(16,142,"0","",thistype.callback+# Block chance);</v>
      </c>
      <c r="J20" s="70" t="str">
        <f t="shared" si="3"/>
        <v>thistype.create(IATTR_BR,1,142,0,"+"," Block chance",thistype.callbackBR);</v>
      </c>
      <c r="K20" s="64" t="s">
        <v>571</v>
      </c>
      <c r="L20" s="70" t="str">
        <f t="shared" si="1"/>
        <v>public constant integer IATTR_BR = 16;</v>
      </c>
    </row>
    <row r="21" spans="1:12" x14ac:dyDescent="0.25">
      <c r="A21" s="64">
        <v>15</v>
      </c>
      <c r="B21" s="70">
        <v>1</v>
      </c>
      <c r="C21" s="64">
        <v>144</v>
      </c>
      <c r="D21" s="64">
        <v>0</v>
      </c>
      <c r="E21" s="67" t="s">
        <v>654</v>
      </c>
      <c r="F21" s="67" t="s">
        <v>709</v>
      </c>
      <c r="G21" s="70" t="s">
        <v>884</v>
      </c>
      <c r="H21" s="70" t="str">
        <f t="shared" si="0"/>
        <v>IATTR_BP</v>
      </c>
      <c r="I21" s="70" t="str">
        <f t="shared" si="2"/>
        <v>thistype.create(15,144,"0","",thistype.callback+# Block points);</v>
      </c>
      <c r="J21" s="70" t="str">
        <f t="shared" si="3"/>
        <v>thistype.create(IATTR_BP,1,144,0,"+"," Block points",thistype.callbackBP);</v>
      </c>
      <c r="K21" s="64" t="s">
        <v>571</v>
      </c>
      <c r="L21" s="70" t="str">
        <f t="shared" si="1"/>
        <v>public constant integer IATTR_BP = 15;</v>
      </c>
    </row>
    <row r="22" spans="1:12" x14ac:dyDescent="0.25">
      <c r="A22" s="64">
        <v>27</v>
      </c>
      <c r="B22" s="70">
        <v>1</v>
      </c>
      <c r="C22" s="64">
        <v>146</v>
      </c>
      <c r="D22" s="64">
        <v>0</v>
      </c>
      <c r="E22" s="67" t="s">
        <v>646</v>
      </c>
      <c r="F22" s="67" t="s">
        <v>704</v>
      </c>
      <c r="G22" s="70" t="s">
        <v>885</v>
      </c>
      <c r="H22" s="70" t="str">
        <f t="shared" si="0"/>
        <v>IATTR_DODGE</v>
      </c>
      <c r="I22" s="70" t="str">
        <f t="shared" si="2"/>
        <v>thistype.create(27,146,"0","",thistype.callback+# Dodge chance);</v>
      </c>
      <c r="J22" s="70" t="str">
        <f t="shared" si="3"/>
        <v>thistype.create(IATTR_DODGE,1,146,0,"+"," Dodge chance",thistype.callbackDODGE);</v>
      </c>
      <c r="K22" s="64" t="s">
        <v>571</v>
      </c>
      <c r="L22" s="70" t="str">
        <f t="shared" si="1"/>
        <v>public constant integer IATTR_DODGE = 27;</v>
      </c>
    </row>
    <row r="23" spans="1:12" x14ac:dyDescent="0.25">
      <c r="A23" s="64">
        <v>1</v>
      </c>
      <c r="B23" s="70">
        <v>1</v>
      </c>
      <c r="C23" s="64">
        <v>150</v>
      </c>
      <c r="D23" s="64">
        <v>0</v>
      </c>
      <c r="E23" s="67" t="s">
        <v>647</v>
      </c>
      <c r="F23" s="67" t="s">
        <v>707</v>
      </c>
      <c r="G23" s="70" t="s">
        <v>886</v>
      </c>
      <c r="H23" s="70" t="str">
        <f t="shared" si="0"/>
        <v>IATTR_DR</v>
      </c>
      <c r="I23" s="70" t="str">
        <f t="shared" si="2"/>
        <v>thistype.create(1,150,"0","",thistype.callback-# All damage taken);</v>
      </c>
      <c r="J23" s="70" t="str">
        <f t="shared" si="3"/>
        <v>thistype.create(IATTR_DR,1,150,0,"-"," All damage taken",thistype.callbackDR);</v>
      </c>
      <c r="K23" s="64" t="s">
        <v>571</v>
      </c>
      <c r="L23" s="70" t="str">
        <f t="shared" si="1"/>
        <v>public constant integer IATTR_DR = 1;</v>
      </c>
    </row>
    <row r="24" spans="1:12" x14ac:dyDescent="0.25">
      <c r="A24" s="64">
        <v>2</v>
      </c>
      <c r="B24" s="70">
        <v>1</v>
      </c>
      <c r="C24" s="64">
        <v>152</v>
      </c>
      <c r="D24" s="64">
        <v>0</v>
      </c>
      <c r="E24" s="67" t="s">
        <v>648</v>
      </c>
      <c r="F24" s="67" t="s">
        <v>984</v>
      </c>
      <c r="G24" s="70" t="s">
        <v>887</v>
      </c>
      <c r="H24" s="70" t="str">
        <f t="shared" si="0"/>
        <v>IATTR_MDR</v>
      </c>
      <c r="I24" s="70" t="str">
        <f t="shared" si="2"/>
        <v>thistype.create(2,152,"0","",thistype.callback-# magic damage taken);</v>
      </c>
      <c r="J24" s="70" t="str">
        <f t="shared" si="3"/>
        <v>thistype.create(IATTR_MDR,1,152,0,"-"," magic damage taken",thistype.callbackMDR);</v>
      </c>
      <c r="K24" s="64" t="s">
        <v>571</v>
      </c>
      <c r="L24" s="70" t="str">
        <f t="shared" si="1"/>
        <v>public constant integer IATTR_MDR = 2;</v>
      </c>
    </row>
    <row r="25" spans="1:12" x14ac:dyDescent="0.25">
      <c r="A25" s="64">
        <v>3</v>
      </c>
      <c r="B25" s="70">
        <v>1</v>
      </c>
      <c r="C25" s="64">
        <v>154</v>
      </c>
      <c r="D25" s="64">
        <v>0</v>
      </c>
      <c r="E25" s="67" t="s">
        <v>652</v>
      </c>
      <c r="F25" s="67" t="s">
        <v>705</v>
      </c>
      <c r="G25" s="70" t="s">
        <v>888</v>
      </c>
      <c r="H25" s="70" t="str">
        <f t="shared" si="0"/>
        <v>IATTR_AMP</v>
      </c>
      <c r="I25" s="70" t="str">
        <f t="shared" si="2"/>
        <v>thistype.create(3,154,"0","",thistype.callback+# Damage and healing dealt);</v>
      </c>
      <c r="J25" s="70" t="str">
        <f t="shared" si="3"/>
        <v>thistype.create(IATTR_AMP,1,154,0,"+"," Damage and healing dealt",thistype.callbackAMP);</v>
      </c>
      <c r="K25" s="64" t="s">
        <v>571</v>
      </c>
      <c r="L25" s="70" t="str">
        <f t="shared" si="1"/>
        <v>public constant integer IATTR_AMP = 3;</v>
      </c>
    </row>
    <row r="26" spans="1:12" x14ac:dyDescent="0.25">
      <c r="A26" s="64">
        <v>6</v>
      </c>
      <c r="B26" s="70">
        <v>1</v>
      </c>
      <c r="C26" s="64">
        <v>156</v>
      </c>
      <c r="D26" s="64">
        <v>0</v>
      </c>
      <c r="E26" s="67" t="s">
        <v>666</v>
      </c>
      <c r="F26" s="67" t="s">
        <v>706</v>
      </c>
      <c r="G26" s="70" t="s">
        <v>889</v>
      </c>
      <c r="H26" s="70" t="str">
        <f t="shared" si="0"/>
        <v>IATTR_HAMP</v>
      </c>
      <c r="I26" s="70" t="str">
        <f t="shared" si="2"/>
        <v>thistype.create(6,156,"0","",thistype.callback+# Healing taken);</v>
      </c>
      <c r="J26" s="70" t="str">
        <f t="shared" si="3"/>
        <v>thistype.create(IATTR_HAMP,1,156,0,"+"," Healing taken",thistype.callbackHAMP);</v>
      </c>
      <c r="K26" s="64" t="s">
        <v>571</v>
      </c>
      <c r="L26" s="70" t="str">
        <f t="shared" si="1"/>
        <v>public constant integer IATTR_HAMP = 6;</v>
      </c>
    </row>
    <row r="27" spans="1:12" x14ac:dyDescent="0.25">
      <c r="A27" s="64">
        <v>72</v>
      </c>
      <c r="B27" s="70">
        <v>1</v>
      </c>
      <c r="C27" s="64">
        <v>160</v>
      </c>
      <c r="D27" s="64">
        <v>0</v>
      </c>
      <c r="E27" s="67" t="s">
        <v>651</v>
      </c>
      <c r="F27" s="67" t="s">
        <v>763</v>
      </c>
      <c r="G27" s="70" t="s">
        <v>890</v>
      </c>
      <c r="H27" s="70" t="str">
        <f t="shared" si="0"/>
        <v>IATTR_MREG</v>
      </c>
      <c r="I27" s="70" t="str">
        <f t="shared" si="2"/>
        <v>thistype.create(72,160,"0","",thistype.callbackRegens # MP per second);</v>
      </c>
      <c r="J27" s="70" t="str">
        <f t="shared" si="3"/>
        <v>thistype.create(IATTR_MREG,1,160,0,"Regens "," MP per second",thistype.callbackMREG);</v>
      </c>
      <c r="K27" s="64" t="s">
        <v>571</v>
      </c>
      <c r="L27" s="70" t="str">
        <f t="shared" si="1"/>
        <v>public constant integer IATTR_MREG = 72;</v>
      </c>
    </row>
    <row r="28" spans="1:12" x14ac:dyDescent="0.25">
      <c r="A28" s="64">
        <v>73</v>
      </c>
      <c r="B28" s="70">
        <v>1</v>
      </c>
      <c r="C28" s="64">
        <v>162</v>
      </c>
      <c r="D28" s="64">
        <v>0</v>
      </c>
      <c r="E28" s="67" t="s">
        <v>650</v>
      </c>
      <c r="F28" s="67" t="s">
        <v>764</v>
      </c>
      <c r="G28" s="70" t="s">
        <v>891</v>
      </c>
      <c r="H28" s="70" t="str">
        <f t="shared" si="0"/>
        <v>IATTR_HREG</v>
      </c>
      <c r="I28" s="70" t="str">
        <f t="shared" si="2"/>
        <v>thistype.create(73,162,"0","",thistype.callbackRegens # HP per second);</v>
      </c>
      <c r="J28" s="70" t="str">
        <f t="shared" si="3"/>
        <v>thistype.create(IATTR_HREG,1,162,0,"Regens "," HP per second",thistype.callbackHREG);</v>
      </c>
      <c r="K28" s="64" t="s">
        <v>571</v>
      </c>
      <c r="L28" s="70" t="str">
        <f t="shared" si="1"/>
        <v>public constant integer IATTR_HREG = 73;</v>
      </c>
    </row>
    <row r="29" spans="1:12" x14ac:dyDescent="0.25">
      <c r="A29" s="64">
        <v>74</v>
      </c>
      <c r="B29" s="70">
        <v>1</v>
      </c>
      <c r="C29" s="64">
        <v>164</v>
      </c>
      <c r="D29" s="64">
        <v>0</v>
      </c>
      <c r="E29" s="67" t="s">
        <v>649</v>
      </c>
      <c r="F29" s="67" t="s">
        <v>750</v>
      </c>
      <c r="G29" s="70" t="s">
        <v>892</v>
      </c>
      <c r="H29" s="70" t="str">
        <f t="shared" si="0"/>
        <v>IATTR_HLOST</v>
      </c>
      <c r="I29" s="70" t="str">
        <f t="shared" si="2"/>
        <v>thistype.create(74,164,"0","",thistype.callbackLost # HP per second during combat);</v>
      </c>
      <c r="J29" s="70" t="str">
        <f t="shared" si="3"/>
        <v>thistype.create(IATTR_HLOST,1,164,0,"Lost "," HP per second during combat",thistype.callbackHLOST);</v>
      </c>
      <c r="K29" s="64" t="s">
        <v>571</v>
      </c>
      <c r="L29" s="70" t="str">
        <f t="shared" si="1"/>
        <v>public constant integer IATTR_HLOST = 74;</v>
      </c>
    </row>
    <row r="30" spans="1:12" x14ac:dyDescent="0.25">
      <c r="A30" s="64">
        <v>24</v>
      </c>
      <c r="B30" s="70">
        <v>1</v>
      </c>
      <c r="C30" s="64">
        <v>170</v>
      </c>
      <c r="D30" s="64">
        <v>0</v>
      </c>
      <c r="E30" s="67" t="s">
        <v>655</v>
      </c>
      <c r="F30" s="67" t="s">
        <v>710</v>
      </c>
      <c r="G30" s="70" t="s">
        <v>893</v>
      </c>
      <c r="H30" s="70" t="str">
        <f t="shared" si="0"/>
        <v>IATTR_MS</v>
      </c>
      <c r="I30" s="70" t="str">
        <f t="shared" si="2"/>
        <v>thistype.create(24,170,"0","",thistype.callback+# Movement speed);</v>
      </c>
      <c r="J30" s="70" t="str">
        <f t="shared" si="3"/>
        <v>thistype.create(IATTR_MS,1,170,0,"+"," Movement speed",thistype.callbackMS);</v>
      </c>
      <c r="K30" s="64" t="s">
        <v>571</v>
      </c>
      <c r="L30" s="70" t="str">
        <f t="shared" si="1"/>
        <v>public constant integer IATTR_MS = 24;</v>
      </c>
    </row>
    <row r="31" spans="1:12" x14ac:dyDescent="0.25">
      <c r="A31" s="64">
        <v>25</v>
      </c>
      <c r="B31" s="70">
        <v>1</v>
      </c>
      <c r="C31" s="64">
        <v>171</v>
      </c>
      <c r="D31" s="64">
        <v>0</v>
      </c>
      <c r="E31" s="67" t="s">
        <v>729</v>
      </c>
      <c r="F31" s="67" t="s">
        <v>759</v>
      </c>
      <c r="G31" s="70" t="s">
        <v>894</v>
      </c>
      <c r="H31" s="70" t="str">
        <f t="shared" si="0"/>
        <v>IATTR_MSPL</v>
      </c>
      <c r="I31" s="70" t="str">
        <f t="shared" si="2"/>
        <v>thistype.create(25,171,"0","",thistype.callback+# Movement speed/level);</v>
      </c>
      <c r="J31" s="70" t="str">
        <f t="shared" si="3"/>
        <v>thistype.create(IATTR_MSPL,1,171,0,"+"," Movement speed/level",thistype.callbackMSPL);</v>
      </c>
      <c r="K31" s="64" t="s">
        <v>571</v>
      </c>
      <c r="L31" s="70" t="str">
        <f t="shared" si="1"/>
        <v>public constant integer IATTR_MSPL = 25;</v>
      </c>
    </row>
    <row r="32" spans="1:12" x14ac:dyDescent="0.25">
      <c r="A32" s="64">
        <v>26</v>
      </c>
      <c r="B32" s="70">
        <v>1</v>
      </c>
      <c r="C32" s="64">
        <v>195</v>
      </c>
      <c r="D32" s="64">
        <v>0</v>
      </c>
      <c r="E32" s="67" t="s">
        <v>981</v>
      </c>
      <c r="F32" s="67" t="s">
        <v>982</v>
      </c>
      <c r="G32" s="70" t="s">
        <v>895</v>
      </c>
      <c r="H32" s="70" t="str">
        <f t="shared" si="0"/>
        <v>IATTR_LP</v>
      </c>
      <c r="I32" s="70" t="str">
        <f t="shared" si="2"/>
        <v>thistype.create(26,195,"0","",thistype.callbackImprove item |cff33ff33special power|r + #);</v>
      </c>
      <c r="J32" s="70" t="str">
        <f t="shared" si="3"/>
        <v>thistype.create(IATTR_LP,1,195,0,"Improve item |cff33ff33special power|r + ","",thistype.callbackLP);</v>
      </c>
      <c r="K32" s="64" t="s">
        <v>571</v>
      </c>
      <c r="L32" s="70" t="str">
        <f t="shared" si="1"/>
        <v>public constant integer IATTR_LP = 26;</v>
      </c>
    </row>
    <row r="33" spans="1:12" x14ac:dyDescent="0.25">
      <c r="A33" s="64">
        <v>43</v>
      </c>
      <c r="B33" s="70">
        <v>3</v>
      </c>
      <c r="C33" s="64">
        <v>200</v>
      </c>
      <c r="D33" s="64">
        <v>0</v>
      </c>
      <c r="E33" s="67" t="s">
        <v>973</v>
      </c>
      <c r="F33" s="67" t="s">
        <v>980</v>
      </c>
      <c r="G33" s="70" t="s">
        <v>916</v>
      </c>
      <c r="H33" s="70" t="str">
        <f t="shared" si="0"/>
        <v>IATTR_ATK_ML</v>
      </c>
      <c r="I33" s="70" t="str">
        <f t="shared" si="2"/>
        <v>thistype.create(43,200,"0","",thistype.callback+# Mana stolen per hit);</v>
      </c>
      <c r="J33" s="70" t="str">
        <f t="shared" si="3"/>
        <v>thistype.create(IATTR_ATK_ML,3,200,0,"|cff87ceeb+"," Mana stolen per hit|r",thistype.callbackATK_ML);</v>
      </c>
      <c r="K33" s="64" t="s">
        <v>571</v>
      </c>
      <c r="L33" s="70" t="str">
        <f t="shared" si="1"/>
        <v>public constant integer IATTR_ATK_ML = 43;</v>
      </c>
    </row>
    <row r="34" spans="1:12" x14ac:dyDescent="0.25">
      <c r="A34" s="64">
        <v>44</v>
      </c>
      <c r="B34" s="70">
        <v>3</v>
      </c>
      <c r="C34" s="64">
        <v>202</v>
      </c>
      <c r="D34" s="64">
        <v>0</v>
      </c>
      <c r="E34" s="67" t="s">
        <v>974</v>
      </c>
      <c r="F34" s="67" t="s">
        <v>979</v>
      </c>
      <c r="G34" s="70" t="s">
        <v>917</v>
      </c>
      <c r="H34" s="70" t="str">
        <f t="shared" ref="H34:H65" si="4">"IATTR_"&amp;G34</f>
        <v>IATTR_ATK_LL</v>
      </c>
      <c r="I34" s="70" t="str">
        <f t="shared" si="2"/>
        <v>thistype.create(44,202,"0","",thistype.callback+# Life stolen per hit);</v>
      </c>
      <c r="J34" s="70" t="str">
        <f t="shared" ref="J34:J65" si="5">CodeGenAttrEN($A34:$H34)</f>
        <v>thistype.create(IATTR_ATK_LL,3,202,0,"|cff87ceeb+"," Life stolen per hit|r",thistype.callbackATK_LL);</v>
      </c>
      <c r="K34" s="64" t="s">
        <v>571</v>
      </c>
      <c r="L34" s="70" t="str">
        <f t="shared" ref="L34:L65" si="6">"public constant integer IATTR_"&amp;G34&amp;" = "&amp;A34&amp;";"</f>
        <v>public constant integer IATTR_ATK_LL = 44;</v>
      </c>
    </row>
    <row r="35" spans="1:12" x14ac:dyDescent="0.25">
      <c r="A35" s="64">
        <v>45</v>
      </c>
      <c r="B35" s="70">
        <v>3</v>
      </c>
      <c r="C35" s="64">
        <v>204</v>
      </c>
      <c r="D35" s="64">
        <v>0</v>
      </c>
      <c r="E35" s="67" t="s">
        <v>975</v>
      </c>
      <c r="F35" s="67" t="s">
        <v>978</v>
      </c>
      <c r="G35" s="70" t="s">
        <v>918</v>
      </c>
      <c r="H35" s="70" t="str">
        <f t="shared" si="4"/>
        <v>IATTR_ATK_LLML</v>
      </c>
      <c r="I35" s="70" t="str">
        <f t="shared" ref="I35:I66" si="7">CodeGenAttrCN(A35:H35)</f>
        <v>thistype.create(45,204,"0","",thistype.callback+# Life and mana stolen per hit);</v>
      </c>
      <c r="J35" s="70" t="str">
        <f t="shared" si="5"/>
        <v>thistype.create(IATTR_ATK_LLML,3,204,0,"|cff87ceeb+"," Life and mana stolen per hit|r",thistype.callbackATK_LLML);</v>
      </c>
      <c r="K35" s="64" t="s">
        <v>571</v>
      </c>
      <c r="L35" s="70" t="str">
        <f t="shared" si="6"/>
        <v>public constant integer IATTR_ATK_LLML = 45;</v>
      </c>
    </row>
    <row r="36" spans="1:12" x14ac:dyDescent="0.25">
      <c r="A36" s="64">
        <v>57</v>
      </c>
      <c r="B36" s="70">
        <v>3</v>
      </c>
      <c r="C36" s="64">
        <v>210</v>
      </c>
      <c r="D36" s="64">
        <v>0</v>
      </c>
      <c r="E36" s="67" t="s">
        <v>976</v>
      </c>
      <c r="F36" s="67" t="s">
        <v>985</v>
      </c>
      <c r="G36" s="70" t="s">
        <v>926</v>
      </c>
      <c r="H36" s="70" t="str">
        <f t="shared" si="4"/>
        <v>IATTR_ATK_MD</v>
      </c>
      <c r="I36" s="70" t="str">
        <f t="shared" si="7"/>
        <v>thistype.create(57,210,"0","",thistype.callbackDeals # extra magic damage per hit);</v>
      </c>
      <c r="J36" s="70" t="str">
        <f t="shared" si="5"/>
        <v>thistype.create(IATTR_ATK_MD,3,210,0,"|cff87ceebDeals "," extra magic damage per hit|r",thistype.callbackATK_MD);</v>
      </c>
      <c r="K36" s="64" t="s">
        <v>571</v>
      </c>
      <c r="L36" s="70" t="str">
        <f t="shared" si="6"/>
        <v>public constant integer IATTR_ATK_MD = 57;</v>
      </c>
    </row>
    <row r="37" spans="1:12" ht="28.5" x14ac:dyDescent="0.25">
      <c r="A37" s="64">
        <v>58</v>
      </c>
      <c r="B37" s="70">
        <v>3</v>
      </c>
      <c r="C37" s="64">
        <v>211</v>
      </c>
      <c r="D37" s="64">
        <v>0</v>
      </c>
      <c r="E37" s="67" t="s">
        <v>977</v>
      </c>
      <c r="F37" s="67" t="s">
        <v>986</v>
      </c>
      <c r="G37" s="70" t="s">
        <v>931</v>
      </c>
      <c r="H37" s="70" t="str">
        <f t="shared" si="4"/>
        <v>IATTR_ATK_MDK</v>
      </c>
      <c r="I37" s="70" t="str">
        <f t="shared" si="7"/>
        <v>thistype.create(58,211,"0","",thistype.callbackDeals # extra magic damage per hit, scaled up by target HP lost);</v>
      </c>
      <c r="J37" s="70" t="str">
        <f t="shared" si="5"/>
        <v>thistype.create(IATTR_ATK_MDK,3,211,0,"|cff87ceebDeals "," extra magic damage per hit, scaled up by target HP lost|r",thistype.callbackATK_MDK);</v>
      </c>
      <c r="K37" s="64" t="s">
        <v>571</v>
      </c>
      <c r="L37" s="70" t="str">
        <f t="shared" si="6"/>
        <v>public constant integer IATTR_ATK_MDK = 58;</v>
      </c>
    </row>
    <row r="38" spans="1:12" x14ac:dyDescent="0.25">
      <c r="A38" s="64">
        <v>66</v>
      </c>
      <c r="B38" s="70">
        <v>3</v>
      </c>
      <c r="C38" s="64">
        <v>250</v>
      </c>
      <c r="D38" s="64">
        <v>0</v>
      </c>
      <c r="E38" s="67" t="s">
        <v>964</v>
      </c>
      <c r="F38" s="67" t="s">
        <v>965</v>
      </c>
      <c r="G38" s="70" t="s">
        <v>897</v>
      </c>
      <c r="H38" s="70" t="str">
        <f t="shared" si="4"/>
        <v>IATTR_RG_ONESHOT</v>
      </c>
      <c r="I38" s="70" t="str">
        <f t="shared" si="7"/>
        <v>thistype.create(66,250,"0","",thistype.callbackOne-shot target when it's HP is less than yours#);</v>
      </c>
      <c r="J38" s="70" t="str">
        <f t="shared" si="5"/>
        <v>thistype.create(IATTR_RG_ONESHOT,3,250,0,"|cff87ceebOne-shot target when it's HP is less than yours","|r",thistype.callbackRG_ONESHOT);</v>
      </c>
      <c r="K38" s="64" t="s">
        <v>571</v>
      </c>
      <c r="L38" s="70" t="str">
        <f t="shared" si="6"/>
        <v>public constant integer IATTR_RG_ONESHOT = 66;</v>
      </c>
    </row>
    <row r="39" spans="1:12" x14ac:dyDescent="0.25">
      <c r="A39" s="64">
        <v>68</v>
      </c>
      <c r="B39" s="70">
        <v>3</v>
      </c>
      <c r="C39" s="64">
        <v>253</v>
      </c>
      <c r="D39" s="64">
        <v>0</v>
      </c>
      <c r="E39" s="67" t="s">
        <v>966</v>
      </c>
      <c r="F39" s="67" t="s">
        <v>987</v>
      </c>
      <c r="G39" s="70" t="s">
        <v>900</v>
      </c>
      <c r="H39" s="70" t="str">
        <f t="shared" si="4"/>
        <v>IATTR_MCVT</v>
      </c>
      <c r="I39" s="70" t="str">
        <f t="shared" si="7"/>
        <v>thistype.create(68,253,"0","",thistype.callbackConverts your normal attacks into magic damage#);</v>
      </c>
      <c r="J39" s="70" t="str">
        <f t="shared" si="5"/>
        <v>thistype.create(IATTR_MCVT,3,253,0,"|cff87ceebConverts your normal attacks into magic damage","|r",thistype.callbackMCVT);</v>
      </c>
      <c r="K39" s="64" t="s">
        <v>571</v>
      </c>
      <c r="L39" s="70" t="str">
        <f t="shared" si="6"/>
        <v>public constant integer IATTR_MCVT = 68;</v>
      </c>
    </row>
    <row r="40" spans="1:12" x14ac:dyDescent="0.25">
      <c r="A40" s="64">
        <v>79</v>
      </c>
      <c r="B40" s="70">
        <v>3</v>
      </c>
      <c r="C40" s="64">
        <v>256</v>
      </c>
      <c r="D40" s="64">
        <v>0</v>
      </c>
      <c r="E40" s="67" t="s">
        <v>967</v>
      </c>
      <c r="F40" s="67" t="s">
        <v>968</v>
      </c>
      <c r="G40" s="70" t="s">
        <v>905</v>
      </c>
      <c r="H40" s="70" t="str">
        <f t="shared" si="4"/>
        <v>IATTR_PL_SHOCK</v>
      </c>
      <c r="I40" s="70" t="str">
        <f t="shared" si="7"/>
        <v>thistype.create(79,256,"0","",thistype.callbackHoly Shock always deals critical healing#);</v>
      </c>
      <c r="J40" s="70" t="str">
        <f t="shared" si="5"/>
        <v>thistype.create(IATTR_PL_SHOCK,3,256,0,"|cff87ceebHoly Shock always deals critical healing","|r",thistype.callbackPL_SHOCK);</v>
      </c>
      <c r="K40" s="64" t="s">
        <v>571</v>
      </c>
      <c r="L40" s="70" t="str">
        <f t="shared" si="6"/>
        <v>public constant integer IATTR_PL_SHOCK = 79;</v>
      </c>
    </row>
    <row r="41" spans="1:12" x14ac:dyDescent="0.25">
      <c r="A41" s="64">
        <v>80</v>
      </c>
      <c r="B41" s="70">
        <v>3</v>
      </c>
      <c r="C41" s="64">
        <v>259</v>
      </c>
      <c r="D41" s="64">
        <v>0</v>
      </c>
      <c r="E41" s="67" t="s">
        <v>969</v>
      </c>
      <c r="F41" s="67" t="s">
        <v>970</v>
      </c>
      <c r="G41" s="70" t="s">
        <v>906</v>
      </c>
      <c r="H41" s="70" t="str">
        <f t="shared" si="4"/>
        <v>IATTR_PR_SHIELD</v>
      </c>
      <c r="I41" s="70" t="str">
        <f t="shared" si="7"/>
        <v>thistype.create(80,259,"0","",thistype.callbackRemoves weakness effect of Shield#);</v>
      </c>
      <c r="J41" s="70" t="str">
        <f t="shared" si="5"/>
        <v>thistype.create(IATTR_PR_SHIELD,3,259,0,"|cff87ceebRemoves weakness effect of Shield","|r",thistype.callbackPR_SHIELD);</v>
      </c>
      <c r="K41" s="64" t="s">
        <v>571</v>
      </c>
      <c r="L41" s="70" t="str">
        <f t="shared" si="6"/>
        <v>public constant integer IATTR_PR_SHIELD = 80;</v>
      </c>
    </row>
    <row r="42" spans="1:12" x14ac:dyDescent="0.25">
      <c r="A42" s="64">
        <v>91</v>
      </c>
      <c r="B42" s="70">
        <v>3</v>
      </c>
      <c r="C42" s="64">
        <v>262</v>
      </c>
      <c r="D42" s="64">
        <v>0</v>
      </c>
      <c r="E42" s="67" t="s">
        <v>971</v>
      </c>
      <c r="F42" s="67" t="s">
        <v>972</v>
      </c>
      <c r="G42" s="70" t="s">
        <v>910</v>
      </c>
      <c r="H42" s="70" t="str">
        <f t="shared" si="4"/>
        <v>IATTR_PL_LIGHT</v>
      </c>
      <c r="I42" s="70" t="str">
        <f t="shared" si="7"/>
        <v>thistype.create(91,262,"0","",thistype.callbackFlash Light dispels one debuff from target#);</v>
      </c>
      <c r="J42" s="70" t="str">
        <f t="shared" si="5"/>
        <v>thistype.create(IATTR_PL_LIGHT,3,262,0,"|cff87ceebFlash Light dispels one debuff from target","|r",thistype.callbackPL_LIGHT);</v>
      </c>
      <c r="K42" s="64" t="s">
        <v>571</v>
      </c>
      <c r="L42" s="70" t="str">
        <f t="shared" si="6"/>
        <v>public constant integer IATTR_PL_LIGHT = 91;</v>
      </c>
    </row>
    <row r="43" spans="1:12" x14ac:dyDescent="0.25">
      <c r="A43" s="64">
        <v>40</v>
      </c>
      <c r="B43" s="70">
        <v>3</v>
      </c>
      <c r="C43" s="64">
        <v>266</v>
      </c>
      <c r="D43" s="64">
        <v>0</v>
      </c>
      <c r="E43" s="67" t="s">
        <v>1002</v>
      </c>
      <c r="F43" s="67" t="s">
        <v>1001</v>
      </c>
      <c r="G43" s="70" t="s">
        <v>943</v>
      </c>
      <c r="H43" s="70" t="str">
        <f t="shared" si="4"/>
        <v>IATTR_DT_MREGEN</v>
      </c>
      <c r="I43" s="70" t="str">
        <f t="shared" si="7"/>
        <v>thistype.create(40,266,"0","",thistype.callbackRegens MP from # of the damage taken);</v>
      </c>
      <c r="J43" s="70" t="str">
        <f t="shared" si="5"/>
        <v>thistype.create(IATTR_DT_MREGEN,3,266,0,"|cff87ceebRegens MP from "," of the damage taken|r",thistype.callbackDT_MREGEN);</v>
      </c>
      <c r="K43" s="64" t="s">
        <v>571</v>
      </c>
      <c r="L43" s="70" t="str">
        <f t="shared" si="6"/>
        <v>public constant integer IATTR_DT_MREGEN = 40;</v>
      </c>
    </row>
    <row r="44" spans="1:12" x14ac:dyDescent="0.25">
      <c r="A44" s="64">
        <v>28</v>
      </c>
      <c r="B44" s="70">
        <v>3</v>
      </c>
      <c r="C44" s="64">
        <v>268</v>
      </c>
      <c r="D44" s="64">
        <v>0</v>
      </c>
      <c r="E44" s="67" t="s">
        <v>962</v>
      </c>
      <c r="F44" s="67" t="s">
        <v>963</v>
      </c>
      <c r="G44" s="70" t="s">
        <v>950</v>
      </c>
      <c r="H44" s="70" t="str">
        <f t="shared" si="4"/>
        <v>IATTR_USE_TP</v>
      </c>
      <c r="I44" s="70" t="str">
        <f t="shared" si="7"/>
        <v>thistype.create(28,268,"0","",thistype.callbackUse: Teleports to an ally#);</v>
      </c>
      <c r="J44" s="70" t="str">
        <f t="shared" si="5"/>
        <v>thistype.create(IATTR_USE_TP,3,268,0,"|cff87ceebUse: Teleports to an ally","|r",thistype.callbackUSE_TP);</v>
      </c>
      <c r="K44" s="64" t="s">
        <v>571</v>
      </c>
      <c r="L44" s="70" t="str">
        <f t="shared" si="6"/>
        <v>public constant integer IATTR_USE_TP = 28;</v>
      </c>
    </row>
    <row r="45" spans="1:12" x14ac:dyDescent="0.25">
      <c r="A45" s="64">
        <v>39</v>
      </c>
      <c r="B45" s="70">
        <v>2</v>
      </c>
      <c r="C45" s="64">
        <v>300</v>
      </c>
      <c r="D45" s="64">
        <v>0.33</v>
      </c>
      <c r="E45" s="67" t="s">
        <v>677</v>
      </c>
      <c r="F45" s="67" t="s">
        <v>718</v>
      </c>
      <c r="G45" s="70" t="s">
        <v>896</v>
      </c>
      <c r="H45" s="70" t="str">
        <f t="shared" si="4"/>
        <v>IATTR_BM_VALOR</v>
      </c>
      <c r="I45" s="70" t="str">
        <f t="shared" si="7"/>
        <v>thistype.create(39,300,"0.33","",thistype.callbackRegenerates # more valor points);</v>
      </c>
      <c r="J45" s="70" t="str">
        <f t="shared" si="5"/>
        <v>thistype.create(IATTR_BM_VALOR,2,300,0.33,"|cff33ff33Regenerates "," more valor points|r",thistype.callbackBM_VALOR);</v>
      </c>
      <c r="K45" s="64" t="s">
        <v>571</v>
      </c>
      <c r="L45" s="70" t="str">
        <f t="shared" si="6"/>
        <v>public constant integer IATTR_BM_VALOR = 39;</v>
      </c>
    </row>
    <row r="46" spans="1:12" ht="28.5" x14ac:dyDescent="0.25">
      <c r="A46" s="64">
        <v>65</v>
      </c>
      <c r="B46" s="70">
        <v>2</v>
      </c>
      <c r="C46" s="64">
        <v>302</v>
      </c>
      <c r="D46" s="64">
        <v>0.16</v>
      </c>
      <c r="E46" s="67" t="s">
        <v>678</v>
      </c>
      <c r="F46" s="67" t="s">
        <v>1014</v>
      </c>
      <c r="G46" s="70" t="s">
        <v>898</v>
      </c>
      <c r="H46" s="70" t="str">
        <f t="shared" si="4"/>
        <v>IATTR_RG_RUSH</v>
      </c>
      <c r="I46" s="70" t="str">
        <f t="shared" si="7"/>
        <v>thistype.create(65,302,"0.16","",thistype.callbackSinister Strike and Eviscerate deal # extra damage to target below 30% max HP);</v>
      </c>
      <c r="J46" s="70" t="str">
        <f t="shared" si="5"/>
        <v>thistype.create(IATTR_RG_RUSH,2,302,0.16,"|cff33ff33Sinister Strike and Eviscerate deal "," extra damage to target below 30% max HP|r",thistype.callbackRG_RUSH);</v>
      </c>
      <c r="K46" s="64" t="s">
        <v>571</v>
      </c>
      <c r="L46" s="70" t="str">
        <f t="shared" si="6"/>
        <v>public constant integer IATTR_RG_RUSH = 65;</v>
      </c>
    </row>
    <row r="47" spans="1:12" x14ac:dyDescent="0.25">
      <c r="A47" s="64">
        <v>67</v>
      </c>
      <c r="B47" s="70">
        <v>2</v>
      </c>
      <c r="C47" s="64">
        <v>303</v>
      </c>
      <c r="D47" s="64">
        <v>0.5</v>
      </c>
      <c r="E47" s="67" t="s">
        <v>730</v>
      </c>
      <c r="F47" s="67" t="s">
        <v>731</v>
      </c>
      <c r="G47" s="70" t="s">
        <v>899</v>
      </c>
      <c r="H47" s="70" t="str">
        <f t="shared" si="4"/>
        <v>IATTR_CRKILLER</v>
      </c>
      <c r="I47" s="70" t="str">
        <f t="shared" si="7"/>
        <v>thistype.create(67,303,"0.5","",thistype.callbackDeals # extra damage to non-hero targets);</v>
      </c>
      <c r="J47" s="70" t="str">
        <f t="shared" si="5"/>
        <v>thistype.create(IATTR_CRKILLER,2,303,0.5,"|cff33ff33Deals "," extra damage to non-hero targets|r",thistype.callbackCRKILLER);</v>
      </c>
      <c r="K47" s="64" t="s">
        <v>571</v>
      </c>
      <c r="L47" s="70" t="str">
        <f t="shared" si="6"/>
        <v>public constant integer IATTR_CRKILLER = 67;</v>
      </c>
    </row>
    <row r="48" spans="1:12" x14ac:dyDescent="0.25">
      <c r="A48" s="64">
        <v>69</v>
      </c>
      <c r="B48" s="70">
        <v>2</v>
      </c>
      <c r="C48" s="64">
        <v>305</v>
      </c>
      <c r="D48" s="64">
        <v>0.33</v>
      </c>
      <c r="E48" s="67" t="s">
        <v>676</v>
      </c>
      <c r="F48" s="67" t="s">
        <v>1015</v>
      </c>
      <c r="G48" s="70" t="s">
        <v>901</v>
      </c>
      <c r="H48" s="70" t="str">
        <f t="shared" si="4"/>
        <v>IATTR_KG_REGRCD</v>
      </c>
      <c r="I48" s="70" t="str">
        <f t="shared" si="7"/>
        <v>thistype.create(69,305,"0.33","",thistype.callbackReduce cooldown of Instant Regrowth by # seconds (unique));</v>
      </c>
      <c r="J48" s="70" t="str">
        <f t="shared" si="5"/>
        <v>thistype.create(IATTR_KG_REGRCD,2,305,0.33,"|cff33ff33Reduce cooldown of Instant Regrowth by "," seconds (unique)|r",thistype.callbackKG_REGRCD);</v>
      </c>
      <c r="K48" s="64" t="s">
        <v>571</v>
      </c>
      <c r="L48" s="70" t="str">
        <f t="shared" si="6"/>
        <v>public constant integer IATTR_KG_REGRCD = 69;</v>
      </c>
    </row>
    <row r="49" spans="1:12" x14ac:dyDescent="0.25">
      <c r="A49" s="64">
        <v>71</v>
      </c>
      <c r="B49" s="70">
        <v>2</v>
      </c>
      <c r="C49" s="64">
        <v>307</v>
      </c>
      <c r="D49" s="64">
        <v>0.33</v>
      </c>
      <c r="E49" s="67" t="s">
        <v>735</v>
      </c>
      <c r="F49" s="67" t="s">
        <v>751</v>
      </c>
      <c r="G49" s="70" t="s">
        <v>902</v>
      </c>
      <c r="H49" s="70" t="str">
        <f t="shared" si="4"/>
        <v>IATTR_LEECHAURA</v>
      </c>
      <c r="I49" s="70" t="str">
        <f t="shared" si="7"/>
        <v>thistype.create(71,307,"0.33","",thistype.callbackAbsorb # HP from all enemies nearby every second);</v>
      </c>
      <c r="J49" s="70" t="str">
        <f t="shared" si="5"/>
        <v>thistype.create(IATTR_LEECHAURA,2,307,0.33,"|cff33ff33Absorb "," HP from all enemies nearby every second|r",thistype.callbackLEECHAURA);</v>
      </c>
      <c r="K49" s="64" t="s">
        <v>571</v>
      </c>
      <c r="L49" s="70" t="str">
        <f t="shared" si="6"/>
        <v>public constant integer IATTR_LEECHAURA = 71;</v>
      </c>
    </row>
    <row r="50" spans="1:12" x14ac:dyDescent="0.25">
      <c r="A50" s="64">
        <v>76</v>
      </c>
      <c r="B50" s="70">
        <v>2</v>
      </c>
      <c r="C50" s="64">
        <v>308</v>
      </c>
      <c r="D50" s="64">
        <v>0.2</v>
      </c>
      <c r="E50" s="67" t="s">
        <v>675</v>
      </c>
      <c r="F50" s="67" t="s">
        <v>723</v>
      </c>
      <c r="G50" s="70" t="s">
        <v>903</v>
      </c>
      <c r="H50" s="70" t="str">
        <f t="shared" si="4"/>
        <v>IATTR_PR_POHDEF</v>
      </c>
      <c r="I50" s="70" t="str">
        <f t="shared" si="7"/>
        <v>thistype.create(76,308,"0.2","",thistype.callbackPrayer of healing increases armor of target by #);</v>
      </c>
      <c r="J50" s="70" t="str">
        <f t="shared" si="5"/>
        <v>thistype.create(IATTR_PR_POHDEF,2,308,0.2,"|cff33ff33Prayer of healing increases armor of target by ","|r",thistype.callbackPR_POHDEF);</v>
      </c>
      <c r="K50" s="64" t="s">
        <v>571</v>
      </c>
      <c r="L50" s="70" t="str">
        <f t="shared" si="6"/>
        <v>public constant integer IATTR_PR_POHDEF = 76;</v>
      </c>
    </row>
    <row r="51" spans="1:12" x14ac:dyDescent="0.25">
      <c r="A51" s="64">
        <v>78</v>
      </c>
      <c r="B51" s="70">
        <v>2</v>
      </c>
      <c r="C51" s="64">
        <v>310</v>
      </c>
      <c r="D51" s="64">
        <v>0.16</v>
      </c>
      <c r="E51" s="67" t="s">
        <v>674</v>
      </c>
      <c r="F51" s="67" t="s">
        <v>752</v>
      </c>
      <c r="G51" s="70" t="s">
        <v>904</v>
      </c>
      <c r="H51" s="70" t="str">
        <f t="shared" si="4"/>
        <v>IATTR_DR_MAXHP</v>
      </c>
      <c r="I51" s="70" t="str">
        <f t="shared" si="7"/>
        <v>thistype.create(78,310,"0.16","",thistype.callbackSurvival Instincts provides # extra healing and max HP);</v>
      </c>
      <c r="J51" s="70" t="str">
        <f t="shared" si="5"/>
        <v>thistype.create(IATTR_DR_MAXHP,2,310,0.16,"|cff33ff33Survival Instincts provides "," extra healing and max HP|r",thistype.callbackDR_MAXHP);</v>
      </c>
      <c r="K51" s="64" t="s">
        <v>571</v>
      </c>
      <c r="L51" s="70" t="str">
        <f t="shared" si="6"/>
        <v>public constant integer IATTR_DR_MAXHP = 78;</v>
      </c>
    </row>
    <row r="52" spans="1:12" x14ac:dyDescent="0.25">
      <c r="A52" s="64">
        <v>81</v>
      </c>
      <c r="B52" s="70">
        <v>2</v>
      </c>
      <c r="C52" s="64">
        <v>313</v>
      </c>
      <c r="D52" s="64">
        <v>0.4</v>
      </c>
      <c r="E52" s="67" t="s">
        <v>680</v>
      </c>
      <c r="F52" s="67" t="s">
        <v>724</v>
      </c>
      <c r="G52" s="70" t="s">
        <v>907</v>
      </c>
      <c r="H52" s="70" t="str">
        <f t="shared" si="4"/>
        <v>IATTR_CT_PAIN</v>
      </c>
      <c r="I52" s="70" t="str">
        <f t="shared" si="7"/>
        <v>thistype.create(81,313,"0.4","",thistype.callbackMarrow Squeeze extends the Pain on target by # seconds);</v>
      </c>
      <c r="J52" s="70" t="str">
        <f t="shared" si="5"/>
        <v>thistype.create(IATTR_CT_PAIN,2,313,0.4,"|cff33ff33Marrow Squeeze extends the Pain on target by "," seconds|r",thistype.callbackCT_PAIN);</v>
      </c>
      <c r="K52" s="64" t="s">
        <v>571</v>
      </c>
      <c r="L52" s="70" t="str">
        <f t="shared" si="6"/>
        <v>public constant integer IATTR_CT_PAIN = 81;</v>
      </c>
    </row>
    <row r="53" spans="1:12" ht="28.5" x14ac:dyDescent="0.25">
      <c r="A53" s="64">
        <v>86</v>
      </c>
      <c r="B53" s="70">
        <v>2</v>
      </c>
      <c r="C53" s="64">
        <v>314</v>
      </c>
      <c r="D53" s="64">
        <v>0.33</v>
      </c>
      <c r="E53" s="67" t="s">
        <v>673</v>
      </c>
      <c r="F53" s="67" t="s">
        <v>726</v>
      </c>
      <c r="G53" s="70" t="s">
        <v>908</v>
      </c>
      <c r="H53" s="70" t="str">
        <f t="shared" si="4"/>
        <v>IATTR_BD_SHIELD</v>
      </c>
      <c r="I53" s="70" t="str">
        <f t="shared" si="7"/>
        <v>thistype.create(86,314,"0.33","",thistype.callbackShield of Sin'dorei provides # extra damage reduction, and forces all nearby enemies to attack you);</v>
      </c>
      <c r="J53" s="70" t="str">
        <f t="shared" si="5"/>
        <v>thistype.create(IATTR_BD_SHIELD,2,314,0.33,"|cff33ff33Shield of Sin'dorei provides "," extra damage reduction, and forces all nearby enemies to attack you|r",thistype.callbackBD_SHIELD);</v>
      </c>
      <c r="K53" s="64" t="s">
        <v>571</v>
      </c>
      <c r="L53" s="70" t="str">
        <f t="shared" si="6"/>
        <v>public constant integer IATTR_BD_SHIELD = 86;</v>
      </c>
    </row>
    <row r="54" spans="1:12" ht="28.5" x14ac:dyDescent="0.25">
      <c r="A54" s="64">
        <v>90</v>
      </c>
      <c r="B54" s="70">
        <v>2</v>
      </c>
      <c r="C54" s="64">
        <v>315</v>
      </c>
      <c r="D54" s="64">
        <v>0.33</v>
      </c>
      <c r="E54" s="67" t="s">
        <v>711</v>
      </c>
      <c r="F54" s="67" t="s">
        <v>767</v>
      </c>
      <c r="G54" s="70" t="s">
        <v>909</v>
      </c>
      <c r="H54" s="70" t="str">
        <f t="shared" si="4"/>
        <v>IATTR_RG_PARALZ</v>
      </c>
      <c r="I54" s="70" t="str">
        <f t="shared" si="7"/>
        <v>thistype.create(90,315,"0.33","",thistype.callbackSinister Strike has a # chance to paralyze target, reduce target spell haste by 20% and gain an extra combo point);</v>
      </c>
      <c r="J54" s="70" t="str">
        <f t="shared" si="5"/>
        <v>thistype.create(IATTR_RG_PARALZ,2,315,0.33,"|cff33ff33Sinister Strike has a "," chance to paralyze target, reduce target spell haste by 20% and gain an extra combo point|r",thistype.callbackRG_PARALZ);</v>
      </c>
      <c r="K54" s="64" t="s">
        <v>571</v>
      </c>
      <c r="L54" s="70" t="str">
        <f t="shared" si="6"/>
        <v>public constant integer IATTR_RG_PARALZ = 90;</v>
      </c>
    </row>
    <row r="55" spans="1:12" x14ac:dyDescent="0.25">
      <c r="A55" s="64">
        <v>92</v>
      </c>
      <c r="B55" s="70">
        <v>2</v>
      </c>
      <c r="C55" s="64">
        <v>317</v>
      </c>
      <c r="D55" s="64">
        <v>0.16</v>
      </c>
      <c r="E55" s="67" t="s">
        <v>672</v>
      </c>
      <c r="F55" s="67" t="s">
        <v>1016</v>
      </c>
      <c r="G55" s="70" t="s">
        <v>911</v>
      </c>
      <c r="H55" s="70" t="str">
        <f t="shared" si="4"/>
        <v>IATTR_DR_CDR</v>
      </c>
      <c r="I55" s="70" t="str">
        <f t="shared" si="7"/>
        <v>thistype.create(92,317,"0.16","",thistype.callbackReduce cooldown of Survival Instincts by # seconds (unique));</v>
      </c>
      <c r="J55" s="70" t="str">
        <f t="shared" si="5"/>
        <v>thistype.create(IATTR_DR_CDR,2,317,0.16,"|cff33ff33Reduce cooldown of Survival Instincts by "," seconds (unique)|r",thistype.callbackDR_CDR);</v>
      </c>
      <c r="K55" s="64" t="s">
        <v>571</v>
      </c>
      <c r="L55" s="70" t="str">
        <f t="shared" si="6"/>
        <v>public constant integer IATTR_DR_CDR = 92;</v>
      </c>
    </row>
    <row r="56" spans="1:12" ht="28.5" x14ac:dyDescent="0.25">
      <c r="A56" s="64">
        <v>93</v>
      </c>
      <c r="B56" s="70">
        <v>2</v>
      </c>
      <c r="C56" s="64">
        <v>318</v>
      </c>
      <c r="D56" s="64">
        <v>0.1</v>
      </c>
      <c r="E56" s="67" t="s">
        <v>681</v>
      </c>
      <c r="F56" s="67" t="s">
        <v>1013</v>
      </c>
      <c r="G56" s="70" t="s">
        <v>912</v>
      </c>
      <c r="H56" s="70" t="str">
        <f t="shared" si="4"/>
        <v>IATTR_SM_LASH</v>
      </c>
      <c r="I56" s="70" t="str">
        <f t="shared" si="7"/>
        <v>thistype.create(93,318,"0.1","",thistype.callbackStorm Lash has # extra chance to cooldown Earth Shock (unique));</v>
      </c>
      <c r="J56" s="70" t="str">
        <f t="shared" si="5"/>
        <v>thistype.create(IATTR_SM_LASH,2,318,0.1,"|cff33ff33Storm Lash has "," extra chance to cooldown Earth Shock (unique)|r",thistype.callbackSM_LASH);</v>
      </c>
      <c r="K56" s="64" t="s">
        <v>571</v>
      </c>
      <c r="L56" s="70" t="str">
        <f t="shared" si="6"/>
        <v>public constant integer IATTR_SM_LASH = 93;</v>
      </c>
    </row>
    <row r="57" spans="1:12" x14ac:dyDescent="0.25">
      <c r="A57" s="64">
        <v>94</v>
      </c>
      <c r="B57" s="70">
        <v>2</v>
      </c>
      <c r="C57" s="64">
        <v>319</v>
      </c>
      <c r="D57" s="64">
        <v>0.12</v>
      </c>
      <c r="E57" s="67" t="s">
        <v>712</v>
      </c>
      <c r="F57" s="67" t="s">
        <v>1012</v>
      </c>
      <c r="G57" s="70" t="s">
        <v>913</v>
      </c>
      <c r="H57" s="70" t="str">
        <f t="shared" si="4"/>
        <v>IATTR_DK_ARROW</v>
      </c>
      <c r="I57" s="70" t="str">
        <f t="shared" si="7"/>
        <v>thistype.create(94,319,"0.12","",thistype.callbackNumber of Dark Arrows increased by # (unique));</v>
      </c>
      <c r="J57" s="70" t="str">
        <f t="shared" si="5"/>
        <v>thistype.create(IATTR_DK_ARROW,2,319,0.12,"|cff33ff33Number of Dark Arrows increased by "," (unique)|r",thistype.callbackDK_ARROW);</v>
      </c>
      <c r="K57" s="64" t="s">
        <v>571</v>
      </c>
      <c r="L57" s="70" t="str">
        <f t="shared" si="6"/>
        <v>public constant integer IATTR_DK_ARROW = 94;</v>
      </c>
    </row>
    <row r="58" spans="1:12" x14ac:dyDescent="0.25">
      <c r="A58" s="64">
        <v>96</v>
      </c>
      <c r="B58" s="70">
        <v>2</v>
      </c>
      <c r="C58" s="64">
        <v>320</v>
      </c>
      <c r="D58" s="64">
        <v>0.2</v>
      </c>
      <c r="E58" s="67" t="s">
        <v>745</v>
      </c>
      <c r="F58" s="67" t="s">
        <v>746</v>
      </c>
      <c r="G58" s="70" t="s">
        <v>914</v>
      </c>
      <c r="H58" s="70" t="str">
        <f t="shared" si="4"/>
        <v>IATTR_MG_FDMG</v>
      </c>
      <c r="I58" s="70" t="str">
        <f t="shared" si="7"/>
        <v>thistype.create(96,320,"0.2","",thistype.callbackIncrease ice spell damage by #);</v>
      </c>
      <c r="J58" s="70" t="str">
        <f t="shared" si="5"/>
        <v>thistype.create(IATTR_MG_FDMG,2,320,0.2,"|cff33ff33Increase ice spell damage by ","|r",thistype.callbackMG_FDMG);</v>
      </c>
      <c r="K58" s="64" t="s">
        <v>571</v>
      </c>
      <c r="L58" s="70" t="str">
        <f t="shared" si="6"/>
        <v>public constant integer IATTR_MG_FDMG = 96;</v>
      </c>
    </row>
    <row r="59" spans="1:12" ht="28.5" x14ac:dyDescent="0.25">
      <c r="A59" s="64">
        <v>70</v>
      </c>
      <c r="B59" s="70">
        <v>2</v>
      </c>
      <c r="C59" s="64">
        <v>322</v>
      </c>
      <c r="D59" s="64">
        <v>0.16</v>
      </c>
      <c r="E59" s="67" t="s">
        <v>679</v>
      </c>
      <c r="F59" s="67" t="s">
        <v>721</v>
      </c>
      <c r="G59" s="70" t="s">
        <v>915</v>
      </c>
      <c r="H59" s="70" t="str">
        <f t="shared" si="4"/>
        <v>IATTR_MG_BLZ</v>
      </c>
      <c r="I59" s="70" t="str">
        <f t="shared" si="7"/>
        <v>thistype.create(70,322,"0.16","",thistype.callback# chance to cast an instant Frost Bolt to targets damaged by Blizzard);</v>
      </c>
      <c r="J59" s="70" t="str">
        <f t="shared" si="5"/>
        <v>thistype.create(IATTR_MG_BLZ,2,322,0.16,"|cff33ff33"," chance to cast an instant Frost Bolt to targets damaged by Blizzard|r",thistype.callbackMG_BLZ);</v>
      </c>
      <c r="K59" s="64" t="s">
        <v>571</v>
      </c>
      <c r="L59" s="70" t="str">
        <f t="shared" si="6"/>
        <v>public constant integer IATTR_MG_BLZ = 70;</v>
      </c>
    </row>
    <row r="60" spans="1:12" ht="28.5" x14ac:dyDescent="0.25">
      <c r="A60" s="64">
        <v>46</v>
      </c>
      <c r="B60" s="70">
        <v>2</v>
      </c>
      <c r="C60" s="64">
        <v>403</v>
      </c>
      <c r="D60" s="64">
        <v>0.15</v>
      </c>
      <c r="E60" s="67" t="s">
        <v>689</v>
      </c>
      <c r="F60" s="67" t="s">
        <v>768</v>
      </c>
      <c r="G60" s="70" t="s">
        <v>919</v>
      </c>
      <c r="H60" s="70" t="str">
        <f t="shared" si="4"/>
        <v>IATTR_ATK_CTHUN</v>
      </c>
      <c r="I60" s="70" t="str">
        <f t="shared" si="7"/>
        <v>thistype.create(46,403,"0.15","",thistype.callbackOn Attack: Increase attack speed by 1% per attack, stacks up to #, lasts for 3 seconds);</v>
      </c>
      <c r="J60" s="70" t="str">
        <f t="shared" si="5"/>
        <v>thistype.create(IATTR_ATK_CTHUN,2,403,0.15,"|cff33ff33On Attack: Increase attack speed by 1% per attack, stacks up to ",", lasts for 3 seconds|r",thistype.callbackATK_CTHUN);</v>
      </c>
      <c r="K60" s="64" t="s">
        <v>571</v>
      </c>
      <c r="L60" s="70" t="str">
        <f t="shared" si="6"/>
        <v>public constant integer IATTR_ATK_CTHUN = 46;</v>
      </c>
    </row>
    <row r="61" spans="1:12" x14ac:dyDescent="0.25">
      <c r="A61" s="64">
        <v>47</v>
      </c>
      <c r="B61" s="70">
        <v>2</v>
      </c>
      <c r="C61" s="64">
        <v>404</v>
      </c>
      <c r="D61" s="64">
        <v>0.2</v>
      </c>
      <c r="E61" s="67" t="s">
        <v>688</v>
      </c>
      <c r="F61" s="67" t="s">
        <v>769</v>
      </c>
      <c r="G61" s="70" t="s">
        <v>920</v>
      </c>
      <c r="H61" s="70" t="str">
        <f t="shared" si="4"/>
        <v>IATTR_ATK_WF</v>
      </c>
      <c r="I61" s="70" t="str">
        <f t="shared" si="7"/>
        <v>thistype.create(47,404,"0.2","",thistype.callbackOn Attack: # chance to knock back target);</v>
      </c>
      <c r="J61" s="70" t="str">
        <f t="shared" si="5"/>
        <v>thistype.create(IATTR_ATK_WF,2,404,0.2,"|cff33ff33On Attack: "," chance to knock back target|r",thistype.callbackATK_WF);</v>
      </c>
      <c r="K61" s="64" t="s">
        <v>571</v>
      </c>
      <c r="L61" s="70" t="str">
        <f t="shared" si="6"/>
        <v>public constant integer IATTR_ATK_WF = 47;</v>
      </c>
    </row>
    <row r="62" spans="1:12" ht="28.5" x14ac:dyDescent="0.25">
      <c r="A62" s="64">
        <v>48</v>
      </c>
      <c r="B62" s="70">
        <v>2</v>
      </c>
      <c r="C62" s="64">
        <v>405</v>
      </c>
      <c r="D62" s="64">
        <v>0.16</v>
      </c>
      <c r="E62" s="67" t="s">
        <v>668</v>
      </c>
      <c r="F62" s="67" t="s">
        <v>770</v>
      </c>
      <c r="G62" s="70" t="s">
        <v>921</v>
      </c>
      <c r="H62" s="70" t="str">
        <f t="shared" si="4"/>
        <v>IATTR_ATK_LION</v>
      </c>
      <c r="I62" s="70" t="str">
        <f t="shared" si="7"/>
        <v>thistype.create(48,405,"0.16","",thistype.callbackOn Attack: # chance to increase 30% attack speed, lasts for 5 seconds);</v>
      </c>
      <c r="J62" s="70" t="str">
        <f t="shared" si="5"/>
        <v>thistype.create(IATTR_ATK_LION,2,405,0.16,"|cff33ff33On Attack: "," chance to increase 30% attack speed, lasts for 5 seconds|r",thistype.callbackATK_LION);</v>
      </c>
      <c r="K62" s="64" t="s">
        <v>571</v>
      </c>
      <c r="L62" s="70" t="str">
        <f t="shared" si="6"/>
        <v>public constant integer IATTR_ATK_LION = 48;</v>
      </c>
    </row>
    <row r="63" spans="1:12" ht="28.5" x14ac:dyDescent="0.25">
      <c r="A63" s="64">
        <v>49</v>
      </c>
      <c r="B63" s="70">
        <v>2</v>
      </c>
      <c r="C63" s="64">
        <v>406</v>
      </c>
      <c r="D63" s="64">
        <v>0.7</v>
      </c>
      <c r="E63" s="67" t="s">
        <v>695</v>
      </c>
      <c r="F63" s="67" t="s">
        <v>988</v>
      </c>
      <c r="G63" s="70" t="s">
        <v>922</v>
      </c>
      <c r="H63" s="70" t="str">
        <f t="shared" si="4"/>
        <v>IATTR_ATK_MOONWAVE</v>
      </c>
      <c r="I63" s="70" t="str">
        <f t="shared" si="7"/>
        <v>thistype.create(49,406,"0.7","",thistype.callbackOn Attack: 10% chance to consume 5% of max MP, deals # magic damage to all enemies in a row);</v>
      </c>
      <c r="J63" s="70" t="str">
        <f t="shared" si="5"/>
        <v>thistype.create(IATTR_ATK_MOONWAVE,2,406,0.7,"|cff33ff33On Attack: 10% chance to consume 5% of max MP, deals "," magic damage to all enemies in a row|r",thistype.callbackATK_MOONWAVE);</v>
      </c>
      <c r="K63" s="64" t="s">
        <v>571</v>
      </c>
      <c r="L63" s="70" t="str">
        <f t="shared" si="6"/>
        <v>public constant integer IATTR_ATK_MOONWAVE = 49;</v>
      </c>
    </row>
    <row r="64" spans="1:12" ht="28.5" x14ac:dyDescent="0.25">
      <c r="A64" s="64">
        <v>50</v>
      </c>
      <c r="B64" s="70">
        <v>2</v>
      </c>
      <c r="C64" s="64">
        <v>407</v>
      </c>
      <c r="D64" s="64">
        <v>0.7</v>
      </c>
      <c r="E64" s="67" t="s">
        <v>720</v>
      </c>
      <c r="F64" s="67" t="s">
        <v>771</v>
      </c>
      <c r="G64" s="70" t="s">
        <v>923</v>
      </c>
      <c r="H64" s="70" t="str">
        <f t="shared" si="4"/>
        <v>IATTR_ATK_POISNOVA</v>
      </c>
      <c r="I64" s="70" t="str">
        <f t="shared" si="7"/>
        <v>thistype.create(50,407,"0.7","",thistype.callbackOn Attack: 15% chance to cast poison nova, dealing # magic damage over time to all enemies within 600 yards);</v>
      </c>
      <c r="J64" s="70" t="str">
        <f t="shared" si="5"/>
        <v>thistype.create(IATTR_ATK_POISNOVA,2,407,0.7,"|cff33ff33On Attack: 15% chance to cast poison nova, dealing "," magic damage over time to all enemies within 600 yards|r",thistype.callbackATK_POISNOVA);</v>
      </c>
      <c r="K64" s="64" t="s">
        <v>571</v>
      </c>
      <c r="L64" s="70" t="str">
        <f t="shared" si="6"/>
        <v>public constant integer IATTR_ATK_POISNOVA = 50;</v>
      </c>
    </row>
    <row r="65" spans="1:12" ht="28.5" x14ac:dyDescent="0.25">
      <c r="A65" s="64">
        <v>51</v>
      </c>
      <c r="B65" s="70">
        <v>2</v>
      </c>
      <c r="C65" s="64">
        <v>408</v>
      </c>
      <c r="D65" s="64">
        <v>0.7</v>
      </c>
      <c r="E65" s="67" t="s">
        <v>727</v>
      </c>
      <c r="F65" s="67" t="s">
        <v>989</v>
      </c>
      <c r="G65" s="70" t="s">
        <v>924</v>
      </c>
      <c r="H65" s="70" t="str">
        <f t="shared" si="4"/>
        <v>IATTR_ATK_COIL</v>
      </c>
      <c r="I65" s="70" t="str">
        <f t="shared" si="7"/>
        <v>thistype.create(51,408,"0.7","",thistype.callbackOn Attack: 15% chance to cast Death Coil, deals # magic damage to target. Target takes 3% extra damge);</v>
      </c>
      <c r="J65" s="70" t="str">
        <f t="shared" si="5"/>
        <v>thistype.create(IATTR_ATK_COIL,2,408,0.7,"|cff33ff33On Attack: 15% chance to cast Death Coil, deals "," magic damage to target. Target takes 3% extra damge|r",thistype.callbackATK_COIL);</v>
      </c>
      <c r="K65" s="64" t="s">
        <v>571</v>
      </c>
      <c r="L65" s="70" t="str">
        <f t="shared" si="6"/>
        <v>public constant integer IATTR_ATK_COIL = 51;</v>
      </c>
    </row>
    <row r="66" spans="1:12" ht="42.75" x14ac:dyDescent="0.25">
      <c r="A66" s="64">
        <v>52</v>
      </c>
      <c r="B66" s="70">
        <v>2</v>
      </c>
      <c r="C66" s="64">
        <v>409</v>
      </c>
      <c r="D66" s="64">
        <v>0.7</v>
      </c>
      <c r="E66" s="67" t="s">
        <v>732</v>
      </c>
      <c r="F66" s="67" t="s">
        <v>772</v>
      </c>
      <c r="G66" s="70" t="s">
        <v>925</v>
      </c>
      <c r="H66" s="70" t="str">
        <f t="shared" ref="H66:H97" si="8">"IATTR_"&amp;G66</f>
        <v>IATTR_ATK_BLEED</v>
      </c>
      <c r="I66" s="70" t="str">
        <f t="shared" si="7"/>
        <v>thistype.create(52,409,"0.7","",thistype.callbackOn Attack: 20% chance to deal bleed effect to target. Target takes # physical damage over time, lasts for 10 seconds);</v>
      </c>
      <c r="J66" s="70" t="str">
        <f t="shared" ref="J66:J97" si="9">CodeGenAttrEN($A66:$H66)</f>
        <v>thistype.create(IATTR_ATK_BLEED,2,409,0.7,"|cff33ff33On Attack: 20% chance to deal bleed effect to target. Target takes "," physical damage over time, lasts for 10 seconds|r",thistype.callbackATK_BLEED);</v>
      </c>
      <c r="K66" s="64" t="s">
        <v>571</v>
      </c>
      <c r="L66" s="70" t="str">
        <f t="shared" ref="L66:L97" si="10">"public constant integer IATTR_"&amp;G66&amp;" = "&amp;A66&amp;";"</f>
        <v>public constant integer IATTR_ATK_BLEED = 52;</v>
      </c>
    </row>
    <row r="67" spans="1:12" x14ac:dyDescent="0.25">
      <c r="A67" s="64">
        <v>53</v>
      </c>
      <c r="B67" s="70">
        <v>2</v>
      </c>
      <c r="C67" s="64">
        <v>410</v>
      </c>
      <c r="D67" s="64">
        <v>0.7</v>
      </c>
      <c r="E67" s="67" t="s">
        <v>662</v>
      </c>
      <c r="F67" s="67" t="s">
        <v>990</v>
      </c>
      <c r="G67" s="70" t="s">
        <v>927</v>
      </c>
      <c r="H67" s="70" t="str">
        <f t="shared" si="8"/>
        <v>IATTR_ATK_MDC</v>
      </c>
      <c r="I67" s="70" t="str">
        <f t="shared" ref="I67:I97" si="11">CodeGenAttrCN(A67:H67)</f>
        <v>thistype.create(53,410,"0.7","",thistype.callbackOn Attack: 25% chance to deal # magic damage to target);</v>
      </c>
      <c r="J67" s="70" t="str">
        <f t="shared" si="9"/>
        <v>thistype.create(IATTR_ATK_MDC,2,410,0.7,"|cff33ff33On Attack: 25% chance to deal "," magic damage to target|r",thistype.callbackATK_MDC);</v>
      </c>
      <c r="K67" s="64" t="s">
        <v>571</v>
      </c>
      <c r="L67" s="70" t="str">
        <f t="shared" si="10"/>
        <v>public constant integer IATTR_ATK_MDC = 53;</v>
      </c>
    </row>
    <row r="68" spans="1:12" x14ac:dyDescent="0.25">
      <c r="A68" s="64">
        <v>54</v>
      </c>
      <c r="B68" s="70">
        <v>2</v>
      </c>
      <c r="C68" s="64">
        <v>411</v>
      </c>
      <c r="D68" s="64">
        <v>0.2</v>
      </c>
      <c r="E68" s="67" t="s">
        <v>733</v>
      </c>
      <c r="F68" s="67" t="s">
        <v>773</v>
      </c>
      <c r="G68" s="70" t="s">
        <v>928</v>
      </c>
      <c r="H68" s="70" t="str">
        <f t="shared" si="8"/>
        <v>IATTR_ATK_STUN</v>
      </c>
      <c r="I68" s="70" t="str">
        <f t="shared" si="11"/>
        <v>thistype.create(54,411,"0.2","",thistype.callbackOn Attack: 5% chance to stun target for # seconds);</v>
      </c>
      <c r="J68" s="70" t="str">
        <f t="shared" si="9"/>
        <v>thistype.create(IATTR_ATK_STUN,2,411,0.2,"|cff33ff33On Attack: 5% chance to stun target for "," seconds|r",thistype.callbackATK_STUN);</v>
      </c>
      <c r="K68" s="64" t="s">
        <v>571</v>
      </c>
      <c r="L68" s="70" t="str">
        <f t="shared" si="10"/>
        <v>public constant integer IATTR_ATK_STUN = 54;</v>
      </c>
    </row>
    <row r="69" spans="1:12" ht="28.5" x14ac:dyDescent="0.25">
      <c r="A69" s="64">
        <v>55</v>
      </c>
      <c r="B69" s="70">
        <v>2</v>
      </c>
      <c r="C69" s="64">
        <v>412</v>
      </c>
      <c r="D69" s="64">
        <v>0.2</v>
      </c>
      <c r="E69" s="67" t="s">
        <v>734</v>
      </c>
      <c r="F69" s="67" t="s">
        <v>774</v>
      </c>
      <c r="G69" s="70" t="s">
        <v>929</v>
      </c>
      <c r="H69" s="70" t="str">
        <f t="shared" si="8"/>
        <v>IATTR_ATK_CRIT</v>
      </c>
      <c r="I69" s="70" t="str">
        <f t="shared" si="11"/>
        <v>thistype.create(55,412,"0.2","",thistype.callbackOn Attack: 5% chance to increase # attack critical chance, lasts for 5 seconds);</v>
      </c>
      <c r="J69" s="70" t="str">
        <f t="shared" si="9"/>
        <v>thistype.create(IATTR_ATK_CRIT,2,412,0.2,"|cff33ff33On Attack: 5% chance to increase "," attack critical chance, lasts for 5 seconds|r",thistype.callbackATK_CRIT);</v>
      </c>
      <c r="K69" s="64" t="s">
        <v>571</v>
      </c>
      <c r="L69" s="70" t="str">
        <f t="shared" si="10"/>
        <v>public constant integer IATTR_ATK_CRIT = 55;</v>
      </c>
    </row>
    <row r="70" spans="1:12" x14ac:dyDescent="0.25">
      <c r="A70" s="64">
        <v>56</v>
      </c>
      <c r="B70" s="70">
        <v>2</v>
      </c>
      <c r="C70" s="64">
        <v>413</v>
      </c>
      <c r="D70" s="64">
        <v>0.1</v>
      </c>
      <c r="E70" s="67" t="s">
        <v>999</v>
      </c>
      <c r="F70" s="67" t="s">
        <v>998</v>
      </c>
      <c r="G70" s="70" t="s">
        <v>930</v>
      </c>
      <c r="H70" s="70" t="str">
        <f t="shared" si="8"/>
        <v>IATTR_ATK_AMP</v>
      </c>
      <c r="I70" s="70" t="str">
        <f t="shared" si="11"/>
        <v>thistype.create(56,413,"0.1","",thistype.callbackOn Attack: Target takes # extra damage);</v>
      </c>
      <c r="J70" s="70" t="str">
        <f t="shared" si="9"/>
        <v>thistype.create(IATTR_ATK_AMP,2,413,0.1,"|cff33ff33On Attack: Target takes "," extra damage|r",thistype.callbackATK_AMP);</v>
      </c>
      <c r="K70" s="64" t="s">
        <v>571</v>
      </c>
      <c r="L70" s="70" t="str">
        <f t="shared" si="10"/>
        <v>public constant integer IATTR_ATK_AMP = 56;</v>
      </c>
    </row>
    <row r="71" spans="1:12" x14ac:dyDescent="0.25">
      <c r="A71" s="64">
        <v>59</v>
      </c>
      <c r="B71" s="70">
        <v>2</v>
      </c>
      <c r="C71" s="64">
        <v>416</v>
      </c>
      <c r="D71" s="64">
        <v>0.1</v>
      </c>
      <c r="E71" s="67" t="s">
        <v>687</v>
      </c>
      <c r="F71" s="67" t="s">
        <v>775</v>
      </c>
      <c r="G71" s="70" t="s">
        <v>932</v>
      </c>
      <c r="H71" s="70" t="str">
        <f t="shared" si="8"/>
        <v>IATTR_ATK_MORTAL</v>
      </c>
      <c r="I71" s="70" t="str">
        <f t="shared" si="11"/>
        <v>thistype.create(59,416,"0.1","",thistype.callbackOn Attack: Decrease target healing taken by #);</v>
      </c>
      <c r="J71" s="70" t="str">
        <f t="shared" si="9"/>
        <v>thistype.create(IATTR_ATK_MORTAL,2,416,0.1,"|cff33ff33On Attack: Decrease target healing taken by ","|r",thistype.callbackATK_MORTAL);</v>
      </c>
      <c r="K71" s="64" t="s">
        <v>571</v>
      </c>
      <c r="L71" s="70" t="str">
        <f t="shared" si="10"/>
        <v>public constant integer IATTR_ATK_MORTAL = 59;</v>
      </c>
    </row>
    <row r="72" spans="1:12" x14ac:dyDescent="0.25">
      <c r="A72" s="64">
        <v>60</v>
      </c>
      <c r="B72" s="70">
        <v>2</v>
      </c>
      <c r="C72" s="64">
        <v>417</v>
      </c>
      <c r="D72" s="64">
        <v>0.1</v>
      </c>
      <c r="E72" s="67" t="s">
        <v>685</v>
      </c>
      <c r="F72" s="67" t="s">
        <v>776</v>
      </c>
      <c r="G72" s="70" t="s">
        <v>933</v>
      </c>
      <c r="H72" s="70" t="str">
        <f t="shared" si="8"/>
        <v>IATTR_ATK_MISS</v>
      </c>
      <c r="I72" s="70" t="str">
        <f t="shared" si="11"/>
        <v>thistype.create(60,417,"0.1","",thistype.callbackOn Attack: Decrease target attack hit chance by #);</v>
      </c>
      <c r="J72" s="70" t="str">
        <f t="shared" si="9"/>
        <v>thistype.create(IATTR_ATK_MISS,2,417,0.1,"|cff33ff33On Attack: Decrease target attack hit chance by ","|r",thistype.callbackATK_MISS);</v>
      </c>
      <c r="K72" s="64" t="s">
        <v>571</v>
      </c>
      <c r="L72" s="70" t="str">
        <f t="shared" si="10"/>
        <v>public constant integer IATTR_ATK_MISS = 60;</v>
      </c>
    </row>
    <row r="73" spans="1:12" x14ac:dyDescent="0.25">
      <c r="A73" s="64">
        <v>61</v>
      </c>
      <c r="B73" s="70">
        <v>2</v>
      </c>
      <c r="C73" s="64">
        <v>418</v>
      </c>
      <c r="D73" s="64">
        <v>0.1</v>
      </c>
      <c r="E73" s="67" t="s">
        <v>684</v>
      </c>
      <c r="F73" s="67" t="s">
        <v>777</v>
      </c>
      <c r="G73" s="70" t="s">
        <v>934</v>
      </c>
      <c r="H73" s="70" t="str">
        <f t="shared" si="8"/>
        <v>IATTR_ATK_DDEF</v>
      </c>
      <c r="I73" s="70" t="str">
        <f t="shared" si="11"/>
        <v>thistype.create(61,418,"0.1","",thistype.callbackOn Attack: Decrease target armor by #);</v>
      </c>
      <c r="J73" s="70" t="str">
        <f>CodeGenAttrEN($A73:$H73)</f>
        <v>thistype.create(IATTR_ATK_DDEF,2,418,0.1,"|cff33ff33On Attack: Decrease target armor by ","|r",thistype.callbackATK_DDEF);</v>
      </c>
      <c r="K73" s="64" t="s">
        <v>571</v>
      </c>
      <c r="L73" s="70" t="str">
        <f t="shared" si="10"/>
        <v>public constant integer IATTR_ATK_DDEF = 61;</v>
      </c>
    </row>
    <row r="74" spans="1:12" x14ac:dyDescent="0.25">
      <c r="A74" s="64">
        <v>62</v>
      </c>
      <c r="B74" s="70">
        <v>2</v>
      </c>
      <c r="C74" s="64">
        <v>419</v>
      </c>
      <c r="D74" s="64">
        <v>0.1</v>
      </c>
      <c r="E74" s="67" t="s">
        <v>683</v>
      </c>
      <c r="F74" s="67" t="s">
        <v>778</v>
      </c>
      <c r="G74" s="70" t="s">
        <v>936</v>
      </c>
      <c r="H74" s="70" t="str">
        <f t="shared" si="8"/>
        <v>IATTR_ATK_DAS</v>
      </c>
      <c r="I74" s="70" t="str">
        <f t="shared" si="11"/>
        <v>thistype.create(62,419,"0.1","",thistype.callbackOn Attack: Decrease target attack speed by #);</v>
      </c>
      <c r="J74" s="70" t="str">
        <f t="shared" si="9"/>
        <v>thistype.create(IATTR_ATK_DAS,2,419,0.1,"|cff33ff33On Attack: Decrease target attack speed by ","|r",thistype.callbackATK_DAS);</v>
      </c>
      <c r="K74" s="64" t="s">
        <v>571</v>
      </c>
      <c r="L74" s="70" t="str">
        <f t="shared" si="10"/>
        <v>public constant integer IATTR_ATK_DAS = 62;</v>
      </c>
    </row>
    <row r="75" spans="1:12" x14ac:dyDescent="0.25">
      <c r="A75" s="64">
        <v>63</v>
      </c>
      <c r="B75" s="70">
        <v>2</v>
      </c>
      <c r="C75" s="64">
        <v>420</v>
      </c>
      <c r="D75" s="64">
        <v>0.1</v>
      </c>
      <c r="E75" s="67" t="s">
        <v>997</v>
      </c>
      <c r="F75" s="67" t="s">
        <v>779</v>
      </c>
      <c r="G75" s="70" t="s">
        <v>935</v>
      </c>
      <c r="H75" s="70" t="str">
        <f t="shared" si="8"/>
        <v>IATTR_ATK_DMS</v>
      </c>
      <c r="I75" s="70" t="str">
        <f t="shared" si="11"/>
        <v>thistype.create(63,420,"0.1","",thistype.callbackOn Attack: Decrease target movement speed by #);</v>
      </c>
      <c r="J75" s="70" t="str">
        <f t="shared" si="9"/>
        <v>thistype.create(IATTR_ATK_DMS,2,420,0.1,"|cff33ff33On Attack: Decrease target movement speed by ","|r",thistype.callbackATK_DMS);</v>
      </c>
      <c r="K75" s="64" t="s">
        <v>571</v>
      </c>
      <c r="L75" s="70" t="str">
        <f t="shared" si="10"/>
        <v>public constant integer IATTR_ATK_DMS = 63;</v>
      </c>
    </row>
    <row r="76" spans="1:12" x14ac:dyDescent="0.25">
      <c r="A76" s="64">
        <v>64</v>
      </c>
      <c r="B76" s="70">
        <v>2</v>
      </c>
      <c r="C76" s="64">
        <v>421</v>
      </c>
      <c r="D76" s="64">
        <v>0.1</v>
      </c>
      <c r="E76" s="67" t="s">
        <v>686</v>
      </c>
      <c r="F76" s="67" t="s">
        <v>780</v>
      </c>
      <c r="G76" s="70" t="s">
        <v>937</v>
      </c>
      <c r="H76" s="70" t="str">
        <f t="shared" si="8"/>
        <v>IATTR_ATK_WEAK</v>
      </c>
      <c r="I76" s="70" t="str">
        <f t="shared" si="11"/>
        <v>thistype.create(64,421,"0.1","",thistype.callbackOn Attack: Decrease target damage and healing dealt by #);</v>
      </c>
      <c r="J76" s="70" t="str">
        <f t="shared" si="9"/>
        <v>thistype.create(IATTR_ATK_WEAK,2,421,0.1,"|cff33ff33On Attack: Decrease target damage and healing dealt by ","|r",thistype.callbackATK_WEAK);</v>
      </c>
      <c r="K76" s="64" t="s">
        <v>571</v>
      </c>
      <c r="L76" s="70" t="str">
        <f t="shared" si="10"/>
        <v>public constant integer IATTR_ATK_WEAK = 64;</v>
      </c>
    </row>
    <row r="77" spans="1:12" ht="28.5" x14ac:dyDescent="0.25">
      <c r="A77" s="64">
        <v>75</v>
      </c>
      <c r="B77" s="70">
        <v>2</v>
      </c>
      <c r="C77" s="64">
        <v>430</v>
      </c>
      <c r="D77" s="64">
        <v>0.7</v>
      </c>
      <c r="E77" s="67" t="s">
        <v>722</v>
      </c>
      <c r="F77" s="67" t="s">
        <v>991</v>
      </c>
      <c r="G77" s="70" t="s">
        <v>938</v>
      </c>
      <c r="H77" s="70" t="str">
        <f t="shared" si="8"/>
        <v>IATTR_3ATK_MOONEXP</v>
      </c>
      <c r="I77" s="70" t="str">
        <f t="shared" si="11"/>
        <v>thistype.create(75,430,"0.7","",thistype.callbackEvery Third Attack: Consumes 5% of max MP, deals # magic damage to all enemies nearby);</v>
      </c>
      <c r="J77" s="70" t="str">
        <f t="shared" si="9"/>
        <v>thistype.create(IATTR_3ATK_MOONEXP,2,430,0.7,"|cff33ff33Every Third Attack: Consumes 5% of max MP, deals "," magic damage to all enemies nearby|r",thistype.callback3ATK_MOONEXP);</v>
      </c>
      <c r="K77" s="64" t="s">
        <v>571</v>
      </c>
      <c r="L77" s="70" t="str">
        <f t="shared" si="10"/>
        <v>public constant integer IATTR_3ATK_MOONEXP = 75;</v>
      </c>
    </row>
    <row r="78" spans="1:12" x14ac:dyDescent="0.25">
      <c r="A78" s="64">
        <v>87</v>
      </c>
      <c r="B78" s="70">
        <v>2</v>
      </c>
      <c r="C78" s="64">
        <v>450</v>
      </c>
      <c r="D78" s="64">
        <v>0.5</v>
      </c>
      <c r="E78" s="67" t="s">
        <v>671</v>
      </c>
      <c r="F78" s="67" t="s">
        <v>983</v>
      </c>
      <c r="G78" s="70" t="s">
        <v>939</v>
      </c>
      <c r="H78" s="70" t="str">
        <f t="shared" si="8"/>
        <v>IATTR_MD_MREGEN</v>
      </c>
      <c r="I78" s="70" t="str">
        <f t="shared" si="11"/>
        <v>thistype.create(87,450,"0.5","",thistype.callbackDealing Magic Damage: 1% chance to regen # MP);</v>
      </c>
      <c r="J78" s="70" t="str">
        <f t="shared" si="9"/>
        <v>thistype.create(IATTR_MD_MREGEN,2,450,0.5,"|cff33ff33Dealing Magic Damage: 1% chance to regen "," MP|r",thistype.callbackMD_MREGEN);</v>
      </c>
      <c r="K78" s="64" t="s">
        <v>571</v>
      </c>
      <c r="L78" s="70" t="str">
        <f t="shared" si="10"/>
        <v>public constant integer IATTR_MD_MREGEN = 87;</v>
      </c>
    </row>
    <row r="79" spans="1:12" ht="28.5" x14ac:dyDescent="0.25">
      <c r="A79" s="64">
        <v>88</v>
      </c>
      <c r="B79" s="70">
        <v>2</v>
      </c>
      <c r="C79" s="64">
        <v>451</v>
      </c>
      <c r="D79" s="64">
        <v>0.7</v>
      </c>
      <c r="E79" s="67" t="s">
        <v>694</v>
      </c>
      <c r="F79" s="67" t="s">
        <v>992</v>
      </c>
      <c r="G79" s="70" t="s">
        <v>940</v>
      </c>
      <c r="H79" s="70" t="str">
        <f t="shared" si="8"/>
        <v>IATTR_MD_POISON</v>
      </c>
      <c r="I79" s="70" t="str">
        <f t="shared" si="11"/>
        <v>thistype.create(88,451,"0.7","",thistype.callbackDealing Magic Damage: 10% chance to poison target, dealing # magic damage over time);</v>
      </c>
      <c r="J79" s="70" t="str">
        <f t="shared" si="9"/>
        <v>thistype.create(IATTR_MD_POISON,2,451,0.7,"|cff33ff33Dealing Magic Damage: 10% chance to poison target, dealing "," magic damage over time|r",thistype.callbackMD_POISON);</v>
      </c>
      <c r="K79" s="64" t="s">
        <v>571</v>
      </c>
      <c r="L79" s="70" t="str">
        <f t="shared" si="10"/>
        <v>public constant integer IATTR_MD_POISON = 88;</v>
      </c>
    </row>
    <row r="80" spans="1:12" ht="28.5" x14ac:dyDescent="0.25">
      <c r="A80" s="64">
        <v>89</v>
      </c>
      <c r="B80" s="70">
        <v>2</v>
      </c>
      <c r="C80" s="64">
        <v>452</v>
      </c>
      <c r="D80" s="64">
        <v>0.7</v>
      </c>
      <c r="E80" s="67" t="s">
        <v>691</v>
      </c>
      <c r="F80" s="67" t="s">
        <v>993</v>
      </c>
      <c r="G80" s="70" t="s">
        <v>941</v>
      </c>
      <c r="H80" s="70" t="str">
        <f t="shared" si="8"/>
        <v>IATTR_MD_CHAIN</v>
      </c>
      <c r="I80" s="70" t="str">
        <f t="shared" si="11"/>
        <v>thistype.create(89,452,"0.7","",thistype.callbackDealing Magic Damage: 10% chance to cast Chain Lightning to target, dealing # magic damage);</v>
      </c>
      <c r="J80" s="70" t="str">
        <f t="shared" si="9"/>
        <v>thistype.create(IATTR_MD_CHAIN,2,452,0.7,"|cff33ff33Dealing Magic Damage: 10% chance to cast Chain Lightning to target, dealing "," magic damage|r",thistype.callbackMD_CHAIN);</v>
      </c>
      <c r="K80" s="64" t="s">
        <v>571</v>
      </c>
      <c r="L80" s="70" t="str">
        <f t="shared" si="10"/>
        <v>public constant integer IATTR_MD_CHAIN = 89;</v>
      </c>
    </row>
    <row r="81" spans="1:12" ht="42.75" x14ac:dyDescent="0.25">
      <c r="A81" s="64">
        <v>77</v>
      </c>
      <c r="B81" s="70">
        <v>2</v>
      </c>
      <c r="C81" s="64">
        <v>460</v>
      </c>
      <c r="D81" s="64">
        <v>0.5</v>
      </c>
      <c r="E81" s="67" t="s">
        <v>669</v>
      </c>
      <c r="F81" s="67" t="s">
        <v>994</v>
      </c>
      <c r="G81" s="70" t="s">
        <v>942</v>
      </c>
      <c r="H81" s="70" t="str">
        <f t="shared" si="8"/>
        <v>IATTR_MDC_ARCANE</v>
      </c>
      <c r="I81" s="70" t="str">
        <f t="shared" si="11"/>
        <v>thistype.create(77,460,"0.5","",thistype.callbackMagic Damage Critical: Charges with arcane power. All arcane power will be released automatically after 3 stacks, dealing # magic damage to target);</v>
      </c>
      <c r="J81" s="70" t="str">
        <f t="shared" si="9"/>
        <v>thistype.create(IATTR_MDC_ARCANE,2,460,0.5,"|cff33ff33Magic Damage Critical: Charges with arcane power. All arcane power will be released automatically after 3 stacks, dealing "," magic damage to target|r",thistype.callbackMDC_ARCANE);</v>
      </c>
      <c r="K81" s="64" t="s">
        <v>571</v>
      </c>
      <c r="L81" s="70" t="str">
        <f t="shared" si="10"/>
        <v>public constant integer IATTR_MDC_ARCANE = 77;</v>
      </c>
    </row>
    <row r="82" spans="1:12" x14ac:dyDescent="0.25">
      <c r="A82" s="64">
        <v>42</v>
      </c>
      <c r="B82" s="70">
        <v>2</v>
      </c>
      <c r="C82" s="64">
        <v>501</v>
      </c>
      <c r="D82" s="64">
        <v>0.33</v>
      </c>
      <c r="E82" s="67" t="s">
        <v>1004</v>
      </c>
      <c r="F82" s="67" t="s">
        <v>1005</v>
      </c>
      <c r="G82" s="70" t="s">
        <v>945</v>
      </c>
      <c r="H82" s="70" t="str">
        <f t="shared" si="8"/>
        <v>IATTR_HEAL_HOLY</v>
      </c>
      <c r="I82" s="70" t="str">
        <f t="shared" si="11"/>
        <v>thistype.create(42,501,"0.33","",thistype.callbackOn Healed: Charges 1 holy power, stacks up to # points);</v>
      </c>
      <c r="J82" s="70" t="str">
        <f t="shared" si="9"/>
        <v>thistype.create(IATTR_HEAL_HOLY,2,501,0.33,"|cff33ff33On Healed: Charges 1 holy power, stacks up to "," points|r",thistype.callbackHEAL_HOLY);</v>
      </c>
      <c r="K82" s="64" t="s">
        <v>571</v>
      </c>
      <c r="L82" s="70" t="str">
        <f t="shared" si="10"/>
        <v>public constant integer IATTR_HEAL_HOLY = 42;</v>
      </c>
    </row>
    <row r="83" spans="1:12" x14ac:dyDescent="0.25">
      <c r="A83" s="64">
        <v>41</v>
      </c>
      <c r="B83" s="70">
        <v>2</v>
      </c>
      <c r="C83" s="64">
        <v>600</v>
      </c>
      <c r="D83" s="64">
        <v>0.33</v>
      </c>
      <c r="E83" s="67" t="s">
        <v>719</v>
      </c>
      <c r="F83" s="67" t="s">
        <v>783</v>
      </c>
      <c r="G83" s="70" t="s">
        <v>944</v>
      </c>
      <c r="H83" s="70" t="str">
        <f t="shared" si="8"/>
        <v>IATTR_ATKED_WEAK</v>
      </c>
      <c r="I83" s="70" t="str">
        <f t="shared" si="11"/>
        <v>thistype.create(41,600,"0.33","",thistype.callbackOn Attacked: Decreases attacker's attack power by #);</v>
      </c>
      <c r="J83" s="70" t="str">
        <f t="shared" si="9"/>
        <v>thistype.create(IATTR_ATKED_WEAK,2,600,0.33,"|cff33ff33On Attacked: Decreases attacker's attack power by ","|r",thistype.callbackATKED_WEAK);</v>
      </c>
      <c r="K83" s="64" t="s">
        <v>571</v>
      </c>
      <c r="L83" s="70" t="str">
        <f t="shared" si="10"/>
        <v>public constant integer IATTR_ATKED_WEAK = 41;</v>
      </c>
    </row>
    <row r="84" spans="1:12" ht="28.5" x14ac:dyDescent="0.25">
      <c r="A84" s="64">
        <v>82</v>
      </c>
      <c r="B84" s="70">
        <v>2</v>
      </c>
      <c r="C84" s="64">
        <v>800</v>
      </c>
      <c r="D84" s="64">
        <v>0.1</v>
      </c>
      <c r="E84" s="67" t="s">
        <v>692</v>
      </c>
      <c r="F84" s="67" t="s">
        <v>995</v>
      </c>
      <c r="G84" s="70" t="s">
        <v>946</v>
      </c>
      <c r="H84" s="70" t="str">
        <f t="shared" si="8"/>
        <v>IATTR_AURA_CONVIC</v>
      </c>
      <c r="I84" s="70" t="str">
        <f t="shared" si="11"/>
        <v>thistype.create(82,800,"0.1","",thistype.callbackGrant Aura of Conviction: All enemies within 600 yards take # more magic damage);</v>
      </c>
      <c r="J84" s="70" t="str">
        <f t="shared" si="9"/>
        <v>thistype.create(IATTR_AURA_CONVIC,2,800,0.1,"|cff33ff33Grant Aura of Conviction: All enemies within 600 yards take "," more magic damage|r",thistype.callbackAURA_CONVIC);</v>
      </c>
      <c r="K84" s="64" t="s">
        <v>571</v>
      </c>
      <c r="L84" s="70" t="str">
        <f t="shared" si="10"/>
        <v>public constant integer IATTR_AURA_CONVIC = 82;</v>
      </c>
    </row>
    <row r="85" spans="1:12" ht="28.5" x14ac:dyDescent="0.25">
      <c r="A85" s="64">
        <v>83</v>
      </c>
      <c r="B85" s="70">
        <v>2</v>
      </c>
      <c r="C85" s="64">
        <v>801</v>
      </c>
      <c r="D85" s="64">
        <v>0.2</v>
      </c>
      <c r="E85" s="67" t="s">
        <v>693</v>
      </c>
      <c r="F85" s="67" t="s">
        <v>781</v>
      </c>
      <c r="G85" s="70" t="s">
        <v>947</v>
      </c>
      <c r="H85" s="70" t="str">
        <f t="shared" si="8"/>
        <v>IATTR_AURA_MEDITA</v>
      </c>
      <c r="I85" s="70" t="str">
        <f t="shared" si="11"/>
        <v>thistype.create(83,801,"0.2","",thistype.callbackGrant Aura of Meditation: All allies within 600 yards regen # MP per second);</v>
      </c>
      <c r="J85" s="70" t="str">
        <f t="shared" si="9"/>
        <v>thistype.create(IATTR_AURA_MEDITA,2,801,0.2,"|cff33ff33Grant Aura of Meditation: All allies within 600 yards regen "," MP per second|r",thistype.callbackAURA_MEDITA);</v>
      </c>
      <c r="K85" s="64" t="s">
        <v>571</v>
      </c>
      <c r="L85" s="70" t="str">
        <f t="shared" si="10"/>
        <v>public constant integer IATTR_AURA_MEDITA = 83;</v>
      </c>
    </row>
    <row r="86" spans="1:12" ht="28.5" x14ac:dyDescent="0.25">
      <c r="A86" s="64">
        <v>84</v>
      </c>
      <c r="B86" s="70">
        <v>2</v>
      </c>
      <c r="C86" s="64">
        <v>802</v>
      </c>
      <c r="D86" s="64">
        <v>0.1</v>
      </c>
      <c r="E86" s="67" t="s">
        <v>667</v>
      </c>
      <c r="F86" s="67" t="s">
        <v>725</v>
      </c>
      <c r="G86" s="70" t="s">
        <v>948</v>
      </c>
      <c r="H86" s="70" t="str">
        <f t="shared" si="8"/>
        <v>IATTR_AURA_WARSONG</v>
      </c>
      <c r="I86" s="70" t="str">
        <f t="shared" si="11"/>
        <v>thistype.create(84,802,"0.1","",thistype.callbackGrant Aura of Warsong: All allies deal # more damage and healing, take 10% more healing within 600 yards);</v>
      </c>
      <c r="J86" s="70" t="str">
        <f t="shared" si="9"/>
        <v>thistype.create(IATTR_AURA_WARSONG,2,802,0.1,"|cff33ff33Grant Aura of Warsong: All allies deal "," more damage and healing, take 10% more healing within 600 yards|r",thistype.callbackAURA_WARSONG);</v>
      </c>
      <c r="K86" s="64" t="s">
        <v>571</v>
      </c>
      <c r="L86" s="70" t="str">
        <f t="shared" si="10"/>
        <v>public constant integer IATTR_AURA_WARSONG = 84;</v>
      </c>
    </row>
    <row r="87" spans="1:12" ht="28.5" x14ac:dyDescent="0.25">
      <c r="A87" s="64">
        <v>85</v>
      </c>
      <c r="B87" s="70">
        <v>2</v>
      </c>
      <c r="C87" s="64">
        <v>803</v>
      </c>
      <c r="D87" s="64">
        <v>0.7</v>
      </c>
      <c r="E87" s="67" t="s">
        <v>728</v>
      </c>
      <c r="F87" s="67" t="s">
        <v>782</v>
      </c>
      <c r="G87" s="70" t="s">
        <v>949</v>
      </c>
      <c r="H87" s="70" t="str">
        <f t="shared" si="8"/>
        <v>IATTR_AURA_UNHOLY</v>
      </c>
      <c r="I87" s="70" t="str">
        <f t="shared" si="11"/>
        <v>thistype.create(85,803,"0.7","",thistype.callbackGrant Aura of Unholy: All allies within 600 yards regen # HP per second);</v>
      </c>
      <c r="J87" s="70" t="str">
        <f t="shared" si="9"/>
        <v>thistype.create(IATTR_AURA_UNHOLY,2,803,0.7,"|cff33ff33Grant Aura of Unholy: All allies within 600 yards regen "," HP per second|r",thistype.callbackAURA_UNHOLY);</v>
      </c>
      <c r="K87" s="64" t="s">
        <v>571</v>
      </c>
      <c r="L87" s="70" t="str">
        <f t="shared" si="10"/>
        <v>public constant integer IATTR_AURA_UNHOLY = 85;</v>
      </c>
    </row>
    <row r="88" spans="1:12" ht="28.5" x14ac:dyDescent="0.25">
      <c r="A88" s="64">
        <v>29</v>
      </c>
      <c r="B88" s="70">
        <v>2</v>
      </c>
      <c r="C88" s="64">
        <v>901</v>
      </c>
      <c r="D88" s="64">
        <v>0.16</v>
      </c>
      <c r="E88" s="67" t="s">
        <v>682</v>
      </c>
      <c r="F88" s="67" t="s">
        <v>753</v>
      </c>
      <c r="G88" s="70" t="s">
        <v>951</v>
      </c>
      <c r="H88" s="70" t="str">
        <f t="shared" si="8"/>
        <v>IATTR_USE_BATTLE</v>
      </c>
      <c r="I88" s="70" t="str">
        <f t="shared" si="11"/>
        <v>thistype.create(29,901,"0.16","",thistype.callbackUse: Battle Orders, increases # max HP to all allies within 900 yards, lasts for 75 seconds);</v>
      </c>
      <c r="J88" s="70" t="str">
        <f t="shared" si="9"/>
        <v>thistype.create(IATTR_USE_BATTLE,2,901,0.16,"|cff33ff33Use: Battle Orders, increases "," max HP to all allies within 900 yards, lasts for 75 seconds|r",thistype.callbackUSE_BATTLE);</v>
      </c>
      <c r="K88" s="64" t="s">
        <v>571</v>
      </c>
      <c r="L88" s="70" t="str">
        <f t="shared" si="10"/>
        <v>public constant integer IATTR_USE_BATTLE = 29;</v>
      </c>
    </row>
    <row r="89" spans="1:12" x14ac:dyDescent="0.25">
      <c r="A89" s="64">
        <v>30</v>
      </c>
      <c r="B89" s="70">
        <v>2</v>
      </c>
      <c r="C89" s="64">
        <v>902</v>
      </c>
      <c r="D89" s="64">
        <v>0.4</v>
      </c>
      <c r="E89" s="67" t="s">
        <v>660</v>
      </c>
      <c r="F89" s="67" t="s">
        <v>765</v>
      </c>
      <c r="G89" s="70" t="s">
        <v>952</v>
      </c>
      <c r="H89" s="70" t="str">
        <f t="shared" si="8"/>
        <v>IATTR_USE_MREGEN</v>
      </c>
      <c r="I89" s="70" t="str">
        <f t="shared" si="11"/>
        <v>thistype.create(30,902,"0.4","",thistype.callbackUse: Regens # MP);</v>
      </c>
      <c r="J89" s="70" t="str">
        <f t="shared" si="9"/>
        <v>thistype.create(IATTR_USE_MREGEN,2,902,0.4,"|cff33ff33Use: Regens "," MP|r",thistype.callbackUSE_MREGEN);</v>
      </c>
      <c r="K89" s="64" t="s">
        <v>571</v>
      </c>
      <c r="L89" s="70" t="str">
        <f t="shared" si="10"/>
        <v>public constant integer IATTR_USE_MREGEN = 30;</v>
      </c>
    </row>
    <row r="90" spans="1:12" x14ac:dyDescent="0.25">
      <c r="A90" s="64">
        <v>31</v>
      </c>
      <c r="B90" s="70">
        <v>2</v>
      </c>
      <c r="C90" s="64">
        <v>903</v>
      </c>
      <c r="D90" s="64">
        <v>0.4</v>
      </c>
      <c r="E90" s="67" t="s">
        <v>659</v>
      </c>
      <c r="F90" s="67" t="s">
        <v>766</v>
      </c>
      <c r="G90" s="70" t="s">
        <v>953</v>
      </c>
      <c r="H90" s="70" t="str">
        <f t="shared" si="8"/>
        <v>IATTR_USE_HREGEN</v>
      </c>
      <c r="I90" s="70" t="str">
        <f t="shared" si="11"/>
        <v>thistype.create(31,903,"0.4","",thistype.callbackUse: Regens # HP);</v>
      </c>
      <c r="J90" s="70" t="str">
        <f t="shared" si="9"/>
        <v>thistype.create(IATTR_USE_HREGEN,2,903,0.4,"|cff33ff33Use: Regens "," HP|r",thistype.callbackUSE_HREGEN);</v>
      </c>
      <c r="K90" s="64" t="s">
        <v>571</v>
      </c>
      <c r="L90" s="70" t="str">
        <f t="shared" si="10"/>
        <v>public constant integer IATTR_USE_HREGEN = 31;</v>
      </c>
    </row>
    <row r="91" spans="1:12" ht="28.5" x14ac:dyDescent="0.25">
      <c r="A91" s="64">
        <v>32</v>
      </c>
      <c r="B91" s="70">
        <v>2</v>
      </c>
      <c r="C91" s="64">
        <v>904</v>
      </c>
      <c r="D91" s="64">
        <v>0.2</v>
      </c>
      <c r="E91" s="67" t="s">
        <v>713</v>
      </c>
      <c r="F91" s="67" t="s">
        <v>996</v>
      </c>
      <c r="G91" s="70" t="s">
        <v>954</v>
      </c>
      <c r="H91" s="70" t="str">
        <f t="shared" si="8"/>
        <v>IATTR_USE_VOODOO</v>
      </c>
      <c r="I91" s="70" t="str">
        <f t="shared" si="11"/>
        <v>thistype.create(32,904,"0.2","",thistype.callbackUse: Deals # magic damage to all enemies within range over time);</v>
      </c>
      <c r="J91" s="70" t="str">
        <f t="shared" si="9"/>
        <v>thistype.create(IATTR_USE_VOODOO,2,904,0.2,"|cff33ff33Use: Deals "," magic damage to all enemies within range over time|r",thistype.callbackUSE_VOODOO);</v>
      </c>
      <c r="K91" s="64" t="s">
        <v>571</v>
      </c>
      <c r="L91" s="70" t="str">
        <f t="shared" si="10"/>
        <v>public constant integer IATTR_USE_VOODOO = 32;</v>
      </c>
    </row>
    <row r="92" spans="1:12" x14ac:dyDescent="0.25">
      <c r="A92" s="64">
        <v>33</v>
      </c>
      <c r="B92" s="70">
        <v>2</v>
      </c>
      <c r="C92" s="64">
        <v>905</v>
      </c>
      <c r="D92" s="64">
        <v>0.3</v>
      </c>
      <c r="E92" s="67" t="s">
        <v>664</v>
      </c>
      <c r="F92" s="67" t="s">
        <v>714</v>
      </c>
      <c r="G92" s="70" t="s">
        <v>955</v>
      </c>
      <c r="H92" s="70" t="str">
        <f t="shared" si="8"/>
        <v>IATTR_USE_INT</v>
      </c>
      <c r="I92" s="70" t="str">
        <f t="shared" si="11"/>
        <v>thistype.create(33,905,"0.3","",thistype.callbackUse: Increase intelligence by #, lasts for 20 seconds);</v>
      </c>
      <c r="J92" s="70" t="str">
        <f t="shared" si="9"/>
        <v>thistype.create(IATTR_USE_INT,2,905,0.3,"|cff33ff33Use: Increase intelligence by ",", lasts for 20 seconds|r",thistype.callbackUSE_INT);</v>
      </c>
      <c r="K92" s="64" t="s">
        <v>571</v>
      </c>
      <c r="L92" s="70" t="str">
        <f t="shared" si="10"/>
        <v>public constant integer IATTR_USE_INT = 33;</v>
      </c>
    </row>
    <row r="93" spans="1:12" x14ac:dyDescent="0.25">
      <c r="A93" s="64">
        <v>34</v>
      </c>
      <c r="B93" s="70">
        <v>2</v>
      </c>
      <c r="C93" s="64">
        <v>906</v>
      </c>
      <c r="D93" s="64">
        <v>0.3</v>
      </c>
      <c r="E93" s="67" t="s">
        <v>670</v>
      </c>
      <c r="F93" s="67" t="s">
        <v>715</v>
      </c>
      <c r="G93" s="70" t="s">
        <v>956</v>
      </c>
      <c r="H93" s="70" t="str">
        <f t="shared" si="8"/>
        <v>IATTR_USE_SP</v>
      </c>
      <c r="I93" s="70" t="str">
        <f t="shared" si="11"/>
        <v>thistype.create(34,906,"0.3","",thistype.callbackUse: Increase spell power by #, lasts for 15 seconds);</v>
      </c>
      <c r="J93" s="70" t="str">
        <f t="shared" si="9"/>
        <v>thistype.create(IATTR_USE_SP,2,906,0.3,"|cff33ff33Use: Increase spell power by ",", lasts for 15 seconds|r",thistype.callbackUSE_SP);</v>
      </c>
      <c r="K93" s="64" t="s">
        <v>571</v>
      </c>
      <c r="L93" s="70" t="str">
        <f t="shared" si="10"/>
        <v>public constant integer IATTR_USE_SP = 34;</v>
      </c>
    </row>
    <row r="94" spans="1:12" x14ac:dyDescent="0.25">
      <c r="A94" s="64">
        <v>35</v>
      </c>
      <c r="B94" s="70">
        <v>2</v>
      </c>
      <c r="C94" s="64">
        <v>907</v>
      </c>
      <c r="D94" s="64">
        <v>0.1</v>
      </c>
      <c r="E94" s="67" t="s">
        <v>663</v>
      </c>
      <c r="F94" s="67" t="s">
        <v>716</v>
      </c>
      <c r="G94" s="70" t="s">
        <v>957</v>
      </c>
      <c r="H94" s="70" t="str">
        <f t="shared" si="8"/>
        <v>IATTR_USE_DODGE</v>
      </c>
      <c r="I94" s="70" t="str">
        <f t="shared" si="11"/>
        <v>thistype.create(35,907,"0.1","",thistype.callbackUse: Increase dodge chance by 30%, lasts for # seconds);</v>
      </c>
      <c r="J94" s="70" t="str">
        <f t="shared" si="9"/>
        <v>thistype.create(IATTR_USE_DODGE,2,907,0.1,"|cff33ff33Use: Increase dodge chance by 30%, lasts for "," seconds|r",thistype.callbackUSE_DODGE);</v>
      </c>
      <c r="K94" s="64" t="s">
        <v>571</v>
      </c>
      <c r="L94" s="70" t="str">
        <f t="shared" si="10"/>
        <v>public constant integer IATTR_USE_DODGE = 35;</v>
      </c>
    </row>
    <row r="95" spans="1:12" ht="28.5" x14ac:dyDescent="0.25">
      <c r="A95" s="64">
        <v>36</v>
      </c>
      <c r="B95" s="70">
        <v>2</v>
      </c>
      <c r="C95" s="64">
        <v>908</v>
      </c>
      <c r="D95" s="64">
        <v>0.1</v>
      </c>
      <c r="E95" s="67" t="s">
        <v>665</v>
      </c>
      <c r="F95" s="67" t="s">
        <v>717</v>
      </c>
      <c r="G95" s="70" t="s">
        <v>958</v>
      </c>
      <c r="H95" s="70" t="str">
        <f t="shared" si="8"/>
        <v>IATTR_USE_MS</v>
      </c>
      <c r="I95" s="70" t="str">
        <f t="shared" si="11"/>
        <v>thistype.create(36,908,"0.1","",thistype.callbackUse: Increase movement speed by 300, lasts for # seconds. Possible failures.);</v>
      </c>
      <c r="J95" s="70" t="str">
        <f t="shared" si="9"/>
        <v>thistype.create(IATTR_USE_MS,2,908,0.1,"|cff33ff33Use: Increase movement speed by 300, lasts for "," seconds. Possible failures.|r",thistype.callbackUSE_MS);</v>
      </c>
      <c r="K95" s="64" t="s">
        <v>571</v>
      </c>
      <c r="L95" s="70" t="str">
        <f t="shared" si="10"/>
        <v>public constant integer IATTR_USE_MS = 36;</v>
      </c>
    </row>
    <row r="96" spans="1:12" ht="28.5" x14ac:dyDescent="0.25">
      <c r="A96" s="64">
        <v>37</v>
      </c>
      <c r="B96" s="70">
        <v>2</v>
      </c>
      <c r="C96" s="64">
        <v>909</v>
      </c>
      <c r="D96" s="64">
        <v>-0.33</v>
      </c>
      <c r="E96" s="67" t="s">
        <v>1003</v>
      </c>
      <c r="F96" s="67" t="s">
        <v>1010</v>
      </c>
      <c r="G96" s="70" t="s">
        <v>959</v>
      </c>
      <c r="H96" s="70" t="str">
        <f t="shared" si="8"/>
        <v>IATTR_USE_CTHUN</v>
      </c>
      <c r="I96" s="70" t="str">
        <f t="shared" si="11"/>
        <v>thistype.create(37,909,"-0.33","",thistype.callbackUse: Increase attack speed by 100%, take # extra damage (unique));</v>
      </c>
      <c r="J96" s="70" t="str">
        <f t="shared" si="9"/>
        <v>thistype.create(IATTR_USE_CTHUN,2,909,-0.33,"|cff33ff33Use: Increase attack speed by 100%, take "," extra damage (unique)|r",thistype.callbackUSE_CTHUN);</v>
      </c>
      <c r="K96" s="64" t="s">
        <v>571</v>
      </c>
      <c r="L96" s="70" t="str">
        <f t="shared" si="10"/>
        <v>public constant integer IATTR_USE_CTHUN = 37;</v>
      </c>
    </row>
    <row r="97" spans="1:12" ht="28.5" x14ac:dyDescent="0.25">
      <c r="A97" s="64">
        <v>38</v>
      </c>
      <c r="B97" s="70">
        <v>2</v>
      </c>
      <c r="C97" s="64">
        <v>910</v>
      </c>
      <c r="D97" s="64">
        <v>0.33</v>
      </c>
      <c r="E97" s="67" t="s">
        <v>690</v>
      </c>
      <c r="F97" s="67" t="s">
        <v>754</v>
      </c>
      <c r="G97" s="70" t="s">
        <v>960</v>
      </c>
      <c r="H97" s="70" t="str">
        <f t="shared" si="8"/>
        <v>IATTR_USE_HOLYHEAL</v>
      </c>
      <c r="I97" s="70" t="str">
        <f t="shared" si="11"/>
        <v>thistype.create(38,910,"0.33","",thistype.callbackUse: Release all holy power to heal yourself, each point heals # HP);</v>
      </c>
      <c r="J97" s="70" t="str">
        <f t="shared" si="9"/>
        <v>thistype.create(IATTR_USE_HOLYHEAL,2,910,0.33,"|cff33ff33Use: Release all holy power to heal yourself, each point heals "," HP|r",thistype.callbackUSE_HOLYHEAL);</v>
      </c>
      <c r="K97" s="64" t="s">
        <v>571</v>
      </c>
      <c r="L97" s="70"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4"/>
  <sheetViews>
    <sheetView workbookViewId="0">
      <pane ySplit="2" topLeftCell="A54" activePane="bottomLeft" state="frozen"/>
      <selection pane="bottomLeft" activeCell="D65" sqref="D65"/>
    </sheetView>
  </sheetViews>
  <sheetFormatPr defaultRowHeight="14.25" x14ac:dyDescent="0.25"/>
  <cols>
    <col min="1" max="1" width="6.5703125" style="36" bestFit="1" customWidth="1"/>
    <col min="2" max="3" width="6" style="77" customWidth="1"/>
    <col min="4" max="4" width="50.7109375" style="110" customWidth="1"/>
    <col min="5" max="5" width="50.7109375" style="119" customWidth="1"/>
    <col min="6" max="7" width="30.7109375" style="36" customWidth="1"/>
    <col min="8" max="8" width="4.140625" style="36" bestFit="1" customWidth="1"/>
    <col min="9" max="16384" width="9.140625" style="36"/>
  </cols>
  <sheetData>
    <row r="1" spans="1:10" s="71" customFormat="1" x14ac:dyDescent="0.25">
      <c r="A1" s="71" t="s">
        <v>631</v>
      </c>
      <c r="B1" s="74">
        <v>3</v>
      </c>
      <c r="C1" s="74"/>
      <c r="D1" s="79"/>
      <c r="E1" s="113"/>
      <c r="I1" s="71" t="str">
        <f ca="1">CodeGenItemMetaEN(A3:E85)</f>
        <v xml:space="preserve">thistype.append(ITID_CIRCLET_OF_NOBILITY,7,2,4);_x000D_
thistype.setLoreText(ITID_CIRCLET_OF_NOBILITY,#|CFF11FF11Circlet of Nobility|R#,##);_x000D_
thistype.append(ITID_HEAVY_BOOTS,8,1,3);_x000D_
thistype.setLoreText(ITID_HEAVY_BOOTS,#|CFF11FF11Heavy Boots|R#,#|CFF999999It's just heavy, nothing special.|R#);_x000D_
thistype.append(ITID_HELM_OF_VALOR,4,3,5);_x000D_
thistype.append(ITID_HELM_OF_VALOR,13,3,5);_x000D_
thistype.setLoreText(ITID_HELM_OF_VALOR,#|CFF11FF11Helm of Valor|R#,##);_x000D_
thistype.append(ITID_MEDALION_OF_COURAGE,4,3,5);_x000D_
thistype.append(ITID_MEDALION_OF_COURAGE,14,3,5);_x000D_
thistype.setLoreText(ITID_MEDALION_OF_COURAGE,#|CFF11FF11Medalion of Courage|R#,##);_x000D_
thistype.append(ITID_HOOD_OF_CUNNING,13,3,5);_x000D_
thistype.append(ITID_HOOD_OF_CUNNING,14,3,5);_x000D_
thistype.setLoreText(ITID_HOOD_OF_CUNNING,#|CFF11FF11Hood of Cunning|R#,##);_x000D_
thistype.append(ITID_CLAWS_OF_ATTACK,9,4,7);_x000D_
thistype.setLoreText(ITID_CLAWS_OF_ATTACK,#|CFF11FF11Claws of Attack|R#,##);_x000D_
thistype.append(ITID_GLOVES_OF_HASTE,12,4,7);_x000D_
thistype.setLoreText(ITID_GLOVES_OF_HASTE,#|CFF11FF11Gloves of Haste|R#,##);_x000D_
thistype.append(ITID_SWORD_OF_ASSASSINATION,11,0.02,0.04);_x000D_
thistype.setLoreText(ITID_SWORD_OF_ASSASSINATION,#|CFF11FF11Sword of Assassination|R#,##);_x000D_
thistype.append(ITID_VITALITY_PERIAPT,21,80,120);_x000D_
thistype.setLoreText(ITID_VITALITY_PERIAPT,#|CFF11FF11Vitality Periapt|R#,##);_x000D_
thistype.append(ITID_RING_OF_PROTECTION,8,2,2);_x000D_
thistype.setLoreText(ITID_RING_OF_PROTECTION,#|CFF11FF11Ring of Protection|R#,##);_x000D_
thistype.append(ITID_TALISMAN_OF_EVASION,27,0.02,0.03);_x000D_
thistype.setLoreText(ITID_TALISMAN_OF_EVASION,#|CFF11FF11Talisman of Evasion|R#,##);_x000D_
thistype.append(ITID_MANA_PERIAPT,17,100,200);_x000D_
thistype.setLoreText(ITID_MANA_PERIAPT,#|CFF11FF11Mana Periapt|R#,##);_x000D_
thistype.append(ITID_SOBI_MASK,72,3,5);_x000D_
thistype.setLoreText(ITID_SOBI_MASK,#|CFF11FF11Sobi Mask|R#,##);_x000D_
thistype.append(ITID_STAFF_OF_THE_WITCH_DOCTOR,18,6,16);_x000D_
thistype.setLoreText(ITID_STAFF_OF_THE_WITCH_DOCTOR,#|CFF11FF11Staff of the Witch Doctor|R#,##);_x000D_
thistype.append(ITID_HEALTH_STONE,73,3,5);_x000D_
thistype.append(ITID_HEALTH_STONE,31,400,800);_x000D_
thistype.setLoreText(ITID_HEALTH_STONE,#|CFF11FF11Health Stone|R#,##);_x000D_
thistype.append(ITID_MANA_STONE,72,2,4);_x000D_
thistype.append(ITID_MANA_STONE,30,200,400);_x000D_
thistype.setLoreText(ITID_MANA_STONE,#|CFF11FF11Mana Stone|R#,##);_x000D_
thistype.append(ITID_ROMULOS_EXPIRED_POISON,53,80,115);_x000D_
thistype.setLoreText(ITID_ROMULOS_EXPIRED_POISON,#|CFF11FF11Romulo's Expired Poison|R#,#|CFF999999Still usable.|R#);_x000D_
thistype.append(ITID_MOROES_LUCKY_GEAR,27,0.01,0.02);_x000D_
thistype.append(ITID_MOROES_LUCKY_GEAR,35,8,12);_x000D_
thistype.setLoreText(ITID_MOROES_LUCKY_GEAR,#|CFF11FF11Moroes' Lucky Gear|R#,#|CFF999999Disassembled from Moroes' Lucky Pocket Watch|R#);_x000D_
thistype.append(ITID_RUNED_BELT,21,60,90);_x000D_
thistype.append(ITID_RUNED_BELT,2,0.03,0.07);_x000D_
thistype.setLoreText(ITID_RUNED_BELT,#|CFF11FF11Runed Belt|R#,#|CFF999999Was a bracelet of an ogre.|R#);_x000D_
thistype.append(ITID_UNGLAZED_ICON_OF_THE_CRESCENT,14,8,10);_x000D_
thistype.append(ITID_UNGLAZED_ICON_OF_THE_CRESCENT,33,12,18);_x000D_
thistype.setLoreText(ITID_UNGLAZED_ICON_OF_THE_CRESCENT,#|CFF11FF11Unglazed Icon of the Crescent|R#,#|CFF999999It can be seen vaguely that this icon was once beautiful silver.|R#);_x000D_
</v>
      </c>
    </row>
    <row r="2" spans="1:10" s="72" customFormat="1" x14ac:dyDescent="0.25">
      <c r="A2" s="72" t="s">
        <v>738</v>
      </c>
      <c r="B2" s="76" t="s">
        <v>739</v>
      </c>
      <c r="C2" s="76" t="s">
        <v>740</v>
      </c>
      <c r="D2" s="81" t="s">
        <v>736</v>
      </c>
      <c r="E2" s="114" t="s">
        <v>737</v>
      </c>
    </row>
    <row r="3" spans="1:10" x14ac:dyDescent="0.25">
      <c r="D3" s="107" t="s">
        <v>379</v>
      </c>
      <c r="E3" s="115" t="s">
        <v>545</v>
      </c>
      <c r="F3" s="32" t="str">
        <f>FormatItemName(D3)</f>
        <v>|CFF11FF11贵族圆环|R</v>
      </c>
      <c r="G3" s="32" t="str">
        <f>FormatItemName(E3)</f>
        <v>|CFF11FF11Circlet of Nobility|R</v>
      </c>
      <c r="H3" s="36" t="s">
        <v>571</v>
      </c>
      <c r="I3" s="36" t="str">
        <f>GetCellColorHEX(E3)</f>
        <v>11FF11</v>
      </c>
      <c r="J3" s="36" t="str">
        <f>GetCellColorHEX(E4)</f>
        <v>FFFFFF</v>
      </c>
    </row>
    <row r="4" spans="1:10" x14ac:dyDescent="0.25">
      <c r="A4" s="36">
        <v>7</v>
      </c>
      <c r="B4" s="77">
        <v>2</v>
      </c>
      <c r="C4" s="77">
        <v>4</v>
      </c>
      <c r="D4" s="84" t="str">
        <f ca="1">SUBSTITUTE(OFFSET(Attributes!$A$1,MATCH($A4,Attributes!$A:$A,0)-1,MATCH("Attr CN",Attributes!$1:$1,0)-1),"#",$B4*$B$1&amp;"-"&amp;$C4*$B$1)</f>
        <v>+6-12所有属性</v>
      </c>
      <c r="E4" s="116" t="str">
        <f ca="1">SUBSTITUTE(OFFSET(Attributes!$A$1,MATCH($A4,Attributes!$A:$A,0)-1,MATCH("Attr EN",Attributes!$1:$1,0)-1),"#",$B4*$B$1&amp;"-"&amp;$C4*$B$1)</f>
        <v>+6-12 All stats</v>
      </c>
      <c r="F4" s="32" t="str">
        <f ca="1">FormatItemDescription(D3:D4)</f>
        <v>+6-12所有属性</v>
      </c>
      <c r="G4" s="32" t="str">
        <f ca="1">FormatItemDescription(E3:E4)</f>
        <v>+6-12 All stats</v>
      </c>
      <c r="H4" s="36" t="s">
        <v>571</v>
      </c>
      <c r="I4" s="36" t="str">
        <f t="shared" ref="I4:I67" si="0">GetCellColorHEX(E4)</f>
        <v>FFFFFF</v>
      </c>
    </row>
    <row r="5" spans="1:10" x14ac:dyDescent="0.25">
      <c r="D5" s="108"/>
      <c r="E5" s="117"/>
      <c r="F5" s="32" t="str">
        <f ca="1">FormatItemUbertip(D4)</f>
        <v>+6-12所有属性</v>
      </c>
      <c r="G5" s="32" t="str">
        <f ca="1">FormatItemUbertip(E4)</f>
        <v>+6-12 All stats</v>
      </c>
      <c r="H5" s="36" t="s">
        <v>571</v>
      </c>
      <c r="I5" s="36" t="str">
        <f t="shared" si="0"/>
        <v>000000</v>
      </c>
    </row>
    <row r="6" spans="1:10" x14ac:dyDescent="0.25">
      <c r="D6" s="108"/>
      <c r="E6" s="117"/>
      <c r="F6" s="32"/>
      <c r="G6" s="32"/>
      <c r="H6" s="36" t="s">
        <v>571</v>
      </c>
      <c r="I6" s="36" t="str">
        <f t="shared" si="0"/>
        <v>000000</v>
      </c>
    </row>
    <row r="7" spans="1:10" x14ac:dyDescent="0.25">
      <c r="D7" s="107" t="s">
        <v>380</v>
      </c>
      <c r="E7" s="115" t="s">
        <v>546</v>
      </c>
      <c r="F7" s="32" t="str">
        <f>FormatItemName(D7)</f>
        <v>|CFF11FF11减速之靴|R</v>
      </c>
      <c r="G7" s="32" t="str">
        <f>FormatItemName(E7)</f>
        <v>|CFF11FF11Heavy Boots|R</v>
      </c>
      <c r="H7" s="36" t="s">
        <v>571</v>
      </c>
      <c r="I7" s="36" t="str">
        <f t="shared" si="0"/>
        <v>11FF11</v>
      </c>
    </row>
    <row r="8" spans="1:10" x14ac:dyDescent="0.25">
      <c r="A8" s="36">
        <v>8</v>
      </c>
      <c r="B8" s="77">
        <v>1</v>
      </c>
      <c r="C8" s="77">
        <v>3</v>
      </c>
      <c r="D8" s="84" t="str">
        <f ca="1">SUBSTITUTE(OFFSET(Attributes!$A$1,MATCH($A8,Attributes!$A:$A,0)-1,MATCH("Attr CN",Attributes!$1:$1,0)-1),"#",$B8*$B$1&amp;"-"&amp;$C8*$B$1)</f>
        <v>+3-9护甲</v>
      </c>
      <c r="E8" s="116" t="str">
        <f ca="1">SUBSTITUTE(OFFSET(Attributes!$A$1,MATCH($A8,Attributes!$A:$A,0)-1,MATCH("Attr EN",Attributes!$1:$1,0)-1),"#",$B8*$B$1&amp;"-"&amp;$C8*$B$1)</f>
        <v>+3-9 Armor</v>
      </c>
      <c r="F8" s="32" t="str">
        <f ca="1">FormatItemDescription(D7:D9)</f>
        <v>+3-9护甲|N|N|CFF999999这双靴子除了很重以外，没有什么特点了。|R</v>
      </c>
      <c r="G8" s="32" t="str">
        <f ca="1">FormatItemDescription(E7:E9)</f>
        <v>+3-9 Armor|N|N|CFF999999It's just heavy, nothing special.|R</v>
      </c>
      <c r="H8" s="36" t="s">
        <v>571</v>
      </c>
      <c r="I8" s="36" t="str">
        <f t="shared" si="0"/>
        <v>FFFFFF</v>
      </c>
    </row>
    <row r="9" spans="1:10" x14ac:dyDescent="0.25">
      <c r="D9" s="109" t="s">
        <v>381</v>
      </c>
      <c r="E9" s="118" t="s">
        <v>547</v>
      </c>
      <c r="F9" s="32" t="str">
        <f ca="1">FormatItemUbertip(D8:D9)</f>
        <v>+3-9护甲|N|N|CFF999999这双靴子除了很重以外，没有什么特点了。|R</v>
      </c>
      <c r="G9" s="32" t="str">
        <f ca="1">FormatItemUbertip(E8:E9)</f>
        <v>+3-9 Armor|N|N|CFF999999It's just heavy, nothing special.|R</v>
      </c>
      <c r="H9" s="36" t="s">
        <v>571</v>
      </c>
      <c r="I9" s="36" t="str">
        <f t="shared" si="0"/>
        <v>999999</v>
      </c>
    </row>
    <row r="10" spans="1:10" x14ac:dyDescent="0.25">
      <c r="D10" s="108"/>
      <c r="E10" s="117"/>
      <c r="F10" s="34"/>
      <c r="G10" s="34"/>
      <c r="H10" s="36" t="s">
        <v>571</v>
      </c>
      <c r="I10" s="36" t="str">
        <f t="shared" si="0"/>
        <v>000000</v>
      </c>
    </row>
    <row r="11" spans="1:10" x14ac:dyDescent="0.25">
      <c r="D11" s="107" t="s">
        <v>382</v>
      </c>
      <c r="E11" s="115" t="s">
        <v>548</v>
      </c>
      <c r="F11" s="32" t="str">
        <f>FormatItemName(D11)</f>
        <v>|CFF11FF11英勇面具|R</v>
      </c>
      <c r="G11" s="32" t="str">
        <f>FormatItemName(E11)</f>
        <v>|CFF11FF11Helm of Valor|R</v>
      </c>
      <c r="H11" s="36" t="s">
        <v>571</v>
      </c>
      <c r="I11" s="36" t="str">
        <f t="shared" si="0"/>
        <v>11FF11</v>
      </c>
    </row>
    <row r="12" spans="1:10" x14ac:dyDescent="0.25">
      <c r="A12" s="36">
        <v>4</v>
      </c>
      <c r="B12" s="77">
        <v>3</v>
      </c>
      <c r="C12" s="77">
        <v>5</v>
      </c>
      <c r="D12" s="84" t="str">
        <f ca="1">SUBSTITUTE(OFFSET(Attributes!$A$1,MATCH($A12,Attributes!$A:$A,0)-1,MATCH("Attr CN",Attributes!$1:$1,0)-1),"#",$B12*$B$1&amp;"-"&amp;$C12*$B$1)</f>
        <v>+9-15力量</v>
      </c>
      <c r="E12" s="116" t="str">
        <f ca="1">SUBSTITUTE(OFFSET(Attributes!$A$1,MATCH($A12,Attributes!$A:$A,0)-1,MATCH("Attr EN",Attributes!$1:$1,0)-1),"#",$B12*$B$1&amp;"-"&amp;$C12*$B$1)</f>
        <v>+9-15 Strength</v>
      </c>
      <c r="F12" s="32" t="str">
        <f ca="1">FormatItemDescription(D11:D13)</f>
        <v>+9-15力量|N+9-15敏捷</v>
      </c>
      <c r="G12" s="32" t="str">
        <f ca="1">FormatItemDescription(E11:E13)</f>
        <v>+9-15 Strength|N+9-15 Agility</v>
      </c>
      <c r="H12" s="36" t="s">
        <v>571</v>
      </c>
      <c r="I12" s="36" t="str">
        <f t="shared" si="0"/>
        <v>FFFFFF</v>
      </c>
    </row>
    <row r="13" spans="1:10" x14ac:dyDescent="0.25">
      <c r="A13" s="36">
        <v>13</v>
      </c>
      <c r="B13" s="77">
        <v>3</v>
      </c>
      <c r="C13" s="77">
        <v>5</v>
      </c>
      <c r="D13" s="84" t="str">
        <f ca="1">SUBSTITUTE(OFFSET(Attributes!$A$1,MATCH($A13,Attributes!$A:$A,0)-1,MATCH("Attr CN",Attributes!$1:$1,0)-1),"#",$B13*$B$1&amp;"-"&amp;$C13*$B$1)</f>
        <v>+9-15敏捷</v>
      </c>
      <c r="E13" s="116" t="str">
        <f ca="1">SUBSTITUTE(OFFSET(Attributes!$A$1,MATCH($A13,Attributes!$A:$A,0)-1,MATCH("Attr EN",Attributes!$1:$1,0)-1),"#",$B13*$B$1&amp;"-"&amp;$C13*$B$1)</f>
        <v>+9-15 Agility</v>
      </c>
      <c r="F13" s="32" t="str">
        <f ca="1">FormatItemUbertip(D12:D13)</f>
        <v>+9-15力量|N+9-15敏捷</v>
      </c>
      <c r="G13" s="32" t="str">
        <f ca="1">FormatItemUbertip(E12:E13)</f>
        <v>+9-15 Strength|N+9-15 Agility</v>
      </c>
      <c r="H13" s="36" t="s">
        <v>571</v>
      </c>
      <c r="I13" s="36" t="str">
        <f t="shared" si="0"/>
        <v>FFFFFF</v>
      </c>
    </row>
    <row r="14" spans="1:10" x14ac:dyDescent="0.25">
      <c r="D14" s="108"/>
      <c r="E14" s="117"/>
      <c r="F14" s="34"/>
      <c r="G14" s="34"/>
      <c r="H14" s="36" t="s">
        <v>571</v>
      </c>
      <c r="I14" s="36" t="str">
        <f t="shared" si="0"/>
        <v>000000</v>
      </c>
    </row>
    <row r="15" spans="1:10" x14ac:dyDescent="0.25">
      <c r="D15" s="107" t="s">
        <v>383</v>
      </c>
      <c r="E15" s="115" t="s">
        <v>549</v>
      </c>
      <c r="F15" s="32" t="str">
        <f>FormatItemName(D15)</f>
        <v>|CFF11FF11勇气勋章|R</v>
      </c>
      <c r="G15" s="32" t="str">
        <f>FormatItemName(E15)</f>
        <v>|CFF11FF11Medalion of Courage|R</v>
      </c>
      <c r="H15" s="36" t="s">
        <v>571</v>
      </c>
      <c r="I15" s="36" t="str">
        <f t="shared" si="0"/>
        <v>11FF11</v>
      </c>
    </row>
    <row r="16" spans="1:10" x14ac:dyDescent="0.25">
      <c r="A16" s="36">
        <v>4</v>
      </c>
      <c r="B16" s="77">
        <v>3</v>
      </c>
      <c r="C16" s="77">
        <v>5</v>
      </c>
      <c r="D16" s="84" t="str">
        <f ca="1">SUBSTITUTE(OFFSET(Attributes!$A$1,MATCH($A16,Attributes!$A:$A,0)-1,MATCH("Attr CN",Attributes!$1:$1,0)-1),"#",$B16*$B$1&amp;"-"&amp;$C16*$B$1)</f>
        <v>+9-15力量</v>
      </c>
      <c r="E16" s="116" t="str">
        <f ca="1">SUBSTITUTE(OFFSET(Attributes!$A$1,MATCH($A16,Attributes!$A:$A,0)-1,MATCH("Attr EN",Attributes!$1:$1,0)-1),"#",$B16*$B$1&amp;"-"&amp;$C16*$B$1)</f>
        <v>+9-15 Strength</v>
      </c>
      <c r="F16" s="32" t="str">
        <f ca="1">FormatItemDescription(D15:D17)</f>
        <v>+9-15力量|N+9-15智力</v>
      </c>
      <c r="G16" s="32" t="str">
        <f ca="1">FormatItemDescription(E15:E17)</f>
        <v>+9-15 Strength|N+9-15 Intelligence</v>
      </c>
      <c r="H16" s="36" t="s">
        <v>571</v>
      </c>
      <c r="I16" s="36" t="str">
        <f t="shared" si="0"/>
        <v>FFFFFF</v>
      </c>
    </row>
    <row r="17" spans="1:9" x14ac:dyDescent="0.25">
      <c r="A17" s="36">
        <v>14</v>
      </c>
      <c r="B17" s="77">
        <v>3</v>
      </c>
      <c r="C17" s="77">
        <v>5</v>
      </c>
      <c r="D17" s="84" t="str">
        <f ca="1">SUBSTITUTE(OFFSET(Attributes!$A$1,MATCH($A17,Attributes!$A:$A,0)-1,MATCH("Attr CN",Attributes!$1:$1,0)-1),"#",$B17*$B$1&amp;"-"&amp;$C17*$B$1)</f>
        <v>+9-15智力</v>
      </c>
      <c r="E17" s="116" t="str">
        <f ca="1">SUBSTITUTE(OFFSET(Attributes!$A$1,MATCH($A17,Attributes!$A:$A,0)-1,MATCH("Attr EN",Attributes!$1:$1,0)-1),"#",$B17*$B$1&amp;"-"&amp;$C17*$B$1)</f>
        <v>+9-15 Intelligence</v>
      </c>
      <c r="F17" s="32" t="str">
        <f ca="1">FormatItemUbertip(D16:D17)</f>
        <v>+9-15力量|N+9-15智力</v>
      </c>
      <c r="G17" s="32" t="str">
        <f ca="1">FormatItemUbertip(E16:E17)</f>
        <v>+9-15 Strength|N+9-15 Intelligence</v>
      </c>
      <c r="H17" s="36" t="s">
        <v>571</v>
      </c>
      <c r="I17" s="36" t="str">
        <f t="shared" si="0"/>
        <v>FFFFFF</v>
      </c>
    </row>
    <row r="18" spans="1:9" x14ac:dyDescent="0.25">
      <c r="D18" s="108"/>
      <c r="E18" s="117"/>
      <c r="F18" s="34"/>
      <c r="G18" s="34"/>
      <c r="H18" s="36" t="s">
        <v>571</v>
      </c>
      <c r="I18" s="36" t="str">
        <f t="shared" si="0"/>
        <v>000000</v>
      </c>
    </row>
    <row r="19" spans="1:9" x14ac:dyDescent="0.25">
      <c r="D19" s="107" t="s">
        <v>384</v>
      </c>
      <c r="E19" s="115" t="s">
        <v>550</v>
      </c>
      <c r="F19" s="32" t="str">
        <f>FormatItemName(D19)</f>
        <v>|CFF11FF11灵巧头巾|R</v>
      </c>
      <c r="G19" s="32" t="str">
        <f>FormatItemName(E19)</f>
        <v>|CFF11FF11Hood of Cunning|R</v>
      </c>
      <c r="H19" s="36" t="s">
        <v>571</v>
      </c>
      <c r="I19" s="36" t="str">
        <f t="shared" si="0"/>
        <v>11FF11</v>
      </c>
    </row>
    <row r="20" spans="1:9" x14ac:dyDescent="0.25">
      <c r="A20" s="36">
        <v>13</v>
      </c>
      <c r="B20" s="77">
        <v>3</v>
      </c>
      <c r="C20" s="77">
        <v>5</v>
      </c>
      <c r="D20" s="84" t="str">
        <f ca="1">SUBSTITUTE(OFFSET(Attributes!$A$1,MATCH($A20,Attributes!$A:$A,0)-1,MATCH("Attr CN",Attributes!$1:$1,0)-1),"#",$B20*$B$1&amp;"-"&amp;$C20*$B$1)</f>
        <v>+9-15敏捷</v>
      </c>
      <c r="E20" s="116" t="str">
        <f ca="1">SUBSTITUTE(OFFSET(Attributes!$A$1,MATCH($A20,Attributes!$A:$A,0)-1,MATCH("Attr EN",Attributes!$1:$1,0)-1),"#",$B20*$B$1&amp;"-"&amp;$C20*$B$1)</f>
        <v>+9-15 Agility</v>
      </c>
      <c r="F20" s="32" t="str">
        <f ca="1">FormatItemDescription(D19:D21)</f>
        <v>+9-15敏捷|N+9-15智力</v>
      </c>
      <c r="G20" s="32" t="str">
        <f ca="1">FormatItemDescription(E19:E21)</f>
        <v>+9-15 Agility|N+9-15 Intelligence</v>
      </c>
      <c r="H20" s="36" t="s">
        <v>571</v>
      </c>
      <c r="I20" s="36" t="str">
        <f t="shared" si="0"/>
        <v>FFFFFF</v>
      </c>
    </row>
    <row r="21" spans="1:9" x14ac:dyDescent="0.25">
      <c r="A21" s="36">
        <v>14</v>
      </c>
      <c r="B21" s="77">
        <v>3</v>
      </c>
      <c r="C21" s="77">
        <v>5</v>
      </c>
      <c r="D21" s="84" t="str">
        <f ca="1">SUBSTITUTE(OFFSET(Attributes!$A$1,MATCH($A21,Attributes!$A:$A,0)-1,MATCH("Attr CN",Attributes!$1:$1,0)-1),"#",$B21*$B$1&amp;"-"&amp;$C21*$B$1)</f>
        <v>+9-15智力</v>
      </c>
      <c r="E21" s="116" t="str">
        <f ca="1">SUBSTITUTE(OFFSET(Attributes!$A$1,MATCH($A21,Attributes!$A:$A,0)-1,MATCH("Attr EN",Attributes!$1:$1,0)-1),"#",$B21*$B$1&amp;"-"&amp;$C21*$B$1)</f>
        <v>+9-15 Intelligence</v>
      </c>
      <c r="F21" s="32" t="str">
        <f ca="1">FormatItemUbertip(D20:D21)</f>
        <v>+9-15敏捷|N+9-15智力</v>
      </c>
      <c r="G21" s="32" t="str">
        <f ca="1">FormatItemUbertip(E20:E21)</f>
        <v>+9-15 Agility|N+9-15 Intelligence</v>
      </c>
      <c r="H21" s="36" t="s">
        <v>571</v>
      </c>
      <c r="I21" s="36" t="str">
        <f t="shared" si="0"/>
        <v>FFFFFF</v>
      </c>
    </row>
    <row r="22" spans="1:9" x14ac:dyDescent="0.25">
      <c r="H22" s="36" t="s">
        <v>571</v>
      </c>
      <c r="I22" s="36" t="str">
        <f t="shared" si="0"/>
        <v>000000</v>
      </c>
    </row>
    <row r="23" spans="1:9" x14ac:dyDescent="0.25">
      <c r="D23" s="107" t="s">
        <v>385</v>
      </c>
      <c r="E23" s="115" t="s">
        <v>551</v>
      </c>
      <c r="F23" s="32" t="str">
        <f>FormatItemName(D23)</f>
        <v>|CFF11FF11攻击之爪|R</v>
      </c>
      <c r="G23" s="32" t="str">
        <f>FormatItemName(E23)</f>
        <v>|CFF11FF11Claws of Attack|R</v>
      </c>
      <c r="H23" s="36" t="s">
        <v>571</v>
      </c>
      <c r="I23" s="36" t="str">
        <f t="shared" si="0"/>
        <v>11FF11</v>
      </c>
    </row>
    <row r="24" spans="1:9" x14ac:dyDescent="0.25">
      <c r="A24" s="36">
        <v>9</v>
      </c>
      <c r="B24" s="77">
        <v>4</v>
      </c>
      <c r="C24" s="77">
        <v>7</v>
      </c>
      <c r="D24" s="84" t="str">
        <f ca="1">SUBSTITUTE(OFFSET(Attributes!$A$1,MATCH($A24,Attributes!$A:$A,0)-1,MATCH("Attr CN",Attributes!$1:$1,0)-1),"#",$B24*$B$1&amp;"-"&amp;$C24*$B$1)</f>
        <v>+12-21攻击强度</v>
      </c>
      <c r="E24" s="116" t="str">
        <f ca="1">SUBSTITUTE(OFFSET(Attributes!$A$1,MATCH($A24,Attributes!$A:$A,0)-1,MATCH("Attr EN",Attributes!$1:$1,0)-1),"#",$B24*$B$1&amp;"-"&amp;$C24*$B$1)</f>
        <v>+12-21 Attack power</v>
      </c>
      <c r="F24" s="32" t="str">
        <f ca="1">FormatItemDescription(D23:D24)</f>
        <v>+12-21攻击强度</v>
      </c>
      <c r="G24" s="32" t="str">
        <f ca="1">FormatItemDescription(E23:E24)</f>
        <v>+12-21 Attack power</v>
      </c>
      <c r="H24" s="36" t="s">
        <v>571</v>
      </c>
      <c r="I24" s="36" t="str">
        <f t="shared" si="0"/>
        <v>FFFFFF</v>
      </c>
    </row>
    <row r="25" spans="1:9" x14ac:dyDescent="0.25">
      <c r="D25" s="111"/>
      <c r="E25" s="120"/>
      <c r="F25" s="32" t="str">
        <f ca="1">FormatItemUbertip(D24)</f>
        <v>+12-21攻击强度</v>
      </c>
      <c r="G25" s="32" t="str">
        <f ca="1">FormatItemUbertip(E24)</f>
        <v>+12-21 Attack power</v>
      </c>
      <c r="H25" s="36" t="s">
        <v>571</v>
      </c>
      <c r="I25" s="36" t="str">
        <f t="shared" si="0"/>
        <v>000000</v>
      </c>
    </row>
    <row r="26" spans="1:9" x14ac:dyDescent="0.25">
      <c r="D26" s="111"/>
      <c r="E26" s="120"/>
      <c r="F26" s="32"/>
      <c r="G26" s="32"/>
      <c r="H26" s="36" t="s">
        <v>571</v>
      </c>
      <c r="I26" s="36" t="str">
        <f t="shared" si="0"/>
        <v>000000</v>
      </c>
    </row>
    <row r="27" spans="1:9" x14ac:dyDescent="0.25">
      <c r="D27" s="107" t="s">
        <v>386</v>
      </c>
      <c r="E27" s="115" t="s">
        <v>552</v>
      </c>
      <c r="F27" s="32" t="str">
        <f>FormatItemName(D27)</f>
        <v>|CFF11FF11加速手套|R</v>
      </c>
      <c r="G27" s="32" t="str">
        <f>FormatItemName(E27)</f>
        <v>|CFF11FF11Gloves of Haste|R</v>
      </c>
      <c r="H27" s="36" t="s">
        <v>571</v>
      </c>
      <c r="I27" s="36" t="str">
        <f t="shared" si="0"/>
        <v>11FF11</v>
      </c>
    </row>
    <row r="28" spans="1:9" x14ac:dyDescent="0.25">
      <c r="A28" s="36">
        <v>12</v>
      </c>
      <c r="B28" s="77">
        <v>4</v>
      </c>
      <c r="C28" s="77">
        <v>7</v>
      </c>
      <c r="D28" s="84" t="str">
        <f ca="1">SUBSTITUTE(OFFSET(Attributes!$A$1,MATCH($A28,Attributes!$A:$A,0)-1,MATCH("Attr CN",Attributes!$1:$1,0)-1),"#",$B28*$B$1&amp;"-"&amp;$C28*$B$1)</f>
        <v>+12-21%攻击速度</v>
      </c>
      <c r="E28" s="116" t="str">
        <f ca="1">SUBSTITUTE(OFFSET(Attributes!$A$1,MATCH($A28,Attributes!$A:$A,0)-1,MATCH("Attr EN",Attributes!$1:$1,0)-1),"#",$B28*$B$1&amp;"-"&amp;$C28*$B$1)</f>
        <v>+12-21% Attack speed</v>
      </c>
      <c r="F28" s="32" t="str">
        <f ca="1">FormatItemDescription(D27:D28)</f>
        <v>+12-21%攻击速度</v>
      </c>
      <c r="G28" s="32" t="str">
        <f ca="1">FormatItemDescription(E27:E28)</f>
        <v>+12-21% Attack speed</v>
      </c>
      <c r="H28" s="36" t="s">
        <v>571</v>
      </c>
      <c r="I28" s="36" t="str">
        <f t="shared" si="0"/>
        <v>FFFFFF</v>
      </c>
    </row>
    <row r="29" spans="1:9" x14ac:dyDescent="0.25">
      <c r="D29" s="111"/>
      <c r="E29" s="120"/>
      <c r="F29" s="32" t="str">
        <f ca="1">FormatItemUbertip(D28)</f>
        <v>+12-21%攻击速度</v>
      </c>
      <c r="G29" s="32" t="str">
        <f ca="1">FormatItemUbertip(E28)</f>
        <v>+12-21% Attack speed</v>
      </c>
      <c r="H29" s="36" t="s">
        <v>571</v>
      </c>
      <c r="I29" s="36" t="str">
        <f t="shared" si="0"/>
        <v>000000</v>
      </c>
    </row>
    <row r="30" spans="1:9" x14ac:dyDescent="0.25">
      <c r="D30" s="111"/>
      <c r="E30" s="120"/>
      <c r="F30" s="32"/>
      <c r="G30" s="32"/>
      <c r="H30" s="36" t="s">
        <v>571</v>
      </c>
      <c r="I30" s="36" t="str">
        <f t="shared" si="0"/>
        <v>000000</v>
      </c>
    </row>
    <row r="31" spans="1:9" x14ac:dyDescent="0.25">
      <c r="D31" s="107" t="s">
        <v>387</v>
      </c>
      <c r="E31" s="115" t="s">
        <v>553</v>
      </c>
      <c r="F31" s="32" t="str">
        <f>FormatItemName(D31)</f>
        <v>|CFF11FF11刺杀剑|R</v>
      </c>
      <c r="G31" s="32" t="str">
        <f>FormatItemName(E31)</f>
        <v>|CFF11FF11Sword of Assassination|R</v>
      </c>
      <c r="H31" s="36" t="s">
        <v>571</v>
      </c>
      <c r="I31" s="36" t="str">
        <f t="shared" si="0"/>
        <v>11FF11</v>
      </c>
    </row>
    <row r="32" spans="1:9" x14ac:dyDescent="0.25">
      <c r="A32" s="36">
        <v>11</v>
      </c>
      <c r="B32" s="77">
        <v>0.02</v>
      </c>
      <c r="C32" s="77">
        <v>0.04</v>
      </c>
      <c r="D32" s="84" t="str">
        <f ca="1">SUBSTITUTE(OFFSET(Attributes!$A$1,MATCH($A32,Attributes!$A:$A,0)-1,MATCH("Attr CN",Attributes!$1:$1,0)-1),"#",$B32*$B$1&amp;"-"&amp;$C32*$B$1)</f>
        <v>+0.06-0.12攻击暴击</v>
      </c>
      <c r="E32" s="116" t="str">
        <f ca="1">SUBSTITUTE(OFFSET(Attributes!$A$1,MATCH($A32,Attributes!$A:$A,0)-1,MATCH("Attr EN",Attributes!$1:$1,0)-1),"#",$B32*$B$1&amp;"-"&amp;$C32*$B$1)</f>
        <v>+0.06-0.12 Attack critical</v>
      </c>
      <c r="F32" s="32" t="str">
        <f ca="1">FormatItemDescription(D31:D32)</f>
        <v>+0.06-0.12攻击暴击</v>
      </c>
      <c r="G32" s="32" t="str">
        <f ca="1">FormatItemDescription(E31:E32)</f>
        <v>+0.06-0.12 Attack critical</v>
      </c>
      <c r="H32" s="36" t="s">
        <v>571</v>
      </c>
      <c r="I32" s="36" t="str">
        <f t="shared" si="0"/>
        <v>FFFFFF</v>
      </c>
    </row>
    <row r="33" spans="1:9" x14ac:dyDescent="0.25">
      <c r="F33" s="32" t="str">
        <f ca="1">FormatItemUbertip(D32)</f>
        <v>+0.06-0.12攻击暴击</v>
      </c>
      <c r="G33" s="32" t="str">
        <f ca="1">FormatItemUbertip(E32)</f>
        <v>+0.06-0.12 Attack critical</v>
      </c>
      <c r="H33" s="36" t="s">
        <v>571</v>
      </c>
      <c r="I33" s="36" t="str">
        <f t="shared" si="0"/>
        <v>000000</v>
      </c>
    </row>
    <row r="34" spans="1:9" x14ac:dyDescent="0.25">
      <c r="F34" s="32"/>
      <c r="G34" s="32"/>
      <c r="H34" s="36" t="s">
        <v>571</v>
      </c>
      <c r="I34" s="36" t="str">
        <f t="shared" si="0"/>
        <v>000000</v>
      </c>
    </row>
    <row r="35" spans="1:9" x14ac:dyDescent="0.25">
      <c r="D35" s="107" t="s">
        <v>388</v>
      </c>
      <c r="E35" s="115" t="s">
        <v>554</v>
      </c>
      <c r="F35" s="32" t="str">
        <f>FormatItemName(D35)</f>
        <v>|CFF11FF11生命护符|R</v>
      </c>
      <c r="G35" s="32" t="str">
        <f>FormatItemName(E35)</f>
        <v>|CFF11FF11Vitality Periapt|R</v>
      </c>
      <c r="H35" s="36" t="s">
        <v>571</v>
      </c>
      <c r="I35" s="36" t="str">
        <f t="shared" si="0"/>
        <v>11FF11</v>
      </c>
    </row>
    <row r="36" spans="1:9" x14ac:dyDescent="0.25">
      <c r="A36" s="36">
        <v>21</v>
      </c>
      <c r="B36" s="77">
        <v>80</v>
      </c>
      <c r="C36" s="77">
        <v>120</v>
      </c>
      <c r="D36" s="84" t="str">
        <f ca="1">SUBSTITUTE(OFFSET(Attributes!$A$1,MATCH($A36,Attributes!$A:$A,0)-1,MATCH("Attr CN",Attributes!$1:$1,0)-1),"#",$B36*$B$1&amp;"-"&amp;$C36*$B$1)</f>
        <v>+240-360生命上限</v>
      </c>
      <c r="E36" s="116" t="str">
        <f ca="1">SUBSTITUTE(OFFSET(Attributes!$A$1,MATCH($A36,Attributes!$A:$A,0)-1,MATCH("Attr EN",Attributes!$1:$1,0)-1),"#",$B36*$B$1&amp;"-"&amp;$C36*$B$1)</f>
        <v>+240-360 Max HP</v>
      </c>
      <c r="F36" s="32" t="str">
        <f ca="1">FormatItemDescription(D35:D36)</f>
        <v>+240-360生命上限</v>
      </c>
      <c r="G36" s="32" t="str">
        <f ca="1">FormatItemDescription(E35:E36)</f>
        <v>+240-360 Max HP</v>
      </c>
      <c r="H36" s="36" t="s">
        <v>571</v>
      </c>
      <c r="I36" s="36" t="str">
        <f t="shared" si="0"/>
        <v>FFFFFF</v>
      </c>
    </row>
    <row r="37" spans="1:9" x14ac:dyDescent="0.25">
      <c r="D37" s="108"/>
      <c r="E37" s="117"/>
      <c r="F37" s="32" t="str">
        <f ca="1">FormatItemUbertip(D36)</f>
        <v>+240-360生命上限</v>
      </c>
      <c r="G37" s="32" t="str">
        <f ca="1">FormatItemUbertip(E36)</f>
        <v>+240-360 Max HP</v>
      </c>
      <c r="H37" s="36" t="s">
        <v>571</v>
      </c>
      <c r="I37" s="36" t="str">
        <f t="shared" si="0"/>
        <v>000000</v>
      </c>
    </row>
    <row r="38" spans="1:9" x14ac:dyDescent="0.25">
      <c r="D38" s="108"/>
      <c r="E38" s="117"/>
      <c r="F38" s="32"/>
      <c r="G38" s="32"/>
      <c r="H38" s="36" t="s">
        <v>571</v>
      </c>
      <c r="I38" s="36" t="str">
        <f t="shared" si="0"/>
        <v>000000</v>
      </c>
    </row>
    <row r="39" spans="1:9" x14ac:dyDescent="0.25">
      <c r="D39" s="107" t="s">
        <v>389</v>
      </c>
      <c r="E39" s="115" t="s">
        <v>555</v>
      </c>
      <c r="F39" s="32" t="str">
        <f>FormatItemName(D39)</f>
        <v>|CFF11FF11守护指环|R</v>
      </c>
      <c r="G39" s="32" t="str">
        <f>FormatItemName(E39)</f>
        <v>|CFF11FF11Ring of Protection|R</v>
      </c>
      <c r="H39" s="36" t="s">
        <v>571</v>
      </c>
      <c r="I39" s="36" t="str">
        <f t="shared" si="0"/>
        <v>11FF11</v>
      </c>
    </row>
    <row r="40" spans="1:9" x14ac:dyDescent="0.25">
      <c r="A40" s="36">
        <v>8</v>
      </c>
      <c r="B40" s="77">
        <v>2</v>
      </c>
      <c r="C40" s="77">
        <v>2</v>
      </c>
      <c r="D40" s="84" t="str">
        <f ca="1">SUBSTITUTE(OFFSET(Attributes!$A$1,MATCH($A40,Attributes!$A:$A,0)-1,MATCH("Attr CN",Attributes!$1:$1,0)-1),"#",$B40*$B$1&amp;"-"&amp;$C40*$B$1)</f>
        <v>+6-6护甲</v>
      </c>
      <c r="E40" s="116" t="str">
        <f ca="1">SUBSTITUTE(OFFSET(Attributes!$A$1,MATCH($A40,Attributes!$A:$A,0)-1,MATCH("Attr EN",Attributes!$1:$1,0)-1),"#",$B40*$B$1&amp;"-"&amp;$C40*$B$1)</f>
        <v>+6-6 Armor</v>
      </c>
      <c r="F40" s="32" t="str">
        <f ca="1">FormatItemDescription(D39:D40)</f>
        <v>+6-6护甲</v>
      </c>
      <c r="G40" s="32" t="str">
        <f ca="1">FormatItemDescription(E39:E40)</f>
        <v>+6-6 Armor</v>
      </c>
      <c r="H40" s="36" t="s">
        <v>571</v>
      </c>
      <c r="I40" s="36" t="str">
        <f t="shared" si="0"/>
        <v>FFFFFF</v>
      </c>
    </row>
    <row r="41" spans="1:9" x14ac:dyDescent="0.25">
      <c r="D41" s="108"/>
      <c r="E41" s="117"/>
      <c r="F41" s="32" t="str">
        <f ca="1">FormatItemUbertip(D40)</f>
        <v>+6-6护甲</v>
      </c>
      <c r="G41" s="32" t="str">
        <f ca="1">FormatItemUbertip(E40)</f>
        <v>+6-6 Armor</v>
      </c>
      <c r="H41" s="36" t="s">
        <v>571</v>
      </c>
      <c r="I41" s="36" t="str">
        <f t="shared" si="0"/>
        <v>000000</v>
      </c>
    </row>
    <row r="42" spans="1:9" x14ac:dyDescent="0.25">
      <c r="D42" s="108"/>
      <c r="E42" s="117"/>
      <c r="F42" s="32"/>
      <c r="G42" s="32"/>
      <c r="H42" s="36" t="s">
        <v>571</v>
      </c>
      <c r="I42" s="36" t="str">
        <f t="shared" si="0"/>
        <v>000000</v>
      </c>
    </row>
    <row r="43" spans="1:9" x14ac:dyDescent="0.25">
      <c r="D43" s="107" t="s">
        <v>390</v>
      </c>
      <c r="E43" s="115" t="s">
        <v>556</v>
      </c>
      <c r="F43" s="32" t="str">
        <f>FormatItemName(D43)</f>
        <v>|CFF11FF11闪避护符|R</v>
      </c>
      <c r="G43" s="32" t="str">
        <f>FormatItemName(E43)</f>
        <v>|CFF11FF11Talisman of Evasion|R</v>
      </c>
      <c r="H43" s="36" t="s">
        <v>571</v>
      </c>
      <c r="I43" s="36" t="str">
        <f t="shared" si="0"/>
        <v>11FF11</v>
      </c>
    </row>
    <row r="44" spans="1:9" x14ac:dyDescent="0.25">
      <c r="A44" s="36">
        <v>27</v>
      </c>
      <c r="B44" s="77">
        <v>0.02</v>
      </c>
      <c r="C44" s="77">
        <v>0.03</v>
      </c>
      <c r="D44" s="84" t="str">
        <f ca="1">SUBSTITUTE(OFFSET(Attributes!$A$1,MATCH($A44,Attributes!$A:$A,0)-1,MATCH("Attr CN",Attributes!$1:$1,0)-1),"#",$B44*$B$1&amp;"-"&amp;$C44*$B$1)</f>
        <v>+0.06-0.09躲闪</v>
      </c>
      <c r="E44" s="116" t="str">
        <f ca="1">SUBSTITUTE(OFFSET(Attributes!$A$1,MATCH($A44,Attributes!$A:$A,0)-1,MATCH("Attr EN",Attributes!$1:$1,0)-1),"#",$B44*$B$1&amp;"-"&amp;$C44*$B$1)</f>
        <v>+0.06-0.09 Dodge chance</v>
      </c>
      <c r="F44" s="32" t="str">
        <f ca="1">FormatItemDescription(D43:D44)</f>
        <v>+0.06-0.09躲闪</v>
      </c>
      <c r="G44" s="32" t="str">
        <f ca="1">FormatItemDescription(E43:E44)</f>
        <v>+0.06-0.09 Dodge chance</v>
      </c>
      <c r="H44" s="36" t="s">
        <v>571</v>
      </c>
      <c r="I44" s="36" t="str">
        <f t="shared" si="0"/>
        <v>FFFFFF</v>
      </c>
    </row>
    <row r="45" spans="1:9" x14ac:dyDescent="0.25">
      <c r="F45" s="32" t="str">
        <f ca="1">FormatItemUbertip(D44)</f>
        <v>+0.06-0.09躲闪</v>
      </c>
      <c r="G45" s="32" t="str">
        <f ca="1">FormatItemUbertip(E44)</f>
        <v>+0.06-0.09 Dodge chance</v>
      </c>
      <c r="H45" s="36" t="s">
        <v>571</v>
      </c>
      <c r="I45" s="36" t="str">
        <f t="shared" si="0"/>
        <v>000000</v>
      </c>
    </row>
    <row r="46" spans="1:9" x14ac:dyDescent="0.25">
      <c r="F46" s="32"/>
      <c r="G46" s="32"/>
      <c r="H46" s="36" t="s">
        <v>571</v>
      </c>
      <c r="I46" s="36" t="str">
        <f t="shared" si="0"/>
        <v>000000</v>
      </c>
    </row>
    <row r="47" spans="1:9" x14ac:dyDescent="0.25">
      <c r="D47" s="107" t="s">
        <v>391</v>
      </c>
      <c r="E47" s="115" t="s">
        <v>557</v>
      </c>
      <c r="F47" s="32" t="str">
        <f>FormatItemName(D47)</f>
        <v>|CFF11FF11能量垂饰|R</v>
      </c>
      <c r="G47" s="32" t="str">
        <f>FormatItemName(E47)</f>
        <v>|CFF11FF11Mana Periapt|R</v>
      </c>
      <c r="H47" s="36" t="s">
        <v>571</v>
      </c>
      <c r="I47" s="36" t="str">
        <f t="shared" si="0"/>
        <v>11FF11</v>
      </c>
    </row>
    <row r="48" spans="1:9" x14ac:dyDescent="0.25">
      <c r="A48" s="36">
        <v>17</v>
      </c>
      <c r="B48" s="77">
        <v>100</v>
      </c>
      <c r="C48" s="77">
        <v>200</v>
      </c>
      <c r="D48" s="84" t="str">
        <f ca="1">SUBSTITUTE(OFFSET(Attributes!$A$1,MATCH($A48,Attributes!$A:$A,0)-1,MATCH("Attr CN",Attributes!$1:$1,0)-1),"#",$B48*$B$1&amp;"-"&amp;$C48*$B$1)</f>
        <v>+300-600法力上限</v>
      </c>
      <c r="E48" s="116" t="str">
        <f ca="1">SUBSTITUTE(OFFSET(Attributes!$A$1,MATCH($A48,Attributes!$A:$A,0)-1,MATCH("Attr EN",Attributes!$1:$1,0)-1),"#",$B48*$B$1&amp;"-"&amp;$C48*$B$1)</f>
        <v>+300-600 Max MP</v>
      </c>
      <c r="F48" s="32" t="str">
        <f ca="1">FormatItemDescription(D47:D48)</f>
        <v>+300-600法力上限</v>
      </c>
      <c r="G48" s="32" t="str">
        <f ca="1">FormatItemDescription(E47:E48)</f>
        <v>+300-600 Max MP</v>
      </c>
      <c r="H48" s="36" t="s">
        <v>571</v>
      </c>
      <c r="I48" s="36" t="str">
        <f t="shared" si="0"/>
        <v>FFFFFF</v>
      </c>
    </row>
    <row r="49" spans="1:9" x14ac:dyDescent="0.25">
      <c r="F49" s="32" t="str">
        <f ca="1">FormatItemUbertip(D48)</f>
        <v>+300-600法力上限</v>
      </c>
      <c r="G49" s="32" t="str">
        <f ca="1">FormatItemUbertip(E48)</f>
        <v>+300-600 Max MP</v>
      </c>
      <c r="H49" s="36" t="s">
        <v>571</v>
      </c>
      <c r="I49" s="36" t="str">
        <f t="shared" si="0"/>
        <v>000000</v>
      </c>
    </row>
    <row r="50" spans="1:9" x14ac:dyDescent="0.25">
      <c r="F50" s="32"/>
      <c r="G50" s="32"/>
      <c r="H50" s="36" t="s">
        <v>571</v>
      </c>
      <c r="I50" s="36" t="str">
        <f t="shared" si="0"/>
        <v>000000</v>
      </c>
    </row>
    <row r="51" spans="1:9" x14ac:dyDescent="0.25">
      <c r="D51" s="107" t="s">
        <v>392</v>
      </c>
      <c r="E51" s="115" t="s">
        <v>558</v>
      </c>
      <c r="F51" s="32" t="str">
        <f>FormatItemName(D51)</f>
        <v>|CFF11FF11艺人面罩|R</v>
      </c>
      <c r="G51" s="32" t="str">
        <f>FormatItemName(E51)</f>
        <v>|CFF11FF11Sobi Mask|R</v>
      </c>
      <c r="H51" s="36" t="s">
        <v>571</v>
      </c>
      <c r="I51" s="36" t="str">
        <f t="shared" si="0"/>
        <v>11FF11</v>
      </c>
    </row>
    <row r="52" spans="1:9" x14ac:dyDescent="0.25">
      <c r="A52" s="36">
        <v>72</v>
      </c>
      <c r="B52" s="77">
        <v>3</v>
      </c>
      <c r="C52" s="77">
        <v>5</v>
      </c>
      <c r="D52" s="84" t="str">
        <f ca="1">SUBSTITUTE(OFFSET(Attributes!$A$1,MATCH($A52,Attributes!$A:$A,0)-1,MATCH("Attr CN",Attributes!$1:$1,0)-1),"#",$B52*$B$1&amp;"-"&amp;$C52*$B$1)</f>
        <v>每秒回复9-15点法力值</v>
      </c>
      <c r="E52" s="116" t="str">
        <f ca="1">SUBSTITUTE(OFFSET(Attributes!$A$1,MATCH($A52,Attributes!$A:$A,0)-1,MATCH("Attr EN",Attributes!$1:$1,0)-1),"#",$B52*$B$1&amp;"-"&amp;$C52*$B$1)</f>
        <v>Regens 9-15 MP per second</v>
      </c>
      <c r="F52" s="32" t="str">
        <f ca="1">FormatItemDescription(D51:D52)</f>
        <v>每秒回复9-15点法力值</v>
      </c>
      <c r="G52" s="32" t="str">
        <f ca="1">FormatItemDescription(E51:E52)</f>
        <v>Regens 9-15 MP per second</v>
      </c>
      <c r="H52" s="36" t="s">
        <v>571</v>
      </c>
      <c r="I52" s="36" t="str">
        <f t="shared" si="0"/>
        <v>FFFFFF</v>
      </c>
    </row>
    <row r="53" spans="1:9" x14ac:dyDescent="0.25">
      <c r="F53" s="32" t="str">
        <f ca="1">FormatItemUbertip(D52)</f>
        <v>每秒回复9-15点法力值</v>
      </c>
      <c r="G53" s="32" t="str">
        <f ca="1">FormatItemUbertip(E52)</f>
        <v>Regens 9-15 MP per second</v>
      </c>
      <c r="H53" s="36" t="s">
        <v>571</v>
      </c>
      <c r="I53" s="36" t="str">
        <f t="shared" si="0"/>
        <v>000000</v>
      </c>
    </row>
    <row r="54" spans="1:9" x14ac:dyDescent="0.25">
      <c r="F54" s="32"/>
      <c r="G54" s="32"/>
      <c r="H54" s="36" t="s">
        <v>571</v>
      </c>
      <c r="I54" s="36" t="str">
        <f t="shared" si="0"/>
        <v>000000</v>
      </c>
    </row>
    <row r="55" spans="1:9" x14ac:dyDescent="0.25">
      <c r="D55" s="107" t="s">
        <v>393</v>
      </c>
      <c r="E55" s="115" t="s">
        <v>559</v>
      </c>
      <c r="F55" s="32" t="str">
        <f>FormatItemName(D55)</f>
        <v>|CFF11FF11巫医法杖|R</v>
      </c>
      <c r="G55" s="32" t="str">
        <f>FormatItemName(E55)</f>
        <v>|CFF11FF11Staff of the Witch Doctor|R</v>
      </c>
      <c r="H55" s="36" t="s">
        <v>571</v>
      </c>
      <c r="I55" s="36" t="str">
        <f t="shared" si="0"/>
        <v>11FF11</v>
      </c>
    </row>
    <row r="56" spans="1:9" x14ac:dyDescent="0.25">
      <c r="A56" s="36">
        <v>18</v>
      </c>
      <c r="B56" s="77">
        <v>6</v>
      </c>
      <c r="C56" s="77">
        <v>16</v>
      </c>
      <c r="D56" s="84" t="str">
        <f ca="1">SUBSTITUTE(OFFSET(Attributes!$A$1,MATCH($A56,Attributes!$A:$A,0)-1,MATCH("Attr CN",Attributes!$1:$1,0)-1),"#",$B56*$B$1&amp;"-"&amp;$C56*$B$1)</f>
        <v>+18-48法术强度</v>
      </c>
      <c r="E56" s="116" t="str">
        <f ca="1">SUBSTITUTE(OFFSET(Attributes!$A$1,MATCH($A56,Attributes!$A:$A,0)-1,MATCH("Attr EN",Attributes!$1:$1,0)-1),"#",$B56*$B$1&amp;"-"&amp;$C56*$B$1)</f>
        <v>+18-48 Spell power</v>
      </c>
      <c r="F56" s="32" t="str">
        <f ca="1">FormatItemDescription(D55:D56)</f>
        <v>+18-48法术强度</v>
      </c>
      <c r="G56" s="32" t="str">
        <f ca="1">FormatItemDescription(E55:E56)</f>
        <v>+18-48 Spell power</v>
      </c>
      <c r="H56" s="36" t="s">
        <v>571</v>
      </c>
      <c r="I56" s="36" t="str">
        <f t="shared" si="0"/>
        <v>FFFFFF</v>
      </c>
    </row>
    <row r="57" spans="1:9" x14ac:dyDescent="0.25">
      <c r="F57" s="32" t="str">
        <f ca="1">FormatItemUbertip(D56)</f>
        <v>+18-48法术强度</v>
      </c>
      <c r="G57" s="32" t="str">
        <f ca="1">FormatItemUbertip(E56)</f>
        <v>+18-48 Spell power</v>
      </c>
      <c r="H57" s="36" t="s">
        <v>571</v>
      </c>
      <c r="I57" s="36" t="str">
        <f t="shared" si="0"/>
        <v>000000</v>
      </c>
    </row>
    <row r="58" spans="1:9" x14ac:dyDescent="0.25">
      <c r="F58" s="32"/>
      <c r="G58" s="32"/>
      <c r="H58" s="36" t="s">
        <v>571</v>
      </c>
      <c r="I58" s="36" t="str">
        <f t="shared" si="0"/>
        <v>000000</v>
      </c>
    </row>
    <row r="59" spans="1:9" x14ac:dyDescent="0.25">
      <c r="D59" s="107" t="s">
        <v>394</v>
      </c>
      <c r="E59" s="115" t="s">
        <v>560</v>
      </c>
      <c r="F59" s="32" t="str">
        <f>FormatItemName(D59)</f>
        <v>|CFF11FF11医疗石|R</v>
      </c>
      <c r="G59" s="32" t="str">
        <f>FormatItemName(E59)</f>
        <v>|CFF11FF11Health Stone|R</v>
      </c>
      <c r="H59" s="36" t="s">
        <v>571</v>
      </c>
      <c r="I59" s="36" t="str">
        <f t="shared" si="0"/>
        <v>11FF11</v>
      </c>
    </row>
    <row r="60" spans="1:9" x14ac:dyDescent="0.25">
      <c r="A60" s="36">
        <v>73</v>
      </c>
      <c r="B60" s="77">
        <v>3</v>
      </c>
      <c r="C60" s="77">
        <v>5</v>
      </c>
      <c r="D60" s="84" t="str">
        <f ca="1">SUBSTITUTE(OFFSET(Attributes!$A$1,MATCH($A60,Attributes!$A:$A,0)-1,MATCH("Attr CN",Attributes!$1:$1,0)-1),"#",$B60*$B$1&amp;"-"&amp;$C60*$B$1)</f>
        <v>每秒回复9-15点生命值</v>
      </c>
      <c r="E60" s="116" t="str">
        <f ca="1">SUBSTITUTE(OFFSET(Attributes!$A$1,MATCH($A60,Attributes!$A:$A,0)-1,MATCH("Attr EN",Attributes!$1:$1,0)-1),"#",$B60*$B$1&amp;"-"&amp;$C60*$B$1)</f>
        <v>Regens 9-15 HP per second</v>
      </c>
      <c r="F60" s="32" t="str">
        <f ca="1">FormatItemDescription(D59:D61)</f>
        <v>每秒回复9-15点生命值|N使用：回复1200-2400点生命值</v>
      </c>
      <c r="G60" s="32" t="str">
        <f ca="1">FormatItemDescription(E59:E61)</f>
        <v>Regens 9-15 HP per second|NUse: Regens 1200-2400 HP</v>
      </c>
      <c r="H60" s="36" t="s">
        <v>571</v>
      </c>
      <c r="I60" s="36" t="str">
        <f t="shared" si="0"/>
        <v>FFFFFF</v>
      </c>
    </row>
    <row r="61" spans="1:9" x14ac:dyDescent="0.25">
      <c r="A61" s="36">
        <v>31</v>
      </c>
      <c r="B61" s="77">
        <v>400</v>
      </c>
      <c r="C61" s="77">
        <v>800</v>
      </c>
      <c r="D61" s="84" t="str">
        <f ca="1">SUBSTITUTE(OFFSET(Attributes!$A$1,MATCH($A61,Attributes!$A:$A,0)-1,MATCH("Attr CN",Attributes!$1:$1,0)-1),"#",$B61*$B$1&amp;"-"&amp;$C61*$B$1)</f>
        <v>使用：回复1200-2400点生命值</v>
      </c>
      <c r="E61" s="116" t="str">
        <f ca="1">SUBSTITUTE(OFFSET(Attributes!$A$1,MATCH($A61,Attributes!$A:$A,0)-1,MATCH("Attr EN",Attributes!$1:$1,0)-1),"#",$B61*$B$1&amp;"-"&amp;$C61*$B$1)</f>
        <v>Use: Regens 1200-2400 HP</v>
      </c>
      <c r="F61" s="32" t="str">
        <f ca="1">FormatItemUbertip(D60:D61)</f>
        <v>每秒回复9-15点生命值|N使用：回复1200-2400点生命值</v>
      </c>
      <c r="G61" s="32" t="str">
        <f ca="1">FormatItemUbertip(E60:E61)</f>
        <v>Regens 9-15 HP per second|NUse: Regens 1200-2400 HP</v>
      </c>
      <c r="H61" s="36" t="s">
        <v>571</v>
      </c>
      <c r="I61" s="36" t="str">
        <f t="shared" si="0"/>
        <v>FFFFFF</v>
      </c>
    </row>
    <row r="62" spans="1:9" x14ac:dyDescent="0.25">
      <c r="D62" s="112"/>
      <c r="E62" s="121"/>
      <c r="F62" s="39"/>
      <c r="G62" s="39"/>
      <c r="H62" s="36" t="s">
        <v>571</v>
      </c>
      <c r="I62" s="36" t="str">
        <f t="shared" si="0"/>
        <v>38761D</v>
      </c>
    </row>
    <row r="63" spans="1:9" x14ac:dyDescent="0.25">
      <c r="D63" s="107" t="s">
        <v>395</v>
      </c>
      <c r="E63" s="115" t="s">
        <v>561</v>
      </c>
      <c r="F63" s="32" t="str">
        <f>FormatItemName(D63)</f>
        <v>|CFF11FF11魔法石|R</v>
      </c>
      <c r="G63" s="32" t="str">
        <f>FormatItemName(E63)</f>
        <v>|CFF11FF11Mana Stone|R</v>
      </c>
      <c r="H63" s="36" t="s">
        <v>571</v>
      </c>
      <c r="I63" s="36" t="str">
        <f t="shared" si="0"/>
        <v>11FF11</v>
      </c>
    </row>
    <row r="64" spans="1:9" x14ac:dyDescent="0.25">
      <c r="A64" s="36">
        <v>72</v>
      </c>
      <c r="B64" s="77">
        <v>2</v>
      </c>
      <c r="C64" s="77">
        <v>4</v>
      </c>
      <c r="D64" s="84" t="str">
        <f ca="1">SUBSTITUTE(OFFSET(Attributes!$A$1,MATCH($A64,Attributes!$A:$A,0)-1,MATCH("Attr CN",Attributes!$1:$1,0)-1),"#",$B64*$B$1&amp;"-"&amp;$C64*$B$1)</f>
        <v>每秒回复6-12点法力值</v>
      </c>
      <c r="E64" s="116" t="str">
        <f ca="1">SUBSTITUTE(OFFSET(Attributes!$A$1,MATCH($A64,Attributes!$A:$A,0)-1,MATCH("Attr EN",Attributes!$1:$1,0)-1),"#",$B64*$B$1&amp;"-"&amp;$C64*$B$1)</f>
        <v>Regens 6-12 MP per second</v>
      </c>
      <c r="F64" s="32" t="str">
        <f ca="1">FormatItemDescription(D63:D65)</f>
        <v>每秒回复6-12点法力值|N使用：回复600-1200点法力值</v>
      </c>
      <c r="G64" s="32" t="str">
        <f ca="1">FormatItemDescription(E63:E65)</f>
        <v>Regens 6-12 MP per second|NUse: Regens 600-1200 MP</v>
      </c>
      <c r="H64" s="36" t="s">
        <v>571</v>
      </c>
      <c r="I64" s="36" t="str">
        <f t="shared" si="0"/>
        <v>FFFFFF</v>
      </c>
    </row>
    <row r="65" spans="1:10" x14ac:dyDescent="0.25">
      <c r="A65" s="36">
        <v>30</v>
      </c>
      <c r="B65" s="77">
        <v>200</v>
      </c>
      <c r="C65" s="77">
        <v>400</v>
      </c>
      <c r="D65" s="84" t="str">
        <f ca="1">SUBSTITUTE(OFFSET(Attributes!$A$1,MATCH($A65,Attributes!$A:$A,0)-1,MATCH("Attr CN",Attributes!$1:$1,0)-1),"#",$B65*$B$1&amp;"-"&amp;$C65*$B$1)</f>
        <v>使用：回复600-1200点法力值</v>
      </c>
      <c r="E65" s="116" t="str">
        <f ca="1">SUBSTITUTE(OFFSET(Attributes!$A$1,MATCH($A65,Attributes!$A:$A,0)-1,MATCH("Attr EN",Attributes!$1:$1,0)-1),"#",$B65*$B$1&amp;"-"&amp;$C65*$B$1)</f>
        <v>Use: Regens 600-1200 MP</v>
      </c>
      <c r="F65" s="32" t="str">
        <f ca="1">FormatItemUbertip(D64:D65)</f>
        <v>每秒回复6-12点法力值|N使用：回复600-1200点法力值</v>
      </c>
      <c r="G65" s="32" t="str">
        <f ca="1">FormatItemUbertip(E64:E65)</f>
        <v>Regens 6-12 MP per second|NUse: Regens 600-1200 MP</v>
      </c>
      <c r="H65" s="36" t="s">
        <v>571</v>
      </c>
      <c r="I65" s="36" t="str">
        <f t="shared" si="0"/>
        <v>FFFFFF</v>
      </c>
    </row>
    <row r="66" spans="1:10" x14ac:dyDescent="0.25">
      <c r="H66" s="36" t="s">
        <v>571</v>
      </c>
      <c r="I66" s="36" t="str">
        <f t="shared" si="0"/>
        <v>000000</v>
      </c>
    </row>
    <row r="67" spans="1:10" x14ac:dyDescent="0.25">
      <c r="D67" s="107" t="s">
        <v>396</v>
      </c>
      <c r="E67" s="115" t="s">
        <v>562</v>
      </c>
      <c r="F67" s="32" t="str">
        <f>FormatItemName(D67)</f>
        <v>|CFF11FF11罗密欧的过期毒药|R</v>
      </c>
      <c r="G67" s="32" t="str">
        <f>FormatItemName(E67)</f>
        <v>|CFF11FF11Romulo's Expired Poison|R</v>
      </c>
      <c r="H67" s="36" t="s">
        <v>571</v>
      </c>
      <c r="I67" s="36" t="str">
        <f t="shared" si="0"/>
        <v>11FF11</v>
      </c>
    </row>
    <row r="68" spans="1:10" x14ac:dyDescent="0.25">
      <c r="A68" s="36">
        <v>53</v>
      </c>
      <c r="B68" s="77">
        <v>80</v>
      </c>
      <c r="C68" s="77">
        <v>115</v>
      </c>
      <c r="D68" s="84" t="str">
        <f ca="1">SUBSTITUTE(OFFSET(Attributes!$A$1,MATCH($A68,Attributes!$A:$A,0)-1,MATCH("Attr CN",Attributes!$1:$1,0)-1),"#",$B68*$B$1&amp;"-"&amp;$C68*$B$1)</f>
        <v>命中：有25%的几率造成240-345点法术伤害</v>
      </c>
      <c r="E68" s="116" t="str">
        <f ca="1">SUBSTITUTE(OFFSET(Attributes!$A$1,MATCH($A68,Attributes!$A:$A,0)-1,MATCH("Attr EN",Attributes!$1:$1,0)-1),"#",$B68*$B$1&amp;"-"&amp;$C68*$B$1)</f>
        <v>On Attack: 25% chance to deal 240-345 magic damage to target</v>
      </c>
      <c r="F68" s="32" t="str">
        <f ca="1">FormatItemDescription(D67:D69)</f>
        <v>命中：有25%的几率造成240-345点法术伤害|N|N|CFF999999还能用。|R</v>
      </c>
      <c r="G68" s="32" t="str">
        <f ca="1">FormatItemDescription(E67:E69)</f>
        <v>On Attack: 25% chance to deal 240-345 magic damage to target|N|N|CFF999999Still usable.|R</v>
      </c>
      <c r="H68" s="36" t="s">
        <v>571</v>
      </c>
      <c r="I68" s="36" t="str">
        <f t="shared" ref="I68:I84" si="1">GetCellColorHEX(E68)</f>
        <v>FFFFFF</v>
      </c>
      <c r="J68" s="36" t="str">
        <f>GetCellColorHEX(E67)</f>
        <v>11FF11</v>
      </c>
    </row>
    <row r="69" spans="1:10" x14ac:dyDescent="0.25">
      <c r="D69" s="109" t="s">
        <v>397</v>
      </c>
      <c r="E69" s="118" t="s">
        <v>563</v>
      </c>
      <c r="F69" s="32" t="str">
        <f ca="1">FormatItemUbertip(D68:D69)</f>
        <v>命中：有25%的几率造成240-345点法术伤害|N|N|CFF999999还能用。|R</v>
      </c>
      <c r="G69" s="32" t="str">
        <f ca="1">FormatItemUbertip(E68:E69)</f>
        <v>On Attack: 25% chance to deal 240-345 magic damage to target|N|N|CFF999999Still usable.|R</v>
      </c>
      <c r="H69" s="36" t="s">
        <v>571</v>
      </c>
      <c r="I69" s="36" t="str">
        <f t="shared" si="1"/>
        <v>999999</v>
      </c>
    </row>
    <row r="70" spans="1:10" x14ac:dyDescent="0.25">
      <c r="D70" s="111"/>
      <c r="E70" s="120"/>
      <c r="F70" s="34"/>
      <c r="G70" s="34"/>
      <c r="H70" s="36" t="s">
        <v>571</v>
      </c>
      <c r="I70" s="36" t="str">
        <f t="shared" si="1"/>
        <v>000000</v>
      </c>
    </row>
    <row r="71" spans="1:10" x14ac:dyDescent="0.25">
      <c r="D71" s="107" t="s">
        <v>398</v>
      </c>
      <c r="E71" s="115" t="s">
        <v>564</v>
      </c>
      <c r="F71" s="32" t="str">
        <f>FormatItemName(D71)</f>
        <v>|CFF11FF11莫罗斯的幸运齿轮|R</v>
      </c>
      <c r="G71" s="32" t="str">
        <f>FormatItemName(E71)</f>
        <v>|CFF11FF11Moroes' Lucky Gear|R</v>
      </c>
      <c r="H71" s="36" t="s">
        <v>571</v>
      </c>
      <c r="I71" s="36" t="str">
        <f t="shared" si="1"/>
        <v>11FF11</v>
      </c>
    </row>
    <row r="72" spans="1:10" x14ac:dyDescent="0.25">
      <c r="A72" s="36">
        <v>27</v>
      </c>
      <c r="B72" s="77">
        <v>0.01</v>
      </c>
      <c r="C72" s="77">
        <v>0.02</v>
      </c>
      <c r="D72" s="84" t="str">
        <f ca="1">SUBSTITUTE(OFFSET(Attributes!$A$1,MATCH($A72,Attributes!$A:$A,0)-1,MATCH("Attr CN",Attributes!$1:$1,0)-1),"#",$B72*$B$1&amp;"-"&amp;$C72*$B$1)</f>
        <v>+0.03-0.06躲闪</v>
      </c>
      <c r="E72" s="116" t="str">
        <f ca="1">SUBSTITUTE(OFFSET(Attributes!$A$1,MATCH($A72,Attributes!$A:$A,0)-1,MATCH("Attr EN",Attributes!$1:$1,0)-1),"#",$B72*$B$1&amp;"-"&amp;$C72*$B$1)</f>
        <v>+0.03-0.06 Dodge chance</v>
      </c>
      <c r="F72" s="32" t="str">
        <f ca="1">FormatItemDescription(D71:D74)</f>
        <v>+0.03-0.06躲闪|N使用：提高30%的躲闪几率，持续24-36秒|N|N|CFF999999从莫罗斯的幸运怀表上面卸下来的。|R</v>
      </c>
      <c r="G72" s="32" t="str">
        <f ca="1">FormatItemDescription(E71:E74)</f>
        <v>+0.03-0.06 Dodge chance|NUse: Increase dodge chance by 30%, lasts for 24-36 seconds|N|N|CFF999999Disassembled from Moroes' Lucky Pocket Watch|R</v>
      </c>
      <c r="H72" s="36" t="s">
        <v>571</v>
      </c>
      <c r="I72" s="36" t="str">
        <f t="shared" si="1"/>
        <v>FFFFFF</v>
      </c>
    </row>
    <row r="73" spans="1:10" x14ac:dyDescent="0.25">
      <c r="A73" s="36">
        <v>35</v>
      </c>
      <c r="B73" s="77">
        <v>8</v>
      </c>
      <c r="C73" s="77">
        <v>12</v>
      </c>
      <c r="D73" s="84" t="str">
        <f ca="1">SUBSTITUTE(OFFSET(Attributes!$A$1,MATCH($A73,Attributes!$A:$A,0)-1,MATCH("Attr CN",Attributes!$1:$1,0)-1),"#",$B73*$B$1&amp;"-"&amp;$C73*$B$1)</f>
        <v>使用：提高30%的躲闪几率，持续24-36秒</v>
      </c>
      <c r="E73" s="116" t="str">
        <f ca="1">SUBSTITUTE(OFFSET(Attributes!$A$1,MATCH($A73,Attributes!$A:$A,0)-1,MATCH("Attr EN",Attributes!$1:$1,0)-1),"#",$B73*$B$1&amp;"-"&amp;$C73*$B$1)</f>
        <v>Use: Increase dodge chance by 30%, lasts for 24-36 seconds</v>
      </c>
      <c r="F73" s="32" t="str">
        <f ca="1">FormatItemUbertip(D72:D74)</f>
        <v>+0.03-0.06躲闪|N使用：提高30%的躲闪几率，持续24-36秒|N|N|CFF999999从莫罗斯的幸运怀表上面卸下来的。|R</v>
      </c>
      <c r="G73" s="32" t="str">
        <f ca="1">FormatItemUbertip(E72:E74)</f>
        <v>+0.03-0.06 Dodge chance|NUse: Increase dodge chance by 30%, lasts for 24-36 seconds|N|N|CFF999999Disassembled from Moroes' Lucky Pocket Watch|R</v>
      </c>
      <c r="H73" s="36" t="s">
        <v>571</v>
      </c>
      <c r="I73" s="36" t="str">
        <f t="shared" si="1"/>
        <v>FFFFFF</v>
      </c>
    </row>
    <row r="74" spans="1:10" x14ac:dyDescent="0.25">
      <c r="D74" s="109" t="s">
        <v>399</v>
      </c>
      <c r="E74" s="118" t="s">
        <v>565</v>
      </c>
      <c r="F74" s="38"/>
      <c r="G74" s="38"/>
      <c r="H74" s="36" t="s">
        <v>571</v>
      </c>
      <c r="I74" s="36" t="str">
        <f t="shared" si="1"/>
        <v>999999</v>
      </c>
    </row>
    <row r="75" spans="1:10" x14ac:dyDescent="0.25">
      <c r="D75" s="108"/>
      <c r="E75" s="117"/>
      <c r="F75" s="34"/>
      <c r="G75" s="34"/>
      <c r="H75" s="36" t="s">
        <v>571</v>
      </c>
      <c r="I75" s="36" t="str">
        <f t="shared" si="1"/>
        <v>000000</v>
      </c>
    </row>
    <row r="76" spans="1:10" x14ac:dyDescent="0.25">
      <c r="D76" s="107" t="s">
        <v>400</v>
      </c>
      <c r="E76" s="115" t="s">
        <v>566</v>
      </c>
      <c r="F76" s="32" t="str">
        <f>FormatItemName(D76)</f>
        <v>|CFF11FF11神秘腰带|R</v>
      </c>
      <c r="G76" s="32" t="str">
        <f>FormatItemName(E76)</f>
        <v>|CFF11FF11Runed Belt|R</v>
      </c>
      <c r="H76" s="36" t="s">
        <v>571</v>
      </c>
      <c r="I76" s="36" t="str">
        <f t="shared" si="1"/>
        <v>11FF11</v>
      </c>
    </row>
    <row r="77" spans="1:10" x14ac:dyDescent="0.25">
      <c r="A77" s="36">
        <v>21</v>
      </c>
      <c r="B77" s="77">
        <v>60</v>
      </c>
      <c r="C77" s="77">
        <v>90</v>
      </c>
      <c r="D77" s="84" t="str">
        <f ca="1">SUBSTITUTE(OFFSET(Attributes!$A$1,MATCH($A77,Attributes!$A:$A,0)-1,MATCH("Attr CN",Attributes!$1:$1,0)-1),"#",$B77*$B$1&amp;"-"&amp;$C77*$B$1)</f>
        <v>+180-270生命上限</v>
      </c>
      <c r="E77" s="116" t="str">
        <f ca="1">SUBSTITUTE(OFFSET(Attributes!$A$1,MATCH($A77,Attributes!$A:$A,0)-1,MATCH("Attr EN",Attributes!$1:$1,0)-1),"#",$B77*$B$1&amp;"-"&amp;$C77*$B$1)</f>
        <v>+180-270 Max HP</v>
      </c>
      <c r="F77" s="32" t="str">
        <f ca="1">FormatItemDescription(D76:D79)</f>
        <v>+180-270生命上限|N-0.09-0.21受到的法术伤害|N|N|CFF999999所谓护腕，是对食人魔而言。|R</v>
      </c>
      <c r="G77" s="32" t="str">
        <f ca="1">FormatItemDescription(E76:E79)</f>
        <v>+180-270 Max HP|N-0.09-0.21 magic damage taken|N|N|CFF999999Was a bracelet of an ogre.|R</v>
      </c>
      <c r="H77" s="36" t="s">
        <v>571</v>
      </c>
      <c r="I77" s="36" t="str">
        <f t="shared" si="1"/>
        <v>FFFFFF</v>
      </c>
    </row>
    <row r="78" spans="1:10" x14ac:dyDescent="0.25">
      <c r="A78" s="36">
        <v>2</v>
      </c>
      <c r="B78" s="77">
        <v>0.03</v>
      </c>
      <c r="C78" s="77">
        <v>7.0000000000000007E-2</v>
      </c>
      <c r="D78" s="84" t="str">
        <f ca="1">SUBSTITUTE(OFFSET(Attributes!$A$1,MATCH($A78,Attributes!$A:$A,0)-1,MATCH("Attr CN",Attributes!$1:$1,0)-1),"#",$B78*$B$1&amp;"-"&amp;$C78*$B$1)</f>
        <v>-0.09-0.21受到的法术伤害</v>
      </c>
      <c r="E78" s="116" t="str">
        <f ca="1">SUBSTITUTE(OFFSET(Attributes!$A$1,MATCH($A78,Attributes!$A:$A,0)-1,MATCH("Attr EN",Attributes!$1:$1,0)-1),"#",$B78*$B$1&amp;"-"&amp;$C78*$B$1)</f>
        <v>-0.09-0.21 magic damage taken</v>
      </c>
      <c r="F78" s="32" t="str">
        <f ca="1">FormatItemUbertip(D77:D79)</f>
        <v>+180-270生命上限|N-0.09-0.21受到的法术伤害|N|N|CFF999999所谓护腕，是对食人魔而言。|R</v>
      </c>
      <c r="G78" s="32" t="str">
        <f ca="1">FormatItemUbertip(E77:E79)</f>
        <v>+180-270 Max HP|N-0.09-0.21 magic damage taken|N|N|CFF999999Was a bracelet of an ogre.|R</v>
      </c>
      <c r="H78" s="36" t="s">
        <v>571</v>
      </c>
      <c r="I78" s="36" t="str">
        <f t="shared" si="1"/>
        <v>FFFFFF</v>
      </c>
    </row>
    <row r="79" spans="1:10" x14ac:dyDescent="0.25">
      <c r="D79" s="109" t="s">
        <v>567</v>
      </c>
      <c r="E79" s="118" t="s">
        <v>568</v>
      </c>
      <c r="F79" s="32"/>
      <c r="G79" s="32"/>
      <c r="H79" s="36" t="s">
        <v>571</v>
      </c>
      <c r="I79" s="36" t="str">
        <f t="shared" si="1"/>
        <v>999999</v>
      </c>
    </row>
    <row r="80" spans="1:10" x14ac:dyDescent="0.25">
      <c r="H80" s="36" t="s">
        <v>571</v>
      </c>
      <c r="I80" s="36" t="str">
        <f t="shared" si="1"/>
        <v>000000</v>
      </c>
    </row>
    <row r="81" spans="1:9" x14ac:dyDescent="0.25">
      <c r="D81" s="107" t="s">
        <v>401</v>
      </c>
      <c r="E81" s="115" t="s">
        <v>569</v>
      </c>
      <c r="F81" s="32" t="str">
        <f>FormatItemName(D81)</f>
        <v>|CFF11FF11无光的新月徽记|R</v>
      </c>
      <c r="G81" s="32" t="str">
        <f>FormatItemName(E81)</f>
        <v>|CFF11FF11Unglazed Icon of the Crescent|R</v>
      </c>
      <c r="H81" s="36" t="s">
        <v>571</v>
      </c>
      <c r="I81" s="36" t="str">
        <f t="shared" si="1"/>
        <v>11FF11</v>
      </c>
    </row>
    <row r="82" spans="1:9" x14ac:dyDescent="0.25">
      <c r="A82" s="36">
        <v>14</v>
      </c>
      <c r="B82" s="77">
        <v>8</v>
      </c>
      <c r="C82" s="77">
        <v>10</v>
      </c>
      <c r="D82" s="84" t="str">
        <f ca="1">SUBSTITUTE(OFFSET(Attributes!$A$1,MATCH($A82,Attributes!$A:$A,0)-1,MATCH("Attr CN",Attributes!$1:$1,0)-1),"#",$B82*$B$1&amp;"-"&amp;$C82*$B$1)</f>
        <v>+24-30智力</v>
      </c>
      <c r="E82" s="116" t="str">
        <f ca="1">SUBSTITUTE(OFFSET(Attributes!$A$1,MATCH($A82,Attributes!$A:$A,0)-1,MATCH("Attr EN",Attributes!$1:$1,0)-1),"#",$B82*$B$1&amp;"-"&amp;$C82*$B$1)</f>
        <v>+24-30 Intelligence</v>
      </c>
      <c r="F82" s="32" t="str">
        <f ca="1">FormatItemDescription(D81:D84)</f>
        <v>+24-30智力|N使用：提高36-54点智力，持续20秒|N|N|CFF999999依稀可以看出这个徽记曾经是漂亮的银色。|R</v>
      </c>
      <c r="G82" s="32" t="str">
        <f ca="1">FormatItemDescription(E81:E84)</f>
        <v>+24-30 Intelligence|NUse: Increase intelligence by 36-54, lasts for 20 seconds|N|N|CFF999999It can be seen vaguely that this icon was once beautiful silver.|R</v>
      </c>
      <c r="H82" s="36" t="s">
        <v>571</v>
      </c>
      <c r="I82" s="36" t="str">
        <f t="shared" si="1"/>
        <v>FFFFFF</v>
      </c>
    </row>
    <row r="83" spans="1:9" x14ac:dyDescent="0.25">
      <c r="A83" s="36">
        <v>33</v>
      </c>
      <c r="B83" s="77">
        <v>12</v>
      </c>
      <c r="C83" s="77">
        <v>18</v>
      </c>
      <c r="D83" s="84" t="str">
        <f ca="1">SUBSTITUTE(OFFSET(Attributes!$A$1,MATCH($A83,Attributes!$A:$A,0)-1,MATCH("Attr CN",Attributes!$1:$1,0)-1),"#",$B83*$B$1&amp;"-"&amp;$C83*$B$1)</f>
        <v>使用：提高36-54点智力，持续20秒</v>
      </c>
      <c r="E83" s="116" t="str">
        <f ca="1">SUBSTITUTE(OFFSET(Attributes!$A$1,MATCH($A83,Attributes!$A:$A,0)-1,MATCH("Attr EN",Attributes!$1:$1,0)-1),"#",$B83*$B$1&amp;"-"&amp;$C83*$B$1)</f>
        <v>Use: Increase intelligence by 36-54, lasts for 20 seconds</v>
      </c>
      <c r="F83" s="32" t="str">
        <f ca="1">FormatItemUbertip(D82:D84)</f>
        <v>+24-30智力|N使用：提高36-54点智力，持续20秒|N|N|CFF999999依稀可以看出这个徽记曾经是漂亮的银色。|R</v>
      </c>
      <c r="G83" s="32" t="str">
        <f ca="1">FormatItemUbertip(E82:E84)</f>
        <v>+24-30 Intelligence|NUse: Increase intelligence by 36-54, lasts for 20 seconds|N|N|CFF999999It can be seen vaguely that this icon was once beautiful silver.|R</v>
      </c>
      <c r="H83" s="36" t="s">
        <v>571</v>
      </c>
      <c r="I83" s="36" t="str">
        <f t="shared" si="1"/>
        <v>FFFFFF</v>
      </c>
    </row>
    <row r="84" spans="1:9" x14ac:dyDescent="0.25">
      <c r="D84" s="109" t="s">
        <v>402</v>
      </c>
      <c r="E84" s="118" t="s">
        <v>570</v>
      </c>
      <c r="H84" s="36" t="s">
        <v>571</v>
      </c>
      <c r="I84" s="36" t="str">
        <f t="shared" si="1"/>
        <v>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L198"/>
  <sheetViews>
    <sheetView tabSelected="1" workbookViewId="0">
      <pane ySplit="2" topLeftCell="A106" activePane="bottomLeft" state="frozen"/>
      <selection pane="bottomLeft" activeCell="G120" sqref="G120"/>
    </sheetView>
  </sheetViews>
  <sheetFormatPr defaultColWidth="14.42578125" defaultRowHeight="14.25" x14ac:dyDescent="0.25"/>
  <cols>
    <col min="1" max="1" width="6.5703125" style="32" bestFit="1" customWidth="1"/>
    <col min="2" max="2" width="5.42578125" style="32" bestFit="1" customWidth="1"/>
    <col min="3" max="3" width="5" style="32" bestFit="1" customWidth="1"/>
    <col min="4" max="4" width="5" style="144" customWidth="1"/>
    <col min="5" max="5" width="13.140625" style="144" customWidth="1"/>
    <col min="6" max="6" width="50.42578125" style="64" hidden="1" customWidth="1"/>
    <col min="7" max="7" width="50.7109375" style="96" customWidth="1"/>
    <col min="8" max="9" width="30.7109375" style="35" customWidth="1"/>
    <col min="10" max="10" width="4.140625" style="35" bestFit="1" customWidth="1"/>
    <col min="11" max="16384" width="14.42578125" style="35"/>
  </cols>
  <sheetData>
    <row r="1" spans="1:11" s="58" customFormat="1" x14ac:dyDescent="0.25">
      <c r="A1" s="73" t="s">
        <v>631</v>
      </c>
      <c r="B1" s="74">
        <v>3</v>
      </c>
      <c r="C1" s="74"/>
      <c r="D1" s="142"/>
      <c r="E1" s="145"/>
      <c r="F1" s="79"/>
      <c r="G1" s="96"/>
      <c r="K1" s="58" t="str">
        <f ca="1">CodeGenItemMetaEN(A3:G199)</f>
        <v/>
      </c>
    </row>
    <row r="2" spans="1:11" s="58" customFormat="1" x14ac:dyDescent="0.25">
      <c r="A2" s="75" t="s">
        <v>738</v>
      </c>
      <c r="B2" s="76" t="s">
        <v>739</v>
      </c>
      <c r="C2" s="76" t="s">
        <v>740</v>
      </c>
      <c r="D2" s="143" t="s">
        <v>1011</v>
      </c>
      <c r="E2" s="146" t="s">
        <v>1017</v>
      </c>
      <c r="F2" s="81" t="s">
        <v>736</v>
      </c>
      <c r="G2" s="100" t="s">
        <v>737</v>
      </c>
    </row>
    <row r="3" spans="1:11" x14ac:dyDescent="0.25">
      <c r="F3" s="101" t="s">
        <v>543</v>
      </c>
      <c r="G3" s="122" t="s">
        <v>544</v>
      </c>
      <c r="H3" s="32" t="str">
        <f>FormatItemName(F3)</f>
        <v>|CFF11FF11巨神之刃|R</v>
      </c>
      <c r="I3" s="32" t="str">
        <f>FormatItemName(G3)</f>
        <v>|CFF11FF11Colossus Blade|R</v>
      </c>
      <c r="J3" s="35" t="s">
        <v>571</v>
      </c>
      <c r="K3" s="35" t="str">
        <f>GetCellColorHEX(G3)</f>
        <v>11FF11</v>
      </c>
    </row>
    <row r="4" spans="1:11" x14ac:dyDescent="0.25">
      <c r="A4" s="32">
        <v>9</v>
      </c>
      <c r="B4" s="32">
        <v>25</v>
      </c>
      <c r="C4" s="32">
        <v>40</v>
      </c>
      <c r="D4" s="144">
        <f ca="1">OFFSET(Attributes!$A$1,MATCH(Rare!$A4,Attributes!$A:$A,0)-1,MATCH("Type",Attributes!$1:$1,0)-1)</f>
        <v>1</v>
      </c>
      <c r="E4" s="144" t="str">
        <f ca="1">IFERROR(OFFSET(Attributes!$A$1,MATCH(Rare!$A4,Attributes!$A:$A,0)-1,MATCH("Abbr",Attributes!$1:$1,0)-1),"")</f>
        <v>AP</v>
      </c>
      <c r="F4" s="84" t="str">
        <f ca="1">SUBSTITUTE(OFFSET(Attributes!$A$1,MATCH($A4,Attributes!$A:$A,0)-1,MATCH("Attr CN",Attributes!$1:$1,0)-1),"#",$B4*$B$1&amp;"-"&amp;$C4*$B$1)</f>
        <v>+75-120攻击强度</v>
      </c>
      <c r="G4" s="97" t="str">
        <f ca="1">SUBSTITUTE(OFFSET(Attributes!$A$1,MATCH($A4,Attributes!$A:$A,0)-1,MATCH("Attr EN",Attributes!$1:$1,0)-1),"#",$B4*$B$1&amp;"-"&amp;$C4*$B$1)</f>
        <v>+75-120 Attack power</v>
      </c>
      <c r="H4" s="32" t="str">
        <f ca="1">FormatItemDescription(F3:F6)</f>
        <v>+75-120攻击强度|N+36-54%攻击速度|N|N|CFF999999一把粗犷的巨剑，做工不是很精良，在哈洛加斯这是最受欢迎的量产武器。|R</v>
      </c>
      <c r="I4" s="32" t="str">
        <f ca="1">FormatItemDescription(G3:G6)</f>
        <v>+75-120 Attack power|N+36-54% Attack speed|N|N|CFF999999A rough sword, the workmanship is not very good. But it's the most popular production weapons in Harrogath.|R</v>
      </c>
      <c r="J4" s="35" t="s">
        <v>571</v>
      </c>
      <c r="K4" s="95" t="str">
        <f t="shared" ref="K4:K67" si="0">GetCellColorHEX(G4)</f>
        <v>FFFFFF</v>
      </c>
    </row>
    <row r="5" spans="1:11" x14ac:dyDescent="0.25">
      <c r="A5" s="32">
        <v>12</v>
      </c>
      <c r="B5" s="32">
        <v>12</v>
      </c>
      <c r="C5" s="32">
        <v>18</v>
      </c>
      <c r="D5" s="144">
        <f ca="1">OFFSET(Attributes!$A$1,MATCH(Rare!$A5,Attributes!$A:$A,0)-1,MATCH("Type",Attributes!$1:$1,0)-1)</f>
        <v>1</v>
      </c>
      <c r="E5" s="144" t="str">
        <f ca="1">IFERROR(OFFSET(Attributes!$A$1,MATCH(Rare!$A5,Attributes!$A:$A,0)-1,MATCH("Abbr",Attributes!$1:$1,0)-1),"")</f>
        <v>IAS</v>
      </c>
      <c r="F5" s="84" t="str">
        <f ca="1">SUBSTITUTE(OFFSET(Attributes!$A$1,MATCH($A5,Attributes!$A:$A,0)-1,MATCH("Attr CN",Attributes!$1:$1,0)-1),"#",$B5*$B$1&amp;"-"&amp;$C5*$B$1)</f>
        <v>+36-54%攻击速度</v>
      </c>
      <c r="G5" s="97" t="str">
        <f ca="1">SUBSTITUTE(OFFSET(Attributes!$A$1,MATCH($A5,Attributes!$A:$A,0)-1,MATCH("Attr EN",Attributes!$1:$1,0)-1),"#",$B5*$B$1&amp;"-"&amp;$C5*$B$1)</f>
        <v>+36-54% Attack speed</v>
      </c>
      <c r="H5" s="32" t="str">
        <f ca="1">FormatItemUbertip(F4:F6)</f>
        <v>+75-120攻击强度|N+36-54%攻击速度|N|N|CFF999999一把粗犷的巨剑，做工不是很精良，在哈洛加斯这是最受欢迎的量产武器。|R</v>
      </c>
      <c r="I5" s="32" t="str">
        <f ca="1">FormatItemUbertip(G4:G6)</f>
        <v>+75-120 Attack power|N+36-54% Attack speed|N|N|CFF999999A rough sword, the workmanship is not very good. But it's the most popular production weapons in Harrogath.|R</v>
      </c>
      <c r="J5" s="35" t="s">
        <v>571</v>
      </c>
      <c r="K5" s="95" t="str">
        <f t="shared" si="0"/>
        <v>FFFFFF</v>
      </c>
    </row>
    <row r="6" spans="1:11" ht="42.75" x14ac:dyDescent="0.25">
      <c r="E6" s="144" t="str">
        <f ca="1">IFERROR(OFFSET(Attributes!$A$1,MATCH(Rare!$A6,Attributes!$A:$A,0)-1,MATCH("Abbr",Attributes!$1:$1,0)-1),"")</f>
        <v/>
      </c>
      <c r="F6" s="102" t="s">
        <v>59</v>
      </c>
      <c r="G6" s="123" t="s">
        <v>572</v>
      </c>
      <c r="J6" s="35" t="s">
        <v>571</v>
      </c>
      <c r="K6" s="95" t="str">
        <f t="shared" si="0"/>
        <v>999999</v>
      </c>
    </row>
    <row r="7" spans="1:11" x14ac:dyDescent="0.25">
      <c r="E7" s="144" t="str">
        <f ca="1">IFERROR(OFFSET(Attributes!$A$1,MATCH(Rare!$A7,Attributes!$A:$A,0)-1,MATCH("Abbr",Attributes!$1:$1,0)-1),"")</f>
        <v/>
      </c>
      <c r="J7" s="35" t="s">
        <v>571</v>
      </c>
      <c r="K7" s="95" t="str">
        <f t="shared" si="0"/>
        <v>000000</v>
      </c>
    </row>
    <row r="8" spans="1:11" s="34" customFormat="1" x14ac:dyDescent="0.25">
      <c r="A8" s="32"/>
      <c r="B8" s="32"/>
      <c r="C8" s="32"/>
      <c r="D8" s="144"/>
      <c r="E8" s="144" t="str">
        <f ca="1">IFERROR(OFFSET(Attributes!$A$1,MATCH(Rare!$A8,Attributes!$A:$A,0)-1,MATCH("Abbr",Attributes!$1:$1,0)-1),"")</f>
        <v/>
      </c>
      <c r="F8" s="103" t="s">
        <v>1007</v>
      </c>
      <c r="G8" s="124" t="s">
        <v>1008</v>
      </c>
      <c r="H8" s="32" t="str">
        <f>FormatItemName(F8)</f>
        <v>|CFF8B66FF至尊X戒|R</v>
      </c>
      <c r="I8" s="32" t="str">
        <f>FormatItemName(G8)</f>
        <v>|CFF8B66FFThe X Ring|R</v>
      </c>
      <c r="J8" s="35" t="s">
        <v>571</v>
      </c>
      <c r="K8" s="95" t="str">
        <f t="shared" si="0"/>
        <v>8B66FF</v>
      </c>
    </row>
    <row r="9" spans="1:11" s="34" customFormat="1" x14ac:dyDescent="0.25">
      <c r="A9" s="32">
        <v>7</v>
      </c>
      <c r="B9" s="32">
        <v>9</v>
      </c>
      <c r="C9" s="32">
        <v>12</v>
      </c>
      <c r="D9" s="144">
        <f ca="1">OFFSET(Attributes!$A$1,MATCH(Rare!$A9,Attributes!$A:$A,0)-1,MATCH("Type",Attributes!$1:$1,0)-1)</f>
        <v>1</v>
      </c>
      <c r="E9" s="144" t="str">
        <f ca="1">IFERROR(OFFSET(Attributes!$A$1,MATCH(Rare!$A9,Attributes!$A:$A,0)-1,MATCH("Abbr",Attributes!$1:$1,0)-1),"")</f>
        <v>ALLSTAT</v>
      </c>
      <c r="F9" s="84" t="str">
        <f ca="1">SUBSTITUTE(OFFSET(Attributes!$A$1,MATCH($A9,Attributes!$A:$A,0)-1,MATCH("Attr CN",Attributes!$1:$1,0)-1),"#",$B9*$B$1&amp;"-"&amp;$C9*$B$1)</f>
        <v>+27-36所有属性</v>
      </c>
      <c r="G9" s="97" t="str">
        <f ca="1">SUBSTITUTE(OFFSET(Attributes!$A$1,MATCH($A9,Attributes!$A:$A,0)-1,MATCH("Attr EN",Attributes!$1:$1,0)-1),"#",$B9*$B$1&amp;"-"&amp;$C9*$B$1)</f>
        <v>+27-36 All stats</v>
      </c>
      <c r="H9" s="32" t="str">
        <f ca="1">FormatItemDescription(F8:F10)</f>
        <v>|CFF8B66FFRare|R|N+27-36所有属性|N|N|CFF999999前面二十个都是渣.|R</v>
      </c>
      <c r="I9" s="32" t="str">
        <f ca="1">FormatItemDescription(G8:G10)</f>
        <v>|CFF8B66FFRare|R|N+27-36 All stats|N|N|CFF999999All the former 20 are trash!|R</v>
      </c>
      <c r="J9" s="35" t="s">
        <v>571</v>
      </c>
      <c r="K9" s="95" t="str">
        <f t="shared" si="0"/>
        <v>FFFFFF</v>
      </c>
    </row>
    <row r="10" spans="1:11" s="34" customFormat="1" x14ac:dyDescent="0.25">
      <c r="A10" s="32"/>
      <c r="B10" s="32"/>
      <c r="C10" s="32"/>
      <c r="D10" s="144"/>
      <c r="E10" s="144" t="str">
        <f ca="1">IFERROR(OFFSET(Attributes!$A$1,MATCH(Rare!$A10,Attributes!$A:$A,0)-1,MATCH("Abbr",Attributes!$1:$1,0)-1),"")</f>
        <v/>
      </c>
      <c r="F10" s="102" t="s">
        <v>47</v>
      </c>
      <c r="G10" s="123" t="s">
        <v>573</v>
      </c>
      <c r="H10" s="32" t="str">
        <f ca="1">FormatItemUbertip(F9:F10)</f>
        <v>+27-36所有属性|N|N|CFF999999前面二十个都是渣.|R</v>
      </c>
      <c r="I10" s="32" t="str">
        <f ca="1">FormatItemUbertip(G9:G10)</f>
        <v>+27-36 All stats|N|N|CFF999999All the former 20 are trash!|R</v>
      </c>
      <c r="J10" s="35" t="s">
        <v>571</v>
      </c>
      <c r="K10" s="95" t="str">
        <f t="shared" si="0"/>
        <v>999999</v>
      </c>
    </row>
    <row r="11" spans="1:11" s="34" customFormat="1" x14ac:dyDescent="0.25">
      <c r="A11" s="32"/>
      <c r="B11" s="32"/>
      <c r="C11" s="32"/>
      <c r="D11" s="144"/>
      <c r="E11" s="144" t="str">
        <f ca="1">IFERROR(OFFSET(Attributes!$A$1,MATCH(Rare!$A11,Attributes!$A:$A,0)-1,MATCH("Abbr",Attributes!$1:$1,0)-1),"")</f>
        <v/>
      </c>
      <c r="F11" s="67"/>
      <c r="G11" s="99"/>
      <c r="J11" s="35" t="s">
        <v>571</v>
      </c>
      <c r="K11" s="95" t="str">
        <f t="shared" si="0"/>
        <v>000000</v>
      </c>
    </row>
    <row r="12" spans="1:11" s="34" customFormat="1" x14ac:dyDescent="0.25">
      <c r="A12" s="32"/>
      <c r="B12" s="32"/>
      <c r="C12" s="32"/>
      <c r="D12" s="144"/>
      <c r="E12" s="144" t="str">
        <f ca="1">IFERROR(OFFSET(Attributes!$A$1,MATCH(Rare!$A12,Attributes!$A:$A,0)-1,MATCH("Abbr",Attributes!$1:$1,0)-1),"")</f>
        <v/>
      </c>
      <c r="F12" s="103" t="s">
        <v>48</v>
      </c>
      <c r="G12" s="124" t="s">
        <v>49</v>
      </c>
      <c r="H12" s="32" t="str">
        <f>FormatItemName(F12)</f>
        <v>|CFF8B66FF限量版地精火箭靴|R</v>
      </c>
      <c r="I12" s="32" t="str">
        <f>FormatItemName(G12)</f>
        <v>|CFF8B66FFGoblin Rocket Boots Limited Edition|R</v>
      </c>
      <c r="J12" s="35" t="s">
        <v>571</v>
      </c>
      <c r="K12" s="95" t="str">
        <f t="shared" si="0"/>
        <v>8B66FF</v>
      </c>
    </row>
    <row r="13" spans="1:11" s="34" customFormat="1" x14ac:dyDescent="0.25">
      <c r="A13" s="32">
        <v>21</v>
      </c>
      <c r="B13" s="32">
        <v>100</v>
      </c>
      <c r="C13" s="32">
        <v>140</v>
      </c>
      <c r="D13" s="144">
        <f ca="1">OFFSET(Attributes!$A$1,MATCH(Rare!$A13,Attributes!$A:$A,0)-1,MATCH("Type",Attributes!$1:$1,0)-1)</f>
        <v>1</v>
      </c>
      <c r="E13" s="144" t="str">
        <f ca="1">IFERROR(OFFSET(Attributes!$A$1,MATCH(Rare!$A13,Attributes!$A:$A,0)-1,MATCH("Abbr",Attributes!$1:$1,0)-1),"")</f>
        <v>HP</v>
      </c>
      <c r="F13" s="84" t="str">
        <f ca="1">SUBSTITUTE(OFFSET(Attributes!$A$1,MATCH($A13,Attributes!$A:$A,0)-1,MATCH("Attr CN",Attributes!$1:$1,0)-1),"#",$B13*$B$1&amp;"-"&amp;$C13*$B$1)</f>
        <v>+300-420生命上限</v>
      </c>
      <c r="G13" s="97" t="str">
        <f ca="1">SUBSTITUTE(OFFSET(Attributes!$A$1,MATCH($A13,Attributes!$A:$A,0)-1,MATCH("Attr EN",Attributes!$1:$1,0)-1),"#",$B13*$B$1&amp;"-"&amp;$C13*$B$1)</f>
        <v>+300-420 Max HP</v>
      </c>
      <c r="H13" s="32" t="str">
        <f ca="1">FormatItemDescription(F12:F18)</f>
        <v>|CFF8B66FFRare|R|N+300-420生命上限|N+225-300法力上限|N+0.03-0.06躲闪|N+45-60移动速度|N使用：提高300点移动速度，持续24-36秒，可能故障|N|N|CFF999999限量发售,可是毕竟是地精产品|R</v>
      </c>
      <c r="I13" s="32" t="str">
        <f ca="1">FormatItemDescription(G12:G18)</f>
        <v>|CFF8B66FFRare|R|N+300-420 Max HP|N+225-300 Max MP|N+0.03-0.06 Dodge chance|N+45-60 Movement speed|N|CFF33FF33Use: Increase movement speed by 300, lasts for 24-36 seconds. Possible failures.|R|N|N|CFF999999Limited edition, but it's a goblin product after all. So use it with caution.|R</v>
      </c>
      <c r="J13" s="35" t="s">
        <v>571</v>
      </c>
      <c r="K13" s="95" t="str">
        <f t="shared" si="0"/>
        <v>FFFFFF</v>
      </c>
    </row>
    <row r="14" spans="1:11" s="34" customFormat="1" x14ac:dyDescent="0.25">
      <c r="A14" s="32">
        <v>17</v>
      </c>
      <c r="B14" s="32">
        <v>75</v>
      </c>
      <c r="C14" s="32">
        <v>100</v>
      </c>
      <c r="D14" s="144">
        <f ca="1">OFFSET(Attributes!$A$1,MATCH(Rare!$A14,Attributes!$A:$A,0)-1,MATCH("Type",Attributes!$1:$1,0)-1)</f>
        <v>1</v>
      </c>
      <c r="E14" s="144" t="str">
        <f ca="1">IFERROR(OFFSET(Attributes!$A$1,MATCH(Rare!$A14,Attributes!$A:$A,0)-1,MATCH("Abbr",Attributes!$1:$1,0)-1),"")</f>
        <v>MP</v>
      </c>
      <c r="F14" s="84" t="str">
        <f ca="1">SUBSTITUTE(OFFSET(Attributes!$A$1,MATCH($A14,Attributes!$A:$A,0)-1,MATCH("Attr CN",Attributes!$1:$1,0)-1),"#",$B14*$B$1&amp;"-"&amp;$C14*$B$1)</f>
        <v>+225-300法力上限</v>
      </c>
      <c r="G14" s="97" t="str">
        <f ca="1">SUBSTITUTE(OFFSET(Attributes!$A$1,MATCH($A14,Attributes!$A:$A,0)-1,MATCH("Attr EN",Attributes!$1:$1,0)-1),"#",$B14*$B$1&amp;"-"&amp;$C14*$B$1)</f>
        <v>+225-300 Max MP</v>
      </c>
      <c r="H14" s="32" t="str">
        <f ca="1">FormatItemUbertip(F13:F18)</f>
        <v>+300-420生命上限|N+225-300法力上限|N+0.03-0.06躲闪|N+45-60移动速度|N使用：提高300点移动速度，持续24-36秒，可能故障|N|N|CFF999999限量发售,可是毕竟是地精产品|R</v>
      </c>
      <c r="I14" s="32" t="str">
        <f ca="1">FormatItemUbertip(G13:G18)</f>
        <v>+300-420 Max HP|N+225-300 Max MP|N+0.03-0.06 Dodge chance|N+45-60 Movement speed|N|CFF33FF33Use: Increase movement speed by 300, lasts for 24-36 seconds. Possible failures.|R|N|N|CFF999999Limited edition, but it's a goblin product after all. So use it with caution.|R</v>
      </c>
      <c r="J14" s="35" t="s">
        <v>571</v>
      </c>
      <c r="K14" s="95" t="str">
        <f t="shared" si="0"/>
        <v>FFFFFF</v>
      </c>
    </row>
    <row r="15" spans="1:11" s="34" customFormat="1" x14ac:dyDescent="0.25">
      <c r="A15" s="32">
        <v>27</v>
      </c>
      <c r="B15" s="32">
        <v>0.01</v>
      </c>
      <c r="C15" s="32">
        <v>0.02</v>
      </c>
      <c r="D15" s="144">
        <f ca="1">OFFSET(Attributes!$A$1,MATCH(Rare!$A15,Attributes!$A:$A,0)-1,MATCH("Type",Attributes!$1:$1,0)-1)</f>
        <v>1</v>
      </c>
      <c r="E15" s="144" t="str">
        <f ca="1">IFERROR(OFFSET(Attributes!$A$1,MATCH(Rare!$A15,Attributes!$A:$A,0)-1,MATCH("Abbr",Attributes!$1:$1,0)-1),"")</f>
        <v>DODGE</v>
      </c>
      <c r="F15" s="84" t="str">
        <f ca="1">SUBSTITUTE(OFFSET(Attributes!$A$1,MATCH($A15,Attributes!$A:$A,0)-1,MATCH("Attr CN",Attributes!$1:$1,0)-1),"#",$B15*$B$1&amp;"-"&amp;$C15*$B$1)</f>
        <v>+0.03-0.06躲闪</v>
      </c>
      <c r="G15" s="97" t="str">
        <f ca="1">SUBSTITUTE(OFFSET(Attributes!$A$1,MATCH($A15,Attributes!$A:$A,0)-1,MATCH("Attr EN",Attributes!$1:$1,0)-1),"#",$B15*$B$1&amp;"-"&amp;$C15*$B$1)</f>
        <v>+0.03-0.06 Dodge chance</v>
      </c>
      <c r="J15" s="35" t="s">
        <v>571</v>
      </c>
      <c r="K15" s="95" t="str">
        <f t="shared" si="0"/>
        <v>FFFFFF</v>
      </c>
    </row>
    <row r="16" spans="1:11" s="34" customFormat="1" x14ac:dyDescent="0.25">
      <c r="A16" s="32">
        <v>24</v>
      </c>
      <c r="B16" s="32">
        <v>15</v>
      </c>
      <c r="C16" s="32">
        <v>20</v>
      </c>
      <c r="D16" s="144">
        <f ca="1">OFFSET(Attributes!$A$1,MATCH(Rare!$A16,Attributes!$A:$A,0)-1,MATCH("Type",Attributes!$1:$1,0)-1)</f>
        <v>1</v>
      </c>
      <c r="E16" s="144" t="str">
        <f ca="1">IFERROR(OFFSET(Attributes!$A$1,MATCH(Rare!$A16,Attributes!$A:$A,0)-1,MATCH("Abbr",Attributes!$1:$1,0)-1),"")</f>
        <v>MS</v>
      </c>
      <c r="F16" s="84" t="str">
        <f ca="1">SUBSTITUTE(OFFSET(Attributes!$A$1,MATCH($A16,Attributes!$A:$A,0)-1,MATCH("Attr CN",Attributes!$1:$1,0)-1),"#",$B16*$B$1&amp;"-"&amp;$C16*$B$1)</f>
        <v>+45-60移动速度</v>
      </c>
      <c r="G16" s="97" t="str">
        <f ca="1">SUBSTITUTE(OFFSET(Attributes!$A$1,MATCH($A16,Attributes!$A:$A,0)-1,MATCH("Attr EN",Attributes!$1:$1,0)-1),"#",$B16*$B$1&amp;"-"&amp;$C16*$B$1)</f>
        <v>+45-60 Movement speed</v>
      </c>
      <c r="J16" s="35" t="s">
        <v>571</v>
      </c>
      <c r="K16" s="95" t="str">
        <f t="shared" si="0"/>
        <v>FFFFFF</v>
      </c>
    </row>
    <row r="17" spans="1:11" s="34" customFormat="1" ht="28.5" x14ac:dyDescent="0.25">
      <c r="A17" s="32">
        <v>36</v>
      </c>
      <c r="B17" s="32">
        <v>8</v>
      </c>
      <c r="C17" s="32">
        <v>12</v>
      </c>
      <c r="D17" s="144">
        <f ca="1">OFFSET(Attributes!$A$1,MATCH(Rare!$A17,Attributes!$A:$A,0)-1,MATCH("Type",Attributes!$1:$1,0)-1)</f>
        <v>2</v>
      </c>
      <c r="E17" s="144" t="str">
        <f ca="1">IFERROR(OFFSET(Attributes!$A$1,MATCH(Rare!$A17,Attributes!$A:$A,0)-1,MATCH("Abbr",Attributes!$1:$1,0)-1),"")</f>
        <v>USE_MS</v>
      </c>
      <c r="F17" s="84" t="str">
        <f ca="1">SUBSTITUTE(OFFSET(Attributes!$A$1,MATCH($A17,Attributes!$A:$A,0)-1,MATCH("Attr CN",Attributes!$1:$1,0)-1),"#",$B17*$B$1&amp;"-"&amp;$C17*$B$1)</f>
        <v>使用：提高300点移动速度，持续24-36秒，可能故障</v>
      </c>
      <c r="G17" s="128" t="str">
        <f ca="1">SUBSTITUTE(OFFSET(Attributes!$A$1,MATCH($A17,Attributes!$A:$A,0)-1,MATCH("Attr EN",Attributes!$1:$1,0)-1),"#",$B17*$B$1&amp;"-"&amp;$C17*$B$1)</f>
        <v>Use: Increase movement speed by 300, lasts for 24-36 seconds. Possible failures.</v>
      </c>
      <c r="H17" s="37"/>
      <c r="I17" s="37"/>
      <c r="J17" s="35" t="s">
        <v>571</v>
      </c>
      <c r="K17" s="95" t="str">
        <f t="shared" si="0"/>
        <v>33FF33</v>
      </c>
    </row>
    <row r="18" spans="1:11" s="34" customFormat="1" ht="28.5" x14ac:dyDescent="0.25">
      <c r="A18" s="32"/>
      <c r="B18" s="32"/>
      <c r="C18" s="32"/>
      <c r="D18" s="144"/>
      <c r="E18" s="144" t="str">
        <f ca="1">IFERROR(OFFSET(Attributes!$A$1,MATCH(Rare!$A18,Attributes!$A:$A,0)-1,MATCH("Abbr",Attributes!$1:$1,0)-1),"")</f>
        <v/>
      </c>
      <c r="F18" s="102" t="s">
        <v>51</v>
      </c>
      <c r="G18" s="123" t="s">
        <v>574</v>
      </c>
      <c r="H18" s="37"/>
      <c r="I18" s="37"/>
      <c r="J18" s="35" t="s">
        <v>571</v>
      </c>
      <c r="K18" s="95" t="str">
        <f t="shared" si="0"/>
        <v>999999</v>
      </c>
    </row>
    <row r="19" spans="1:11" s="34" customFormat="1" x14ac:dyDescent="0.25">
      <c r="A19" s="32"/>
      <c r="B19" s="32"/>
      <c r="C19" s="32"/>
      <c r="D19" s="144"/>
      <c r="E19" s="144" t="str">
        <f ca="1">IFERROR(OFFSET(Attributes!$A$1,MATCH(Rare!$A19,Attributes!$A:$A,0)-1,MATCH("Abbr",Attributes!$1:$1,0)-1),"")</f>
        <v/>
      </c>
      <c r="F19" s="67"/>
      <c r="G19" s="99"/>
      <c r="H19" s="37"/>
      <c r="I19" s="37"/>
      <c r="J19" s="35" t="s">
        <v>571</v>
      </c>
      <c r="K19" s="95" t="str">
        <f t="shared" si="0"/>
        <v>000000</v>
      </c>
    </row>
    <row r="20" spans="1:11" s="34" customFormat="1" x14ac:dyDescent="0.25">
      <c r="A20" s="32"/>
      <c r="B20" s="32"/>
      <c r="C20" s="32"/>
      <c r="D20" s="144"/>
      <c r="E20" s="144" t="str">
        <f ca="1">IFERROR(OFFSET(Attributes!$A$1,MATCH(Rare!$A20,Attributes!$A:$A,0)-1,MATCH("Abbr",Attributes!$1:$1,0)-1),"")</f>
        <v/>
      </c>
      <c r="F20" s="103" t="s">
        <v>52</v>
      </c>
      <c r="G20" s="124" t="s">
        <v>575</v>
      </c>
      <c r="H20" s="32" t="str">
        <f>FormatItemName(F20)</f>
        <v>|CFF8B66FF战歌之鼓|R</v>
      </c>
      <c r="I20" s="32" t="str">
        <f>FormatItemName(G20)</f>
        <v>|CFF8B66FFWarsong Battle Drums|R</v>
      </c>
      <c r="J20" s="35" t="s">
        <v>571</v>
      </c>
      <c r="K20" s="95" t="str">
        <f t="shared" si="0"/>
        <v>8B66FF</v>
      </c>
    </row>
    <row r="21" spans="1:11" s="34" customFormat="1" x14ac:dyDescent="0.25">
      <c r="A21" s="32">
        <v>12</v>
      </c>
      <c r="B21" s="32">
        <v>1</v>
      </c>
      <c r="C21" s="32">
        <v>3</v>
      </c>
      <c r="D21" s="144">
        <f ca="1">OFFSET(Attributes!$A$1,MATCH(Rare!$A21,Attributes!$A:$A,0)-1,MATCH("Type",Attributes!$1:$1,0)-1)</f>
        <v>1</v>
      </c>
      <c r="E21" s="144" t="str">
        <f ca="1">IFERROR(OFFSET(Attributes!$A$1,MATCH(Rare!$A21,Attributes!$A:$A,0)-1,MATCH("Abbr",Attributes!$1:$1,0)-1),"")</f>
        <v>IAS</v>
      </c>
      <c r="F21" s="84" t="str">
        <f ca="1">SUBSTITUTE(OFFSET(Attributes!$A$1,MATCH($A21,Attributes!$A:$A,0)-1,MATCH("Attr CN",Attributes!$1:$1,0)-1),"#",$B21*$B$1&amp;"-"&amp;$C21*$B$1)</f>
        <v>+3-9%攻击速度</v>
      </c>
      <c r="G21" s="97" t="str">
        <f ca="1">SUBSTITUTE(OFFSET(Attributes!$A$1,MATCH($A21,Attributes!$A:$A,0)-1,MATCH("Attr EN",Attributes!$1:$1,0)-1),"#",$B21*$B$1&amp;"-"&amp;$C21*$B$1)</f>
        <v>+3-9% Attack speed</v>
      </c>
      <c r="H21" s="32" t="str">
        <f ca="1">FormatItemDescription(F20:F24)</f>
        <v>|CFF8B66FFRare|R|N+3-9%攻击速度|N命中：标记目标，使其受到的伤害提高0.03-0.06|N赋予战歌光环：提升600码范围内所有友军造成的伤害和治疗0.03-0.06，受到的治疗10%|N|N|CFF999999士气高涨,牛头人的秘密武器|R</v>
      </c>
      <c r="I21" s="32" t="str">
        <f ca="1">FormatItemDescription(G20:G24)</f>
        <v>|CFF8B66FFRare|R|N+3-9% Attack speed|N|CFF33FF33On Attack: Target takes 0.03-0.06 extra damage|R|N|CFF33FF33Grant Aura of Warsong: All allies deal 0.03-0.06 more damage and healing, take 10% more healing within 600 yards|R|N|N|CFF999999High morale.|R</v>
      </c>
      <c r="J21" s="35" t="s">
        <v>571</v>
      </c>
      <c r="K21" s="95" t="str">
        <f t="shared" si="0"/>
        <v>FFFFFF</v>
      </c>
    </row>
    <row r="22" spans="1:11" s="34" customFormat="1" x14ac:dyDescent="0.25">
      <c r="A22" s="32">
        <v>56</v>
      </c>
      <c r="B22" s="32">
        <v>0.01</v>
      </c>
      <c r="C22" s="32">
        <v>0.02</v>
      </c>
      <c r="D22" s="144">
        <f ca="1">OFFSET(Attributes!$A$1,MATCH(Rare!$A22,Attributes!$A:$A,0)-1,MATCH("Type",Attributes!$1:$1,0)-1)</f>
        <v>2</v>
      </c>
      <c r="E22" s="144" t="str">
        <f ca="1">IFERROR(OFFSET(Attributes!$A$1,MATCH(Rare!$A22,Attributes!$A:$A,0)-1,MATCH("Abbr",Attributes!$1:$1,0)-1),"")</f>
        <v>ATK_AMP</v>
      </c>
      <c r="F22" s="84" t="str">
        <f ca="1">SUBSTITUTE(OFFSET(Attributes!$A$1,MATCH($A22,Attributes!$A:$A,0)-1,MATCH("Attr CN",Attributes!$1:$1,0)-1),"#",$B22*$B$1&amp;"-"&amp;$C22*$B$1)</f>
        <v>命中：标记目标，使其受到的伤害提高0.03-0.06</v>
      </c>
      <c r="G22" s="128" t="str">
        <f ca="1">SUBSTITUTE(OFFSET(Attributes!$A$1,MATCH($A22,Attributes!$A:$A,0)-1,MATCH("Attr EN",Attributes!$1:$1,0)-1),"#",$B22*$B$1&amp;"-"&amp;$C22*$B$1)</f>
        <v>On Attack: Target takes 0.03-0.06 extra damage</v>
      </c>
      <c r="H22" s="32" t="str">
        <f ca="1">FormatItemUbertip(F21:F24)</f>
        <v>+3-9%攻击速度|N命中：标记目标，使其受到的伤害提高0.03-0.06|N赋予战歌光环：提升600码范围内所有友军造成的伤害和治疗0.03-0.06，受到的治疗10%|N|N|CFF999999士气高涨,牛头人的秘密武器|R</v>
      </c>
      <c r="I22" s="32" t="str">
        <f ca="1">FormatItemUbertip(G21:G24)</f>
        <v>+3-9% Attack speed|N|CFF33FF33On Attack: Target takes 0.03-0.06 extra damage|R|N|CFF33FF33Grant Aura of Warsong: All allies deal 0.03-0.06 more damage and healing, take 10% more healing within 600 yards|R|N|N|CFF999999High morale.|R</v>
      </c>
      <c r="J22" s="35" t="s">
        <v>571</v>
      </c>
      <c r="K22" s="95" t="str">
        <f t="shared" si="0"/>
        <v>33FF33</v>
      </c>
    </row>
    <row r="23" spans="1:11" s="34" customFormat="1" ht="42.75" x14ac:dyDescent="0.25">
      <c r="A23" s="32">
        <v>84</v>
      </c>
      <c r="B23" s="32">
        <v>0.01</v>
      </c>
      <c r="C23" s="32">
        <v>0.02</v>
      </c>
      <c r="D23" s="144">
        <f ca="1">OFFSET(Attributes!$A$1,MATCH(Rare!$A23,Attributes!$A:$A,0)-1,MATCH("Type",Attributes!$1:$1,0)-1)</f>
        <v>2</v>
      </c>
      <c r="E23" s="144" t="str">
        <f ca="1">IFERROR(OFFSET(Attributes!$A$1,MATCH(Rare!$A23,Attributes!$A:$A,0)-1,MATCH("Abbr",Attributes!$1:$1,0)-1),"")</f>
        <v>AURA_WARSONG</v>
      </c>
      <c r="F23" s="84" t="str">
        <f ca="1">SUBSTITUTE(OFFSET(Attributes!$A$1,MATCH($A23,Attributes!$A:$A,0)-1,MATCH("Attr CN",Attributes!$1:$1,0)-1),"#",$B23*$B$1&amp;"-"&amp;$C23*$B$1)</f>
        <v>赋予战歌光环：提升600码范围内所有友军造成的伤害和治疗0.03-0.06，受到的治疗10%</v>
      </c>
      <c r="G23" s="128" t="str">
        <f ca="1">SUBSTITUTE(OFFSET(Attributes!$A$1,MATCH($A23,Attributes!$A:$A,0)-1,MATCH("Attr EN",Attributes!$1:$1,0)-1),"#",$B23*$B$1&amp;"-"&amp;$C23*$B$1)</f>
        <v>Grant Aura of Warsong: All allies deal 0.03-0.06 more damage and healing, take 10% more healing within 600 yards</v>
      </c>
      <c r="H23" s="37"/>
      <c r="I23" s="37"/>
      <c r="J23" s="35" t="s">
        <v>571</v>
      </c>
      <c r="K23" s="95" t="str">
        <f t="shared" si="0"/>
        <v>33FF33</v>
      </c>
    </row>
    <row r="24" spans="1:11" s="34" customFormat="1" x14ac:dyDescent="0.25">
      <c r="A24" s="32"/>
      <c r="B24" s="32"/>
      <c r="C24" s="32"/>
      <c r="D24" s="144"/>
      <c r="E24" s="144" t="str">
        <f ca="1">IFERROR(OFFSET(Attributes!$A$1,MATCH(Rare!$A24,Attributes!$A:$A,0)-1,MATCH("Abbr",Attributes!$1:$1,0)-1),"")</f>
        <v/>
      </c>
      <c r="F24" s="102" t="s">
        <v>53</v>
      </c>
      <c r="G24" s="123" t="s">
        <v>576</v>
      </c>
      <c r="H24" s="37"/>
      <c r="I24" s="37"/>
      <c r="J24" s="35" t="s">
        <v>571</v>
      </c>
      <c r="K24" s="95" t="str">
        <f t="shared" si="0"/>
        <v>999999</v>
      </c>
    </row>
    <row r="25" spans="1:11" x14ac:dyDescent="0.25">
      <c r="E25" s="144" t="str">
        <f ca="1">IFERROR(OFFSET(Attributes!$A$1,MATCH(Rare!$A25,Attributes!$A:$A,0)-1,MATCH("Abbr",Attributes!$1:$1,0)-1),"")</f>
        <v/>
      </c>
      <c r="J25" s="35" t="s">
        <v>571</v>
      </c>
      <c r="K25" s="95" t="str">
        <f t="shared" si="0"/>
        <v>000000</v>
      </c>
    </row>
    <row r="26" spans="1:11" x14ac:dyDescent="0.25">
      <c r="E26" s="144" t="str">
        <f ca="1">IFERROR(OFFSET(Attributes!$A$1,MATCH(Rare!$A26,Attributes!$A:$A,0)-1,MATCH("Abbr",Attributes!$1:$1,0)-1),"")</f>
        <v/>
      </c>
      <c r="F26" s="103" t="s">
        <v>60</v>
      </c>
      <c r="G26" s="124" t="s">
        <v>577</v>
      </c>
      <c r="H26" s="32" t="str">
        <f>FormatItemName(F26)</f>
        <v>|CFF8B66FF托尔贝恩|R</v>
      </c>
      <c r="I26" s="32" t="str">
        <f>FormatItemName(G26)</f>
        <v>|CFF8B66FFTroll Bane|R</v>
      </c>
      <c r="J26" s="35" t="s">
        <v>571</v>
      </c>
      <c r="K26" s="95" t="str">
        <f t="shared" si="0"/>
        <v>8B66FF</v>
      </c>
    </row>
    <row r="27" spans="1:11" x14ac:dyDescent="0.25">
      <c r="A27" s="32">
        <v>4</v>
      </c>
      <c r="B27" s="32">
        <v>5</v>
      </c>
      <c r="C27" s="32">
        <v>8</v>
      </c>
      <c r="D27" s="144">
        <f ca="1">OFFSET(Attributes!$A$1,MATCH(Rare!$A27,Attributes!$A:$A,0)-1,MATCH("Type",Attributes!$1:$1,0)-1)</f>
        <v>1</v>
      </c>
      <c r="E27" s="144" t="str">
        <f ca="1">IFERROR(OFFSET(Attributes!$A$1,MATCH(Rare!$A27,Attributes!$A:$A,0)-1,MATCH("Abbr",Attributes!$1:$1,0)-1),"")</f>
        <v>STR</v>
      </c>
      <c r="F27" s="84" t="str">
        <f ca="1">SUBSTITUTE(OFFSET(Attributes!$A$1,MATCH($A27,Attributes!$A:$A,0)-1,MATCH("Attr CN",Attributes!$1:$1,0)-1),"#",$B27*$B$1&amp;"-"&amp;$C27*$B$1)</f>
        <v>+15-24力量</v>
      </c>
      <c r="G27" s="97" t="str">
        <f ca="1">SUBSTITUTE(OFFSET(Attributes!$A$1,MATCH($A27,Attributes!$A:$A,0)-1,MATCH("Attr EN",Attributes!$1:$1,0)-1),"#",$B27*$B$1&amp;"-"&amp;$C27*$B$1)</f>
        <v>+15-24 Strength</v>
      </c>
      <c r="H27" s="32" t="str">
        <f ca="1">FormatItemDescription(F26:F30)</f>
        <v>|CFF8B66FFRare|R|N+15-24力量|N+24-36敏捷|N+30-60攻击强度|N|N|CFFFFDEAD“你认得这把斧头……”|R</v>
      </c>
      <c r="I27" s="32" t="str">
        <f ca="1">FormatItemDescription(G26:G30)</f>
        <v>|CFF8B66FFRare|R|N+15-24 Strength|N+24-36 Agility|N+30-60 Attack power|N|N|CFFFFDEAD"You know this blade..."|R</v>
      </c>
      <c r="J27" s="35" t="s">
        <v>571</v>
      </c>
      <c r="K27" s="95" t="str">
        <f t="shared" si="0"/>
        <v>FFFFFF</v>
      </c>
    </row>
    <row r="28" spans="1:11" x14ac:dyDescent="0.25">
      <c r="A28" s="32">
        <v>13</v>
      </c>
      <c r="B28" s="32">
        <v>8</v>
      </c>
      <c r="C28" s="32">
        <v>12</v>
      </c>
      <c r="D28" s="144">
        <f ca="1">OFFSET(Attributes!$A$1,MATCH(Rare!$A28,Attributes!$A:$A,0)-1,MATCH("Type",Attributes!$1:$1,0)-1)</f>
        <v>1</v>
      </c>
      <c r="E28" s="144" t="str">
        <f ca="1">IFERROR(OFFSET(Attributes!$A$1,MATCH(Rare!$A28,Attributes!$A:$A,0)-1,MATCH("Abbr",Attributes!$1:$1,0)-1),"")</f>
        <v>AGI</v>
      </c>
      <c r="F28" s="84" t="str">
        <f ca="1">SUBSTITUTE(OFFSET(Attributes!$A$1,MATCH($A28,Attributes!$A:$A,0)-1,MATCH("Attr CN",Attributes!$1:$1,0)-1),"#",$B28*$B$1&amp;"-"&amp;$C28*$B$1)</f>
        <v>+24-36敏捷</v>
      </c>
      <c r="G28" s="97" t="str">
        <f ca="1">SUBSTITUTE(OFFSET(Attributes!$A$1,MATCH($A28,Attributes!$A:$A,0)-1,MATCH("Attr EN",Attributes!$1:$1,0)-1),"#",$B28*$B$1&amp;"-"&amp;$C28*$B$1)</f>
        <v>+24-36 Agility</v>
      </c>
      <c r="H28" s="32" t="str">
        <f ca="1">FormatItemUbertip(F27:F30)</f>
        <v>+15-24力量|N+24-36敏捷|N+30-60攻击强度|N|N|CFFFFDEAD“你认得这把斧头……”|R</v>
      </c>
      <c r="I28" s="32" t="str">
        <f ca="1">FormatItemUbertip(G27:G30)</f>
        <v>+15-24 Strength|N+24-36 Agility|N+30-60 Attack power|N|N|CFFFFDEAD"You know this blade..."|R</v>
      </c>
      <c r="J28" s="35" t="s">
        <v>571</v>
      </c>
      <c r="K28" s="95" t="str">
        <f t="shared" si="0"/>
        <v>FFFFFF</v>
      </c>
    </row>
    <row r="29" spans="1:11" x14ac:dyDescent="0.25">
      <c r="A29" s="32">
        <v>9</v>
      </c>
      <c r="B29" s="32">
        <v>10</v>
      </c>
      <c r="C29" s="32">
        <v>20</v>
      </c>
      <c r="D29" s="144">
        <f ca="1">OFFSET(Attributes!$A$1,MATCH(Rare!$A29,Attributes!$A:$A,0)-1,MATCH("Type",Attributes!$1:$1,0)-1)</f>
        <v>1</v>
      </c>
      <c r="E29" s="144" t="str">
        <f ca="1">IFERROR(OFFSET(Attributes!$A$1,MATCH(Rare!$A29,Attributes!$A:$A,0)-1,MATCH("Abbr",Attributes!$1:$1,0)-1),"")</f>
        <v>AP</v>
      </c>
      <c r="F29" s="84" t="str">
        <f ca="1">SUBSTITUTE(OFFSET(Attributes!$A$1,MATCH($A29,Attributes!$A:$A,0)-1,MATCH("Attr CN",Attributes!$1:$1,0)-1),"#",$B29*$B$1&amp;"-"&amp;$C29*$B$1)</f>
        <v>+30-60攻击强度</v>
      </c>
      <c r="G29" s="97" t="str">
        <f ca="1">SUBSTITUTE(OFFSET(Attributes!$A$1,MATCH($A29,Attributes!$A:$A,0)-1,MATCH("Attr EN",Attributes!$1:$1,0)-1),"#",$B29*$B$1&amp;"-"&amp;$C29*$B$1)</f>
        <v>+30-60 Attack power</v>
      </c>
      <c r="H29" s="40"/>
      <c r="I29" s="40"/>
      <c r="J29" s="35" t="s">
        <v>571</v>
      </c>
      <c r="K29" s="95" t="str">
        <f t="shared" si="0"/>
        <v>FFFFFF</v>
      </c>
    </row>
    <row r="30" spans="1:11" x14ac:dyDescent="0.25">
      <c r="E30" s="144" t="str">
        <f ca="1">IFERROR(OFFSET(Attributes!$A$1,MATCH(Rare!$A30,Attributes!$A:$A,0)-1,MATCH("Abbr",Attributes!$1:$1,0)-1),"")</f>
        <v/>
      </c>
      <c r="F30" s="88" t="s">
        <v>62</v>
      </c>
      <c r="G30" s="98" t="s">
        <v>578</v>
      </c>
      <c r="J30" s="35" t="s">
        <v>571</v>
      </c>
      <c r="K30" s="95" t="str">
        <f t="shared" si="0"/>
        <v>FFDEAD</v>
      </c>
    </row>
    <row r="31" spans="1:11" x14ac:dyDescent="0.25">
      <c r="E31" s="144" t="str">
        <f ca="1">IFERROR(OFFSET(Attributes!$A$1,MATCH(Rare!$A31,Attributes!$A:$A,0)-1,MATCH("Abbr",Attributes!$1:$1,0)-1),"")</f>
        <v/>
      </c>
      <c r="J31" s="35" t="s">
        <v>571</v>
      </c>
      <c r="K31" s="95" t="str">
        <f t="shared" si="0"/>
        <v>000000</v>
      </c>
    </row>
    <row r="32" spans="1:11" x14ac:dyDescent="0.25">
      <c r="E32" s="144" t="str">
        <f ca="1">IFERROR(OFFSET(Attributes!$A$1,MATCH(Rare!$A32,Attributes!$A:$A,0)-1,MATCH("Abbr",Attributes!$1:$1,0)-1),"")</f>
        <v/>
      </c>
      <c r="F32" s="103" t="s">
        <v>64</v>
      </c>
      <c r="G32" s="124" t="s">
        <v>579</v>
      </c>
      <c r="H32" s="32" t="str">
        <f>FormatItemName(F32)</f>
        <v>|CFF8B66FF血吼|R</v>
      </c>
      <c r="I32" s="32" t="str">
        <f>FormatItemName(G32)</f>
        <v>|CFF8B66FFGorehowl|R</v>
      </c>
      <c r="J32" s="35" t="s">
        <v>571</v>
      </c>
      <c r="K32" s="95" t="str">
        <f t="shared" si="0"/>
        <v>8B66FF</v>
      </c>
    </row>
    <row r="33" spans="1:11" x14ac:dyDescent="0.25">
      <c r="A33" s="32">
        <v>4</v>
      </c>
      <c r="B33" s="32">
        <v>10</v>
      </c>
      <c r="C33" s="32">
        <v>13</v>
      </c>
      <c r="D33" s="144">
        <f ca="1">OFFSET(Attributes!$A$1,MATCH(Rare!$A33,Attributes!$A:$A,0)-1,MATCH("Type",Attributes!$1:$1,0)-1)</f>
        <v>1</v>
      </c>
      <c r="E33" s="144" t="str">
        <f ca="1">IFERROR(OFFSET(Attributes!$A$1,MATCH(Rare!$A33,Attributes!$A:$A,0)-1,MATCH("Abbr",Attributes!$1:$1,0)-1),"")</f>
        <v>STR</v>
      </c>
      <c r="F33" s="84" t="str">
        <f ca="1">SUBSTITUTE(OFFSET(Attributes!$A$1,MATCH($A33,Attributes!$A:$A,0)-1,MATCH("Attr CN",Attributes!$1:$1,0)-1),"#",$B33*$B$1&amp;"-"&amp;$C33*$B$1)</f>
        <v>+30-39力量</v>
      </c>
      <c r="G33" s="97" t="str">
        <f ca="1">SUBSTITUTE(OFFSET(Attributes!$A$1,MATCH($A33,Attributes!$A:$A,0)-1,MATCH("Attr EN",Attributes!$1:$1,0)-1),"#",$B33*$B$1&amp;"-"&amp;$C33*$B$1)</f>
        <v>+30-39 Strength</v>
      </c>
      <c r="H33" s="32" t="str">
        <f ca="1">FormatItemDescription(F32:F36)</f>
        <v>|CFF8B66FFRare|R|N+30-39力量|N+30-45攻击强度|N+0.09-0.15攻击暴击|N|N|CFFFFDEAD“这把格罗姆地狱咆哮的战斧曾在无数的战场上令敌人闻风丧胆。”|R</v>
      </c>
      <c r="I33" s="32" t="str">
        <f ca="1">FormatItemDescription(G32:G36)</f>
        <v>|CFF8B66FFRare|R|N+30-39 Strength|N+30-45 Attack power|N+0.09-0.15 Attack critical|N|N|CFFFFDEAD"The axe of Grom Hellscream has sown terror across hundreds of battlefields."|R</v>
      </c>
      <c r="J33" s="35" t="s">
        <v>571</v>
      </c>
      <c r="K33" s="95" t="str">
        <f t="shared" si="0"/>
        <v>FFFFFF</v>
      </c>
    </row>
    <row r="34" spans="1:11" x14ac:dyDescent="0.25">
      <c r="A34" s="32">
        <v>9</v>
      </c>
      <c r="B34" s="32">
        <v>10</v>
      </c>
      <c r="C34" s="32">
        <v>15</v>
      </c>
      <c r="D34" s="144">
        <f ca="1">OFFSET(Attributes!$A$1,MATCH(Rare!$A34,Attributes!$A:$A,0)-1,MATCH("Type",Attributes!$1:$1,0)-1)</f>
        <v>1</v>
      </c>
      <c r="E34" s="144" t="str">
        <f ca="1">IFERROR(OFFSET(Attributes!$A$1,MATCH(Rare!$A34,Attributes!$A:$A,0)-1,MATCH("Abbr",Attributes!$1:$1,0)-1),"")</f>
        <v>AP</v>
      </c>
      <c r="F34" s="84" t="str">
        <f ca="1">SUBSTITUTE(OFFSET(Attributes!$A$1,MATCH($A34,Attributes!$A:$A,0)-1,MATCH("Attr CN",Attributes!$1:$1,0)-1),"#",$B34*$B$1&amp;"-"&amp;$C34*$B$1)</f>
        <v>+30-45攻击强度</v>
      </c>
      <c r="G34" s="97" t="str">
        <f ca="1">SUBSTITUTE(OFFSET(Attributes!$A$1,MATCH($A34,Attributes!$A:$A,0)-1,MATCH("Attr EN",Attributes!$1:$1,0)-1),"#",$B34*$B$1&amp;"-"&amp;$C34*$B$1)</f>
        <v>+30-45 Attack power</v>
      </c>
      <c r="H34" s="32" t="str">
        <f ca="1">FormatItemUbertip(F33:F36)</f>
        <v>+30-39力量|N+30-45攻击强度|N+0.09-0.15攻击暴击|N|N|CFFFFDEAD“这把格罗姆地狱咆哮的战斧曾在无数的战场上令敌人闻风丧胆。”|R</v>
      </c>
      <c r="I34" s="32" t="str">
        <f ca="1">FormatItemUbertip(G33:G36)</f>
        <v>+30-39 Strength|N+30-45 Attack power|N+0.09-0.15 Attack critical|N|N|CFFFFDEAD"The axe of Grom Hellscream has sown terror across hundreds of battlefields."|R</v>
      </c>
      <c r="J34" s="35" t="s">
        <v>571</v>
      </c>
      <c r="K34" s="95" t="str">
        <f t="shared" si="0"/>
        <v>FFFFFF</v>
      </c>
    </row>
    <row r="35" spans="1:11" x14ac:dyDescent="0.25">
      <c r="A35" s="32">
        <v>11</v>
      </c>
      <c r="B35" s="32">
        <v>0.03</v>
      </c>
      <c r="C35" s="32">
        <v>0.05</v>
      </c>
      <c r="D35" s="144">
        <f ca="1">OFFSET(Attributes!$A$1,MATCH(Rare!$A35,Attributes!$A:$A,0)-1,MATCH("Type",Attributes!$1:$1,0)-1)</f>
        <v>1</v>
      </c>
      <c r="E35" s="144" t="str">
        <f ca="1">IFERROR(OFFSET(Attributes!$A$1,MATCH(Rare!$A35,Attributes!$A:$A,0)-1,MATCH("Abbr",Attributes!$1:$1,0)-1),"")</f>
        <v>CRIT</v>
      </c>
      <c r="F35" s="84" t="str">
        <f ca="1">SUBSTITUTE(OFFSET(Attributes!$A$1,MATCH($A35,Attributes!$A:$A,0)-1,MATCH("Attr CN",Attributes!$1:$1,0)-1),"#",$B35*$B$1&amp;"-"&amp;$C35*$B$1)</f>
        <v>+0.09-0.15攻击暴击</v>
      </c>
      <c r="G35" s="97" t="str">
        <f ca="1">SUBSTITUTE(OFFSET(Attributes!$A$1,MATCH($A35,Attributes!$A:$A,0)-1,MATCH("Attr EN",Attributes!$1:$1,0)-1),"#",$B35*$B$1&amp;"-"&amp;$C35*$B$1)</f>
        <v>+0.09-0.15 Attack critical</v>
      </c>
      <c r="H35" s="40"/>
      <c r="I35" s="40"/>
      <c r="J35" s="35" t="s">
        <v>571</v>
      </c>
      <c r="K35" s="95" t="str">
        <f t="shared" si="0"/>
        <v>FFFFFF</v>
      </c>
    </row>
    <row r="36" spans="1:11" ht="28.5" x14ac:dyDescent="0.25">
      <c r="E36" s="144" t="str">
        <f ca="1">IFERROR(OFFSET(Attributes!$A$1,MATCH(Rare!$A36,Attributes!$A:$A,0)-1,MATCH("Abbr",Attributes!$1:$1,0)-1),"")</f>
        <v/>
      </c>
      <c r="F36" s="88" t="s">
        <v>285</v>
      </c>
      <c r="G36" s="98" t="s">
        <v>580</v>
      </c>
      <c r="J36" s="35" t="s">
        <v>571</v>
      </c>
      <c r="K36" s="95" t="str">
        <f t="shared" si="0"/>
        <v>FFDEAD</v>
      </c>
    </row>
    <row r="37" spans="1:11" x14ac:dyDescent="0.25">
      <c r="E37" s="144" t="str">
        <f ca="1">IFERROR(OFFSET(Attributes!$A$1,MATCH(Rare!$A37,Attributes!$A:$A,0)-1,MATCH("Abbr",Attributes!$1:$1,0)-1),"")</f>
        <v/>
      </c>
      <c r="J37" s="35" t="s">
        <v>571</v>
      </c>
      <c r="K37" s="95" t="str">
        <f t="shared" si="0"/>
        <v>000000</v>
      </c>
    </row>
    <row r="38" spans="1:11" x14ac:dyDescent="0.25">
      <c r="E38" s="144" t="str">
        <f ca="1">IFERROR(OFFSET(Attributes!$A$1,MATCH(Rare!$A38,Attributes!$A:$A,0)-1,MATCH("Abbr",Attributes!$1:$1,0)-1),"")</f>
        <v/>
      </c>
      <c r="F38" s="103" t="s">
        <v>69</v>
      </c>
      <c r="G38" s="124" t="s">
        <v>76</v>
      </c>
      <c r="H38" s="32" t="str">
        <f>FormatItemName(F38)</f>
        <v>|CFF8B66FF熔火犬牙|R</v>
      </c>
      <c r="I38" s="32" t="str">
        <f>FormatItemName(G38)</f>
        <v>|CFF8B66FFCore Hound Tooth|R</v>
      </c>
      <c r="J38" s="35" t="s">
        <v>571</v>
      </c>
      <c r="K38" s="95" t="str">
        <f t="shared" si="0"/>
        <v>8B66FF</v>
      </c>
    </row>
    <row r="39" spans="1:11" x14ac:dyDescent="0.25">
      <c r="A39" s="32">
        <v>21</v>
      </c>
      <c r="B39" s="32">
        <v>50</v>
      </c>
      <c r="C39" s="32">
        <v>75</v>
      </c>
      <c r="D39" s="144">
        <f ca="1">OFFSET(Attributes!$A$1,MATCH(Rare!$A39,Attributes!$A:$A,0)-1,MATCH("Type",Attributes!$1:$1,0)-1)</f>
        <v>1</v>
      </c>
      <c r="E39" s="144" t="str">
        <f ca="1">IFERROR(OFFSET(Attributes!$A$1,MATCH(Rare!$A39,Attributes!$A:$A,0)-1,MATCH("Abbr",Attributes!$1:$1,0)-1),"")</f>
        <v>HP</v>
      </c>
      <c r="F39" s="84" t="str">
        <f ca="1">SUBSTITUTE(OFFSET(Attributes!$A$1,MATCH($A39,Attributes!$A:$A,0)-1,MATCH("Attr CN",Attributes!$1:$1,0)-1),"#",$B39*$B$1&amp;"-"&amp;$C39*$B$1)</f>
        <v>+150-225生命上限</v>
      </c>
      <c r="G39" s="97" t="str">
        <f ca="1">SUBSTITUTE(OFFSET(Attributes!$A$1,MATCH($A39,Attributes!$A:$A,0)-1,MATCH("Attr EN",Attributes!$1:$1,0)-1),"#",$B39*$B$1&amp;"-"&amp;$C39*$B$1)</f>
        <v>+150-225 Max HP</v>
      </c>
      <c r="H39" s="32" t="str">
        <f ca="1">FormatItemDescription(F38:F42)</f>
        <v>|CFF8B66FFRare|R|N+150-225生命上限|N+45-66攻击强度|N+15-21%攻击速度|N+0.06-0.12攻击暴击</v>
      </c>
      <c r="I39" s="32" t="str">
        <f ca="1">FormatItemDescription(G38:G42)</f>
        <v>|CFF8B66FFRare|R|N+150-225 Max HP|N+45-66 Attack power|N+15-21% Attack speed|N+0.06-0.12 Attack critical</v>
      </c>
      <c r="J39" s="35" t="s">
        <v>571</v>
      </c>
      <c r="K39" s="95" t="str">
        <f t="shared" si="0"/>
        <v>FFFFFF</v>
      </c>
    </row>
    <row r="40" spans="1:11" x14ac:dyDescent="0.25">
      <c r="A40" s="32">
        <v>9</v>
      </c>
      <c r="B40" s="32">
        <v>15</v>
      </c>
      <c r="C40" s="32">
        <v>22</v>
      </c>
      <c r="D40" s="144">
        <f ca="1">OFFSET(Attributes!$A$1,MATCH(Rare!$A40,Attributes!$A:$A,0)-1,MATCH("Type",Attributes!$1:$1,0)-1)</f>
        <v>1</v>
      </c>
      <c r="E40" s="144" t="str">
        <f ca="1">IFERROR(OFFSET(Attributes!$A$1,MATCH(Rare!$A40,Attributes!$A:$A,0)-1,MATCH("Abbr",Attributes!$1:$1,0)-1),"")</f>
        <v>AP</v>
      </c>
      <c r="F40" s="84" t="str">
        <f ca="1">SUBSTITUTE(OFFSET(Attributes!$A$1,MATCH($A40,Attributes!$A:$A,0)-1,MATCH("Attr CN",Attributes!$1:$1,0)-1),"#",$B40*$B$1&amp;"-"&amp;$C40*$B$1)</f>
        <v>+45-66攻击强度</v>
      </c>
      <c r="G40" s="97" t="str">
        <f ca="1">SUBSTITUTE(OFFSET(Attributes!$A$1,MATCH($A40,Attributes!$A:$A,0)-1,MATCH("Attr EN",Attributes!$1:$1,0)-1),"#",$B40*$B$1&amp;"-"&amp;$C40*$B$1)</f>
        <v>+45-66 Attack power</v>
      </c>
      <c r="H40" s="32" t="str">
        <f ca="1">FormatItemUbertip(F39:F42)</f>
        <v>+150-225生命上限|N+45-66攻击强度|N+15-21%攻击速度|N+0.06-0.12攻击暴击</v>
      </c>
      <c r="I40" s="32" t="str">
        <f ca="1">FormatItemUbertip(G39:G42)</f>
        <v>+150-225 Max HP|N+45-66 Attack power|N+15-21% Attack speed|N+0.06-0.12 Attack critical</v>
      </c>
      <c r="J40" s="35" t="s">
        <v>571</v>
      </c>
      <c r="K40" s="95" t="str">
        <f t="shared" si="0"/>
        <v>FFFFFF</v>
      </c>
    </row>
    <row r="41" spans="1:11" x14ac:dyDescent="0.25">
      <c r="A41" s="32">
        <v>12</v>
      </c>
      <c r="B41" s="32">
        <v>5</v>
      </c>
      <c r="C41" s="32">
        <v>7</v>
      </c>
      <c r="D41" s="144">
        <f ca="1">OFFSET(Attributes!$A$1,MATCH(Rare!$A41,Attributes!$A:$A,0)-1,MATCH("Type",Attributes!$1:$1,0)-1)</f>
        <v>1</v>
      </c>
      <c r="E41" s="144" t="str">
        <f ca="1">IFERROR(OFFSET(Attributes!$A$1,MATCH(Rare!$A41,Attributes!$A:$A,0)-1,MATCH("Abbr",Attributes!$1:$1,0)-1),"")</f>
        <v>IAS</v>
      </c>
      <c r="F41" s="84" t="str">
        <f ca="1">SUBSTITUTE(OFFSET(Attributes!$A$1,MATCH($A41,Attributes!$A:$A,0)-1,MATCH("Attr CN",Attributes!$1:$1,0)-1),"#",$B41*$B$1&amp;"-"&amp;$C41*$B$1)</f>
        <v>+15-21%攻击速度</v>
      </c>
      <c r="G41" s="97" t="str">
        <f ca="1">SUBSTITUTE(OFFSET(Attributes!$A$1,MATCH($A41,Attributes!$A:$A,0)-1,MATCH("Attr EN",Attributes!$1:$1,0)-1),"#",$B41*$B$1&amp;"-"&amp;$C41*$B$1)</f>
        <v>+15-21% Attack speed</v>
      </c>
      <c r="J41" s="35" t="s">
        <v>571</v>
      </c>
      <c r="K41" s="95" t="str">
        <f t="shared" si="0"/>
        <v>FFFFFF</v>
      </c>
    </row>
    <row r="42" spans="1:11" x14ac:dyDescent="0.25">
      <c r="A42" s="32">
        <v>11</v>
      </c>
      <c r="B42" s="32">
        <v>0.02</v>
      </c>
      <c r="C42" s="32">
        <v>0.04</v>
      </c>
      <c r="D42" s="144">
        <f ca="1">OFFSET(Attributes!$A$1,MATCH(Rare!$A42,Attributes!$A:$A,0)-1,MATCH("Type",Attributes!$1:$1,0)-1)</f>
        <v>1</v>
      </c>
      <c r="E42" s="144" t="str">
        <f ca="1">IFERROR(OFFSET(Attributes!$A$1,MATCH(Rare!$A42,Attributes!$A:$A,0)-1,MATCH("Abbr",Attributes!$1:$1,0)-1),"")</f>
        <v>CRIT</v>
      </c>
      <c r="F42" s="84" t="str">
        <f ca="1">SUBSTITUTE(OFFSET(Attributes!$A$1,MATCH($A42,Attributes!$A:$A,0)-1,MATCH("Attr CN",Attributes!$1:$1,0)-1),"#",$B42*$B$1&amp;"-"&amp;$C42*$B$1)</f>
        <v>+0.06-0.12攻击暴击</v>
      </c>
      <c r="G42" s="97" t="str">
        <f ca="1">SUBSTITUTE(OFFSET(Attributes!$A$1,MATCH($A42,Attributes!$A:$A,0)-1,MATCH("Attr EN",Attributes!$1:$1,0)-1),"#",$B42*$B$1&amp;"-"&amp;$C42*$B$1)</f>
        <v>+0.06-0.12 Attack critical</v>
      </c>
      <c r="J42" s="35" t="s">
        <v>571</v>
      </c>
      <c r="K42" s="95" t="str">
        <f t="shared" si="0"/>
        <v>FFFFFF</v>
      </c>
    </row>
    <row r="43" spans="1:11" x14ac:dyDescent="0.25">
      <c r="E43" s="144" t="str">
        <f ca="1">IFERROR(OFFSET(Attributes!$A$1,MATCH(Rare!$A43,Attributes!$A:$A,0)-1,MATCH("Abbr",Attributes!$1:$1,0)-1),"")</f>
        <v/>
      </c>
      <c r="J43" s="35" t="s">
        <v>571</v>
      </c>
      <c r="K43" s="95" t="str">
        <f t="shared" si="0"/>
        <v>000000</v>
      </c>
    </row>
    <row r="44" spans="1:11" x14ac:dyDescent="0.25">
      <c r="E44" s="144" t="str">
        <f ca="1">IFERROR(OFFSET(Attributes!$A$1,MATCH(Rare!$A44,Attributes!$A:$A,0)-1,MATCH("Abbr",Attributes!$1:$1,0)-1),"")</f>
        <v/>
      </c>
      <c r="F44" s="103" t="s">
        <v>79</v>
      </c>
      <c r="G44" s="124" t="s">
        <v>83</v>
      </c>
      <c r="H44" s="32" t="str">
        <f>FormatItemName(F44)</f>
        <v>|CFF8B66FF维斯卡格|R</v>
      </c>
      <c r="I44" s="32" t="str">
        <f>FormatItemName(G44)</f>
        <v>|CFF8B66FFVis'kag|R</v>
      </c>
      <c r="J44" s="35" t="s">
        <v>571</v>
      </c>
      <c r="K44" s="95" t="str">
        <f t="shared" si="0"/>
        <v>8B66FF</v>
      </c>
    </row>
    <row r="45" spans="1:11" x14ac:dyDescent="0.25">
      <c r="A45" s="32">
        <v>13</v>
      </c>
      <c r="B45" s="32">
        <v>8</v>
      </c>
      <c r="C45" s="32">
        <v>12</v>
      </c>
      <c r="D45" s="144">
        <f ca="1">OFFSET(Attributes!$A$1,MATCH(Rare!$A45,Attributes!$A:$A,0)-1,MATCH("Type",Attributes!$1:$1,0)-1)</f>
        <v>1</v>
      </c>
      <c r="E45" s="144" t="str">
        <f ca="1">IFERROR(OFFSET(Attributes!$A$1,MATCH(Rare!$A45,Attributes!$A:$A,0)-1,MATCH("Abbr",Attributes!$1:$1,0)-1),"")</f>
        <v>AGI</v>
      </c>
      <c r="F45" s="84" t="str">
        <f ca="1">SUBSTITUTE(OFFSET(Attributes!$A$1,MATCH($A45,Attributes!$A:$A,0)-1,MATCH("Attr CN",Attributes!$1:$1,0)-1),"#",$B45*$B$1&amp;"-"&amp;$C45*$B$1)</f>
        <v>+24-36敏捷</v>
      </c>
      <c r="G45" s="97" t="str">
        <f ca="1">SUBSTITUTE(OFFSET(Attributes!$A$1,MATCH($A45,Attributes!$A:$A,0)-1,MATCH("Attr EN",Attributes!$1:$1,0)-1),"#",$B45*$B$1&amp;"-"&amp;$C45*$B$1)</f>
        <v>+24-36 Agility</v>
      </c>
      <c r="H45" s="32" t="str">
        <f ca="1">FormatItemDescription(F44:F49)</f>
        <v>|CFF8B66FFRare|R|N+24-36敏捷|N+36-54攻击强度|N+21-36%攻击速度|N攻击汲取0.12-0.15生命|N|N|CFFFFDEAD"血书."|R</v>
      </c>
      <c r="I45" s="32" t="str">
        <f ca="1">FormatItemDescription(G44:G49)</f>
        <v>|CFF8B66FFRare|R|N+24-36 Agility|N+36-54 Attack power|N+21-36% Attack speed|N|CFF87CEEB+0.12-0.15 Life stolen per hit|R|N|N|CFFFFDEAD"The blood letter"|R</v>
      </c>
      <c r="J45" s="35" t="s">
        <v>571</v>
      </c>
      <c r="K45" s="95" t="str">
        <f t="shared" si="0"/>
        <v>FFFFFF</v>
      </c>
    </row>
    <row r="46" spans="1:11" x14ac:dyDescent="0.25">
      <c r="A46" s="32">
        <v>9</v>
      </c>
      <c r="B46" s="32">
        <v>12</v>
      </c>
      <c r="C46" s="32">
        <v>18</v>
      </c>
      <c r="D46" s="144">
        <f ca="1">OFFSET(Attributes!$A$1,MATCH(Rare!$A46,Attributes!$A:$A,0)-1,MATCH("Type",Attributes!$1:$1,0)-1)</f>
        <v>1</v>
      </c>
      <c r="E46" s="144" t="str">
        <f ca="1">IFERROR(OFFSET(Attributes!$A$1,MATCH(Rare!$A46,Attributes!$A:$A,0)-1,MATCH("Abbr",Attributes!$1:$1,0)-1),"")</f>
        <v>AP</v>
      </c>
      <c r="F46" s="84" t="str">
        <f ca="1">SUBSTITUTE(OFFSET(Attributes!$A$1,MATCH($A46,Attributes!$A:$A,0)-1,MATCH("Attr CN",Attributes!$1:$1,0)-1),"#",$B46*$B$1&amp;"-"&amp;$C46*$B$1)</f>
        <v>+36-54攻击强度</v>
      </c>
      <c r="G46" s="97" t="str">
        <f ca="1">SUBSTITUTE(OFFSET(Attributes!$A$1,MATCH($A46,Attributes!$A:$A,0)-1,MATCH("Attr EN",Attributes!$1:$1,0)-1),"#",$B46*$B$1&amp;"-"&amp;$C46*$B$1)</f>
        <v>+36-54 Attack power</v>
      </c>
      <c r="H46" s="32" t="str">
        <f ca="1">FormatItemUbertip(F45:F49)</f>
        <v>+24-36敏捷|N+36-54攻击强度|N+21-36%攻击速度|N攻击汲取0.12-0.15生命|N|N|CFFFFDEAD"血书."|R</v>
      </c>
      <c r="I46" s="32" t="str">
        <f ca="1">FormatItemUbertip(G45:G49)</f>
        <v>+24-36 Agility|N+36-54 Attack power|N+21-36% Attack speed|N|CFF87CEEB+0.12-0.15 Life stolen per hit|R|N|N|CFFFFDEAD"The blood letter"|R</v>
      </c>
      <c r="J46" s="35" t="s">
        <v>571</v>
      </c>
      <c r="K46" s="95" t="str">
        <f t="shared" si="0"/>
        <v>FFFFFF</v>
      </c>
    </row>
    <row r="47" spans="1:11" x14ac:dyDescent="0.25">
      <c r="A47" s="32">
        <v>12</v>
      </c>
      <c r="B47" s="32">
        <v>7</v>
      </c>
      <c r="C47" s="32">
        <v>12</v>
      </c>
      <c r="D47" s="144">
        <f ca="1">OFFSET(Attributes!$A$1,MATCH(Rare!$A47,Attributes!$A:$A,0)-1,MATCH("Type",Attributes!$1:$1,0)-1)</f>
        <v>1</v>
      </c>
      <c r="E47" s="144" t="str">
        <f ca="1">IFERROR(OFFSET(Attributes!$A$1,MATCH(Rare!$A47,Attributes!$A:$A,0)-1,MATCH("Abbr",Attributes!$1:$1,0)-1),"")</f>
        <v>IAS</v>
      </c>
      <c r="F47" s="84" t="str">
        <f ca="1">SUBSTITUTE(OFFSET(Attributes!$A$1,MATCH($A47,Attributes!$A:$A,0)-1,MATCH("Attr CN",Attributes!$1:$1,0)-1),"#",$B47*$B$1&amp;"-"&amp;$C47*$B$1)</f>
        <v>+21-36%攻击速度</v>
      </c>
      <c r="G47" s="97" t="str">
        <f ca="1">SUBSTITUTE(OFFSET(Attributes!$A$1,MATCH($A47,Attributes!$A:$A,0)-1,MATCH("Attr EN",Attributes!$1:$1,0)-1),"#",$B47*$B$1&amp;"-"&amp;$C47*$B$1)</f>
        <v>+21-36% Attack speed</v>
      </c>
      <c r="H47" s="40"/>
      <c r="I47" s="40"/>
      <c r="J47" s="35" t="s">
        <v>571</v>
      </c>
      <c r="K47" s="95" t="str">
        <f t="shared" si="0"/>
        <v>FFFFFF</v>
      </c>
    </row>
    <row r="48" spans="1:11" x14ac:dyDescent="0.25">
      <c r="A48" s="32">
        <v>44</v>
      </c>
      <c r="B48" s="32">
        <v>0.04</v>
      </c>
      <c r="C48" s="32">
        <v>0.05</v>
      </c>
      <c r="D48" s="144">
        <f ca="1">OFFSET(Attributes!$A$1,MATCH(Rare!$A48,Attributes!$A:$A,0)-1,MATCH("Type",Attributes!$1:$1,0)-1)</f>
        <v>3</v>
      </c>
      <c r="E48" s="144" t="str">
        <f ca="1">IFERROR(OFFSET(Attributes!$A$1,MATCH(Rare!$A48,Attributes!$A:$A,0)-1,MATCH("Abbr",Attributes!$1:$1,0)-1),"")</f>
        <v>ATK_LL</v>
      </c>
      <c r="F48" s="84" t="str">
        <f ca="1">SUBSTITUTE(OFFSET(Attributes!$A$1,MATCH($A48,Attributes!$A:$A,0)-1,MATCH("Attr CN",Attributes!$1:$1,0)-1),"#",$B48*$B$1&amp;"-"&amp;$C48*$B$1)</f>
        <v>攻击汲取0.12-0.15生命</v>
      </c>
      <c r="G48" s="129" t="str">
        <f ca="1">SUBSTITUTE(OFFSET(Attributes!$A$1,MATCH($A48,Attributes!$A:$A,0)-1,MATCH("Attr EN",Attributes!$1:$1,0)-1),"#",$B48*$B$1&amp;"-"&amp;$C48*$B$1)</f>
        <v>+0.12-0.15 Life stolen per hit</v>
      </c>
      <c r="J48" s="35" t="s">
        <v>571</v>
      </c>
      <c r="K48" s="95" t="str">
        <f t="shared" si="0"/>
        <v>87CEEB</v>
      </c>
    </row>
    <row r="49" spans="1:11" x14ac:dyDescent="0.25">
      <c r="E49" s="144" t="str">
        <f ca="1">IFERROR(OFFSET(Attributes!$A$1,MATCH(Rare!$A49,Attributes!$A:$A,0)-1,MATCH("Abbr",Attributes!$1:$1,0)-1),"")</f>
        <v/>
      </c>
      <c r="F49" s="88" t="s">
        <v>86</v>
      </c>
      <c r="G49" s="98" t="s">
        <v>581</v>
      </c>
      <c r="J49" s="35" t="s">
        <v>571</v>
      </c>
      <c r="K49" s="95" t="str">
        <f t="shared" si="0"/>
        <v>FFDEAD</v>
      </c>
    </row>
    <row r="50" spans="1:11" x14ac:dyDescent="0.25">
      <c r="E50" s="144" t="str">
        <f ca="1">IFERROR(OFFSET(Attributes!$A$1,MATCH(Rare!$A50,Attributes!$A:$A,0)-1,MATCH("Abbr",Attributes!$1:$1,0)-1),"")</f>
        <v/>
      </c>
      <c r="J50" s="35" t="s">
        <v>571</v>
      </c>
      <c r="K50" s="95" t="str">
        <f t="shared" si="0"/>
        <v>000000</v>
      </c>
    </row>
    <row r="51" spans="1:11" x14ac:dyDescent="0.25">
      <c r="E51" s="144" t="str">
        <f ca="1">IFERROR(OFFSET(Attributes!$A$1,MATCH(Rare!$A51,Attributes!$A:$A,0)-1,MATCH("Abbr",Attributes!$1:$1,0)-1),"")</f>
        <v/>
      </c>
      <c r="F51" s="103" t="s">
        <v>88</v>
      </c>
      <c r="G51" s="124" t="s">
        <v>90</v>
      </c>
      <c r="H51" s="32" t="str">
        <f>FormatItemName(F51)</f>
        <v>|CFF8B66FF风暴狮角|R</v>
      </c>
      <c r="I51" s="32" t="str">
        <f>FormatItemName(G51)</f>
        <v>|CFF8B66FFLion Horn|R</v>
      </c>
      <c r="J51" s="35" t="s">
        <v>571</v>
      </c>
      <c r="K51" s="95" t="str">
        <f t="shared" si="0"/>
        <v>8B66FF</v>
      </c>
    </row>
    <row r="52" spans="1:11" x14ac:dyDescent="0.25">
      <c r="A52" s="32">
        <v>9</v>
      </c>
      <c r="B52" s="32">
        <v>12</v>
      </c>
      <c r="C52" s="32">
        <v>15</v>
      </c>
      <c r="D52" s="144">
        <f ca="1">OFFSET(Attributes!$A$1,MATCH(Rare!$A52,Attributes!$A:$A,0)-1,MATCH("Type",Attributes!$1:$1,0)-1)</f>
        <v>1</v>
      </c>
      <c r="E52" s="144" t="str">
        <f ca="1">IFERROR(OFFSET(Attributes!$A$1,MATCH(Rare!$A52,Attributes!$A:$A,0)-1,MATCH("Abbr",Attributes!$1:$1,0)-1),"")</f>
        <v>AP</v>
      </c>
      <c r="F52" s="84" t="str">
        <f ca="1">SUBSTITUTE(OFFSET(Attributes!$A$1,MATCH($A52,Attributes!$A:$A,0)-1,MATCH("Attr CN",Attributes!$1:$1,0)-1),"#",$B52*$B$1&amp;"-"&amp;$C52*$B$1)</f>
        <v>+36-45攻击强度</v>
      </c>
      <c r="G52" s="97" t="str">
        <f ca="1">SUBSTITUTE(OFFSET(Attributes!$A$1,MATCH($A52,Attributes!$A:$A,0)-1,MATCH("Attr EN",Attributes!$1:$1,0)-1),"#",$B52*$B$1&amp;"-"&amp;$C52*$B$1)</f>
        <v>+36-45 Attack power</v>
      </c>
      <c r="H52" s="32" t="str">
        <f ca="1">FormatItemDescription(F51:F55)</f>
        <v>|CFF8B66FFRare|R|N+36-45攻击强度|N+0.03-0.06伤害和治疗|N命中：有0.15-0.21的几率提高30%的攻击速度，持续5秒|N|N|CFF999999比龙脊奖章好多了.|R</v>
      </c>
      <c r="I52" s="32" t="str">
        <f ca="1">FormatItemDescription(G51:G55)</f>
        <v>|CFF8B66FFRare|R|N+36-45 Attack power|N+0.03-0.06 Damage and healing dealt|N|CFF11FF11On Attack: 0.15-0.21 chance to increase 30% attack speed, lasts for 5 seconds|R|N|N|CFF999999Much better than Dragonspine Trophy.|R</v>
      </c>
      <c r="J52" s="35" t="s">
        <v>571</v>
      </c>
      <c r="K52" s="95" t="str">
        <f t="shared" si="0"/>
        <v>FFFFFF</v>
      </c>
    </row>
    <row r="53" spans="1:11" x14ac:dyDescent="0.25">
      <c r="A53" s="32">
        <v>3</v>
      </c>
      <c r="B53" s="32">
        <v>0.01</v>
      </c>
      <c r="C53" s="32">
        <v>0.02</v>
      </c>
      <c r="D53" s="144">
        <f ca="1">OFFSET(Attributes!$A$1,MATCH(Rare!$A53,Attributes!$A:$A,0)-1,MATCH("Type",Attributes!$1:$1,0)-1)</f>
        <v>1</v>
      </c>
      <c r="E53" s="144" t="str">
        <f ca="1">IFERROR(OFFSET(Attributes!$A$1,MATCH(Rare!$A53,Attributes!$A:$A,0)-1,MATCH("Abbr",Attributes!$1:$1,0)-1),"")</f>
        <v>AMP</v>
      </c>
      <c r="F53" s="84" t="str">
        <f ca="1">SUBSTITUTE(OFFSET(Attributes!$A$1,MATCH($A53,Attributes!$A:$A,0)-1,MATCH("Attr CN",Attributes!$1:$1,0)-1),"#",$B53*$B$1&amp;"-"&amp;$C53*$B$1)</f>
        <v>+0.03-0.06伤害和治疗</v>
      </c>
      <c r="G53" s="97" t="str">
        <f ca="1">SUBSTITUTE(OFFSET(Attributes!$A$1,MATCH($A53,Attributes!$A:$A,0)-1,MATCH("Attr EN",Attributes!$1:$1,0)-1),"#",$B53*$B$1&amp;"-"&amp;$C53*$B$1)</f>
        <v>+0.03-0.06 Damage and healing dealt</v>
      </c>
      <c r="H53" s="32" t="str">
        <f ca="1">FormatItemUbertip(F52:F55)</f>
        <v>+36-45攻击强度|N+0.03-0.06伤害和治疗|N命中：有0.15-0.21的几率提高30%的攻击速度，持续5秒|N|N|CFF999999比龙脊奖章好多了.|R</v>
      </c>
      <c r="I53" s="32" t="str">
        <f ca="1">FormatItemUbertip(G52:G55)</f>
        <v>+36-45 Attack power|N+0.03-0.06 Damage and healing dealt|N|CFF11FF11On Attack: 0.15-0.21 chance to increase 30% attack speed, lasts for 5 seconds|R|N|N|CFF999999Much better than Dragonspine Trophy.|R</v>
      </c>
      <c r="J53" s="35" t="s">
        <v>571</v>
      </c>
      <c r="K53" s="95" t="str">
        <f t="shared" si="0"/>
        <v>FFFFFF</v>
      </c>
    </row>
    <row r="54" spans="1:11" ht="28.5" x14ac:dyDescent="0.25">
      <c r="A54" s="32">
        <v>48</v>
      </c>
      <c r="B54" s="32">
        <v>0.05</v>
      </c>
      <c r="C54" s="32">
        <v>7.0000000000000007E-2</v>
      </c>
      <c r="D54" s="144">
        <f ca="1">OFFSET(Attributes!$A$1,MATCH(Rare!$A54,Attributes!$A:$A,0)-1,MATCH("Type",Attributes!$1:$1,0)-1)</f>
        <v>2</v>
      </c>
      <c r="E54" s="144" t="str">
        <f ca="1">IFERROR(OFFSET(Attributes!$A$1,MATCH(Rare!$A54,Attributes!$A:$A,0)-1,MATCH("Abbr",Attributes!$1:$1,0)-1),"")</f>
        <v>ATK_LION</v>
      </c>
      <c r="F54" s="84" t="str">
        <f ca="1">SUBSTITUTE(OFFSET(Attributes!$A$1,MATCH($A54,Attributes!$A:$A,0)-1,MATCH("Attr CN",Attributes!$1:$1,0)-1),"#",$B54*$B$1&amp;"-"&amp;$C54*$B$1)</f>
        <v>命中：有0.15-0.21的几率提高30%的攻击速度，持续5秒</v>
      </c>
      <c r="G54" s="130" t="str">
        <f ca="1">SUBSTITUTE(OFFSET(Attributes!$A$1,MATCH($A54,Attributes!$A:$A,0)-1,MATCH("Attr EN",Attributes!$1:$1,0)-1),"#",$B54*$B$1&amp;"-"&amp;$C54*$B$1)</f>
        <v>On Attack: 0.15-0.21 chance to increase 30% attack speed, lasts for 5 seconds</v>
      </c>
      <c r="J54" s="35" t="s">
        <v>571</v>
      </c>
      <c r="K54" s="95" t="str">
        <f t="shared" si="0"/>
        <v>11FF11</v>
      </c>
    </row>
    <row r="55" spans="1:11" x14ac:dyDescent="0.25">
      <c r="E55" s="144" t="str">
        <f ca="1">IFERROR(OFFSET(Attributes!$A$1,MATCH(Rare!$A55,Attributes!$A:$A,0)-1,MATCH("Abbr",Attributes!$1:$1,0)-1),"")</f>
        <v/>
      </c>
      <c r="F55" s="102" t="s">
        <v>93</v>
      </c>
      <c r="G55" s="123" t="s">
        <v>582</v>
      </c>
      <c r="J55" s="35" t="s">
        <v>571</v>
      </c>
      <c r="K55" s="95" t="str">
        <f t="shared" si="0"/>
        <v>999999</v>
      </c>
    </row>
    <row r="56" spans="1:11" x14ac:dyDescent="0.25">
      <c r="E56" s="144" t="str">
        <f ca="1">IFERROR(OFFSET(Attributes!$A$1,MATCH(Rare!$A56,Attributes!$A:$A,0)-1,MATCH("Abbr",Attributes!$1:$1,0)-1),"")</f>
        <v/>
      </c>
      <c r="J56" s="35" t="s">
        <v>571</v>
      </c>
      <c r="K56" s="95" t="str">
        <f t="shared" si="0"/>
        <v>000000</v>
      </c>
    </row>
    <row r="57" spans="1:11" s="34" customFormat="1" x14ac:dyDescent="0.25">
      <c r="A57" s="32"/>
      <c r="B57" s="32"/>
      <c r="C57" s="32"/>
      <c r="D57" s="144"/>
      <c r="E57" s="144" t="str">
        <f ca="1">IFERROR(OFFSET(Attributes!$A$1,MATCH(Rare!$A57,Attributes!$A:$A,0)-1,MATCH("Abbr",Attributes!$1:$1,0)-1),"")</f>
        <v/>
      </c>
      <c r="F57" s="103" t="s">
        <v>55</v>
      </c>
      <c r="G57" s="124" t="s">
        <v>583</v>
      </c>
      <c r="H57" s="32" t="str">
        <f>FormatItemName(F57)</f>
        <v>|CFF8B66FF诅咒铠甲|R</v>
      </c>
      <c r="I57" s="32" t="str">
        <f>FormatItemName(G57)</f>
        <v>|CFF8B66FFArmor of the Damned|R</v>
      </c>
      <c r="J57" s="35" t="s">
        <v>571</v>
      </c>
      <c r="K57" s="95" t="str">
        <f t="shared" si="0"/>
        <v>8B66FF</v>
      </c>
    </row>
    <row r="58" spans="1:11" s="34" customFormat="1" x14ac:dyDescent="0.25">
      <c r="A58" s="32">
        <v>8</v>
      </c>
      <c r="B58" s="32">
        <v>2</v>
      </c>
      <c r="C58" s="32">
        <v>3</v>
      </c>
      <c r="D58" s="144">
        <f ca="1">OFFSET(Attributes!$A$1,MATCH(Rare!$A58,Attributes!$A:$A,0)-1,MATCH("Type",Attributes!$1:$1,0)-1)</f>
        <v>1</v>
      </c>
      <c r="E58" s="144" t="str">
        <f ca="1">IFERROR(OFFSET(Attributes!$A$1,MATCH(Rare!$A58,Attributes!$A:$A,0)-1,MATCH("Abbr",Attributes!$1:$1,0)-1),"")</f>
        <v>DEF</v>
      </c>
      <c r="F58" s="84" t="str">
        <f ca="1">SUBSTITUTE(OFFSET(Attributes!$A$1,MATCH($A58,Attributes!$A:$A,0)-1,MATCH("Attr CN",Attributes!$1:$1,0)-1),"#",$B58*$B$1&amp;"-"&amp;$C58*$B$1)</f>
        <v>+6-9护甲</v>
      </c>
      <c r="G58" s="97" t="str">
        <f ca="1">SUBSTITUTE(OFFSET(Attributes!$A$1,MATCH($A58,Attributes!$A:$A,0)-1,MATCH("Attr EN",Attributes!$1:$1,0)-1),"#",$B58*$B$1&amp;"-"&amp;$C58*$B$1)</f>
        <v>+6-9 Armor</v>
      </c>
      <c r="H58" s="32" t="str">
        <f ca="1">FormatItemDescription(F57:F63)</f>
        <v>|CFF8B66FFRare|R|N+6-9护甲|N+24-36力量|N+60-135格挡值|N每秒流失12-24生命值|N受到普通攻击：降低目标的攻击强度150-225点|N|N|CFFFFDEAD"迟缓大法,恶咒附身,虚弱无力,大难临头"|R</v>
      </c>
      <c r="I58" s="32" t="str">
        <f ca="1">FormatItemDescription(G57:G63)</f>
        <v>|CFF8B66FFRare|R|N+6-9 Armor|N+24-36 Strength|N+60-135 Block points|NLost 12-24 HP per second during combat|N|CFF11FF11On Attacked: Decreases attacker's attack power by 150-225|R|N|N|CFFFFDEAD"Slow, Curse, Weakness, Misfortune"|R</v>
      </c>
      <c r="J58" s="35" t="s">
        <v>571</v>
      </c>
      <c r="K58" s="95" t="str">
        <f t="shared" si="0"/>
        <v>FFFFFF</v>
      </c>
    </row>
    <row r="59" spans="1:11" s="34" customFormat="1" x14ac:dyDescent="0.25">
      <c r="A59" s="32">
        <v>4</v>
      </c>
      <c r="B59" s="32">
        <v>8</v>
      </c>
      <c r="C59" s="32">
        <v>12</v>
      </c>
      <c r="D59" s="144">
        <f ca="1">OFFSET(Attributes!$A$1,MATCH(Rare!$A59,Attributes!$A:$A,0)-1,MATCH("Type",Attributes!$1:$1,0)-1)</f>
        <v>1</v>
      </c>
      <c r="E59" s="144" t="str">
        <f ca="1">IFERROR(OFFSET(Attributes!$A$1,MATCH(Rare!$A59,Attributes!$A:$A,0)-1,MATCH("Abbr",Attributes!$1:$1,0)-1),"")</f>
        <v>STR</v>
      </c>
      <c r="F59" s="84" t="str">
        <f ca="1">SUBSTITUTE(OFFSET(Attributes!$A$1,MATCH($A59,Attributes!$A:$A,0)-1,MATCH("Attr CN",Attributes!$1:$1,0)-1),"#",$B59*$B$1&amp;"-"&amp;$C59*$B$1)</f>
        <v>+24-36力量</v>
      </c>
      <c r="G59" s="97" t="str">
        <f ca="1">SUBSTITUTE(OFFSET(Attributes!$A$1,MATCH($A59,Attributes!$A:$A,0)-1,MATCH("Attr EN",Attributes!$1:$1,0)-1),"#",$B59*$B$1&amp;"-"&amp;$C59*$B$1)</f>
        <v>+24-36 Strength</v>
      </c>
      <c r="H59" s="32" t="str">
        <f ca="1">FormatItemUbertip(F58:F63)</f>
        <v>+6-9护甲|N+24-36力量|N+60-135格挡值|N每秒流失12-24生命值|N受到普通攻击：降低目标的攻击强度150-225点|N|N|CFFFFDEAD"迟缓大法,恶咒附身,虚弱无力,大难临头"|R</v>
      </c>
      <c r="I59" s="32" t="str">
        <f ca="1">FormatItemUbertip(G58:G63)</f>
        <v>+6-9 Armor|N+24-36 Strength|N+60-135 Block points|NLost 12-24 HP per second during combat|N|CFF11FF11On Attacked: Decreases attacker's attack power by 150-225|R|N|N|CFFFFDEAD"Slow, Curse, Weakness, Misfortune"|R</v>
      </c>
      <c r="J59" s="35" t="s">
        <v>571</v>
      </c>
      <c r="K59" s="95" t="str">
        <f t="shared" si="0"/>
        <v>FFFFFF</v>
      </c>
    </row>
    <row r="60" spans="1:11" s="34" customFormat="1" x14ac:dyDescent="0.25">
      <c r="A60" s="32">
        <v>15</v>
      </c>
      <c r="B60" s="32">
        <v>20</v>
      </c>
      <c r="C60" s="32">
        <v>45</v>
      </c>
      <c r="D60" s="144">
        <f ca="1">OFFSET(Attributes!$A$1,MATCH(Rare!$A60,Attributes!$A:$A,0)-1,MATCH("Type",Attributes!$1:$1,0)-1)</f>
        <v>1</v>
      </c>
      <c r="E60" s="144" t="str">
        <f ca="1">IFERROR(OFFSET(Attributes!$A$1,MATCH(Rare!$A60,Attributes!$A:$A,0)-1,MATCH("Abbr",Attributes!$1:$1,0)-1),"")</f>
        <v>BP</v>
      </c>
      <c r="F60" s="84" t="str">
        <f ca="1">SUBSTITUTE(OFFSET(Attributes!$A$1,MATCH($A60,Attributes!$A:$A,0)-1,MATCH("Attr CN",Attributes!$1:$1,0)-1),"#",$B60*$B$1&amp;"-"&amp;$C60*$B$1)</f>
        <v>+60-135格挡值</v>
      </c>
      <c r="G60" s="97" t="str">
        <f ca="1">SUBSTITUTE(OFFSET(Attributes!$A$1,MATCH($A60,Attributes!$A:$A,0)-1,MATCH("Attr EN",Attributes!$1:$1,0)-1),"#",$B60*$B$1&amp;"-"&amp;$C60*$B$1)</f>
        <v>+60-135 Block points</v>
      </c>
      <c r="J60" s="35" t="s">
        <v>571</v>
      </c>
      <c r="K60" s="95" t="str">
        <f t="shared" si="0"/>
        <v>FFFFFF</v>
      </c>
    </row>
    <row r="61" spans="1:11" s="34" customFormat="1" x14ac:dyDescent="0.25">
      <c r="A61" s="32">
        <v>74</v>
      </c>
      <c r="B61" s="32">
        <v>4</v>
      </c>
      <c r="C61" s="32">
        <v>8</v>
      </c>
      <c r="D61" s="144">
        <f ca="1">OFFSET(Attributes!$A$1,MATCH(Rare!$A61,Attributes!$A:$A,0)-1,MATCH("Type",Attributes!$1:$1,0)-1)</f>
        <v>1</v>
      </c>
      <c r="E61" s="144" t="str">
        <f ca="1">IFERROR(OFFSET(Attributes!$A$1,MATCH(Rare!$A61,Attributes!$A:$A,0)-1,MATCH("Abbr",Attributes!$1:$1,0)-1),"")</f>
        <v>HLOST</v>
      </c>
      <c r="F61" s="84" t="str">
        <f ca="1">SUBSTITUTE(OFFSET(Attributes!$A$1,MATCH($A61,Attributes!$A:$A,0)-1,MATCH("Attr CN",Attributes!$1:$1,0)-1),"#",$B61*$B$1&amp;"-"&amp;$C61*$B$1)</f>
        <v>每秒流失12-24生命值</v>
      </c>
      <c r="G61" s="97" t="str">
        <f ca="1">SUBSTITUTE(OFFSET(Attributes!$A$1,MATCH($A61,Attributes!$A:$A,0)-1,MATCH("Attr EN",Attributes!$1:$1,0)-1),"#",$B61*$B$1&amp;"-"&amp;$C61*$B$1)</f>
        <v>Lost 12-24 HP per second during combat</v>
      </c>
      <c r="H61" s="37"/>
      <c r="I61" s="37"/>
      <c r="J61" s="35" t="s">
        <v>571</v>
      </c>
      <c r="K61" s="95" t="str">
        <f t="shared" si="0"/>
        <v>FFFFFF</v>
      </c>
    </row>
    <row r="62" spans="1:11" s="34" customFormat="1" ht="28.5" x14ac:dyDescent="0.25">
      <c r="A62" s="32">
        <v>41</v>
      </c>
      <c r="B62" s="32">
        <v>50</v>
      </c>
      <c r="C62" s="32">
        <v>75</v>
      </c>
      <c r="D62" s="144">
        <f ca="1">OFFSET(Attributes!$A$1,MATCH(Rare!$A62,Attributes!$A:$A,0)-1,MATCH("Type",Attributes!$1:$1,0)-1)</f>
        <v>2</v>
      </c>
      <c r="E62" s="144" t="str">
        <f ca="1">IFERROR(OFFSET(Attributes!$A$1,MATCH(Rare!$A62,Attributes!$A:$A,0)-1,MATCH("Abbr",Attributes!$1:$1,0)-1),"")</f>
        <v>ATKED_WEAK</v>
      </c>
      <c r="F62" s="84" t="str">
        <f ca="1">SUBSTITUTE(OFFSET(Attributes!$A$1,MATCH($A62,Attributes!$A:$A,0)-1,MATCH("Attr CN",Attributes!$1:$1,0)-1),"#",$B62*$B$1&amp;"-"&amp;$C62*$B$1)</f>
        <v>受到普通攻击：降低目标的攻击强度150-225点</v>
      </c>
      <c r="G62" s="130" t="str">
        <f ca="1">SUBSTITUTE(OFFSET(Attributes!$A$1,MATCH($A62,Attributes!$A:$A,0)-1,MATCH("Attr EN",Attributes!$1:$1,0)-1),"#",$B62*$B$1&amp;"-"&amp;$C62*$B$1)</f>
        <v>On Attacked: Decreases attacker's attack power by 150-225</v>
      </c>
      <c r="H62" s="37"/>
      <c r="I62" s="37"/>
      <c r="J62" s="35" t="s">
        <v>571</v>
      </c>
      <c r="K62" s="95" t="str">
        <f t="shared" si="0"/>
        <v>11FF11</v>
      </c>
    </row>
    <row r="63" spans="1:11" s="34" customFormat="1" x14ac:dyDescent="0.25">
      <c r="A63" s="32"/>
      <c r="B63" s="32"/>
      <c r="C63" s="32"/>
      <c r="D63" s="144"/>
      <c r="E63" s="144" t="str">
        <f ca="1">IFERROR(OFFSET(Attributes!$A$1,MATCH(Rare!$A63,Attributes!$A:$A,0)-1,MATCH("Abbr",Attributes!$1:$1,0)-1),"")</f>
        <v/>
      </c>
      <c r="F63" s="88" t="s">
        <v>63</v>
      </c>
      <c r="G63" s="98" t="s">
        <v>584</v>
      </c>
      <c r="J63" s="35" t="s">
        <v>571</v>
      </c>
      <c r="K63" s="95" t="str">
        <f t="shared" si="0"/>
        <v>FFDEAD</v>
      </c>
    </row>
    <row r="64" spans="1:11" s="34" customFormat="1" x14ac:dyDescent="0.25">
      <c r="A64" s="32"/>
      <c r="B64" s="32"/>
      <c r="C64" s="32"/>
      <c r="D64" s="144"/>
      <c r="E64" s="144" t="str">
        <f ca="1">IFERROR(OFFSET(Attributes!$A$1,MATCH(Rare!$A64,Attributes!$A:$A,0)-1,MATCH("Abbr",Attributes!$1:$1,0)-1),"")</f>
        <v/>
      </c>
      <c r="F64" s="67"/>
      <c r="G64" s="99"/>
      <c r="J64" s="35" t="s">
        <v>571</v>
      </c>
      <c r="K64" s="95" t="str">
        <f t="shared" si="0"/>
        <v>000000</v>
      </c>
    </row>
    <row r="65" spans="1:11" s="34" customFormat="1" x14ac:dyDescent="0.25">
      <c r="A65" s="32"/>
      <c r="B65" s="32"/>
      <c r="C65" s="32"/>
      <c r="D65" s="144"/>
      <c r="E65" s="144" t="str">
        <f ca="1">IFERROR(OFFSET(Attributes!$A$1,MATCH(Rare!$A65,Attributes!$A:$A,0)-1,MATCH("Abbr",Attributes!$1:$1,0)-1),"")</f>
        <v/>
      </c>
      <c r="F65" s="103" t="s">
        <v>67</v>
      </c>
      <c r="G65" s="124" t="s">
        <v>585</v>
      </c>
      <c r="H65" s="32" t="str">
        <f>FormatItemName(F65)</f>
        <v>|CFF8B66FF阿曼尼帝国壁垒|R</v>
      </c>
      <c r="I65" s="32" t="str">
        <f>FormatItemName(G65)</f>
        <v>|CFF8B66FFBulwark of the Amani Empire|R</v>
      </c>
      <c r="J65" s="35" t="s">
        <v>571</v>
      </c>
      <c r="K65" s="95" t="str">
        <f t="shared" si="0"/>
        <v>8B66FF</v>
      </c>
    </row>
    <row r="66" spans="1:11" s="34" customFormat="1" x14ac:dyDescent="0.25">
      <c r="A66" s="32">
        <v>8</v>
      </c>
      <c r="B66" s="32">
        <v>1</v>
      </c>
      <c r="C66" s="32">
        <v>2</v>
      </c>
      <c r="D66" s="144">
        <f ca="1">OFFSET(Attributes!$A$1,MATCH(Rare!$A66,Attributes!$A:$A,0)-1,MATCH("Type",Attributes!$1:$1,0)-1)</f>
        <v>1</v>
      </c>
      <c r="E66" s="144" t="str">
        <f ca="1">IFERROR(OFFSET(Attributes!$A$1,MATCH(Rare!$A66,Attributes!$A:$A,0)-1,MATCH("Abbr",Attributes!$1:$1,0)-1),"")</f>
        <v>DEF</v>
      </c>
      <c r="F66" s="84" t="str">
        <f ca="1">SUBSTITUTE(OFFSET(Attributes!$A$1,MATCH($A66,Attributes!$A:$A,0)-1,MATCH("Attr CN",Attributes!$1:$1,0)-1),"#",$B66*$B$1&amp;"-"&amp;$C66*$B$1)</f>
        <v>+3-6护甲</v>
      </c>
      <c r="G66" s="97" t="str">
        <f ca="1">SUBSTITUTE(OFFSET(Attributes!$A$1,MATCH($A66,Attributes!$A:$A,0)-1,MATCH("Attr EN",Attributes!$1:$1,0)-1),"#",$B66*$B$1&amp;"-"&amp;$C66*$B$1)</f>
        <v>+3-6 Armor</v>
      </c>
      <c r="H66" s="32" t="str">
        <f ca="1">FormatItemDescription(F65:F70)</f>
        <v>|CFF8B66FFRare|R|N+3-6护甲|N+15-21力量|N+450-720生命上限|N+42-84格挡值|N|N|CFF999999似乎仍然缭绕着兄弟公会的第一任防护战士和守护骑士的怨念。|R</v>
      </c>
      <c r="I66" s="32" t="str">
        <f ca="1">FormatItemDescription(G65:G70)</f>
        <v>|CFF8B66FFRare|R|N+3-6 Armor|N+15-21 Strength|N+450-720 Max HP|N+42-84 Block points|N|N|CFF999999It still seems to linger with the resentment of the first guardian warrior of the Brothers’ Guild.|R</v>
      </c>
      <c r="J66" s="35" t="s">
        <v>571</v>
      </c>
      <c r="K66" s="95" t="str">
        <f t="shared" si="0"/>
        <v>FFFFFF</v>
      </c>
    </row>
    <row r="67" spans="1:11" s="34" customFormat="1" x14ac:dyDescent="0.25">
      <c r="A67" s="32">
        <v>4</v>
      </c>
      <c r="B67" s="32">
        <v>5</v>
      </c>
      <c r="C67" s="32">
        <v>7</v>
      </c>
      <c r="D67" s="144">
        <f ca="1">OFFSET(Attributes!$A$1,MATCH(Rare!$A67,Attributes!$A:$A,0)-1,MATCH("Type",Attributes!$1:$1,0)-1)</f>
        <v>1</v>
      </c>
      <c r="E67" s="144" t="str">
        <f ca="1">IFERROR(OFFSET(Attributes!$A$1,MATCH(Rare!$A67,Attributes!$A:$A,0)-1,MATCH("Abbr",Attributes!$1:$1,0)-1),"")</f>
        <v>STR</v>
      </c>
      <c r="F67" s="84" t="str">
        <f ca="1">SUBSTITUTE(OFFSET(Attributes!$A$1,MATCH($A67,Attributes!$A:$A,0)-1,MATCH("Attr CN",Attributes!$1:$1,0)-1),"#",$B67*$B$1&amp;"-"&amp;$C67*$B$1)</f>
        <v>+15-21力量</v>
      </c>
      <c r="G67" s="97" t="str">
        <f ca="1">SUBSTITUTE(OFFSET(Attributes!$A$1,MATCH($A67,Attributes!$A:$A,0)-1,MATCH("Attr EN",Attributes!$1:$1,0)-1),"#",$B67*$B$1&amp;"-"&amp;$C67*$B$1)</f>
        <v>+15-21 Strength</v>
      </c>
      <c r="H67" s="32" t="str">
        <f ca="1">FormatItemUbertip(F66:F70)</f>
        <v>+3-6护甲|N+15-21力量|N+450-720生命上限|N+42-84格挡值|N|N|CFF999999似乎仍然缭绕着兄弟公会的第一任防护战士和守护骑士的怨念。|R</v>
      </c>
      <c r="I67" s="32" t="str">
        <f ca="1">FormatItemUbertip(G66:G70)</f>
        <v>+3-6 Armor|N+15-21 Strength|N+450-720 Max HP|N+42-84 Block points|N|N|CFF999999It still seems to linger with the resentment of the first guardian warrior of the Brothers’ Guild.|R</v>
      </c>
      <c r="J67" s="35" t="s">
        <v>571</v>
      </c>
      <c r="K67" s="95" t="str">
        <f t="shared" si="0"/>
        <v>FFFFFF</v>
      </c>
    </row>
    <row r="68" spans="1:11" s="34" customFormat="1" x14ac:dyDescent="0.25">
      <c r="A68" s="32">
        <v>21</v>
      </c>
      <c r="B68" s="32">
        <v>150</v>
      </c>
      <c r="C68" s="32">
        <v>240</v>
      </c>
      <c r="D68" s="144">
        <f ca="1">OFFSET(Attributes!$A$1,MATCH(Rare!$A68,Attributes!$A:$A,0)-1,MATCH("Type",Attributes!$1:$1,0)-1)</f>
        <v>1</v>
      </c>
      <c r="E68" s="144" t="str">
        <f ca="1">IFERROR(OFFSET(Attributes!$A$1,MATCH(Rare!$A68,Attributes!$A:$A,0)-1,MATCH("Abbr",Attributes!$1:$1,0)-1),"")</f>
        <v>HP</v>
      </c>
      <c r="F68" s="84" t="str">
        <f ca="1">SUBSTITUTE(OFFSET(Attributes!$A$1,MATCH($A68,Attributes!$A:$A,0)-1,MATCH("Attr CN",Attributes!$1:$1,0)-1),"#",$B68*$B$1&amp;"-"&amp;$C68*$B$1)</f>
        <v>+450-720生命上限</v>
      </c>
      <c r="G68" s="97" t="str">
        <f ca="1">SUBSTITUTE(OFFSET(Attributes!$A$1,MATCH($A68,Attributes!$A:$A,0)-1,MATCH("Attr EN",Attributes!$1:$1,0)-1),"#",$B68*$B$1&amp;"-"&amp;$C68*$B$1)</f>
        <v>+450-720 Max HP</v>
      </c>
      <c r="J68" s="35" t="s">
        <v>571</v>
      </c>
      <c r="K68" s="95" t="str">
        <f t="shared" ref="K68:K131" si="1">GetCellColorHEX(G68)</f>
        <v>FFFFFF</v>
      </c>
    </row>
    <row r="69" spans="1:11" s="34" customFormat="1" x14ac:dyDescent="0.25">
      <c r="A69" s="32">
        <v>15</v>
      </c>
      <c r="B69" s="32">
        <v>14</v>
      </c>
      <c r="C69" s="32">
        <v>28</v>
      </c>
      <c r="D69" s="144">
        <f ca="1">OFFSET(Attributes!$A$1,MATCH(Rare!$A69,Attributes!$A:$A,0)-1,MATCH("Type",Attributes!$1:$1,0)-1)</f>
        <v>1</v>
      </c>
      <c r="E69" s="144" t="str">
        <f ca="1">IFERROR(OFFSET(Attributes!$A$1,MATCH(Rare!$A69,Attributes!$A:$A,0)-1,MATCH("Abbr",Attributes!$1:$1,0)-1),"")</f>
        <v>BP</v>
      </c>
      <c r="F69" s="84" t="str">
        <f ca="1">SUBSTITUTE(OFFSET(Attributes!$A$1,MATCH($A69,Attributes!$A:$A,0)-1,MATCH("Attr CN",Attributes!$1:$1,0)-1),"#",$B69*$B$1&amp;"-"&amp;$C69*$B$1)</f>
        <v>+42-84格挡值</v>
      </c>
      <c r="G69" s="97" t="str">
        <f ca="1">SUBSTITUTE(OFFSET(Attributes!$A$1,MATCH($A69,Attributes!$A:$A,0)-1,MATCH("Attr EN",Attributes!$1:$1,0)-1),"#",$B69*$B$1&amp;"-"&amp;$C69*$B$1)</f>
        <v>+42-84 Block points</v>
      </c>
      <c r="H69" s="37"/>
      <c r="I69" s="37"/>
      <c r="J69" s="35" t="s">
        <v>571</v>
      </c>
      <c r="K69" s="95" t="str">
        <f t="shared" si="1"/>
        <v>FFFFFF</v>
      </c>
    </row>
    <row r="70" spans="1:11" s="34" customFormat="1" ht="28.5" x14ac:dyDescent="0.25">
      <c r="A70" s="32"/>
      <c r="B70" s="32"/>
      <c r="C70" s="32"/>
      <c r="D70" s="144"/>
      <c r="E70" s="144" t="str">
        <f ca="1">IFERROR(OFFSET(Attributes!$A$1,MATCH(Rare!$A70,Attributes!$A:$A,0)-1,MATCH("Abbr",Attributes!$1:$1,0)-1),"")</f>
        <v/>
      </c>
      <c r="F70" s="102" t="s">
        <v>71</v>
      </c>
      <c r="G70" s="123" t="s">
        <v>586</v>
      </c>
      <c r="H70" s="37"/>
      <c r="I70" s="37"/>
      <c r="J70" s="35" t="s">
        <v>571</v>
      </c>
      <c r="K70" s="95" t="str">
        <f t="shared" si="1"/>
        <v>999999</v>
      </c>
    </row>
    <row r="71" spans="1:11" s="34" customFormat="1" x14ac:dyDescent="0.25">
      <c r="A71" s="32"/>
      <c r="B71" s="32"/>
      <c r="C71" s="32"/>
      <c r="D71" s="144"/>
      <c r="E71" s="144" t="str">
        <f ca="1">IFERROR(OFFSET(Attributes!$A$1,MATCH(Rare!$A71,Attributes!$A:$A,0)-1,MATCH("Abbr",Attributes!$1:$1,0)-1),"")</f>
        <v/>
      </c>
      <c r="F71" s="67"/>
      <c r="G71" s="99"/>
      <c r="H71" s="37"/>
      <c r="I71" s="37"/>
      <c r="J71" s="35" t="s">
        <v>571</v>
      </c>
      <c r="K71" s="95" t="str">
        <f t="shared" si="1"/>
        <v>000000</v>
      </c>
    </row>
    <row r="72" spans="1:11" s="34" customFormat="1" x14ac:dyDescent="0.25">
      <c r="A72" s="32"/>
      <c r="B72" s="32"/>
      <c r="C72" s="32"/>
      <c r="D72" s="144"/>
      <c r="E72" s="144" t="str">
        <f ca="1">IFERROR(OFFSET(Attributes!$A$1,MATCH(Rare!$A72,Attributes!$A:$A,0)-1,MATCH("Abbr",Attributes!$1:$1,0)-1),"")</f>
        <v/>
      </c>
      <c r="F72" s="103" t="s">
        <v>77</v>
      </c>
      <c r="G72" s="124" t="s">
        <v>78</v>
      </c>
      <c r="H72" s="32" t="str">
        <f>FormatItemName(F72)</f>
        <v>|CFF8B66FF末日防御者徽记|R</v>
      </c>
      <c r="I72" s="32" t="str">
        <f>FormatItemName(G72)</f>
        <v>|CFF8B66FFSignet of the Last Defender|R</v>
      </c>
      <c r="J72" s="35" t="s">
        <v>571</v>
      </c>
      <c r="K72" s="95" t="str">
        <f t="shared" si="1"/>
        <v>8B66FF</v>
      </c>
    </row>
    <row r="73" spans="1:11" s="34" customFormat="1" x14ac:dyDescent="0.25">
      <c r="A73" s="32">
        <v>8</v>
      </c>
      <c r="B73" s="32">
        <v>1</v>
      </c>
      <c r="C73" s="32">
        <v>2</v>
      </c>
      <c r="D73" s="144">
        <f ca="1">OFFSET(Attributes!$A$1,MATCH(Rare!$A73,Attributes!$A:$A,0)-1,MATCH("Type",Attributes!$1:$1,0)-1)</f>
        <v>1</v>
      </c>
      <c r="E73" s="144" t="str">
        <f ca="1">IFERROR(OFFSET(Attributes!$A$1,MATCH(Rare!$A73,Attributes!$A:$A,0)-1,MATCH("Abbr",Attributes!$1:$1,0)-1),"")</f>
        <v>DEF</v>
      </c>
      <c r="F73" s="84" t="str">
        <f ca="1">SUBSTITUTE(OFFSET(Attributes!$A$1,MATCH($A73,Attributes!$A:$A,0)-1,MATCH("Attr CN",Attributes!$1:$1,0)-1),"#",$B73*$B$1&amp;"-"&amp;$C73*$B$1)</f>
        <v>+3-6护甲</v>
      </c>
      <c r="G73" s="97" t="str">
        <f ca="1">SUBSTITUTE(OFFSET(Attributes!$A$1,MATCH($A73,Attributes!$A:$A,0)-1,MATCH("Attr EN",Attributes!$1:$1,0)-1),"#",$B73*$B$1&amp;"-"&amp;$C73*$B$1)</f>
        <v>+3-6 Armor</v>
      </c>
      <c r="H73" s="32" t="str">
        <f ca="1">FormatItemDescription(F72:F77)</f>
        <v>|CFF8B66FFRare|R|N+3-6护甲|N+21-27力量|N+0.03-0.03躲闪|N+0.09-0.18受到的治疗|N|N|CFF999999这个戒指本属于一个恶魔领主,后来被一个兽人盗贼盗走.|R</v>
      </c>
      <c r="I73" s="32" t="str">
        <f ca="1">FormatItemDescription(G72:G77)</f>
        <v>|CFF8B66FFRare|R|N+3-6 Armor|N+21-27 Strength|N+0.03-0.03 Dodge chance|N+0.09-0.18 Healing taken|N|N|CFF999999The signet originally belongs to a demon lord and was later stolen by an orc thief.|R</v>
      </c>
      <c r="J73" s="35" t="s">
        <v>571</v>
      </c>
      <c r="K73" s="95" t="str">
        <f t="shared" si="1"/>
        <v>FFFFFF</v>
      </c>
    </row>
    <row r="74" spans="1:11" s="34" customFormat="1" x14ac:dyDescent="0.25">
      <c r="A74" s="32">
        <v>4</v>
      </c>
      <c r="B74" s="32">
        <v>7</v>
      </c>
      <c r="C74" s="32">
        <v>9</v>
      </c>
      <c r="D74" s="144">
        <f ca="1">OFFSET(Attributes!$A$1,MATCH(Rare!$A74,Attributes!$A:$A,0)-1,MATCH("Type",Attributes!$1:$1,0)-1)</f>
        <v>1</v>
      </c>
      <c r="E74" s="144" t="str">
        <f ca="1">IFERROR(OFFSET(Attributes!$A$1,MATCH(Rare!$A74,Attributes!$A:$A,0)-1,MATCH("Abbr",Attributes!$1:$1,0)-1),"")</f>
        <v>STR</v>
      </c>
      <c r="F74" s="84" t="str">
        <f ca="1">SUBSTITUTE(OFFSET(Attributes!$A$1,MATCH($A74,Attributes!$A:$A,0)-1,MATCH("Attr CN",Attributes!$1:$1,0)-1),"#",$B74*$B$1&amp;"-"&amp;$C74*$B$1)</f>
        <v>+21-27力量</v>
      </c>
      <c r="G74" s="97" t="str">
        <f ca="1">SUBSTITUTE(OFFSET(Attributes!$A$1,MATCH($A74,Attributes!$A:$A,0)-1,MATCH("Attr EN",Attributes!$1:$1,0)-1),"#",$B74*$B$1&amp;"-"&amp;$C74*$B$1)</f>
        <v>+21-27 Strength</v>
      </c>
      <c r="H74" s="32" t="str">
        <f ca="1">FormatItemUbertip(F73:F77)</f>
        <v>+3-6护甲|N+21-27力量|N+0.03-0.03躲闪|N+0.09-0.18受到的治疗|N|N|CFF999999这个戒指本属于一个恶魔领主,后来被一个兽人盗贼盗走.|R</v>
      </c>
      <c r="I74" s="32" t="str">
        <f ca="1">FormatItemUbertip(G73:G77)</f>
        <v>+3-6 Armor|N+21-27 Strength|N+0.03-0.03 Dodge chance|N+0.09-0.18 Healing taken|N|N|CFF999999The signet originally belongs to a demon lord and was later stolen by an orc thief.|R</v>
      </c>
      <c r="J74" s="35" t="s">
        <v>571</v>
      </c>
      <c r="K74" s="95" t="str">
        <f t="shared" si="1"/>
        <v>FFFFFF</v>
      </c>
    </row>
    <row r="75" spans="1:11" s="34" customFormat="1" x14ac:dyDescent="0.25">
      <c r="A75" s="32">
        <v>27</v>
      </c>
      <c r="B75" s="32">
        <v>0.01</v>
      </c>
      <c r="C75" s="32">
        <v>0.01</v>
      </c>
      <c r="D75" s="144">
        <f ca="1">OFFSET(Attributes!$A$1,MATCH(Rare!$A75,Attributes!$A:$A,0)-1,MATCH("Type",Attributes!$1:$1,0)-1)</f>
        <v>1</v>
      </c>
      <c r="E75" s="144" t="str">
        <f ca="1">IFERROR(OFFSET(Attributes!$A$1,MATCH(Rare!$A75,Attributes!$A:$A,0)-1,MATCH("Abbr",Attributes!$1:$1,0)-1),"")</f>
        <v>DODGE</v>
      </c>
      <c r="F75" s="84" t="str">
        <f ca="1">SUBSTITUTE(OFFSET(Attributes!$A$1,MATCH($A75,Attributes!$A:$A,0)-1,MATCH("Attr CN",Attributes!$1:$1,0)-1),"#",$B75*$B$1&amp;"-"&amp;$C75*$B$1)</f>
        <v>+0.03-0.03躲闪</v>
      </c>
      <c r="G75" s="97" t="str">
        <f ca="1">SUBSTITUTE(OFFSET(Attributes!$A$1,MATCH($A75,Attributes!$A:$A,0)-1,MATCH("Attr EN",Attributes!$1:$1,0)-1),"#",$B75*$B$1&amp;"-"&amp;$C75*$B$1)</f>
        <v>+0.03-0.03 Dodge chance</v>
      </c>
      <c r="H75" s="37"/>
      <c r="I75" s="37"/>
      <c r="J75" s="35" t="s">
        <v>571</v>
      </c>
      <c r="K75" s="95" t="str">
        <f t="shared" si="1"/>
        <v>FFFFFF</v>
      </c>
    </row>
    <row r="76" spans="1:11" s="34" customFormat="1" x14ac:dyDescent="0.25">
      <c r="A76" s="32">
        <v>6</v>
      </c>
      <c r="B76" s="32">
        <v>0.03</v>
      </c>
      <c r="C76" s="32">
        <v>0.06</v>
      </c>
      <c r="D76" s="144">
        <f ca="1">OFFSET(Attributes!$A$1,MATCH(Rare!$A76,Attributes!$A:$A,0)-1,MATCH("Type",Attributes!$1:$1,0)-1)</f>
        <v>1</v>
      </c>
      <c r="E76" s="144" t="str">
        <f ca="1">IFERROR(OFFSET(Attributes!$A$1,MATCH(Rare!$A76,Attributes!$A:$A,0)-1,MATCH("Abbr",Attributes!$1:$1,0)-1),"")</f>
        <v>HAMP</v>
      </c>
      <c r="F76" s="84" t="str">
        <f ca="1">SUBSTITUTE(OFFSET(Attributes!$A$1,MATCH($A76,Attributes!$A:$A,0)-1,MATCH("Attr CN",Attributes!$1:$1,0)-1),"#",$B76*$B$1&amp;"-"&amp;$C76*$B$1)</f>
        <v>+0.09-0.18受到的治疗</v>
      </c>
      <c r="G76" s="97" t="str">
        <f ca="1">SUBSTITUTE(OFFSET(Attributes!$A$1,MATCH($A76,Attributes!$A:$A,0)-1,MATCH("Attr EN",Attributes!$1:$1,0)-1),"#",$B76*$B$1&amp;"-"&amp;$C76*$B$1)</f>
        <v>+0.09-0.18 Healing taken</v>
      </c>
      <c r="H76" s="37"/>
      <c r="I76" s="37"/>
      <c r="J76" s="35" t="s">
        <v>571</v>
      </c>
      <c r="K76" s="95" t="str">
        <f t="shared" si="1"/>
        <v>FFFFFF</v>
      </c>
    </row>
    <row r="77" spans="1:11" s="34" customFormat="1" ht="28.5" x14ac:dyDescent="0.25">
      <c r="A77" s="32"/>
      <c r="B77" s="32"/>
      <c r="C77" s="32"/>
      <c r="D77" s="144"/>
      <c r="E77" s="144" t="str">
        <f ca="1">IFERROR(OFFSET(Attributes!$A$1,MATCH(Rare!$A77,Attributes!$A:$A,0)-1,MATCH("Abbr",Attributes!$1:$1,0)-1),"")</f>
        <v/>
      </c>
      <c r="F77" s="102" t="s">
        <v>80</v>
      </c>
      <c r="G77" s="123" t="s">
        <v>587</v>
      </c>
      <c r="H77" s="37"/>
      <c r="I77" s="37"/>
      <c r="J77" s="35" t="s">
        <v>571</v>
      </c>
      <c r="K77" s="95" t="str">
        <f t="shared" si="1"/>
        <v>999999</v>
      </c>
    </row>
    <row r="78" spans="1:11" s="34" customFormat="1" x14ac:dyDescent="0.25">
      <c r="A78" s="32"/>
      <c r="B78" s="32"/>
      <c r="C78" s="32"/>
      <c r="D78" s="144"/>
      <c r="E78" s="144" t="str">
        <f ca="1">IFERROR(OFFSET(Attributes!$A$1,MATCH(Rare!$A78,Attributes!$A:$A,0)-1,MATCH("Abbr",Attributes!$1:$1,0)-1),"")</f>
        <v/>
      </c>
      <c r="F78" s="67"/>
      <c r="G78" s="99"/>
      <c r="J78" s="35" t="s">
        <v>571</v>
      </c>
      <c r="K78" s="95" t="str">
        <f t="shared" si="1"/>
        <v>000000</v>
      </c>
    </row>
    <row r="79" spans="1:11" x14ac:dyDescent="0.25">
      <c r="E79" s="144" t="str">
        <f ca="1">IFERROR(OFFSET(Attributes!$A$1,MATCH(Rare!$A79,Attributes!$A:$A,0)-1,MATCH("Abbr",Attributes!$1:$1,0)-1),"")</f>
        <v/>
      </c>
      <c r="F79" s="103" t="s">
        <v>58</v>
      </c>
      <c r="G79" s="124" t="s">
        <v>588</v>
      </c>
      <c r="H79" s="32" t="str">
        <f>FormatItemName(F79)</f>
        <v>|CFF8B66FF埃兰的镇定宝石|R</v>
      </c>
      <c r="I79" s="32" t="str">
        <f>FormatItemName(G79)</f>
        <v>|CFF8B66FFAran's Soothing Emerald|R</v>
      </c>
      <c r="J79" s="35" t="s">
        <v>571</v>
      </c>
      <c r="K79" s="95" t="str">
        <f t="shared" si="1"/>
        <v>8B66FF</v>
      </c>
    </row>
    <row r="80" spans="1:11" x14ac:dyDescent="0.25">
      <c r="A80" s="32">
        <v>14</v>
      </c>
      <c r="B80" s="32">
        <v>5</v>
      </c>
      <c r="C80" s="32">
        <v>8</v>
      </c>
      <c r="D80" s="144">
        <f ca="1">OFFSET(Attributes!$A$1,MATCH(Rare!$A80,Attributes!$A:$A,0)-1,MATCH("Type",Attributes!$1:$1,0)-1)</f>
        <v>1</v>
      </c>
      <c r="E80" s="144" t="str">
        <f ca="1">IFERROR(OFFSET(Attributes!$A$1,MATCH(Rare!$A80,Attributes!$A:$A,0)-1,MATCH("Abbr",Attributes!$1:$1,0)-1),"")</f>
        <v>INT</v>
      </c>
      <c r="F80" s="84" t="str">
        <f ca="1">SUBSTITUTE(OFFSET(Attributes!$A$1,MATCH($A80,Attributes!$A:$A,0)-1,MATCH("Attr CN",Attributes!$1:$1,0)-1),"#",$B80*$B$1&amp;"-"&amp;$C80*$B$1)</f>
        <v>+15-24智力</v>
      </c>
      <c r="G80" s="97" t="str">
        <f ca="1">SUBSTITUTE(OFFSET(Attributes!$A$1,MATCH($A80,Attributes!$A:$A,0)-1,MATCH("Attr EN",Attributes!$1:$1,0)-1),"#",$B80*$B$1&amp;"-"&amp;$C80*$B$1)</f>
        <v>+15-24 Intelligence</v>
      </c>
      <c r="H80" s="32" t="str">
        <f ca="1">FormatItemDescription(F79:F84)</f>
        <v>|CFF8B66FFRare|R|N+15-24智力|N+30-45法术强度|N+6-12法术急速|N每秒回复6-12点法力值|N|N|CFF999999埃兰将所有不同种类的宝石都制成过镇定宝石，冒险者们比较熟悉的应该是一颗蓝宝石。|R</v>
      </c>
      <c r="I80" s="32" t="str">
        <f ca="1">FormatItemDescription(G79:G84)</f>
        <v>|CFF8B66FFRare|R|N+15-24 Intelligence|N+30-45 Spell power|N+6-12 Spell haste|NRegens 6-12 MP per second|N|N|CFF999999Aran had made all kinds of precious stones into soothing gems. It should be a sapphire that adventurers are most familiar with.|R</v>
      </c>
      <c r="J80" s="35" t="s">
        <v>571</v>
      </c>
      <c r="K80" s="95" t="str">
        <f t="shared" si="1"/>
        <v>FFFFFF</v>
      </c>
    </row>
    <row r="81" spans="1:11" x14ac:dyDescent="0.25">
      <c r="A81" s="32">
        <v>18</v>
      </c>
      <c r="B81" s="32">
        <v>10</v>
      </c>
      <c r="C81" s="32">
        <v>15</v>
      </c>
      <c r="D81" s="144">
        <f ca="1">OFFSET(Attributes!$A$1,MATCH(Rare!$A81,Attributes!$A:$A,0)-1,MATCH("Type",Attributes!$1:$1,0)-1)</f>
        <v>1</v>
      </c>
      <c r="E81" s="144" t="str">
        <f ca="1">IFERROR(OFFSET(Attributes!$A$1,MATCH(Rare!$A81,Attributes!$A:$A,0)-1,MATCH("Abbr",Attributes!$1:$1,0)-1),"")</f>
        <v>SP</v>
      </c>
      <c r="F81" s="84" t="str">
        <f ca="1">SUBSTITUTE(OFFSET(Attributes!$A$1,MATCH($A81,Attributes!$A:$A,0)-1,MATCH("Attr CN",Attributes!$1:$1,0)-1),"#",$B81*$B$1&amp;"-"&amp;$C81*$B$1)</f>
        <v>+30-45法术强度</v>
      </c>
      <c r="G81" s="97" t="str">
        <f ca="1">SUBSTITUTE(OFFSET(Attributes!$A$1,MATCH($A81,Attributes!$A:$A,0)-1,MATCH("Attr EN",Attributes!$1:$1,0)-1),"#",$B81*$B$1&amp;"-"&amp;$C81*$B$1)</f>
        <v>+30-45 Spell power</v>
      </c>
      <c r="H81" s="32" t="str">
        <f ca="1">FormatItemUbertip(F80:F84)</f>
        <v>+15-24智力|N+30-45法术强度|N+6-12法术急速|N每秒回复6-12点法力值|N|N|CFF999999埃兰将所有不同种类的宝石都制成过镇定宝石，冒险者们比较熟悉的应该是一颗蓝宝石。|R</v>
      </c>
      <c r="I81" s="32" t="str">
        <f ca="1">FormatItemUbertip(G80:G84)</f>
        <v>+15-24 Intelligence|N+30-45 Spell power|N+6-12 Spell haste|NRegens 6-12 MP per second|N|N|CFF999999Aran had made all kinds of precious stones into soothing gems. It should be a sapphire that adventurers are most familiar with.|R</v>
      </c>
      <c r="J81" s="35" t="s">
        <v>571</v>
      </c>
      <c r="K81" s="95" t="str">
        <f t="shared" si="1"/>
        <v>FFFFFF</v>
      </c>
    </row>
    <row r="82" spans="1:11" x14ac:dyDescent="0.25">
      <c r="A82" s="32">
        <v>19</v>
      </c>
      <c r="B82" s="32">
        <v>2</v>
      </c>
      <c r="C82" s="32">
        <v>4</v>
      </c>
      <c r="D82" s="144">
        <f ca="1">OFFSET(Attributes!$A$1,MATCH(Rare!$A82,Attributes!$A:$A,0)-1,MATCH("Type",Attributes!$1:$1,0)-1)</f>
        <v>1</v>
      </c>
      <c r="E82" s="144" t="str">
        <f ca="1">IFERROR(OFFSET(Attributes!$A$1,MATCH(Rare!$A82,Attributes!$A:$A,0)-1,MATCH("Abbr",Attributes!$1:$1,0)-1),"")</f>
        <v>SHASTE</v>
      </c>
      <c r="F82" s="84" t="str">
        <f ca="1">SUBSTITUTE(OFFSET(Attributes!$A$1,MATCH($A82,Attributes!$A:$A,0)-1,MATCH("Attr CN",Attributes!$1:$1,0)-1),"#",$B82*$B$1&amp;"-"&amp;$C82*$B$1)</f>
        <v>+6-12法术急速</v>
      </c>
      <c r="G82" s="97" t="str">
        <f ca="1">SUBSTITUTE(OFFSET(Attributes!$A$1,MATCH($A82,Attributes!$A:$A,0)-1,MATCH("Attr EN",Attributes!$1:$1,0)-1),"#",$B82*$B$1&amp;"-"&amp;$C82*$B$1)</f>
        <v>+6-12 Spell haste</v>
      </c>
      <c r="J82" s="35" t="s">
        <v>571</v>
      </c>
      <c r="K82" s="95" t="str">
        <f t="shared" si="1"/>
        <v>FFFFFF</v>
      </c>
    </row>
    <row r="83" spans="1:11" x14ac:dyDescent="0.25">
      <c r="A83" s="32">
        <v>72</v>
      </c>
      <c r="B83" s="32">
        <v>2</v>
      </c>
      <c r="C83" s="32">
        <v>4</v>
      </c>
      <c r="D83" s="144">
        <f ca="1">OFFSET(Attributes!$A$1,MATCH(Rare!$A83,Attributes!$A:$A,0)-1,MATCH("Type",Attributes!$1:$1,0)-1)</f>
        <v>1</v>
      </c>
      <c r="E83" s="144" t="str">
        <f ca="1">IFERROR(OFFSET(Attributes!$A$1,MATCH(Rare!$A83,Attributes!$A:$A,0)-1,MATCH("Abbr",Attributes!$1:$1,0)-1),"")</f>
        <v>MREG</v>
      </c>
      <c r="F83" s="84" t="str">
        <f ca="1">SUBSTITUTE(OFFSET(Attributes!$A$1,MATCH($A83,Attributes!$A:$A,0)-1,MATCH("Attr CN",Attributes!$1:$1,0)-1),"#",$B83*$B$1&amp;"-"&amp;$C83*$B$1)</f>
        <v>每秒回复6-12点法力值</v>
      </c>
      <c r="G83" s="97" t="str">
        <f ca="1">SUBSTITUTE(OFFSET(Attributes!$A$1,MATCH($A83,Attributes!$A:$A,0)-1,MATCH("Attr EN",Attributes!$1:$1,0)-1),"#",$B83*$B$1&amp;"-"&amp;$C83*$B$1)</f>
        <v>Regens 6-12 MP per second</v>
      </c>
      <c r="H83" s="40"/>
      <c r="I83" s="40"/>
      <c r="J83" s="35" t="s">
        <v>571</v>
      </c>
      <c r="K83" s="95" t="str">
        <f t="shared" si="1"/>
        <v>FFFFFF</v>
      </c>
    </row>
    <row r="84" spans="1:11" ht="42.75" x14ac:dyDescent="0.25">
      <c r="E84" s="144" t="str">
        <f ca="1">IFERROR(OFFSET(Attributes!$A$1,MATCH(Rare!$A84,Attributes!$A:$A,0)-1,MATCH("Abbr",Attributes!$1:$1,0)-1),"")</f>
        <v/>
      </c>
      <c r="F84" s="102" t="s">
        <v>61</v>
      </c>
      <c r="G84" s="123" t="s">
        <v>589</v>
      </c>
      <c r="J84" s="35" t="s">
        <v>571</v>
      </c>
      <c r="K84" s="95" t="str">
        <f t="shared" si="1"/>
        <v>999999</v>
      </c>
    </row>
    <row r="85" spans="1:11" x14ac:dyDescent="0.25">
      <c r="E85" s="144" t="str">
        <f ca="1">IFERROR(OFFSET(Attributes!$A$1,MATCH(Rare!$A85,Attributes!$A:$A,0)-1,MATCH("Abbr",Attributes!$1:$1,0)-1),"")</f>
        <v/>
      </c>
      <c r="J85" s="35" t="s">
        <v>571</v>
      </c>
      <c r="K85" s="95" t="str">
        <f t="shared" si="1"/>
        <v>000000</v>
      </c>
    </row>
    <row r="86" spans="1:11" x14ac:dyDescent="0.25">
      <c r="E86" s="144" t="str">
        <f ca="1">IFERROR(OFFSET(Attributes!$A$1,MATCH(Rare!$A86,Attributes!$A:$A,0)-1,MATCH("Abbr",Attributes!$1:$1,0)-1),"")</f>
        <v/>
      </c>
      <c r="F86" s="103" t="s">
        <v>65</v>
      </c>
      <c r="G86" s="124" t="s">
        <v>590</v>
      </c>
      <c r="H86" s="32" t="str">
        <f>FormatItemName(F86)</f>
        <v>|CFF8B66FF纯净秘法|R</v>
      </c>
      <c r="I86" s="32" t="str">
        <f>FormatItemName(G86)</f>
        <v>|CFF8B66FFPure Arcane|R</v>
      </c>
      <c r="J86" s="35" t="s">
        <v>571</v>
      </c>
      <c r="K86" s="95" t="str">
        <f t="shared" si="1"/>
        <v>8B66FF</v>
      </c>
    </row>
    <row r="87" spans="1:11" ht="57" x14ac:dyDescent="0.25">
      <c r="A87" s="32">
        <v>77</v>
      </c>
      <c r="B87" s="32">
        <v>170</v>
      </c>
      <c r="C87" s="32">
        <v>220</v>
      </c>
      <c r="D87" s="144">
        <f ca="1">OFFSET(Attributes!$A$1,MATCH(Rare!$A87,Attributes!$A:$A,0)-1,MATCH("Type",Attributes!$1:$1,0)-1)</f>
        <v>2</v>
      </c>
      <c r="E87" s="144" t="str">
        <f ca="1">IFERROR(OFFSET(Attributes!$A$1,MATCH(Rare!$A87,Attributes!$A:$A,0)-1,MATCH("Abbr",Attributes!$1:$1,0)-1),"")</f>
        <v>MDC_ARCANE</v>
      </c>
      <c r="F87" s="84" t="str">
        <f ca="1">SUBSTITUTE(OFFSET(Attributes!$A$1,MATCH($A87,Attributes!$A:$A,0)-1,MATCH("Attr CN",Attributes!$1:$1,0)-1),"#",$B87*$B$1&amp;"-"&amp;$C87*$B$1)</f>
        <v>法术伤害造成暴击：积累一层秘法能量，在积累到三层以后会自动释放，对目标造成510-660点法术伤害</v>
      </c>
      <c r="G87" s="130" t="str">
        <f ca="1">SUBSTITUTE(OFFSET(Attributes!$A$1,MATCH($A87,Attributes!$A:$A,0)-1,MATCH("Attr EN",Attributes!$1:$1,0)-1),"#",$B87*$B$1&amp;"-"&amp;$C87*$B$1)</f>
        <v>Magic Damage Critical: Charges with arcane power. All arcane power will be released automatically after 3 stacks, dealing 510-660 magic damage to target</v>
      </c>
      <c r="H87" s="32" t="str">
        <f ca="1">FormatItemDescription(F86:F88)</f>
        <v>|CFF8B66FFRare|R|N法术伤害造成暴击：积累一层秘法能量，在积累到三层以后会自动释放，对目标造成510-660点法术伤害|N|N|CFF999999“梅卡托克对此不屑一顾，他认为一个简单的电容器就能达到这个效果。”|R</v>
      </c>
      <c r="I87" s="32" t="str">
        <f ca="1">FormatItemDescription(G86:G88)</f>
        <v>|CFF8B66FFRare|R|N|CFF11FF11Magic Damage Critical: Charges with arcane power. All arcane power will be released automatically after 3 stacks, dealing 510-660 magic damage to target|R|N|N|CFF999999Megatorque despises this, he thinks "One simple capacitor can achieve this effect".|R</v>
      </c>
      <c r="J87" s="35" t="s">
        <v>571</v>
      </c>
      <c r="K87" s="95" t="str">
        <f t="shared" si="1"/>
        <v>11FF11</v>
      </c>
    </row>
    <row r="88" spans="1:11" ht="28.5" x14ac:dyDescent="0.25">
      <c r="E88" s="144" t="str">
        <f ca="1">IFERROR(OFFSET(Attributes!$A$1,MATCH(Rare!$A88,Attributes!$A:$A,0)-1,MATCH("Abbr",Attributes!$1:$1,0)-1),"")</f>
        <v/>
      </c>
      <c r="F88" s="102" t="s">
        <v>66</v>
      </c>
      <c r="G88" s="123" t="s">
        <v>591</v>
      </c>
      <c r="H88" s="32" t="str">
        <f ca="1">FormatItemUbertip(F87:F88)</f>
        <v>法术伤害造成暴击：积累一层秘法能量，在积累到三层以后会自动释放，对目标造成510-660点法术伤害|N|N|CFF999999“梅卡托克对此不屑一顾，他认为一个简单的电容器就能达到这个效果。”|R</v>
      </c>
      <c r="I88" s="32" t="str">
        <f ca="1">FormatItemUbertip(G87:G88)</f>
        <v>|CFF11FF11Magic Damage Critical: Charges with arcane power. All arcane power will be released automatically after 3 stacks, dealing 510-660 magic damage to target|R|N|N|CFF999999Megatorque despises this, he thinks "One simple capacitor can achieve this effect".|R</v>
      </c>
      <c r="J88" s="35" t="s">
        <v>571</v>
      </c>
      <c r="K88" s="95" t="str">
        <f t="shared" si="1"/>
        <v>999999</v>
      </c>
    </row>
    <row r="89" spans="1:11" x14ac:dyDescent="0.25">
      <c r="E89" s="144" t="str">
        <f ca="1">IFERROR(OFFSET(Attributes!$A$1,MATCH(Rare!$A89,Attributes!$A:$A,0)-1,MATCH("Abbr",Attributes!$1:$1,0)-1),"")</f>
        <v/>
      </c>
      <c r="J89" s="35" t="s">
        <v>571</v>
      </c>
      <c r="K89" s="95" t="str">
        <f t="shared" si="1"/>
        <v>000000</v>
      </c>
    </row>
    <row r="90" spans="1:11" x14ac:dyDescent="0.25">
      <c r="E90" s="144" t="str">
        <f ca="1">IFERROR(OFFSET(Attributes!$A$1,MATCH(Rare!$A90,Attributes!$A:$A,0)-1,MATCH("Abbr",Attributes!$1:$1,0)-1),"")</f>
        <v/>
      </c>
      <c r="F90" s="103" t="s">
        <v>68</v>
      </c>
      <c r="G90" s="124" t="s">
        <v>70</v>
      </c>
      <c r="H90" s="32" t="str">
        <f>FormatItemName(F90)</f>
        <v>|CFF8B66FF妖术之颅|R</v>
      </c>
      <c r="I90" s="32" t="str">
        <f>FormatItemName(G90)</f>
        <v>|CFF8B66FFHex Shrunken Head|R</v>
      </c>
      <c r="J90" s="35" t="s">
        <v>571</v>
      </c>
      <c r="K90" s="95" t="str">
        <f t="shared" si="1"/>
        <v>8B66FF</v>
      </c>
    </row>
    <row r="91" spans="1:11" x14ac:dyDescent="0.25">
      <c r="A91" s="32">
        <v>14</v>
      </c>
      <c r="B91" s="32">
        <v>8</v>
      </c>
      <c r="C91" s="32">
        <v>12</v>
      </c>
      <c r="D91" s="144">
        <f ca="1">OFFSET(Attributes!$A$1,MATCH(Rare!$A91,Attributes!$A:$A,0)-1,MATCH("Type",Attributes!$1:$1,0)-1)</f>
        <v>1</v>
      </c>
      <c r="E91" s="144" t="str">
        <f ca="1">IFERROR(OFFSET(Attributes!$A$1,MATCH(Rare!$A91,Attributes!$A:$A,0)-1,MATCH("Abbr",Attributes!$1:$1,0)-1),"")</f>
        <v>INT</v>
      </c>
      <c r="F91" s="84" t="str">
        <f ca="1">SUBSTITUTE(OFFSET(Attributes!$A$1,MATCH($A91,Attributes!$A:$A,0)-1,MATCH("Attr CN",Attributes!$1:$1,0)-1),"#",$B91*$B$1&amp;"-"&amp;$C91*$B$1)</f>
        <v>+24-36智力</v>
      </c>
      <c r="G91" s="97" t="str">
        <f ca="1">SUBSTITUTE(OFFSET(Attributes!$A$1,MATCH($A91,Attributes!$A:$A,0)-1,MATCH("Attr EN",Attributes!$1:$1,0)-1),"#",$B91*$B$1&amp;"-"&amp;$C91*$B$1)</f>
        <v>+24-36 Intelligence</v>
      </c>
      <c r="H91" s="32" t="str">
        <f ca="1">FormatItemDescription(F90:F94)</f>
        <v>|CFF8B66FFRare|R|N+24-36智力|N+30-45法术强度|N使用：提高105-192点法术强度，持续15秒|N|N|CFF999999妖术领主现在已经足够强大，不再需要这样的小玩意了。|R</v>
      </c>
      <c r="I91" s="32" t="str">
        <f ca="1">FormatItemDescription(G90:G94)</f>
        <v>|CFF8B66FFRare|R|N+24-36 Intelligence|N+30-45 Spell power|N|CFF11FF11Use: Increase spell power by 105-192, lasts for 15 seconds|R|N|N|CFF999999The Hex Lord is now strong enough to no longer need such trinkets.|R</v>
      </c>
      <c r="J91" s="35" t="s">
        <v>571</v>
      </c>
      <c r="K91" s="95" t="str">
        <f t="shared" si="1"/>
        <v>FFFFFF</v>
      </c>
    </row>
    <row r="92" spans="1:11" x14ac:dyDescent="0.25">
      <c r="A92" s="32">
        <v>18</v>
      </c>
      <c r="B92" s="32">
        <v>10</v>
      </c>
      <c r="C92" s="32">
        <v>15</v>
      </c>
      <c r="D92" s="144">
        <f ca="1">OFFSET(Attributes!$A$1,MATCH(Rare!$A92,Attributes!$A:$A,0)-1,MATCH("Type",Attributes!$1:$1,0)-1)</f>
        <v>1</v>
      </c>
      <c r="E92" s="144" t="str">
        <f ca="1">IFERROR(OFFSET(Attributes!$A$1,MATCH(Rare!$A92,Attributes!$A:$A,0)-1,MATCH("Abbr",Attributes!$1:$1,0)-1),"")</f>
        <v>SP</v>
      </c>
      <c r="F92" s="84" t="str">
        <f ca="1">SUBSTITUTE(OFFSET(Attributes!$A$1,MATCH($A92,Attributes!$A:$A,0)-1,MATCH("Attr CN",Attributes!$1:$1,0)-1),"#",$B92*$B$1&amp;"-"&amp;$C92*$B$1)</f>
        <v>+30-45法术强度</v>
      </c>
      <c r="G92" s="97" t="str">
        <f ca="1">SUBSTITUTE(OFFSET(Attributes!$A$1,MATCH($A92,Attributes!$A:$A,0)-1,MATCH("Attr EN",Attributes!$1:$1,0)-1),"#",$B92*$B$1&amp;"-"&amp;$C92*$B$1)</f>
        <v>+30-45 Spell power</v>
      </c>
      <c r="H92" s="32" t="str">
        <f ca="1">FormatItemUbertip(F91:F94)</f>
        <v>+24-36智力|N+30-45法术强度|N使用：提高105-192点法术强度，持续15秒|N|N|CFF999999妖术领主现在已经足够强大，不再需要这样的小玩意了。|R</v>
      </c>
      <c r="I92" s="32" t="str">
        <f ca="1">FormatItemUbertip(G91:G94)</f>
        <v>+24-36 Intelligence|N+30-45 Spell power|N|CFF11FF11Use: Increase spell power by 105-192, lasts for 15 seconds|R|N|N|CFF999999The Hex Lord is now strong enough to no longer need such trinkets.|R</v>
      </c>
      <c r="J92" s="35" t="s">
        <v>571</v>
      </c>
      <c r="K92" s="95" t="str">
        <f t="shared" si="1"/>
        <v>FFFFFF</v>
      </c>
    </row>
    <row r="93" spans="1:11" ht="28.5" x14ac:dyDescent="0.25">
      <c r="A93" s="32">
        <v>34</v>
      </c>
      <c r="B93" s="32">
        <v>35</v>
      </c>
      <c r="C93" s="32">
        <v>64</v>
      </c>
      <c r="D93" s="144">
        <f ca="1">OFFSET(Attributes!$A$1,MATCH(Rare!$A93,Attributes!$A:$A,0)-1,MATCH("Type",Attributes!$1:$1,0)-1)</f>
        <v>2</v>
      </c>
      <c r="E93" s="144" t="str">
        <f ca="1">IFERROR(OFFSET(Attributes!$A$1,MATCH(Rare!$A93,Attributes!$A:$A,0)-1,MATCH("Abbr",Attributes!$1:$1,0)-1),"")</f>
        <v>USE_SP</v>
      </c>
      <c r="F93" s="84" t="str">
        <f ca="1">SUBSTITUTE(OFFSET(Attributes!$A$1,MATCH($A93,Attributes!$A:$A,0)-1,MATCH("Attr CN",Attributes!$1:$1,0)-1),"#",$B93*$B$1&amp;"-"&amp;$C93*$B$1)</f>
        <v>使用：提高105-192点法术强度，持续15秒</v>
      </c>
      <c r="G93" s="130" t="str">
        <f ca="1">SUBSTITUTE(OFFSET(Attributes!$A$1,MATCH($A93,Attributes!$A:$A,0)-1,MATCH("Attr EN",Attributes!$1:$1,0)-1),"#",$B93*$B$1&amp;"-"&amp;$C93*$B$1)</f>
        <v>Use: Increase spell power by 105-192, lasts for 15 seconds</v>
      </c>
      <c r="H93" s="40"/>
      <c r="I93" s="40"/>
      <c r="J93" s="35" t="s">
        <v>571</v>
      </c>
      <c r="K93" s="95" t="str">
        <f t="shared" si="1"/>
        <v>11FF11</v>
      </c>
    </row>
    <row r="94" spans="1:11" ht="28.5" x14ac:dyDescent="0.25">
      <c r="E94" s="144" t="str">
        <f ca="1">IFERROR(OFFSET(Attributes!$A$1,MATCH(Rare!$A94,Attributes!$A:$A,0)-1,MATCH("Abbr",Attributes!$1:$1,0)-1),"")</f>
        <v/>
      </c>
      <c r="F94" s="102" t="s">
        <v>72</v>
      </c>
      <c r="G94" s="123" t="s">
        <v>592</v>
      </c>
      <c r="H94" s="40"/>
      <c r="I94" s="40"/>
      <c r="J94" s="35" t="s">
        <v>571</v>
      </c>
      <c r="K94" s="95" t="str">
        <f t="shared" si="1"/>
        <v>999999</v>
      </c>
    </row>
    <row r="95" spans="1:11" x14ac:dyDescent="0.25">
      <c r="E95" s="144" t="str">
        <f ca="1">IFERROR(OFFSET(Attributes!$A$1,MATCH(Rare!$A95,Attributes!$A:$A,0)-1,MATCH("Abbr",Attributes!$1:$1,0)-1),"")</f>
        <v/>
      </c>
      <c r="F95" s="104"/>
      <c r="G95" s="125"/>
      <c r="H95" s="40"/>
      <c r="I95" s="40"/>
      <c r="J95" s="35" t="s">
        <v>571</v>
      </c>
      <c r="K95" s="95" t="str">
        <f t="shared" si="1"/>
        <v>9900FF</v>
      </c>
    </row>
    <row r="96" spans="1:11" x14ac:dyDescent="0.25">
      <c r="E96" s="144" t="str">
        <f ca="1">IFERROR(OFFSET(Attributes!$A$1,MATCH(Rare!$A96,Attributes!$A:$A,0)-1,MATCH("Abbr",Attributes!$1:$1,0)-1),"")</f>
        <v/>
      </c>
      <c r="F96" s="103" t="s">
        <v>74</v>
      </c>
      <c r="G96" s="124" t="s">
        <v>75</v>
      </c>
      <c r="H96" s="32" t="str">
        <f>FormatItemName(F96)</f>
        <v>|CFF8B66FF暗影烈焰法杖|R</v>
      </c>
      <c r="I96" s="32" t="str">
        <f>FormatItemName(G96)</f>
        <v>|CFF8B66FFStaff of the Shadow Flame|R</v>
      </c>
      <c r="J96" s="35" t="s">
        <v>571</v>
      </c>
      <c r="K96" s="95" t="str">
        <f t="shared" si="1"/>
        <v>8B66FF</v>
      </c>
    </row>
    <row r="97" spans="1:11" x14ac:dyDescent="0.25">
      <c r="A97" s="32">
        <v>14</v>
      </c>
      <c r="B97" s="32">
        <v>5</v>
      </c>
      <c r="C97" s="32">
        <v>8</v>
      </c>
      <c r="D97" s="144">
        <f ca="1">OFFSET(Attributes!$A$1,MATCH(Rare!$A97,Attributes!$A:$A,0)-1,MATCH("Type",Attributes!$1:$1,0)-1)</f>
        <v>1</v>
      </c>
      <c r="E97" s="144" t="str">
        <f ca="1">IFERROR(OFFSET(Attributes!$A$1,MATCH(Rare!$A97,Attributes!$A:$A,0)-1,MATCH("Abbr",Attributes!$1:$1,0)-1),"")</f>
        <v>INT</v>
      </c>
      <c r="F97" s="84" t="str">
        <f ca="1">SUBSTITUTE(OFFSET(Attributes!$A$1,MATCH($A97,Attributes!$A:$A,0)-1,MATCH("Attr CN",Attributes!$1:$1,0)-1),"#",$B97*$B$1&amp;"-"&amp;$C97*$B$1)</f>
        <v>+15-24智力</v>
      </c>
      <c r="G97" s="97" t="str">
        <f ca="1">SUBSTITUTE(OFFSET(Attributes!$A$1,MATCH($A97,Attributes!$A:$A,0)-1,MATCH("Attr EN",Attributes!$1:$1,0)-1),"#",$B97*$B$1&amp;"-"&amp;$C97*$B$1)</f>
        <v>+15-24 Intelligence</v>
      </c>
      <c r="H97" s="32" t="str">
        <f ca="1">FormatItemDescription(F96:F100)</f>
        <v>|CFF8B66FFRare|R|N+15-24智力|N+30-63法术强度|N+0.12-0.15法术暴击|N|N|CFFFFDEAD法杖末端的暗影烈焰是如此之纯净,蕴含着巨大的能量.|R</v>
      </c>
      <c r="I97" s="32" t="str">
        <f ca="1">FormatItemDescription(G96:G100)</f>
        <v>|CFF8B66FFRare|R|N+15-24 Intelligence|N+30-63 Spell power|N+0.12-0.15 Spell critical|N|N|CFFFFDEADThe dark flame at the end of the staff is so pure and contains tremendous energy.|R</v>
      </c>
      <c r="J97" s="35" t="s">
        <v>571</v>
      </c>
      <c r="K97" s="95" t="str">
        <f t="shared" si="1"/>
        <v>FFFFFF</v>
      </c>
    </row>
    <row r="98" spans="1:11" x14ac:dyDescent="0.25">
      <c r="A98" s="32">
        <v>18</v>
      </c>
      <c r="B98" s="32">
        <v>10</v>
      </c>
      <c r="C98" s="32">
        <v>21</v>
      </c>
      <c r="D98" s="144">
        <f ca="1">OFFSET(Attributes!$A$1,MATCH(Rare!$A98,Attributes!$A:$A,0)-1,MATCH("Type",Attributes!$1:$1,0)-1)</f>
        <v>1</v>
      </c>
      <c r="E98" s="144" t="str">
        <f ca="1">IFERROR(OFFSET(Attributes!$A$1,MATCH(Rare!$A98,Attributes!$A:$A,0)-1,MATCH("Abbr",Attributes!$1:$1,0)-1),"")</f>
        <v>SP</v>
      </c>
      <c r="F98" s="84" t="str">
        <f ca="1">SUBSTITUTE(OFFSET(Attributes!$A$1,MATCH($A98,Attributes!$A:$A,0)-1,MATCH("Attr CN",Attributes!$1:$1,0)-1),"#",$B98*$B$1&amp;"-"&amp;$C98*$B$1)</f>
        <v>+30-63法术强度</v>
      </c>
      <c r="G98" s="97" t="str">
        <f ca="1">SUBSTITUTE(OFFSET(Attributes!$A$1,MATCH($A98,Attributes!$A:$A,0)-1,MATCH("Attr EN",Attributes!$1:$1,0)-1),"#",$B98*$B$1&amp;"-"&amp;$C98*$B$1)</f>
        <v>+30-63 Spell power</v>
      </c>
      <c r="H98" s="32" t="str">
        <f ca="1">FormatItemUbertip(F97:F100)</f>
        <v>+15-24智力|N+30-63法术强度|N+0.12-0.15法术暴击|N|N|CFFFFDEAD法杖末端的暗影烈焰是如此之纯净,蕴含着巨大的能量.|R</v>
      </c>
      <c r="I98" s="32" t="str">
        <f ca="1">FormatItemUbertip(G97:G100)</f>
        <v>+15-24 Intelligence|N+30-63 Spell power|N+0.12-0.15 Spell critical|N|N|CFFFFDEADThe dark flame at the end of the staff is so pure and contains tremendous energy.|R</v>
      </c>
      <c r="J98" s="35" t="s">
        <v>571</v>
      </c>
      <c r="K98" s="95" t="str">
        <f t="shared" si="1"/>
        <v>FFFFFF</v>
      </c>
    </row>
    <row r="99" spans="1:11" x14ac:dyDescent="0.25">
      <c r="A99" s="32">
        <v>20</v>
      </c>
      <c r="B99" s="32">
        <v>0.04</v>
      </c>
      <c r="C99" s="32">
        <v>0.05</v>
      </c>
      <c r="D99" s="144">
        <f ca="1">OFFSET(Attributes!$A$1,MATCH(Rare!$A99,Attributes!$A:$A,0)-1,MATCH("Type",Attributes!$1:$1,0)-1)</f>
        <v>1</v>
      </c>
      <c r="E99" s="144" t="str">
        <f ca="1">IFERROR(OFFSET(Attributes!$A$1,MATCH(Rare!$A99,Attributes!$A:$A,0)-1,MATCH("Abbr",Attributes!$1:$1,0)-1),"")</f>
        <v>SCRIT</v>
      </c>
      <c r="F99" s="84" t="str">
        <f ca="1">SUBSTITUTE(OFFSET(Attributes!$A$1,MATCH($A99,Attributes!$A:$A,0)-1,MATCH("Attr CN",Attributes!$1:$1,0)-1),"#",$B99*$B$1&amp;"-"&amp;$C99*$B$1)</f>
        <v>+0.12-0.15法术暴击</v>
      </c>
      <c r="G99" s="97" t="str">
        <f ca="1">SUBSTITUTE(OFFSET(Attributes!$A$1,MATCH($A99,Attributes!$A:$A,0)-1,MATCH("Attr EN",Attributes!$1:$1,0)-1),"#",$B99*$B$1&amp;"-"&amp;$C99*$B$1)</f>
        <v>+0.12-0.15 Spell critical</v>
      </c>
      <c r="J99" s="35" t="s">
        <v>571</v>
      </c>
      <c r="K99" s="95" t="str">
        <f t="shared" si="1"/>
        <v>FFFFFF</v>
      </c>
    </row>
    <row r="100" spans="1:11" ht="28.5" x14ac:dyDescent="0.25">
      <c r="E100" s="144" t="str">
        <f ca="1">IFERROR(OFFSET(Attributes!$A$1,MATCH(Rare!$A100,Attributes!$A:$A,0)-1,MATCH("Abbr",Attributes!$1:$1,0)-1),"")</f>
        <v/>
      </c>
      <c r="F100" s="88" t="s">
        <v>81</v>
      </c>
      <c r="G100" s="98" t="s">
        <v>593</v>
      </c>
      <c r="J100" s="35" t="s">
        <v>571</v>
      </c>
      <c r="K100" s="95" t="str">
        <f t="shared" si="1"/>
        <v>FFDEAD</v>
      </c>
    </row>
    <row r="101" spans="1:11" x14ac:dyDescent="0.25">
      <c r="E101" s="144" t="str">
        <f ca="1">IFERROR(OFFSET(Attributes!$A$1,MATCH(Rare!$A101,Attributes!$A:$A,0)-1,MATCH("Abbr",Attributes!$1:$1,0)-1),"")</f>
        <v/>
      </c>
      <c r="J101" s="35" t="s">
        <v>571</v>
      </c>
      <c r="K101" s="95" t="str">
        <f t="shared" si="1"/>
        <v>000000</v>
      </c>
    </row>
    <row r="102" spans="1:11" x14ac:dyDescent="0.25">
      <c r="E102" s="144" t="str">
        <f ca="1">IFERROR(OFFSET(Attributes!$A$1,MATCH(Rare!$A102,Attributes!$A:$A,0)-1,MATCH("Abbr",Attributes!$1:$1,0)-1),"")</f>
        <v/>
      </c>
      <c r="F102" s="103" t="s">
        <v>82</v>
      </c>
      <c r="G102" s="124" t="s">
        <v>85</v>
      </c>
      <c r="H102" s="32" t="str">
        <f>FormatItemName(F102)</f>
        <v>|CFF8B66FF潮汐指环|R</v>
      </c>
      <c r="I102" s="32" t="str">
        <f>FormatItemName(G102)</f>
        <v>|CFF8B66FFTidal Loop|R</v>
      </c>
      <c r="J102" s="35" t="s">
        <v>571</v>
      </c>
      <c r="K102" s="95" t="str">
        <f t="shared" si="1"/>
        <v>8B66FF</v>
      </c>
    </row>
    <row r="103" spans="1:11" x14ac:dyDescent="0.25">
      <c r="A103" s="32">
        <v>4</v>
      </c>
      <c r="B103" s="32">
        <v>7</v>
      </c>
      <c r="C103" s="32">
        <v>10</v>
      </c>
      <c r="D103" s="144">
        <f ca="1">OFFSET(Attributes!$A$1,MATCH(Rare!$A103,Attributes!$A:$A,0)-1,MATCH("Type",Attributes!$1:$1,0)-1)</f>
        <v>1</v>
      </c>
      <c r="E103" s="144" t="str">
        <f ca="1">IFERROR(OFFSET(Attributes!$A$1,MATCH(Rare!$A103,Attributes!$A:$A,0)-1,MATCH("Abbr",Attributes!$1:$1,0)-1),"")</f>
        <v>STR</v>
      </c>
      <c r="F103" s="84" t="str">
        <f ca="1">SUBSTITUTE(OFFSET(Attributes!$A$1,MATCH($A103,Attributes!$A:$A,0)-1,MATCH("Attr CN",Attributes!$1:$1,0)-1),"#",$B103*$B$1&amp;"-"&amp;$C103*$B$1)</f>
        <v>+21-30力量</v>
      </c>
      <c r="G103" s="97" t="str">
        <f ca="1">SUBSTITUTE(OFFSET(Attributes!$A$1,MATCH($A103,Attributes!$A:$A,0)-1,MATCH("Attr EN",Attributes!$1:$1,0)-1),"#",$B103*$B$1&amp;"-"&amp;$C103*$B$1)</f>
        <v>+21-30 Strength</v>
      </c>
      <c r="H103" s="32" t="str">
        <f ca="1">FormatItemDescription(F102:F107)</f>
        <v>|CFF8B66FFRare|R|N+21-30力量|N+24-36智力|N每秒回复9-15点法力值|N造成法术伤害：有1%的几率回复180-270点法力值|N|N|CFF999999这枚戒指当年是为了对抗火焰之王的军团而打造的,现在已经找不到其火焰抵抗能力了.|R</v>
      </c>
      <c r="I103" s="32" t="str">
        <f ca="1">FormatItemDescription(G102:G107)</f>
        <v>|CFF8B66FFRare|R|N+21-30 Strength|N+24-36 Intelligence|NRegens 9-15 MP per second|N|CFF11FF11Dealing Magic Damage: 1% chance to regen 180-270 MP|R|N|N|CFF999999The ring was crafted to fight against the Lord of Fire's legion. But now its ability of fire resistance has lost.|R</v>
      </c>
      <c r="J103" s="35" t="s">
        <v>571</v>
      </c>
      <c r="K103" s="95" t="str">
        <f t="shared" si="1"/>
        <v>FFFFFF</v>
      </c>
    </row>
    <row r="104" spans="1:11" x14ac:dyDescent="0.25">
      <c r="A104" s="32">
        <v>14</v>
      </c>
      <c r="B104" s="32">
        <v>8</v>
      </c>
      <c r="C104" s="32">
        <v>12</v>
      </c>
      <c r="D104" s="144">
        <f ca="1">OFFSET(Attributes!$A$1,MATCH(Rare!$A104,Attributes!$A:$A,0)-1,MATCH("Type",Attributes!$1:$1,0)-1)</f>
        <v>1</v>
      </c>
      <c r="E104" s="144" t="str">
        <f ca="1">IFERROR(OFFSET(Attributes!$A$1,MATCH(Rare!$A104,Attributes!$A:$A,0)-1,MATCH("Abbr",Attributes!$1:$1,0)-1),"")</f>
        <v>INT</v>
      </c>
      <c r="F104" s="84" t="str">
        <f ca="1">SUBSTITUTE(OFFSET(Attributes!$A$1,MATCH($A104,Attributes!$A:$A,0)-1,MATCH("Attr CN",Attributes!$1:$1,0)-1),"#",$B104*$B$1&amp;"-"&amp;$C104*$B$1)</f>
        <v>+24-36智力</v>
      </c>
      <c r="G104" s="97" t="str">
        <f ca="1">SUBSTITUTE(OFFSET(Attributes!$A$1,MATCH($A104,Attributes!$A:$A,0)-1,MATCH("Attr EN",Attributes!$1:$1,0)-1),"#",$B104*$B$1&amp;"-"&amp;$C104*$B$1)</f>
        <v>+24-36 Intelligence</v>
      </c>
      <c r="H104" s="32" t="str">
        <f ca="1">FormatItemUbertip(F103:F107)</f>
        <v>+21-30力量|N+24-36智力|N每秒回复9-15点法力值|N造成法术伤害：有1%的几率回复180-270点法力值|N|N|CFF999999这枚戒指当年是为了对抗火焰之王的军团而打造的,现在已经找不到其火焰抵抗能力了.|R</v>
      </c>
      <c r="I104" s="32" t="str">
        <f ca="1">FormatItemUbertip(G103:G107)</f>
        <v>+21-30 Strength|N+24-36 Intelligence|NRegens 9-15 MP per second|N|CFF11FF11Dealing Magic Damage: 1% chance to regen 180-270 MP|R|N|N|CFF999999The ring was crafted to fight against the Lord of Fire's legion. But now its ability of fire resistance has lost.|R</v>
      </c>
      <c r="J104" s="35" t="s">
        <v>571</v>
      </c>
      <c r="K104" s="95" t="str">
        <f t="shared" si="1"/>
        <v>FFFFFF</v>
      </c>
    </row>
    <row r="105" spans="1:11" x14ac:dyDescent="0.25">
      <c r="A105" s="32">
        <v>72</v>
      </c>
      <c r="B105" s="32">
        <v>3</v>
      </c>
      <c r="C105" s="32">
        <v>5</v>
      </c>
      <c r="D105" s="144">
        <f ca="1">OFFSET(Attributes!$A$1,MATCH(Rare!$A105,Attributes!$A:$A,0)-1,MATCH("Type",Attributes!$1:$1,0)-1)</f>
        <v>1</v>
      </c>
      <c r="E105" s="144" t="str">
        <f ca="1">IFERROR(OFFSET(Attributes!$A$1,MATCH(Rare!$A105,Attributes!$A:$A,0)-1,MATCH("Abbr",Attributes!$1:$1,0)-1),"")</f>
        <v>MREG</v>
      </c>
      <c r="F105" s="84" t="str">
        <f ca="1">SUBSTITUTE(OFFSET(Attributes!$A$1,MATCH($A105,Attributes!$A:$A,0)-1,MATCH("Attr CN",Attributes!$1:$1,0)-1),"#",$B105*$B$1&amp;"-"&amp;$C105*$B$1)</f>
        <v>每秒回复9-15点法力值</v>
      </c>
      <c r="G105" s="97" t="str">
        <f ca="1">SUBSTITUTE(OFFSET(Attributes!$A$1,MATCH($A105,Attributes!$A:$A,0)-1,MATCH("Attr EN",Attributes!$1:$1,0)-1),"#",$B105*$B$1&amp;"-"&amp;$C105*$B$1)</f>
        <v>Regens 9-15 MP per second</v>
      </c>
      <c r="H105" s="40"/>
      <c r="I105" s="40"/>
      <c r="J105" s="35" t="s">
        <v>571</v>
      </c>
      <c r="K105" s="95" t="str">
        <f t="shared" si="1"/>
        <v>FFFFFF</v>
      </c>
    </row>
    <row r="106" spans="1:11" ht="28.5" x14ac:dyDescent="0.25">
      <c r="A106" s="32">
        <v>87</v>
      </c>
      <c r="B106" s="32">
        <v>60</v>
      </c>
      <c r="C106" s="32">
        <v>90</v>
      </c>
      <c r="D106" s="144">
        <f ca="1">OFFSET(Attributes!$A$1,MATCH(Rare!$A106,Attributes!$A:$A,0)-1,MATCH("Type",Attributes!$1:$1,0)-1)</f>
        <v>2</v>
      </c>
      <c r="E106" s="144" t="str">
        <f ca="1">IFERROR(OFFSET(Attributes!$A$1,MATCH(Rare!$A106,Attributes!$A:$A,0)-1,MATCH("Abbr",Attributes!$1:$1,0)-1),"")</f>
        <v>MD_MREGEN</v>
      </c>
      <c r="F106" s="84" t="str">
        <f ca="1">SUBSTITUTE(OFFSET(Attributes!$A$1,MATCH($A106,Attributes!$A:$A,0)-1,MATCH("Attr CN",Attributes!$1:$1,0)-1),"#",$B106*$B$1&amp;"-"&amp;$C106*$B$1)</f>
        <v>造成法术伤害：有1%的几率回复180-270点法力值</v>
      </c>
      <c r="G106" s="130" t="str">
        <f ca="1">SUBSTITUTE(OFFSET(Attributes!$A$1,MATCH($A106,Attributes!$A:$A,0)-1,MATCH("Attr EN",Attributes!$1:$1,0)-1),"#",$B106*$B$1&amp;"-"&amp;$C106*$B$1)</f>
        <v>Dealing Magic Damage: 1% chance to regen 180-270 MP</v>
      </c>
      <c r="J106" s="35" t="s">
        <v>571</v>
      </c>
      <c r="K106" s="95" t="str">
        <f t="shared" si="1"/>
        <v>11FF11</v>
      </c>
    </row>
    <row r="107" spans="1:11" ht="42.75" x14ac:dyDescent="0.25">
      <c r="E107" s="144" t="str">
        <f ca="1">IFERROR(OFFSET(Attributes!$A$1,MATCH(Rare!$A107,Attributes!$A:$A,0)-1,MATCH("Abbr",Attributes!$1:$1,0)-1),"")</f>
        <v/>
      </c>
      <c r="F107" s="102" t="s">
        <v>89</v>
      </c>
      <c r="G107" s="123" t="s">
        <v>594</v>
      </c>
      <c r="J107" s="35" t="s">
        <v>571</v>
      </c>
      <c r="K107" s="95" t="str">
        <f t="shared" si="1"/>
        <v>999999</v>
      </c>
    </row>
    <row r="108" spans="1:11" x14ac:dyDescent="0.25">
      <c r="E108" s="144" t="str">
        <f ca="1">IFERROR(OFFSET(Attributes!$A$1,MATCH(Rare!$A108,Attributes!$A:$A,0)-1,MATCH("Abbr",Attributes!$1:$1,0)-1),"")</f>
        <v/>
      </c>
      <c r="J108" s="35" t="s">
        <v>571</v>
      </c>
      <c r="K108" s="95" t="str">
        <f t="shared" si="1"/>
        <v>000000</v>
      </c>
    </row>
    <row r="109" spans="1:11" x14ac:dyDescent="0.25">
      <c r="E109" s="144" t="str">
        <f ca="1">IFERROR(OFFSET(Attributes!$A$1,MATCH(Rare!$A109,Attributes!$A:$A,0)-1,MATCH("Abbr",Attributes!$1:$1,0)-1),"")</f>
        <v/>
      </c>
      <c r="F109" s="103" t="s">
        <v>24</v>
      </c>
      <c r="G109" s="124" t="s">
        <v>595</v>
      </c>
      <c r="H109" s="32" t="str">
        <f>FormatItemName(F109)</f>
        <v>|CFF8B66FF辛多雷宝珠|R</v>
      </c>
      <c r="I109" s="32" t="str">
        <f>FormatItemName(G109)</f>
        <v>|CFF8B66FFOrb of the Sin'dorei|R</v>
      </c>
      <c r="J109" s="35" t="s">
        <v>571</v>
      </c>
      <c r="K109" s="95" t="str">
        <f t="shared" si="1"/>
        <v>8B66FF</v>
      </c>
    </row>
    <row r="110" spans="1:11" x14ac:dyDescent="0.25">
      <c r="A110" s="32">
        <v>4</v>
      </c>
      <c r="B110" s="32">
        <v>5</v>
      </c>
      <c r="C110" s="32">
        <v>7</v>
      </c>
      <c r="D110" s="144">
        <f ca="1">OFFSET(Attributes!$A$1,MATCH(Rare!$A110,Attributes!$A:$A,0)-1,MATCH("Type",Attributes!$1:$1,0)-1)</f>
        <v>1</v>
      </c>
      <c r="E110" s="144" t="str">
        <f ca="1">IFERROR(OFFSET(Attributes!$A$1,MATCH(Rare!$A110,Attributes!$A:$A,0)-1,MATCH("Abbr",Attributes!$1:$1,0)-1),"")</f>
        <v>STR</v>
      </c>
      <c r="F110" s="84" t="str">
        <f ca="1">SUBSTITUTE(OFFSET(Attributes!$A$1,MATCH($A110,Attributes!$A:$A,0)-1,MATCH("Attr CN",Attributes!$1:$1,0)-1),"#",$B110*$B$1&amp;"-"&amp;$C110*$B$1)</f>
        <v>+15-21力量</v>
      </c>
      <c r="G110" s="97" t="str">
        <f ca="1">SUBSTITUTE(OFFSET(Attributes!$A$1,MATCH($A110,Attributes!$A:$A,0)-1,MATCH("Attr EN",Attributes!$1:$1,0)-1),"#",$B110*$B$1&amp;"-"&amp;$C110*$B$1)</f>
        <v>+15-21 Strength</v>
      </c>
      <c r="H110" s="32" t="str">
        <f ca="1">FormatItemDescription(F109:F115)</f>
        <v>|CFF8B66FFRare|R|N+15-21力量|N+180-240生命上限|N+42-60法术强度|N+0.12-0.18格挡几率|N辛多雷之盾能提供0.09-0.21额外的伤害减免，并且在开启时可以强迫附近所有敌人攻击你|N|N|CFFFFDEAD杰出血精灵卫士的荣耀象征。|R</v>
      </c>
      <c r="I110" s="32" t="str">
        <f ca="1">FormatItemDescription(G109:G115)</f>
        <v>|CFF8B66FFRare|R|N+15-21 Strength|N+180-240 Max HP|N+42-60 Spell power|N+0.12-0.18 Block chance|N|CFF11FF11Shield of Sin'dorei provides 0.09-0.21 extra damage reduction, and forces all nearby enemies to attack you|R|N|N|CFFFFDEADThe glory sign of remarkable bloodelf defenders.|R</v>
      </c>
      <c r="J110" s="35" t="s">
        <v>571</v>
      </c>
      <c r="K110" s="95" t="str">
        <f t="shared" si="1"/>
        <v>FFFFFF</v>
      </c>
    </row>
    <row r="111" spans="1:11" x14ac:dyDescent="0.25">
      <c r="A111" s="32">
        <v>21</v>
      </c>
      <c r="B111" s="32">
        <v>60</v>
      </c>
      <c r="C111" s="32">
        <v>80</v>
      </c>
      <c r="D111" s="144">
        <f ca="1">OFFSET(Attributes!$A$1,MATCH(Rare!$A111,Attributes!$A:$A,0)-1,MATCH("Type",Attributes!$1:$1,0)-1)</f>
        <v>1</v>
      </c>
      <c r="E111" s="144" t="str">
        <f ca="1">IFERROR(OFFSET(Attributes!$A$1,MATCH(Rare!$A111,Attributes!$A:$A,0)-1,MATCH("Abbr",Attributes!$1:$1,0)-1),"")</f>
        <v>HP</v>
      </c>
      <c r="F111" s="84" t="str">
        <f ca="1">SUBSTITUTE(OFFSET(Attributes!$A$1,MATCH($A111,Attributes!$A:$A,0)-1,MATCH("Attr CN",Attributes!$1:$1,0)-1),"#",$B111*$B$1&amp;"-"&amp;$C111*$B$1)</f>
        <v>+180-240生命上限</v>
      </c>
      <c r="G111" s="97" t="str">
        <f ca="1">SUBSTITUTE(OFFSET(Attributes!$A$1,MATCH($A111,Attributes!$A:$A,0)-1,MATCH("Attr EN",Attributes!$1:$1,0)-1),"#",$B111*$B$1&amp;"-"&amp;$C111*$B$1)</f>
        <v>+180-240 Max HP</v>
      </c>
      <c r="H111" s="32" t="str">
        <f ca="1">FormatItemUbertip(F110:F115)</f>
        <v>+15-21力量|N+180-240生命上限|N+42-60法术强度|N+0.12-0.18格挡几率|N辛多雷之盾能提供0.09-0.21额外的伤害减免，并且在开启时可以强迫附近所有敌人攻击你|N|N|CFFFFDEAD杰出血精灵卫士的荣耀象征。|R</v>
      </c>
      <c r="I111" s="32" t="str">
        <f ca="1">FormatItemUbertip(G110:G115)</f>
        <v>+15-21 Strength|N+180-240 Max HP|N+42-60 Spell power|N+0.12-0.18 Block chance|N|CFF11FF11Shield of Sin'dorei provides 0.09-0.21 extra damage reduction, and forces all nearby enemies to attack you|R|N|N|CFFFFDEADThe glory sign of remarkable bloodelf defenders.|R</v>
      </c>
      <c r="J111" s="35" t="s">
        <v>571</v>
      </c>
      <c r="K111" s="95" t="str">
        <f t="shared" si="1"/>
        <v>FFFFFF</v>
      </c>
    </row>
    <row r="112" spans="1:11" x14ac:dyDescent="0.25">
      <c r="A112" s="32">
        <v>18</v>
      </c>
      <c r="B112" s="32">
        <v>14</v>
      </c>
      <c r="C112" s="32">
        <v>20</v>
      </c>
      <c r="D112" s="144">
        <f ca="1">OFFSET(Attributes!$A$1,MATCH(Rare!$A112,Attributes!$A:$A,0)-1,MATCH("Type",Attributes!$1:$1,0)-1)</f>
        <v>1</v>
      </c>
      <c r="E112" s="144" t="str">
        <f ca="1">IFERROR(OFFSET(Attributes!$A$1,MATCH(Rare!$A112,Attributes!$A:$A,0)-1,MATCH("Abbr",Attributes!$1:$1,0)-1),"")</f>
        <v>SP</v>
      </c>
      <c r="F112" s="84" t="str">
        <f ca="1">SUBSTITUTE(OFFSET(Attributes!$A$1,MATCH($A112,Attributes!$A:$A,0)-1,MATCH("Attr CN",Attributes!$1:$1,0)-1),"#",$B112*$B$1&amp;"-"&amp;$C112*$B$1)</f>
        <v>+42-60法术强度</v>
      </c>
      <c r="G112" s="97" t="str">
        <f ca="1">SUBSTITUTE(OFFSET(Attributes!$A$1,MATCH($A112,Attributes!$A:$A,0)-1,MATCH("Attr EN",Attributes!$1:$1,0)-1),"#",$B112*$B$1&amp;"-"&amp;$C112*$B$1)</f>
        <v>+42-60 Spell power</v>
      </c>
      <c r="H112" s="33"/>
      <c r="I112" s="33"/>
      <c r="J112" s="35" t="s">
        <v>571</v>
      </c>
      <c r="K112" s="95" t="str">
        <f t="shared" si="1"/>
        <v>FFFFFF</v>
      </c>
    </row>
    <row r="113" spans="1:12" x14ac:dyDescent="0.25">
      <c r="A113" s="32">
        <v>16</v>
      </c>
      <c r="B113" s="32">
        <v>0.04</v>
      </c>
      <c r="C113" s="32">
        <v>0.06</v>
      </c>
      <c r="D113" s="144">
        <f ca="1">OFFSET(Attributes!$A$1,MATCH(Rare!$A113,Attributes!$A:$A,0)-1,MATCH("Type",Attributes!$1:$1,0)-1)</f>
        <v>1</v>
      </c>
      <c r="E113" s="144" t="str">
        <f ca="1">IFERROR(OFFSET(Attributes!$A$1,MATCH(Rare!$A113,Attributes!$A:$A,0)-1,MATCH("Abbr",Attributes!$1:$1,0)-1),"")</f>
        <v>BR</v>
      </c>
      <c r="F113" s="84" t="str">
        <f ca="1">SUBSTITUTE(OFFSET(Attributes!$A$1,MATCH($A113,Attributes!$A:$A,0)-1,MATCH("Attr CN",Attributes!$1:$1,0)-1),"#",$B113*$B$1&amp;"-"&amp;$C113*$B$1)</f>
        <v>+0.12-0.18格挡几率</v>
      </c>
      <c r="G113" s="97" t="str">
        <f ca="1">SUBSTITUTE(OFFSET(Attributes!$A$1,MATCH($A113,Attributes!$A:$A,0)-1,MATCH("Attr EN",Attributes!$1:$1,0)-1),"#",$B113*$B$1&amp;"-"&amp;$C113*$B$1)</f>
        <v>+0.12-0.18 Block chance</v>
      </c>
      <c r="H113" s="33"/>
      <c r="I113" s="33"/>
      <c r="J113" s="35" t="s">
        <v>571</v>
      </c>
      <c r="K113" s="95" t="str">
        <f t="shared" si="1"/>
        <v>FFFFFF</v>
      </c>
    </row>
    <row r="114" spans="1:12" ht="42.75" x14ac:dyDescent="0.25">
      <c r="A114" s="32">
        <v>86</v>
      </c>
      <c r="B114" s="32">
        <v>0.03</v>
      </c>
      <c r="C114" s="32">
        <v>7.0000000000000007E-2</v>
      </c>
      <c r="D114" s="144">
        <f ca="1">OFFSET(Attributes!$A$1,MATCH(Rare!$A114,Attributes!$A:$A,0)-1,MATCH("Type",Attributes!$1:$1,0)-1)</f>
        <v>2</v>
      </c>
      <c r="E114" s="144" t="str">
        <f ca="1">IFERROR(OFFSET(Attributes!$A$1,MATCH(Rare!$A114,Attributes!$A:$A,0)-1,MATCH("Abbr",Attributes!$1:$1,0)-1),"")</f>
        <v>BD_SHIELD</v>
      </c>
      <c r="F114" s="84" t="str">
        <f ca="1">SUBSTITUTE(OFFSET(Attributes!$A$1,MATCH($A114,Attributes!$A:$A,0)-1,MATCH("Attr CN",Attributes!$1:$1,0)-1),"#",$B114*$B$1&amp;"-"&amp;$C114*$B$1)</f>
        <v>辛多雷之盾能提供0.09-0.21额外的伤害减免，并且在开启时可以强迫附近所有敌人攻击你</v>
      </c>
      <c r="G114" s="130" t="str">
        <f ca="1">SUBSTITUTE(OFFSET(Attributes!$A$1,MATCH($A114,Attributes!$A:$A,0)-1,MATCH("Attr EN",Attributes!$1:$1,0)-1),"#",$B114*$B$1&amp;"-"&amp;$C114*$B$1)</f>
        <v>Shield of Sin'dorei provides 0.09-0.21 extra damage reduction, and forces all nearby enemies to attack you</v>
      </c>
      <c r="H114" s="33"/>
      <c r="I114" s="33"/>
      <c r="J114" s="35" t="s">
        <v>571</v>
      </c>
      <c r="K114" s="95" t="str">
        <f t="shared" si="1"/>
        <v>11FF11</v>
      </c>
    </row>
    <row r="115" spans="1:12" x14ac:dyDescent="0.25">
      <c r="E115" s="144" t="str">
        <f ca="1">IFERROR(OFFSET(Attributes!$A$1,MATCH(Rare!$A115,Attributes!$A:$A,0)-1,MATCH("Abbr",Attributes!$1:$1,0)-1),"")</f>
        <v/>
      </c>
      <c r="F115" s="88" t="s">
        <v>26</v>
      </c>
      <c r="G115" s="98" t="s">
        <v>596</v>
      </c>
      <c r="H115" s="33"/>
      <c r="I115" s="33"/>
      <c r="J115" s="35" t="s">
        <v>571</v>
      </c>
      <c r="K115" s="95" t="str">
        <f t="shared" si="1"/>
        <v>FFDEAD</v>
      </c>
    </row>
    <row r="116" spans="1:12" x14ac:dyDescent="0.25">
      <c r="E116" s="144" t="str">
        <f ca="1">IFERROR(OFFSET(Attributes!$A$1,MATCH(Rare!$A116,Attributes!$A:$A,0)-1,MATCH("Abbr",Attributes!$1:$1,0)-1),"")</f>
        <v/>
      </c>
      <c r="F116" s="105"/>
      <c r="G116" s="126"/>
      <c r="H116" s="33"/>
      <c r="I116" s="33"/>
      <c r="J116" s="35" t="s">
        <v>571</v>
      </c>
      <c r="K116" s="95" t="str">
        <f t="shared" si="1"/>
        <v>FF9900</v>
      </c>
    </row>
    <row r="117" spans="1:12" x14ac:dyDescent="0.25">
      <c r="E117" s="144" t="str">
        <f ca="1">IFERROR(OFFSET(Attributes!$A$1,MATCH(Rare!$A117,Attributes!$A:$A,0)-1,MATCH("Abbr",Attributes!$1:$1,0)-1),"")</f>
        <v/>
      </c>
      <c r="F117" s="103" t="s">
        <v>27</v>
      </c>
      <c r="G117" s="124" t="s">
        <v>597</v>
      </c>
      <c r="H117" s="32" t="str">
        <f>FormatItemName(F117)</f>
        <v>|CFF8B66FF重铸的坚韧徽章|R</v>
      </c>
      <c r="I117" s="32" t="str">
        <f>FormatItemName(G117)</f>
        <v>|CFF8B66FFReforged Badge of Tenacity|R</v>
      </c>
      <c r="J117" s="35" t="s">
        <v>571</v>
      </c>
      <c r="K117" s="95" t="str">
        <f t="shared" si="1"/>
        <v>8B66FF</v>
      </c>
    </row>
    <row r="118" spans="1:12" x14ac:dyDescent="0.25">
      <c r="A118" s="32">
        <v>13</v>
      </c>
      <c r="B118" s="32">
        <v>5</v>
      </c>
      <c r="C118" s="32">
        <v>7</v>
      </c>
      <c r="D118" s="144">
        <f ca="1">OFFSET(Attributes!$A$1,MATCH(Rare!$A118,Attributes!$A:$A,0)-1,MATCH("Type",Attributes!$1:$1,0)-1)</f>
        <v>1</v>
      </c>
      <c r="E118" s="144" t="str">
        <f ca="1">IFERROR(OFFSET(Attributes!$A$1,MATCH(Rare!$A118,Attributes!$A:$A,0)-1,MATCH("Abbr",Attributes!$1:$1,0)-1),"")</f>
        <v>AGI</v>
      </c>
      <c r="F118" s="84" t="str">
        <f ca="1">SUBSTITUTE(OFFSET(Attributes!$A$1,MATCH($A118,Attributes!$A:$A,0)-1,MATCH("Attr CN",Attributes!$1:$1,0)-1),"#",$B118*$B$1&amp;"-"&amp;$C118*$B$1)</f>
        <v>+15-21敏捷</v>
      </c>
      <c r="G118" s="97" t="str">
        <f ca="1">SUBSTITUTE(OFFSET(Attributes!$A$1,MATCH($A118,Attributes!$A:$A,0)-1,MATCH("Attr EN",Attributes!$1:$1,0)-1),"#",$B118*$B$1&amp;"-"&amp;$C118*$B$1)</f>
        <v>+15-21 Agility</v>
      </c>
      <c r="H118" s="32" t="str">
        <f ca="1">FormatItemDescription(F117:F124)</f>
        <v>|CFF8B66FFRare|R|N+15-21敏捷|N+9-12护甲|N+240-360生命上限|N+0.06-0.12躲闪|N生存本能可以提供0.24-0.3额外的生命值和生命上限|N降低生存本能的冷却时间9-21秒|N|N|CFFFFDEAD据说这枚徽章最早是由恶魔沙图尔打造的。|R</v>
      </c>
      <c r="I118" s="32" t="str">
        <f ca="1">FormatItemDescription(G117:G124)</f>
        <v>|CFF8B66FFRare|R|N+15-21 Agility|N+9-12 Armor|N+240-360 Max HP|N+0.06-0.12 Dodge chance|N|CFF11FF11Survival Instincts provides 0.24-0.3 extra healing and max HP|R|N|CFF11FF11Reduce cooldown of Survival Instincts by 9-21 seconds (unique)|R|N|N|CFFFFDEADOriginally forged by a demon overseer named Shartuul.|R</v>
      </c>
      <c r="J118" s="35" t="s">
        <v>571</v>
      </c>
      <c r="K118" s="95" t="str">
        <f t="shared" si="1"/>
        <v>FFFFFF</v>
      </c>
      <c r="L118" s="35">
        <f ca="1">LEN(I118)</f>
        <v>307</v>
      </c>
    </row>
    <row r="119" spans="1:12" x14ac:dyDescent="0.25">
      <c r="A119" s="32">
        <v>8</v>
      </c>
      <c r="B119" s="32">
        <v>3</v>
      </c>
      <c r="C119" s="32">
        <v>4</v>
      </c>
      <c r="D119" s="144">
        <f ca="1">OFFSET(Attributes!$A$1,MATCH(Rare!$A119,Attributes!$A:$A,0)-1,MATCH("Type",Attributes!$1:$1,0)-1)</f>
        <v>1</v>
      </c>
      <c r="E119" s="144" t="str">
        <f ca="1">IFERROR(OFFSET(Attributes!$A$1,MATCH(Rare!$A119,Attributes!$A:$A,0)-1,MATCH("Abbr",Attributes!$1:$1,0)-1),"")</f>
        <v>DEF</v>
      </c>
      <c r="F119" s="84" t="str">
        <f ca="1">SUBSTITUTE(OFFSET(Attributes!$A$1,MATCH($A119,Attributes!$A:$A,0)-1,MATCH("Attr CN",Attributes!$1:$1,0)-1),"#",$B119*$B$1&amp;"-"&amp;$C119*$B$1)</f>
        <v>+9-12护甲</v>
      </c>
      <c r="G119" s="97" t="str">
        <f ca="1">SUBSTITUTE(OFFSET(Attributes!$A$1,MATCH($A119,Attributes!$A:$A,0)-1,MATCH("Attr EN",Attributes!$1:$1,0)-1),"#",$B119*$B$1&amp;"-"&amp;$C119*$B$1)</f>
        <v>+9-12 Armor</v>
      </c>
      <c r="H119" s="32" t="str">
        <f ca="1">FormatItemUbertip(F118:F124)</f>
        <v>+15-21敏捷|N+9-12护甲|N+240-360生命上限|N+0.06-0.12躲闪|N生存本能可以提供0.24-0.3额外的生命值和生命上限|N降低生存本能的冷却时间9-21秒|N|N|CFFFFDEAD据说这枚徽章最早是由恶魔沙图尔打造的。|R</v>
      </c>
      <c r="I119" s="32" t="str">
        <f ca="1">FormatItemUbertip(G118:G124)</f>
        <v>+15-21 Agility|N+9-12 Armor|N+240-360 Max HP|N+0.06-0.12 Dodge chance|N|CFF11FF11Survival Instincts provides 0.24-0.3 extra healing and max HP|R|N|CFF11FF11Reduce cooldown of Survival Instincts by 9-21 seconds (unique)|R|N|N|CFFFFDEADOriginally forged by a demon overseer named Shartuul.|R</v>
      </c>
      <c r="J119" s="35" t="s">
        <v>571</v>
      </c>
      <c r="K119" s="95" t="str">
        <f t="shared" si="1"/>
        <v>FFFFFF</v>
      </c>
    </row>
    <row r="120" spans="1:12" x14ac:dyDescent="0.25">
      <c r="A120" s="32">
        <v>21</v>
      </c>
      <c r="B120" s="32">
        <v>80</v>
      </c>
      <c r="C120" s="32">
        <v>120</v>
      </c>
      <c r="D120" s="144">
        <f ca="1">OFFSET(Attributes!$A$1,MATCH(Rare!$A120,Attributes!$A:$A,0)-1,MATCH("Type",Attributes!$1:$1,0)-1)</f>
        <v>1</v>
      </c>
      <c r="E120" s="144" t="str">
        <f ca="1">IFERROR(OFFSET(Attributes!$A$1,MATCH(Rare!$A120,Attributes!$A:$A,0)-1,MATCH("Abbr",Attributes!$1:$1,0)-1),"")</f>
        <v>HP</v>
      </c>
      <c r="F120" s="84" t="str">
        <f ca="1">SUBSTITUTE(OFFSET(Attributes!$A$1,MATCH($A120,Attributes!$A:$A,0)-1,MATCH("Attr CN",Attributes!$1:$1,0)-1),"#",$B120*$B$1&amp;"-"&amp;$C120*$B$1)</f>
        <v>+240-360生命上限</v>
      </c>
      <c r="G120" s="97" t="str">
        <f ca="1">SUBSTITUTE(OFFSET(Attributes!$A$1,MATCH($A120,Attributes!$A:$A,0)-1,MATCH("Attr EN",Attributes!$1:$1,0)-1),"#",$B120*$B$1&amp;"-"&amp;$C120*$B$1)</f>
        <v>+240-360 Max HP</v>
      </c>
      <c r="H120" s="33"/>
      <c r="I120" s="33"/>
      <c r="J120" s="35" t="s">
        <v>571</v>
      </c>
      <c r="K120" s="95" t="str">
        <f t="shared" si="1"/>
        <v>FFFFFF</v>
      </c>
    </row>
    <row r="121" spans="1:12" x14ac:dyDescent="0.25">
      <c r="A121" s="32">
        <v>27</v>
      </c>
      <c r="B121" s="32">
        <v>0.02</v>
      </c>
      <c r="C121" s="32">
        <v>0.04</v>
      </c>
      <c r="D121" s="144">
        <f ca="1">OFFSET(Attributes!$A$1,MATCH(Rare!$A121,Attributes!$A:$A,0)-1,MATCH("Type",Attributes!$1:$1,0)-1)</f>
        <v>1</v>
      </c>
      <c r="E121" s="144" t="str">
        <f ca="1">IFERROR(OFFSET(Attributes!$A$1,MATCH(Rare!$A121,Attributes!$A:$A,0)-1,MATCH("Abbr",Attributes!$1:$1,0)-1),"")</f>
        <v>DODGE</v>
      </c>
      <c r="F121" s="84" t="str">
        <f ca="1">SUBSTITUTE(OFFSET(Attributes!$A$1,MATCH($A121,Attributes!$A:$A,0)-1,MATCH("Attr CN",Attributes!$1:$1,0)-1),"#",$B121*$B$1&amp;"-"&amp;$C121*$B$1)</f>
        <v>+0.06-0.12躲闪</v>
      </c>
      <c r="G121" s="97" t="str">
        <f ca="1">SUBSTITUTE(OFFSET(Attributes!$A$1,MATCH($A121,Attributes!$A:$A,0)-1,MATCH("Attr EN",Attributes!$1:$1,0)-1),"#",$B121*$B$1&amp;"-"&amp;$C121*$B$1)</f>
        <v>+0.06-0.12 Dodge chance</v>
      </c>
      <c r="H121" s="33"/>
      <c r="I121" s="33"/>
      <c r="J121" s="35" t="s">
        <v>571</v>
      </c>
      <c r="K121" s="95" t="str">
        <f t="shared" si="1"/>
        <v>FFFFFF</v>
      </c>
    </row>
    <row r="122" spans="1:12" ht="28.5" x14ac:dyDescent="0.25">
      <c r="A122" s="32">
        <v>78</v>
      </c>
      <c r="B122" s="32">
        <v>0.08</v>
      </c>
      <c r="C122" s="32">
        <v>0.1</v>
      </c>
      <c r="D122" s="144">
        <f ca="1">OFFSET(Attributes!$A$1,MATCH(Rare!$A122,Attributes!$A:$A,0)-1,MATCH("Type",Attributes!$1:$1,0)-1)</f>
        <v>2</v>
      </c>
      <c r="E122" s="144" t="str">
        <f ca="1">IFERROR(OFFSET(Attributes!$A$1,MATCH(Rare!$A122,Attributes!$A:$A,0)-1,MATCH("Abbr",Attributes!$1:$1,0)-1),"")</f>
        <v>DR_MAXHP</v>
      </c>
      <c r="F122" s="84" t="str">
        <f ca="1">SUBSTITUTE(OFFSET(Attributes!$A$1,MATCH($A122,Attributes!$A:$A,0)-1,MATCH("Attr CN",Attributes!$1:$1,0)-1),"#",$B122*$B$1&amp;"-"&amp;$C122*$B$1)</f>
        <v>生存本能可以提供0.24-0.3额外的生命值和生命上限</v>
      </c>
      <c r="G122" s="130" t="str">
        <f ca="1">SUBSTITUTE(OFFSET(Attributes!$A$1,MATCH($A122,Attributes!$A:$A,0)-1,MATCH("Attr EN",Attributes!$1:$1,0)-1),"#",$B122*$B$1&amp;"-"&amp;$C122*$B$1)</f>
        <v>Survival Instincts provides 0.24-0.3 extra healing and max HP</v>
      </c>
      <c r="H122" s="33"/>
      <c r="I122" s="33"/>
      <c r="J122" s="35" t="s">
        <v>571</v>
      </c>
      <c r="K122" s="95" t="str">
        <f t="shared" si="1"/>
        <v>11FF11</v>
      </c>
    </row>
    <row r="123" spans="1:12" ht="28.5" x14ac:dyDescent="0.25">
      <c r="A123" s="32">
        <v>92</v>
      </c>
      <c r="B123" s="32">
        <v>3</v>
      </c>
      <c r="C123" s="32">
        <v>7</v>
      </c>
      <c r="D123" s="144">
        <f ca="1">OFFSET(Attributes!$A$1,MATCH(Rare!$A123,Attributes!$A:$A,0)-1,MATCH("Type",Attributes!$1:$1,0)-1)</f>
        <v>2</v>
      </c>
      <c r="E123" s="144" t="str">
        <f ca="1">IFERROR(OFFSET(Attributes!$A$1,MATCH(Rare!$A123,Attributes!$A:$A,0)-1,MATCH("Abbr",Attributes!$1:$1,0)-1),"")</f>
        <v>DR_CDR</v>
      </c>
      <c r="F123" s="84" t="str">
        <f ca="1">SUBSTITUTE(OFFSET(Attributes!$A$1,MATCH($A123,Attributes!$A:$A,0)-1,MATCH("Attr CN",Attributes!$1:$1,0)-1),"#",$B123*$B$1&amp;"-"&amp;$C123*$B$1)</f>
        <v>降低生存本能的冷却时间9-21秒</v>
      </c>
      <c r="G123" s="130" t="str">
        <f ca="1">SUBSTITUTE(OFFSET(Attributes!$A$1,MATCH($A123,Attributes!$A:$A,0)-1,MATCH("Attr EN",Attributes!$1:$1,0)-1),"#",$B123*$B$1&amp;"-"&amp;$C123*$B$1)</f>
        <v>Reduce cooldown of Survival Instincts by 9-21 seconds (unique)</v>
      </c>
      <c r="H123" s="33"/>
      <c r="I123" s="33"/>
      <c r="J123" s="35" t="s">
        <v>571</v>
      </c>
      <c r="K123" s="95" t="str">
        <f t="shared" si="1"/>
        <v>11FF11</v>
      </c>
    </row>
    <row r="124" spans="1:12" ht="28.5" x14ac:dyDescent="0.25">
      <c r="E124" s="144" t="str">
        <f ca="1">IFERROR(OFFSET(Attributes!$A$1,MATCH(Rare!$A124,Attributes!$A:$A,0)-1,MATCH("Abbr",Attributes!$1:$1,0)-1),"")</f>
        <v/>
      </c>
      <c r="F124" s="88" t="s">
        <v>28</v>
      </c>
      <c r="G124" s="98" t="s">
        <v>598</v>
      </c>
      <c r="H124" s="33"/>
      <c r="I124" s="33"/>
      <c r="J124" s="35" t="s">
        <v>571</v>
      </c>
      <c r="K124" s="95" t="str">
        <f t="shared" si="1"/>
        <v>FFDEAD</v>
      </c>
    </row>
    <row r="125" spans="1:12" x14ac:dyDescent="0.25">
      <c r="E125" s="144" t="str">
        <f ca="1">IFERROR(OFFSET(Attributes!$A$1,MATCH(Rare!$A125,Attributes!$A:$A,0)-1,MATCH("Abbr",Attributes!$1:$1,0)-1),"")</f>
        <v/>
      </c>
      <c r="F125" s="106"/>
      <c r="G125" s="127"/>
      <c r="H125" s="33"/>
      <c r="I125" s="33"/>
      <c r="J125" s="35" t="s">
        <v>571</v>
      </c>
      <c r="K125" s="95" t="str">
        <f t="shared" si="1"/>
        <v>9900FF</v>
      </c>
    </row>
    <row r="126" spans="1:12" x14ac:dyDescent="0.25">
      <c r="E126" s="144" t="str">
        <f ca="1">IFERROR(OFFSET(Attributes!$A$1,MATCH(Rare!$A126,Attributes!$A:$A,0)-1,MATCH("Abbr",Attributes!$1:$1,0)-1),"")</f>
        <v/>
      </c>
      <c r="F126" s="103" t="s">
        <v>29</v>
      </c>
      <c r="G126" s="124" t="s">
        <v>599</v>
      </c>
      <c r="H126" s="32" t="str">
        <f>FormatItemName(F126)</f>
        <v>|CFF8B66FF圣光的正义|R</v>
      </c>
      <c r="I126" s="32" t="str">
        <f>FormatItemName(G126)</f>
        <v>|CFF8B66FFLight's Justice|R</v>
      </c>
      <c r="J126" s="35" t="s">
        <v>571</v>
      </c>
      <c r="K126" s="95" t="str">
        <f t="shared" si="1"/>
        <v>8B66FF</v>
      </c>
    </row>
    <row r="127" spans="1:12" x14ac:dyDescent="0.25">
      <c r="A127" s="32">
        <v>14</v>
      </c>
      <c r="B127" s="32">
        <v>5</v>
      </c>
      <c r="C127" s="32">
        <v>6</v>
      </c>
      <c r="D127" s="144">
        <f ca="1">OFFSET(Attributes!$A$1,MATCH(Rare!$A127,Attributes!$A:$A,0)-1,MATCH("Type",Attributes!$1:$1,0)-1)</f>
        <v>1</v>
      </c>
      <c r="E127" s="144" t="str">
        <f ca="1">IFERROR(OFFSET(Attributes!$A$1,MATCH(Rare!$A127,Attributes!$A:$A,0)-1,MATCH("Abbr",Attributes!$1:$1,0)-1),"")</f>
        <v>INT</v>
      </c>
      <c r="F127" s="84" t="str">
        <f ca="1">SUBSTITUTE(OFFSET(Attributes!$A$1,MATCH($A127,Attributes!$A:$A,0)-1,MATCH("Attr CN",Attributes!$1:$1,0)-1),"#",$B127*$B$1&amp;"-"&amp;$C127*$B$1)</f>
        <v>+15-18智力</v>
      </c>
      <c r="G127" s="97" t="str">
        <f ca="1">SUBSTITUTE(OFFSET(Attributes!$A$1,MATCH($A127,Attributes!$A:$A,0)-1,MATCH("Attr EN",Attributes!$1:$1,0)-1),"#",$B127*$B$1&amp;"-"&amp;$C127*$B$1)</f>
        <v>+15-18 Intelligence</v>
      </c>
      <c r="H127" s="32" t="str">
        <f ca="1">FormatItemDescription(F126:F132)</f>
        <v>|CFF8B66FFRare|R|N+15-18智力|N+30-60法术强度|N+0.09-0.12法术暴击|N神圣震击一定能造成极效治疗0-0|N闪耀之光可以驱散一个有害的法术效果0-0|N|N|CFFFFDEAD向圣光打开你的心扉。|R</v>
      </c>
      <c r="I127" s="32" t="str">
        <f ca="1">FormatItemDescription(G126:G132)</f>
        <v>|CFF8B66FFRare|R|N+15-18 Intelligence|N+30-60 Spell power|N+0.09-0.12 Spell critical|N|CFF87CEEBHoly Shock always deals critical healing0-0|R|N|CFF87CEEBFlash Light dispels one debuff from target0-0|R|N|N|CFFFFDEADOpen your heart to the light.|R</v>
      </c>
      <c r="J127" s="35" t="s">
        <v>571</v>
      </c>
      <c r="K127" s="95" t="str">
        <f t="shared" si="1"/>
        <v>FFFFFF</v>
      </c>
    </row>
    <row r="128" spans="1:12" x14ac:dyDescent="0.25">
      <c r="A128" s="32">
        <v>18</v>
      </c>
      <c r="B128" s="32">
        <v>10</v>
      </c>
      <c r="C128" s="32">
        <v>20</v>
      </c>
      <c r="D128" s="144">
        <f ca="1">OFFSET(Attributes!$A$1,MATCH(Rare!$A128,Attributes!$A:$A,0)-1,MATCH("Type",Attributes!$1:$1,0)-1)</f>
        <v>1</v>
      </c>
      <c r="E128" s="144" t="str">
        <f ca="1">IFERROR(OFFSET(Attributes!$A$1,MATCH(Rare!$A128,Attributes!$A:$A,0)-1,MATCH("Abbr",Attributes!$1:$1,0)-1),"")</f>
        <v>SP</v>
      </c>
      <c r="F128" s="84" t="str">
        <f ca="1">SUBSTITUTE(OFFSET(Attributes!$A$1,MATCH($A128,Attributes!$A:$A,0)-1,MATCH("Attr CN",Attributes!$1:$1,0)-1),"#",$B128*$B$1&amp;"-"&amp;$C128*$B$1)</f>
        <v>+30-60法术强度</v>
      </c>
      <c r="G128" s="97" t="str">
        <f ca="1">SUBSTITUTE(OFFSET(Attributes!$A$1,MATCH($A128,Attributes!$A:$A,0)-1,MATCH("Attr EN",Attributes!$1:$1,0)-1),"#",$B128*$B$1&amp;"-"&amp;$C128*$B$1)</f>
        <v>+30-60 Spell power</v>
      </c>
      <c r="H128" s="32" t="str">
        <f ca="1">FormatItemUbertip(F127:F132)</f>
        <v>+15-18智力|N+30-60法术强度|N+0.09-0.12法术暴击|N神圣震击一定能造成极效治疗0-0|N闪耀之光可以驱散一个有害的法术效果0-0|N|N|CFFFFDEAD向圣光打开你的心扉。|R</v>
      </c>
      <c r="I128" s="32" t="str">
        <f ca="1">FormatItemUbertip(G127:G132)</f>
        <v>+15-18 Intelligence|N+30-60 Spell power|N+0.09-0.12 Spell critical|N|CFF87CEEBHoly Shock always deals critical healing0-0|R|N|CFF87CEEBFlash Light dispels one debuff from target0-0|R|N|N|CFFFFDEADOpen your heart to the light.|R</v>
      </c>
      <c r="J128" s="35" t="s">
        <v>571</v>
      </c>
      <c r="K128" s="95" t="str">
        <f t="shared" si="1"/>
        <v>FFFFFF</v>
      </c>
    </row>
    <row r="129" spans="1:11" x14ac:dyDescent="0.25">
      <c r="A129" s="32">
        <v>20</v>
      </c>
      <c r="B129" s="32">
        <v>0.03</v>
      </c>
      <c r="C129" s="32">
        <v>0.04</v>
      </c>
      <c r="D129" s="144">
        <f ca="1">OFFSET(Attributes!$A$1,MATCH(Rare!$A129,Attributes!$A:$A,0)-1,MATCH("Type",Attributes!$1:$1,0)-1)</f>
        <v>1</v>
      </c>
      <c r="E129" s="144" t="str">
        <f ca="1">IFERROR(OFFSET(Attributes!$A$1,MATCH(Rare!$A129,Attributes!$A:$A,0)-1,MATCH("Abbr",Attributes!$1:$1,0)-1),"")</f>
        <v>SCRIT</v>
      </c>
      <c r="F129" s="84" t="str">
        <f ca="1">SUBSTITUTE(OFFSET(Attributes!$A$1,MATCH($A129,Attributes!$A:$A,0)-1,MATCH("Attr CN",Attributes!$1:$1,0)-1),"#",$B129*$B$1&amp;"-"&amp;$C129*$B$1)</f>
        <v>+0.09-0.12法术暴击</v>
      </c>
      <c r="G129" s="97" t="str">
        <f ca="1">SUBSTITUTE(OFFSET(Attributes!$A$1,MATCH($A129,Attributes!$A:$A,0)-1,MATCH("Attr EN",Attributes!$1:$1,0)-1),"#",$B129*$B$1&amp;"-"&amp;$C129*$B$1)</f>
        <v>+0.09-0.12 Spell critical</v>
      </c>
      <c r="H129" s="33"/>
      <c r="I129" s="33"/>
      <c r="J129" s="35" t="s">
        <v>571</v>
      </c>
      <c r="K129" s="95" t="str">
        <f t="shared" si="1"/>
        <v>FFFFFF</v>
      </c>
    </row>
    <row r="130" spans="1:11" x14ac:dyDescent="0.25">
      <c r="A130" s="32">
        <v>79</v>
      </c>
      <c r="B130" s="32">
        <v>0</v>
      </c>
      <c r="C130" s="32">
        <v>0</v>
      </c>
      <c r="D130" s="144">
        <f ca="1">OFFSET(Attributes!$A$1,MATCH(Rare!$A130,Attributes!$A:$A,0)-1,MATCH("Type",Attributes!$1:$1,0)-1)</f>
        <v>3</v>
      </c>
      <c r="E130" s="144" t="str">
        <f ca="1">IFERROR(OFFSET(Attributes!$A$1,MATCH(Rare!$A130,Attributes!$A:$A,0)-1,MATCH("Abbr",Attributes!$1:$1,0)-1),"")</f>
        <v>PL_SHOCK</v>
      </c>
      <c r="F130" s="84" t="str">
        <f ca="1">SUBSTITUTE(OFFSET(Attributes!$A$1,MATCH($A130,Attributes!$A:$A,0)-1,MATCH("Attr CN",Attributes!$1:$1,0)-1),"#",$B130*$B$1&amp;"-"&amp;$C130*$B$1)</f>
        <v>神圣震击一定能造成极效治疗0-0</v>
      </c>
      <c r="G130" s="129" t="str">
        <f ca="1">SUBSTITUTE(OFFSET(Attributes!$A$1,MATCH($A130,Attributes!$A:$A,0)-1,MATCH("Attr EN",Attributes!$1:$1,0)-1),"#",$B130*$B$1&amp;"-"&amp;$C130*$B$1)</f>
        <v>Holy Shock always deals critical healing0-0</v>
      </c>
      <c r="H130" s="33"/>
      <c r="I130" s="33"/>
      <c r="J130" s="35" t="s">
        <v>571</v>
      </c>
      <c r="K130" s="95" t="str">
        <f t="shared" si="1"/>
        <v>87CEEB</v>
      </c>
    </row>
    <row r="131" spans="1:11" x14ac:dyDescent="0.25">
      <c r="A131" s="32">
        <v>91</v>
      </c>
      <c r="B131" s="32">
        <v>0</v>
      </c>
      <c r="C131" s="32">
        <v>0</v>
      </c>
      <c r="D131" s="144">
        <f ca="1">OFFSET(Attributes!$A$1,MATCH(Rare!$A131,Attributes!$A:$A,0)-1,MATCH("Type",Attributes!$1:$1,0)-1)</f>
        <v>3</v>
      </c>
      <c r="E131" s="144" t="str">
        <f ca="1">IFERROR(OFFSET(Attributes!$A$1,MATCH(Rare!$A131,Attributes!$A:$A,0)-1,MATCH("Abbr",Attributes!$1:$1,0)-1),"")</f>
        <v>PL_LIGHT</v>
      </c>
      <c r="F131" s="84" t="str">
        <f ca="1">SUBSTITUTE(OFFSET(Attributes!$A$1,MATCH($A131,Attributes!$A:$A,0)-1,MATCH("Attr CN",Attributes!$1:$1,0)-1),"#",$B131*$B$1&amp;"-"&amp;$C131*$B$1)</f>
        <v>闪耀之光可以驱散一个有害的法术效果0-0</v>
      </c>
      <c r="G131" s="129" t="str">
        <f ca="1">SUBSTITUTE(OFFSET(Attributes!$A$1,MATCH($A131,Attributes!$A:$A,0)-1,MATCH("Attr EN",Attributes!$1:$1,0)-1),"#",$B131*$B$1&amp;"-"&amp;$C131*$B$1)</f>
        <v>Flash Light dispels one debuff from target0-0</v>
      </c>
      <c r="H131" s="41"/>
      <c r="I131" s="41"/>
      <c r="J131" s="35" t="s">
        <v>571</v>
      </c>
      <c r="K131" s="95" t="str">
        <f t="shared" si="1"/>
        <v>87CEEB</v>
      </c>
    </row>
    <row r="132" spans="1:11" x14ac:dyDescent="0.25">
      <c r="E132" s="144" t="str">
        <f ca="1">IFERROR(OFFSET(Attributes!$A$1,MATCH(Rare!$A132,Attributes!$A:$A,0)-1,MATCH("Abbr",Attributes!$1:$1,0)-1),"")</f>
        <v/>
      </c>
      <c r="F132" s="88" t="s">
        <v>30</v>
      </c>
      <c r="G132" s="98" t="s">
        <v>600</v>
      </c>
      <c r="H132" s="33"/>
      <c r="I132" s="33"/>
      <c r="J132" s="35" t="s">
        <v>571</v>
      </c>
      <c r="K132" s="95" t="str">
        <f t="shared" ref="K132:K195" si="2">GetCellColorHEX(G132)</f>
        <v>FFDEAD</v>
      </c>
    </row>
    <row r="133" spans="1:11" x14ac:dyDescent="0.25">
      <c r="E133" s="144" t="str">
        <f ca="1">IFERROR(OFFSET(Attributes!$A$1,MATCH(Rare!$A133,Attributes!$A:$A,0)-1,MATCH("Abbr",Attributes!$1:$1,0)-1),"")</f>
        <v/>
      </c>
      <c r="F133" s="106"/>
      <c r="G133" s="127"/>
      <c r="H133" s="33"/>
      <c r="I133" s="33"/>
      <c r="J133" s="35" t="s">
        <v>571</v>
      </c>
      <c r="K133" s="95" t="str">
        <f t="shared" si="2"/>
        <v>9900FF</v>
      </c>
    </row>
    <row r="134" spans="1:11" x14ac:dyDescent="0.25">
      <c r="E134" s="144" t="str">
        <f ca="1">IFERROR(OFFSET(Attributes!$A$1,MATCH(Rare!$A134,Attributes!$A:$A,0)-1,MATCH("Abbr",Attributes!$1:$1,0)-1),"")</f>
        <v/>
      </c>
      <c r="F134" s="103" t="s">
        <v>31</v>
      </c>
      <c r="G134" s="124" t="s">
        <v>601</v>
      </c>
      <c r="H134" s="32" t="str">
        <f>FormatItemName(F134)</f>
        <v>|CFF8B66FF祈福|R</v>
      </c>
      <c r="I134" s="32" t="str">
        <f>FormatItemName(G134)</f>
        <v>|CFF8B66FFBenediction|R</v>
      </c>
      <c r="J134" s="35" t="s">
        <v>571</v>
      </c>
      <c r="K134" s="95" t="str">
        <f t="shared" si="2"/>
        <v>8B66FF</v>
      </c>
    </row>
    <row r="135" spans="1:11" x14ac:dyDescent="0.25">
      <c r="A135" s="32">
        <v>14</v>
      </c>
      <c r="B135" s="32">
        <v>6</v>
      </c>
      <c r="C135" s="32">
        <v>8</v>
      </c>
      <c r="D135" s="144">
        <f ca="1">OFFSET(Attributes!$A$1,MATCH(Rare!$A135,Attributes!$A:$A,0)-1,MATCH("Type",Attributes!$1:$1,0)-1)</f>
        <v>1</v>
      </c>
      <c r="E135" s="144" t="str">
        <f ca="1">IFERROR(OFFSET(Attributes!$A$1,MATCH(Rare!$A135,Attributes!$A:$A,0)-1,MATCH("Abbr",Attributes!$1:$1,0)-1),"")</f>
        <v>INT</v>
      </c>
      <c r="F135" s="84" t="str">
        <f ca="1">SUBSTITUTE(OFFSET(Attributes!$A$1,MATCH($A135,Attributes!$A:$A,0)-1,MATCH("Attr CN",Attributes!$1:$1,0)-1),"#",$B135*$B$1&amp;"-"&amp;$C135*$B$1)</f>
        <v>+18-24智力</v>
      </c>
      <c r="G135" s="97" t="str">
        <f ca="1">SUBSTITUTE(OFFSET(Attributes!$A$1,MATCH($A135,Attributes!$A:$A,0)-1,MATCH("Attr EN",Attributes!$1:$1,0)-1),"#",$B135*$B$1&amp;"-"&amp;$C135*$B$1)</f>
        <v>+18-24 Intelligence</v>
      </c>
      <c r="H135" s="32" t="str">
        <f ca="1">FormatItemDescription(F134:F141)</f>
        <v>|CFF8B66FFRare|R|N+18-24智力|N+180-225生命上限|N+24-48法术强度|N每秒回复9-18点法力值|N治疗祷言可以提升目标12-18点护甲|N移除护盾术造成的虚弱效果0-0|N|N|CFFFFDEAD在光的背后，是阴影。|R</v>
      </c>
      <c r="I135" s="32" t="str">
        <f ca="1">FormatItemDescription(G134:G141)</f>
        <v>|CFF8B66FFRare|R|N+18-24 Intelligence|N+180-225 Max HP|N+24-48 Spell power|NRegens 9-18 MP per second|N|CFF33FF33Prayer of healing increases armor of target by 12-18|R|N|CFF87CEEBRemoves weakness effect of Shield0-0|R|N|N|CFFFFDEADBehind the light, it's shadow.|R</v>
      </c>
      <c r="J135" s="35" t="s">
        <v>571</v>
      </c>
      <c r="K135" s="95" t="str">
        <f t="shared" si="2"/>
        <v>FFFFFF</v>
      </c>
    </row>
    <row r="136" spans="1:11" x14ac:dyDescent="0.25">
      <c r="A136" s="32">
        <v>21</v>
      </c>
      <c r="B136" s="32">
        <v>60</v>
      </c>
      <c r="C136" s="32">
        <v>75</v>
      </c>
      <c r="D136" s="144">
        <f ca="1">OFFSET(Attributes!$A$1,MATCH(Rare!$A136,Attributes!$A:$A,0)-1,MATCH("Type",Attributes!$1:$1,0)-1)</f>
        <v>1</v>
      </c>
      <c r="E136" s="144" t="str">
        <f ca="1">IFERROR(OFFSET(Attributes!$A$1,MATCH(Rare!$A136,Attributes!$A:$A,0)-1,MATCH("Abbr",Attributes!$1:$1,0)-1),"")</f>
        <v>HP</v>
      </c>
      <c r="F136" s="84" t="str">
        <f ca="1">SUBSTITUTE(OFFSET(Attributes!$A$1,MATCH($A136,Attributes!$A:$A,0)-1,MATCH("Attr CN",Attributes!$1:$1,0)-1),"#",$B136*$B$1&amp;"-"&amp;$C136*$B$1)</f>
        <v>+180-225生命上限</v>
      </c>
      <c r="G136" s="97" t="str">
        <f ca="1">SUBSTITUTE(OFFSET(Attributes!$A$1,MATCH($A136,Attributes!$A:$A,0)-1,MATCH("Attr EN",Attributes!$1:$1,0)-1),"#",$B136*$B$1&amp;"-"&amp;$C136*$B$1)</f>
        <v>+180-225 Max HP</v>
      </c>
      <c r="H136" s="32" t="str">
        <f ca="1">FormatItemUbertip(F135:F141)</f>
        <v>+18-24智力|N+180-225生命上限|N+24-48法术强度|N每秒回复9-18点法力值|N治疗祷言可以提升目标12-18点护甲|N移除护盾术造成的虚弱效果0-0|N|N|CFFFFDEAD在光的背后，是阴影。|R</v>
      </c>
      <c r="I136" s="32" t="str">
        <f ca="1">FormatItemUbertip(G135:G141)</f>
        <v>+18-24 Intelligence|N+180-225 Max HP|N+24-48 Spell power|NRegens 9-18 MP per second|N|CFF33FF33Prayer of healing increases armor of target by 12-18|R|N|CFF87CEEBRemoves weakness effect of Shield0-0|R|N|N|CFFFFDEADBehind the light, it's shadow.|R</v>
      </c>
      <c r="J136" s="35" t="s">
        <v>571</v>
      </c>
      <c r="K136" s="95" t="str">
        <f t="shared" si="2"/>
        <v>FFFFFF</v>
      </c>
    </row>
    <row r="137" spans="1:11" x14ac:dyDescent="0.25">
      <c r="A137" s="32">
        <v>18</v>
      </c>
      <c r="B137" s="32">
        <v>8</v>
      </c>
      <c r="C137" s="32">
        <v>16</v>
      </c>
      <c r="D137" s="144">
        <f ca="1">OFFSET(Attributes!$A$1,MATCH(Rare!$A137,Attributes!$A:$A,0)-1,MATCH("Type",Attributes!$1:$1,0)-1)</f>
        <v>1</v>
      </c>
      <c r="E137" s="144" t="str">
        <f ca="1">IFERROR(OFFSET(Attributes!$A$1,MATCH(Rare!$A137,Attributes!$A:$A,0)-1,MATCH("Abbr",Attributes!$1:$1,0)-1),"")</f>
        <v>SP</v>
      </c>
      <c r="F137" s="84" t="str">
        <f ca="1">SUBSTITUTE(OFFSET(Attributes!$A$1,MATCH($A137,Attributes!$A:$A,0)-1,MATCH("Attr CN",Attributes!$1:$1,0)-1),"#",$B137*$B$1&amp;"-"&amp;$C137*$B$1)</f>
        <v>+24-48法术强度</v>
      </c>
      <c r="G137" s="97" t="str">
        <f ca="1">SUBSTITUTE(OFFSET(Attributes!$A$1,MATCH($A137,Attributes!$A:$A,0)-1,MATCH("Attr EN",Attributes!$1:$1,0)-1),"#",$B137*$B$1&amp;"-"&amp;$C137*$B$1)</f>
        <v>+24-48 Spell power</v>
      </c>
      <c r="H137" s="33"/>
      <c r="I137" s="33"/>
      <c r="J137" s="35" t="s">
        <v>571</v>
      </c>
      <c r="K137" s="95" t="str">
        <f t="shared" si="2"/>
        <v>FFFFFF</v>
      </c>
    </row>
    <row r="138" spans="1:11" x14ac:dyDescent="0.25">
      <c r="A138" s="32">
        <v>72</v>
      </c>
      <c r="B138" s="32">
        <v>3</v>
      </c>
      <c r="C138" s="32">
        <v>6</v>
      </c>
      <c r="D138" s="144">
        <f ca="1">OFFSET(Attributes!$A$1,MATCH(Rare!$A138,Attributes!$A:$A,0)-1,MATCH("Type",Attributes!$1:$1,0)-1)</f>
        <v>1</v>
      </c>
      <c r="E138" s="144" t="str">
        <f ca="1">IFERROR(OFFSET(Attributes!$A$1,MATCH(Rare!$A138,Attributes!$A:$A,0)-1,MATCH("Abbr",Attributes!$1:$1,0)-1),"")</f>
        <v>MREG</v>
      </c>
      <c r="F138" s="84" t="str">
        <f ca="1">SUBSTITUTE(OFFSET(Attributes!$A$1,MATCH($A138,Attributes!$A:$A,0)-1,MATCH("Attr CN",Attributes!$1:$1,0)-1),"#",$B138*$B$1&amp;"-"&amp;$C138*$B$1)</f>
        <v>每秒回复9-18点法力值</v>
      </c>
      <c r="G138" s="97" t="str">
        <f ca="1">SUBSTITUTE(OFFSET(Attributes!$A$1,MATCH($A138,Attributes!$A:$A,0)-1,MATCH("Attr EN",Attributes!$1:$1,0)-1),"#",$B138*$B$1&amp;"-"&amp;$C138*$B$1)</f>
        <v>Regens 9-18 MP per second</v>
      </c>
      <c r="H138" s="33"/>
      <c r="I138" s="33"/>
      <c r="J138" s="35" t="s">
        <v>571</v>
      </c>
      <c r="K138" s="95" t="str">
        <f t="shared" si="2"/>
        <v>FFFFFF</v>
      </c>
    </row>
    <row r="139" spans="1:11" ht="28.5" x14ac:dyDescent="0.25">
      <c r="A139" s="32">
        <v>76</v>
      </c>
      <c r="B139" s="32">
        <v>4</v>
      </c>
      <c r="C139" s="32">
        <v>6</v>
      </c>
      <c r="D139" s="144">
        <f ca="1">OFFSET(Attributes!$A$1,MATCH(Rare!$A139,Attributes!$A:$A,0)-1,MATCH("Type",Attributes!$1:$1,0)-1)</f>
        <v>2</v>
      </c>
      <c r="E139" s="144" t="str">
        <f ca="1">IFERROR(OFFSET(Attributes!$A$1,MATCH(Rare!$A139,Attributes!$A:$A,0)-1,MATCH("Abbr",Attributes!$1:$1,0)-1),"")</f>
        <v>PR_POHDEF</v>
      </c>
      <c r="F139" s="84" t="str">
        <f ca="1">SUBSTITUTE(OFFSET(Attributes!$A$1,MATCH($A139,Attributes!$A:$A,0)-1,MATCH("Attr CN",Attributes!$1:$1,0)-1),"#",$B139*$B$1&amp;"-"&amp;$C139*$B$1)</f>
        <v>治疗祷言可以提升目标12-18点护甲</v>
      </c>
      <c r="G139" s="128" t="str">
        <f ca="1">SUBSTITUTE(OFFSET(Attributes!$A$1,MATCH($A139,Attributes!$A:$A,0)-1,MATCH("Attr EN",Attributes!$1:$1,0)-1),"#",$B139*$B$1&amp;"-"&amp;$C139*$B$1)</f>
        <v>Prayer of healing increases armor of target by 12-18</v>
      </c>
      <c r="H139" s="33"/>
      <c r="I139" s="33"/>
      <c r="J139" s="35" t="s">
        <v>571</v>
      </c>
      <c r="K139" s="95" t="str">
        <f t="shared" si="2"/>
        <v>33FF33</v>
      </c>
    </row>
    <row r="140" spans="1:11" x14ac:dyDescent="0.25">
      <c r="A140" s="32">
        <v>80</v>
      </c>
      <c r="B140" s="32">
        <v>0</v>
      </c>
      <c r="C140" s="32">
        <v>0</v>
      </c>
      <c r="D140" s="144">
        <f ca="1">OFFSET(Attributes!$A$1,MATCH(Rare!$A140,Attributes!$A:$A,0)-1,MATCH("Type",Attributes!$1:$1,0)-1)</f>
        <v>3</v>
      </c>
      <c r="E140" s="144" t="str">
        <f ca="1">IFERROR(OFFSET(Attributes!$A$1,MATCH(Rare!$A140,Attributes!$A:$A,0)-1,MATCH("Abbr",Attributes!$1:$1,0)-1),"")</f>
        <v>PR_SHIELD</v>
      </c>
      <c r="F140" s="84" t="str">
        <f ca="1">SUBSTITUTE(OFFSET(Attributes!$A$1,MATCH($A140,Attributes!$A:$A,0)-1,MATCH("Attr CN",Attributes!$1:$1,0)-1),"#",$B140*$B$1&amp;"-"&amp;$C140*$B$1)</f>
        <v>移除护盾术造成的虚弱效果0-0</v>
      </c>
      <c r="G140" s="129" t="str">
        <f ca="1">SUBSTITUTE(OFFSET(Attributes!$A$1,MATCH($A140,Attributes!$A:$A,0)-1,MATCH("Attr EN",Attributes!$1:$1,0)-1),"#",$B140*$B$1&amp;"-"&amp;$C140*$B$1)</f>
        <v>Removes weakness effect of Shield0-0</v>
      </c>
      <c r="H140" s="41"/>
      <c r="I140" s="41"/>
      <c r="J140" s="35" t="s">
        <v>571</v>
      </c>
      <c r="K140" s="95" t="str">
        <f t="shared" si="2"/>
        <v>87CEEB</v>
      </c>
    </row>
    <row r="141" spans="1:11" x14ac:dyDescent="0.25">
      <c r="E141" s="144" t="str">
        <f ca="1">IFERROR(OFFSET(Attributes!$A$1,MATCH(Rare!$A141,Attributes!$A:$A,0)-1,MATCH("Abbr",Attributes!$1:$1,0)-1),"")</f>
        <v/>
      </c>
      <c r="F141" s="88" t="s">
        <v>32</v>
      </c>
      <c r="G141" s="98" t="s">
        <v>602</v>
      </c>
      <c r="H141" s="33"/>
      <c r="I141" s="33"/>
      <c r="J141" s="35" t="s">
        <v>571</v>
      </c>
      <c r="K141" s="95" t="str">
        <f t="shared" si="2"/>
        <v>FFDEAD</v>
      </c>
    </row>
    <row r="142" spans="1:11" x14ac:dyDescent="0.25">
      <c r="E142" s="144" t="str">
        <f ca="1">IFERROR(OFFSET(Attributes!$A$1,MATCH(Rare!$A142,Attributes!$A:$A,0)-1,MATCH("Abbr",Attributes!$1:$1,0)-1),"")</f>
        <v/>
      </c>
      <c r="F142" s="106"/>
      <c r="G142" s="127"/>
      <c r="H142" s="33"/>
      <c r="I142" s="33"/>
      <c r="J142" s="35" t="s">
        <v>571</v>
      </c>
      <c r="K142" s="95" t="str">
        <f t="shared" si="2"/>
        <v>9900FF</v>
      </c>
    </row>
    <row r="143" spans="1:11" x14ac:dyDescent="0.25">
      <c r="E143" s="144" t="str">
        <f ca="1">IFERROR(OFFSET(Attributes!$A$1,MATCH(Rare!$A143,Attributes!$A:$A,0)-1,MATCH("Abbr",Attributes!$1:$1,0)-1),"")</f>
        <v/>
      </c>
      <c r="F143" s="103" t="s">
        <v>33</v>
      </c>
      <c r="G143" s="124" t="s">
        <v>603</v>
      </c>
      <c r="H143" s="32" t="str">
        <f>FormatItemName(F143)</f>
        <v>|CFF8B66FF塞纳留斯的号角|R</v>
      </c>
      <c r="I143" s="32" t="str">
        <f>FormatItemName(G143)</f>
        <v>|CFF8B66FFHorn of Cenarius|R</v>
      </c>
      <c r="J143" s="35" t="s">
        <v>571</v>
      </c>
      <c r="K143" s="95" t="str">
        <f t="shared" si="2"/>
        <v>8B66FF</v>
      </c>
    </row>
    <row r="144" spans="1:11" x14ac:dyDescent="0.25">
      <c r="A144" s="32">
        <v>7</v>
      </c>
      <c r="B144" s="32">
        <v>4</v>
      </c>
      <c r="C144" s="32">
        <v>5</v>
      </c>
      <c r="D144" s="144">
        <f ca="1">OFFSET(Attributes!$A$1,MATCH(Rare!$A144,Attributes!$A:$A,0)-1,MATCH("Type",Attributes!$1:$1,0)-1)</f>
        <v>1</v>
      </c>
      <c r="E144" s="144" t="str">
        <f ca="1">IFERROR(OFFSET(Attributes!$A$1,MATCH(Rare!$A144,Attributes!$A:$A,0)-1,MATCH("Abbr",Attributes!$1:$1,0)-1),"")</f>
        <v>ALLSTAT</v>
      </c>
      <c r="F144" s="84" t="str">
        <f ca="1">SUBSTITUTE(OFFSET(Attributes!$A$1,MATCH($A144,Attributes!$A:$A,0)-1,MATCH("Attr CN",Attributes!$1:$1,0)-1),"#",$B144*$B$1&amp;"-"&amp;$C144*$B$1)</f>
        <v>+12-15所有属性</v>
      </c>
      <c r="G144" s="97" t="str">
        <f ca="1">SUBSTITUTE(OFFSET(Attributes!$A$1,MATCH($A144,Attributes!$A:$A,0)-1,MATCH("Attr EN",Attributes!$1:$1,0)-1),"#",$B144*$B$1&amp;"-"&amp;$C144*$B$1)</f>
        <v>+12-15 All stats</v>
      </c>
      <c r="H144" s="32" t="str">
        <f ca="1">FormatItemDescription(F143:F149)</f>
        <v>|CFF8B66FFRare|R|N+12-15所有属性|N+150-240生命上限|N+240-390法力上限|N+30-42法术强度|N愈合的瞬发效果的冷却时间缩短9-14.1秒|N|N|CFFFFDEAD这个暗夜精灵族的神器据说能召唤来所有暗夜精灵的灵魂。|R</v>
      </c>
      <c r="I144" s="32" t="str">
        <f ca="1">FormatItemDescription(G143:G149)</f>
        <v>|CFF8B66FFRare|R|N+12-15 All stats|N+150-240 Max HP|N+240-390 Max MP|N+30-42 Spell power|N|CFF11FF11Reduce cooldown of Instant Regrowth by 9-14.1 seconds (unique)|R|N|N|CFFFFDEADThis Night Elf artifact is said to be able to summon the souls of all night elves.|R</v>
      </c>
      <c r="J144" s="35" t="s">
        <v>571</v>
      </c>
      <c r="K144" s="95" t="str">
        <f t="shared" si="2"/>
        <v>FFFFFF</v>
      </c>
    </row>
    <row r="145" spans="1:11" x14ac:dyDescent="0.25">
      <c r="A145" s="32">
        <v>21</v>
      </c>
      <c r="B145" s="32">
        <v>50</v>
      </c>
      <c r="C145" s="32">
        <v>80</v>
      </c>
      <c r="D145" s="144">
        <f ca="1">OFFSET(Attributes!$A$1,MATCH(Rare!$A145,Attributes!$A:$A,0)-1,MATCH("Type",Attributes!$1:$1,0)-1)</f>
        <v>1</v>
      </c>
      <c r="E145" s="144" t="str">
        <f ca="1">IFERROR(OFFSET(Attributes!$A$1,MATCH(Rare!$A145,Attributes!$A:$A,0)-1,MATCH("Abbr",Attributes!$1:$1,0)-1),"")</f>
        <v>HP</v>
      </c>
      <c r="F145" s="84" t="str">
        <f ca="1">SUBSTITUTE(OFFSET(Attributes!$A$1,MATCH($A145,Attributes!$A:$A,0)-1,MATCH("Attr CN",Attributes!$1:$1,0)-1),"#",$B145*$B$1&amp;"-"&amp;$C145*$B$1)</f>
        <v>+150-240生命上限</v>
      </c>
      <c r="G145" s="97" t="str">
        <f ca="1">SUBSTITUTE(OFFSET(Attributes!$A$1,MATCH($A145,Attributes!$A:$A,0)-1,MATCH("Attr EN",Attributes!$1:$1,0)-1),"#",$B145*$B$1&amp;"-"&amp;$C145*$B$1)</f>
        <v>+150-240 Max HP</v>
      </c>
      <c r="H145" s="32" t="str">
        <f ca="1">FormatItemUbertip(F144:F149)</f>
        <v>+12-15所有属性|N+150-240生命上限|N+240-390法力上限|N+30-42法术强度|N愈合的瞬发效果的冷却时间缩短9-14.1秒|N|N|CFFFFDEAD这个暗夜精灵族的神器据说能召唤来所有暗夜精灵的灵魂。|R</v>
      </c>
      <c r="I145" s="32" t="str">
        <f ca="1">FormatItemUbertip(G144:G149)</f>
        <v>+12-15 All stats|N+150-240 Max HP|N+240-390 Max MP|N+30-42 Spell power|N|CFF11FF11Reduce cooldown of Instant Regrowth by 9-14.1 seconds (unique)|R|N|N|CFFFFDEADThis Night Elf artifact is said to be able to summon the souls of all night elves.|R</v>
      </c>
      <c r="J145" s="35" t="s">
        <v>571</v>
      </c>
      <c r="K145" s="95" t="str">
        <f t="shared" si="2"/>
        <v>FFFFFF</v>
      </c>
    </row>
    <row r="146" spans="1:11" x14ac:dyDescent="0.25">
      <c r="A146" s="32">
        <v>17</v>
      </c>
      <c r="B146" s="32">
        <v>80</v>
      </c>
      <c r="C146" s="32">
        <v>130</v>
      </c>
      <c r="D146" s="144">
        <f ca="1">OFFSET(Attributes!$A$1,MATCH(Rare!$A146,Attributes!$A:$A,0)-1,MATCH("Type",Attributes!$1:$1,0)-1)</f>
        <v>1</v>
      </c>
      <c r="E146" s="144" t="str">
        <f ca="1">IFERROR(OFFSET(Attributes!$A$1,MATCH(Rare!$A146,Attributes!$A:$A,0)-1,MATCH("Abbr",Attributes!$1:$1,0)-1),"")</f>
        <v>MP</v>
      </c>
      <c r="F146" s="84" t="str">
        <f ca="1">SUBSTITUTE(OFFSET(Attributes!$A$1,MATCH($A146,Attributes!$A:$A,0)-1,MATCH("Attr CN",Attributes!$1:$1,0)-1),"#",$B146*$B$1&amp;"-"&amp;$C146*$B$1)</f>
        <v>+240-390法力上限</v>
      </c>
      <c r="G146" s="97" t="str">
        <f ca="1">SUBSTITUTE(OFFSET(Attributes!$A$1,MATCH($A146,Attributes!$A:$A,0)-1,MATCH("Attr EN",Attributes!$1:$1,0)-1),"#",$B146*$B$1&amp;"-"&amp;$C146*$B$1)</f>
        <v>+240-390 Max MP</v>
      </c>
      <c r="H146" s="33"/>
      <c r="I146" s="33"/>
      <c r="J146" s="35" t="s">
        <v>571</v>
      </c>
      <c r="K146" s="95" t="str">
        <f t="shared" si="2"/>
        <v>FFFFFF</v>
      </c>
    </row>
    <row r="147" spans="1:11" x14ac:dyDescent="0.25">
      <c r="A147" s="32">
        <v>18</v>
      </c>
      <c r="B147" s="32">
        <v>10</v>
      </c>
      <c r="C147" s="32">
        <v>14</v>
      </c>
      <c r="D147" s="144">
        <f ca="1">OFFSET(Attributes!$A$1,MATCH(Rare!$A147,Attributes!$A:$A,0)-1,MATCH("Type",Attributes!$1:$1,0)-1)</f>
        <v>1</v>
      </c>
      <c r="E147" s="144" t="str">
        <f ca="1">IFERROR(OFFSET(Attributes!$A$1,MATCH(Rare!$A147,Attributes!$A:$A,0)-1,MATCH("Abbr",Attributes!$1:$1,0)-1),"")</f>
        <v>SP</v>
      </c>
      <c r="F147" s="84" t="str">
        <f ca="1">SUBSTITUTE(OFFSET(Attributes!$A$1,MATCH($A147,Attributes!$A:$A,0)-1,MATCH("Attr CN",Attributes!$1:$1,0)-1),"#",$B147*$B$1&amp;"-"&amp;$C147*$B$1)</f>
        <v>+30-42法术强度</v>
      </c>
      <c r="G147" s="97" t="str">
        <f ca="1">SUBSTITUTE(OFFSET(Attributes!$A$1,MATCH($A147,Attributes!$A:$A,0)-1,MATCH("Attr EN",Attributes!$1:$1,0)-1),"#",$B147*$B$1&amp;"-"&amp;$C147*$B$1)</f>
        <v>+30-42 Spell power</v>
      </c>
      <c r="H147" s="33"/>
      <c r="I147" s="33"/>
      <c r="J147" s="35" t="s">
        <v>571</v>
      </c>
      <c r="K147" s="95" t="str">
        <f t="shared" si="2"/>
        <v>FFFFFF</v>
      </c>
    </row>
    <row r="148" spans="1:11" ht="28.5" x14ac:dyDescent="0.25">
      <c r="A148" s="32">
        <v>69</v>
      </c>
      <c r="B148" s="32">
        <v>3</v>
      </c>
      <c r="C148" s="32">
        <v>4.7</v>
      </c>
      <c r="D148" s="144">
        <f ca="1">OFFSET(Attributes!$A$1,MATCH(Rare!$A148,Attributes!$A:$A,0)-1,MATCH("Type",Attributes!$1:$1,0)-1)</f>
        <v>2</v>
      </c>
      <c r="E148" s="144" t="str">
        <f ca="1">IFERROR(OFFSET(Attributes!$A$1,MATCH(Rare!$A148,Attributes!$A:$A,0)-1,MATCH("Abbr",Attributes!$1:$1,0)-1),"")</f>
        <v>KG_REGRCD</v>
      </c>
      <c r="F148" s="84" t="str">
        <f ca="1">SUBSTITUTE(OFFSET(Attributes!$A$1,MATCH($A148,Attributes!$A:$A,0)-1,MATCH("Attr CN",Attributes!$1:$1,0)-1),"#",$B148*$B$1&amp;"-"&amp;$C148*$B$1)</f>
        <v>愈合的瞬发效果的冷却时间缩短9-14.1秒</v>
      </c>
      <c r="G148" s="130" t="str">
        <f ca="1">SUBSTITUTE(OFFSET(Attributes!$A$1,MATCH($A148,Attributes!$A:$A,0)-1,MATCH("Attr EN",Attributes!$1:$1,0)-1),"#",$B148*$B$1&amp;"-"&amp;$C148*$B$1)</f>
        <v>Reduce cooldown of Instant Regrowth by 9-14.1 seconds (unique)</v>
      </c>
      <c r="H148" s="33"/>
      <c r="I148" s="33"/>
      <c r="J148" s="35" t="s">
        <v>571</v>
      </c>
      <c r="K148" s="95" t="str">
        <f t="shared" si="2"/>
        <v>11FF11</v>
      </c>
    </row>
    <row r="149" spans="1:11" ht="28.5" x14ac:dyDescent="0.25">
      <c r="E149" s="144" t="str">
        <f ca="1">IFERROR(OFFSET(Attributes!$A$1,MATCH(Rare!$A149,Attributes!$A:$A,0)-1,MATCH("Abbr",Attributes!$1:$1,0)-1),"")</f>
        <v/>
      </c>
      <c r="F149" s="88" t="s">
        <v>34</v>
      </c>
      <c r="G149" s="98" t="s">
        <v>604</v>
      </c>
      <c r="H149" s="34"/>
      <c r="I149" s="34"/>
      <c r="J149" s="35" t="s">
        <v>571</v>
      </c>
      <c r="K149" s="95" t="str">
        <f t="shared" si="2"/>
        <v>FFDEAD</v>
      </c>
    </row>
    <row r="150" spans="1:11" x14ac:dyDescent="0.25">
      <c r="E150" s="144" t="str">
        <f ca="1">IFERROR(OFFSET(Attributes!$A$1,MATCH(Rare!$A150,Attributes!$A:$A,0)-1,MATCH("Abbr",Attributes!$1:$1,0)-1),"")</f>
        <v/>
      </c>
      <c r="F150" s="106"/>
      <c r="G150" s="127"/>
      <c r="H150" s="33"/>
      <c r="I150" s="33"/>
      <c r="J150" s="35" t="s">
        <v>571</v>
      </c>
      <c r="K150" s="95" t="str">
        <f t="shared" si="2"/>
        <v>9900FF</v>
      </c>
    </row>
    <row r="151" spans="1:11" x14ac:dyDescent="0.25">
      <c r="E151" s="144" t="str">
        <f ca="1">IFERROR(OFFSET(Attributes!$A$1,MATCH(Rare!$A151,Attributes!$A:$A,0)-1,MATCH("Abbr",Attributes!$1:$1,0)-1),"")</f>
        <v/>
      </c>
      <c r="F151" s="103" t="s">
        <v>35</v>
      </c>
      <c r="G151" s="124" t="s">
        <v>605</v>
      </c>
      <c r="H151" s="32" t="str">
        <f>FormatItemName(F151)</f>
        <v>|CFF8B66FF部落旗帜|R</v>
      </c>
      <c r="I151" s="32" t="str">
        <f>FormatItemName(G151)</f>
        <v>|CFF8B66FFBanner of the Horde|R</v>
      </c>
      <c r="J151" s="35" t="s">
        <v>571</v>
      </c>
      <c r="K151" s="95" t="str">
        <f t="shared" si="2"/>
        <v>8B66FF</v>
      </c>
    </row>
    <row r="152" spans="1:11" x14ac:dyDescent="0.25">
      <c r="A152" s="32">
        <v>4</v>
      </c>
      <c r="B152" s="32">
        <v>6</v>
      </c>
      <c r="C152" s="32">
        <v>8</v>
      </c>
      <c r="D152" s="144">
        <f ca="1">OFFSET(Attributes!$A$1,MATCH(Rare!$A152,Attributes!$A:$A,0)-1,MATCH("Type",Attributes!$1:$1,0)-1)</f>
        <v>1</v>
      </c>
      <c r="E152" s="144" t="str">
        <f ca="1">IFERROR(OFFSET(Attributes!$A$1,MATCH(Rare!$A152,Attributes!$A:$A,0)-1,MATCH("Abbr",Attributes!$1:$1,0)-1),"")</f>
        <v>STR</v>
      </c>
      <c r="F152" s="84" t="str">
        <f ca="1">SUBSTITUTE(OFFSET(Attributes!$A$1,MATCH($A152,Attributes!$A:$A,0)-1,MATCH("Attr CN",Attributes!$1:$1,0)-1),"#",$B152*$B$1&amp;"-"&amp;$C152*$B$1)</f>
        <v>+18-24力量</v>
      </c>
      <c r="G152" s="97" t="str">
        <f ca="1">SUBSTITUTE(OFFSET(Attributes!$A$1,MATCH($A152,Attributes!$A:$A,0)-1,MATCH("Attr EN",Attributes!$1:$1,0)-1),"#",$B152*$B$1&amp;"-"&amp;$C152*$B$1)</f>
        <v>+18-24 Strength</v>
      </c>
      <c r="H152" s="32" t="str">
        <f ca="1">FormatItemDescription(F151:F157)</f>
        <v>|CFF8B66FFRare|R|N+18-24力量|N+18-24敏捷|N+30-36攻击强度|N+9-12攻击暴击|N勇气点数的获取速度提升1.2-1.8|N|N|CFFFFDEAD带着部落的荣耀，斩下入侵者的头颅。|R</v>
      </c>
      <c r="I152" s="32" t="str">
        <f ca="1">FormatItemDescription(G151:G157)</f>
        <v>|CFF8B66FFRare|R|N+18-24 Strength|N+18-24 Agility|N+30-36 Attack power|N+9-12 Attack critical|N|CFF11FF11Regenerates 1.2-1.8 more valor points|R|N|N|CFFFFDEADWith the tribal glory, the head of the enemies were left behind.|R</v>
      </c>
      <c r="J152" s="35" t="s">
        <v>571</v>
      </c>
      <c r="K152" s="95" t="str">
        <f t="shared" si="2"/>
        <v>FFFFFF</v>
      </c>
    </row>
    <row r="153" spans="1:11" x14ac:dyDescent="0.25">
      <c r="A153" s="32">
        <v>13</v>
      </c>
      <c r="B153" s="32">
        <v>6</v>
      </c>
      <c r="C153" s="32">
        <v>8</v>
      </c>
      <c r="D153" s="144">
        <f ca="1">OFFSET(Attributes!$A$1,MATCH(Rare!$A153,Attributes!$A:$A,0)-1,MATCH("Type",Attributes!$1:$1,0)-1)</f>
        <v>1</v>
      </c>
      <c r="E153" s="144" t="str">
        <f ca="1">IFERROR(OFFSET(Attributes!$A$1,MATCH(Rare!$A153,Attributes!$A:$A,0)-1,MATCH("Abbr",Attributes!$1:$1,0)-1),"")</f>
        <v>AGI</v>
      </c>
      <c r="F153" s="84" t="str">
        <f ca="1">SUBSTITUTE(OFFSET(Attributes!$A$1,MATCH($A153,Attributes!$A:$A,0)-1,MATCH("Attr CN",Attributes!$1:$1,0)-1),"#",$B153*$B$1&amp;"-"&amp;$C153*$B$1)</f>
        <v>+18-24敏捷</v>
      </c>
      <c r="G153" s="97" t="str">
        <f ca="1">SUBSTITUTE(OFFSET(Attributes!$A$1,MATCH($A153,Attributes!$A:$A,0)-1,MATCH("Attr EN",Attributes!$1:$1,0)-1),"#",$B153*$B$1&amp;"-"&amp;$C153*$B$1)</f>
        <v>+18-24 Agility</v>
      </c>
      <c r="H153" s="32" t="str">
        <f ca="1">FormatItemUbertip(F152:F157)</f>
        <v>+18-24力量|N+18-24敏捷|N+30-36攻击强度|N+9-12攻击暴击|N勇气点数的获取速度提升1.2-1.8|N|N|CFFFFDEAD带着部落的荣耀，斩下入侵者的头颅。|R</v>
      </c>
      <c r="I153" s="32" t="str">
        <f ca="1">FormatItemUbertip(G152:G157)</f>
        <v>+18-24 Strength|N+18-24 Agility|N+30-36 Attack power|N+9-12 Attack critical|N|CFF11FF11Regenerates 1.2-1.8 more valor points|R|N|N|CFFFFDEADWith the tribal glory, the head of the enemies were left behind.|R</v>
      </c>
      <c r="J153" s="35" t="s">
        <v>571</v>
      </c>
      <c r="K153" s="95" t="str">
        <f t="shared" si="2"/>
        <v>FFFFFF</v>
      </c>
    </row>
    <row r="154" spans="1:11" x14ac:dyDescent="0.25">
      <c r="A154" s="32">
        <v>9</v>
      </c>
      <c r="B154" s="32">
        <v>10</v>
      </c>
      <c r="C154" s="32">
        <v>12</v>
      </c>
      <c r="D154" s="144">
        <f ca="1">OFFSET(Attributes!$A$1,MATCH(Rare!$A154,Attributes!$A:$A,0)-1,MATCH("Type",Attributes!$1:$1,0)-1)</f>
        <v>1</v>
      </c>
      <c r="E154" s="144" t="str">
        <f ca="1">IFERROR(OFFSET(Attributes!$A$1,MATCH(Rare!$A154,Attributes!$A:$A,0)-1,MATCH("Abbr",Attributes!$1:$1,0)-1),"")</f>
        <v>AP</v>
      </c>
      <c r="F154" s="84" t="str">
        <f ca="1">SUBSTITUTE(OFFSET(Attributes!$A$1,MATCH($A154,Attributes!$A:$A,0)-1,MATCH("Attr CN",Attributes!$1:$1,0)-1),"#",$B154*$B$1&amp;"-"&amp;$C154*$B$1)</f>
        <v>+30-36攻击强度</v>
      </c>
      <c r="G154" s="97" t="str">
        <f ca="1">SUBSTITUTE(OFFSET(Attributes!$A$1,MATCH($A154,Attributes!$A:$A,0)-1,MATCH("Attr EN",Attributes!$1:$1,0)-1),"#",$B154*$B$1&amp;"-"&amp;$C154*$B$1)</f>
        <v>+30-36 Attack power</v>
      </c>
      <c r="H154" s="33"/>
      <c r="I154" s="33"/>
      <c r="J154" s="35" t="s">
        <v>571</v>
      </c>
      <c r="K154" s="95" t="str">
        <f t="shared" si="2"/>
        <v>FFFFFF</v>
      </c>
    </row>
    <row r="155" spans="1:11" x14ac:dyDescent="0.25">
      <c r="A155" s="32">
        <v>11</v>
      </c>
      <c r="B155" s="32">
        <v>3</v>
      </c>
      <c r="C155" s="32">
        <v>4</v>
      </c>
      <c r="D155" s="144">
        <f ca="1">OFFSET(Attributes!$A$1,MATCH(Rare!$A155,Attributes!$A:$A,0)-1,MATCH("Type",Attributes!$1:$1,0)-1)</f>
        <v>1</v>
      </c>
      <c r="E155" s="144" t="str">
        <f ca="1">IFERROR(OFFSET(Attributes!$A$1,MATCH(Rare!$A155,Attributes!$A:$A,0)-1,MATCH("Abbr",Attributes!$1:$1,0)-1),"")</f>
        <v>CRIT</v>
      </c>
      <c r="F155" s="84" t="str">
        <f ca="1">SUBSTITUTE(OFFSET(Attributes!$A$1,MATCH($A155,Attributes!$A:$A,0)-1,MATCH("Attr CN",Attributes!$1:$1,0)-1),"#",$B155*$B$1&amp;"-"&amp;$C155*$B$1)</f>
        <v>+9-12攻击暴击</v>
      </c>
      <c r="G155" s="97" t="str">
        <f ca="1">SUBSTITUTE(OFFSET(Attributes!$A$1,MATCH($A155,Attributes!$A:$A,0)-1,MATCH("Attr EN",Attributes!$1:$1,0)-1),"#",$B155*$B$1&amp;"-"&amp;$C155*$B$1)</f>
        <v>+9-12 Attack critical</v>
      </c>
      <c r="H155" s="33"/>
      <c r="I155" s="33"/>
      <c r="J155" s="35" t="s">
        <v>571</v>
      </c>
      <c r="K155" s="95" t="str">
        <f t="shared" si="2"/>
        <v>FFFFFF</v>
      </c>
    </row>
    <row r="156" spans="1:11" x14ac:dyDescent="0.25">
      <c r="A156" s="32">
        <v>39</v>
      </c>
      <c r="B156" s="32">
        <v>0.4</v>
      </c>
      <c r="C156" s="32">
        <v>0.6</v>
      </c>
      <c r="D156" s="144">
        <f ca="1">OFFSET(Attributes!$A$1,MATCH(Rare!$A156,Attributes!$A:$A,0)-1,MATCH("Type",Attributes!$1:$1,0)-1)</f>
        <v>2</v>
      </c>
      <c r="E156" s="144" t="str">
        <f ca="1">IFERROR(OFFSET(Attributes!$A$1,MATCH(Rare!$A156,Attributes!$A:$A,0)-1,MATCH("Abbr",Attributes!$1:$1,0)-1),"")</f>
        <v>BM_VALOR</v>
      </c>
      <c r="F156" s="84" t="str">
        <f ca="1">SUBSTITUTE(OFFSET(Attributes!$A$1,MATCH($A156,Attributes!$A:$A,0)-1,MATCH("Attr CN",Attributes!$1:$1,0)-1),"#",$B156*$B$1&amp;"-"&amp;$C156*$B$1)</f>
        <v>勇气点数的获取速度提升1.2-1.8</v>
      </c>
      <c r="G156" s="130" t="str">
        <f ca="1">SUBSTITUTE(OFFSET(Attributes!$A$1,MATCH($A156,Attributes!$A:$A,0)-1,MATCH("Attr EN",Attributes!$1:$1,0)-1),"#",$B156*$B$1&amp;"-"&amp;$C156*$B$1)</f>
        <v>Regenerates 1.2-1.8 more valor points</v>
      </c>
      <c r="H156" s="33"/>
      <c r="I156" s="33"/>
      <c r="J156" s="35" t="s">
        <v>571</v>
      </c>
      <c r="K156" s="95" t="str">
        <f t="shared" si="2"/>
        <v>11FF11</v>
      </c>
    </row>
    <row r="157" spans="1:11" ht="28.5" x14ac:dyDescent="0.25">
      <c r="E157" s="144" t="str">
        <f ca="1">IFERROR(OFFSET(Attributes!$A$1,MATCH(Rare!$A157,Attributes!$A:$A,0)-1,MATCH("Abbr",Attributes!$1:$1,0)-1),"")</f>
        <v/>
      </c>
      <c r="F157" s="88" t="s">
        <v>36</v>
      </c>
      <c r="G157" s="98" t="s">
        <v>606</v>
      </c>
      <c r="H157" s="33"/>
      <c r="I157" s="33"/>
      <c r="J157" s="35" t="s">
        <v>571</v>
      </c>
      <c r="K157" s="95" t="str">
        <f t="shared" si="2"/>
        <v>FFDEAD</v>
      </c>
    </row>
    <row r="158" spans="1:11" x14ac:dyDescent="0.25">
      <c r="E158" s="144" t="str">
        <f ca="1">IFERROR(OFFSET(Attributes!$A$1,MATCH(Rare!$A158,Attributes!$A:$A,0)-1,MATCH("Abbr",Attributes!$1:$1,0)-1),"")</f>
        <v/>
      </c>
      <c r="F158" s="106"/>
      <c r="G158" s="127"/>
      <c r="H158" s="33"/>
      <c r="I158" s="33"/>
      <c r="J158" s="35" t="s">
        <v>571</v>
      </c>
      <c r="K158" s="95" t="str">
        <f t="shared" si="2"/>
        <v>9900FF</v>
      </c>
    </row>
    <row r="159" spans="1:11" x14ac:dyDescent="0.25">
      <c r="E159" s="144" t="str">
        <f ca="1">IFERROR(OFFSET(Attributes!$A$1,MATCH(Rare!$A159,Attributes!$A:$A,0)-1,MATCH("Abbr",Attributes!$1:$1,0)-1),"")</f>
        <v/>
      </c>
      <c r="F159" s="103" t="s">
        <v>37</v>
      </c>
      <c r="G159" s="124" t="s">
        <v>607</v>
      </c>
      <c r="H159" s="32" t="str">
        <f>FormatItemName(F159)</f>
        <v>|CFF8B66FF科勒恩的刺杀匕首|R</v>
      </c>
      <c r="I159" s="32" t="str">
        <f>FormatItemName(G159)</f>
        <v>|CFF8B66FFKelen's Dagger of Assassination|R</v>
      </c>
      <c r="J159" s="35" t="s">
        <v>571</v>
      </c>
      <c r="K159" s="95" t="str">
        <f t="shared" si="2"/>
        <v>8B66FF</v>
      </c>
    </row>
    <row r="160" spans="1:11" x14ac:dyDescent="0.25">
      <c r="A160" s="32">
        <v>13</v>
      </c>
      <c r="B160" s="32">
        <v>7</v>
      </c>
      <c r="C160" s="32">
        <v>8</v>
      </c>
      <c r="D160" s="144">
        <f ca="1">OFFSET(Attributes!$A$1,MATCH(Rare!$A160,Attributes!$A:$A,0)-1,MATCH("Type",Attributes!$1:$1,0)-1)</f>
        <v>1</v>
      </c>
      <c r="E160" s="144" t="str">
        <f ca="1">IFERROR(OFFSET(Attributes!$A$1,MATCH(Rare!$A160,Attributes!$A:$A,0)-1,MATCH("Abbr",Attributes!$1:$1,0)-1),"")</f>
        <v>AGI</v>
      </c>
      <c r="F160" s="84" t="str">
        <f ca="1">SUBSTITUTE(OFFSET(Attributes!$A$1,MATCH($A160,Attributes!$A:$A,0)-1,MATCH("Attr CN",Attributes!$1:$1,0)-1),"#",$B160*$B$1&amp;"-"&amp;$C160*$B$1)</f>
        <v>+21-24敏捷</v>
      </c>
      <c r="G160" s="97" t="str">
        <f ca="1">SUBSTITUTE(OFFSET(Attributes!$A$1,MATCH($A160,Attributes!$A:$A,0)-1,MATCH("Attr EN",Attributes!$1:$1,0)-1),"#",$B160*$B$1&amp;"-"&amp;$C160*$B$1)</f>
        <v>+21-24 Agility</v>
      </c>
      <c r="H160" s="32" t="str">
        <f ca="1">FormatItemDescription(F159:F166)</f>
        <v>|CFF8B66FFRare|R|N+21-24敏捷|N+36-48攻击强度|N+21-27%攻击速度|N对生命值少于自己的目标造成一击必杀0-0|N对生命值少于30%的目标造成0.12-0.18的额外伤害|N邪恶攻击有0.09-0.18的几率造成麻痹效果，降低目标施法速度20%，并获得一个额外的连击点|N|N|CFFFFDEAD科勒恩不仅仅是逃脱大师而已。|R</v>
      </c>
      <c r="I160" s="32" t="str">
        <f ca="1">FormatItemDescription(G159:G166)</f>
        <v>|CFF8B66FFRare|R|N+21-24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point|R|N|N|CFFFFDEADKelen is not just a master escaper.|R</v>
      </c>
      <c r="J160" s="35" t="s">
        <v>571</v>
      </c>
      <c r="K160" s="95" t="str">
        <f t="shared" si="2"/>
        <v>FFFFFF</v>
      </c>
    </row>
    <row r="161" spans="1:12" x14ac:dyDescent="0.25">
      <c r="A161" s="32">
        <v>9</v>
      </c>
      <c r="B161" s="32">
        <v>12</v>
      </c>
      <c r="C161" s="32">
        <v>16</v>
      </c>
      <c r="D161" s="144">
        <f ca="1">OFFSET(Attributes!$A$1,MATCH(Rare!$A161,Attributes!$A:$A,0)-1,MATCH("Type",Attributes!$1:$1,0)-1)</f>
        <v>1</v>
      </c>
      <c r="E161" s="144" t="str">
        <f ca="1">IFERROR(OFFSET(Attributes!$A$1,MATCH(Rare!$A161,Attributes!$A:$A,0)-1,MATCH("Abbr",Attributes!$1:$1,0)-1),"")</f>
        <v>AP</v>
      </c>
      <c r="F161" s="84" t="str">
        <f ca="1">SUBSTITUTE(OFFSET(Attributes!$A$1,MATCH($A161,Attributes!$A:$A,0)-1,MATCH("Attr CN",Attributes!$1:$1,0)-1),"#",$B161*$B$1&amp;"-"&amp;$C161*$B$1)</f>
        <v>+36-48攻击强度</v>
      </c>
      <c r="G161" s="97" t="str">
        <f ca="1">SUBSTITUTE(OFFSET(Attributes!$A$1,MATCH($A161,Attributes!$A:$A,0)-1,MATCH("Attr EN",Attributes!$1:$1,0)-1),"#",$B161*$B$1&amp;"-"&amp;$C161*$B$1)</f>
        <v>+36-48 Attack power</v>
      </c>
      <c r="H161" s="32" t="str">
        <f ca="1">FormatItemUbertip(F160:F166)</f>
        <v>+21-24敏捷|N+36-48攻击强度|N+21-27%攻击速度|N对生命值少于自己的目标造成一击必杀0-0|N对生命值少于30%的目标造成0.12-0.18的额外伤害|N邪恶攻击有0.09-0.18的几率造成麻痹效果，降低目标施法速度20%，并获得一个额外的连击点|N|N|CFFFFDEAD科勒恩不仅仅是逃脱大师而已。|R</v>
      </c>
      <c r="I161" s="32" t="str">
        <f ca="1">FormatItemUbertip(G160:G165)</f>
        <v>+21-24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v>
      </c>
      <c r="J161" s="35" t="s">
        <v>571</v>
      </c>
      <c r="K161" s="95" t="str">
        <f t="shared" si="2"/>
        <v>FFFFFF</v>
      </c>
      <c r="L161" s="35">
        <f ca="1">LEN(I161)</f>
        <v>355</v>
      </c>
    </row>
    <row r="162" spans="1:12" x14ac:dyDescent="0.25">
      <c r="A162" s="32">
        <v>12</v>
      </c>
      <c r="B162" s="32">
        <v>7</v>
      </c>
      <c r="C162" s="32">
        <v>9</v>
      </c>
      <c r="D162" s="144">
        <f ca="1">OFFSET(Attributes!$A$1,MATCH(Rare!$A162,Attributes!$A:$A,0)-1,MATCH("Type",Attributes!$1:$1,0)-1)</f>
        <v>1</v>
      </c>
      <c r="E162" s="144" t="str">
        <f ca="1">IFERROR(OFFSET(Attributes!$A$1,MATCH(Rare!$A162,Attributes!$A:$A,0)-1,MATCH("Abbr",Attributes!$1:$1,0)-1),"")</f>
        <v>IAS</v>
      </c>
      <c r="F162" s="84" t="str">
        <f ca="1">SUBSTITUTE(OFFSET(Attributes!$A$1,MATCH($A162,Attributes!$A:$A,0)-1,MATCH("Attr CN",Attributes!$1:$1,0)-1),"#",$B162*$B$1&amp;"-"&amp;$C162*$B$1)</f>
        <v>+21-27%攻击速度</v>
      </c>
      <c r="G162" s="97" t="str">
        <f ca="1">SUBSTITUTE(OFFSET(Attributes!$A$1,MATCH($A162,Attributes!$A:$A,0)-1,MATCH("Attr EN",Attributes!$1:$1,0)-1),"#",$B162*$B$1&amp;"-"&amp;$C162*$B$1)</f>
        <v>+21-27% Attack speed</v>
      </c>
      <c r="H162" s="33"/>
      <c r="I162" s="33"/>
      <c r="J162" s="35" t="s">
        <v>571</v>
      </c>
      <c r="K162" s="95" t="str">
        <f t="shared" si="2"/>
        <v>FFFFFF</v>
      </c>
    </row>
    <row r="163" spans="1:12" ht="28.5" x14ac:dyDescent="0.25">
      <c r="A163" s="32">
        <v>66</v>
      </c>
      <c r="B163" s="32">
        <v>0</v>
      </c>
      <c r="C163" s="32">
        <v>0</v>
      </c>
      <c r="D163" s="144">
        <f ca="1">OFFSET(Attributes!$A$1,MATCH(Rare!$A163,Attributes!$A:$A,0)-1,MATCH("Type",Attributes!$1:$1,0)-1)</f>
        <v>3</v>
      </c>
      <c r="E163" s="144" t="str">
        <f ca="1">IFERROR(OFFSET(Attributes!$A$1,MATCH(Rare!$A163,Attributes!$A:$A,0)-1,MATCH("Abbr",Attributes!$1:$1,0)-1),"")</f>
        <v>RG_ONESHOT</v>
      </c>
      <c r="F163" s="84" t="str">
        <f ca="1">SUBSTITUTE(OFFSET(Attributes!$A$1,MATCH($A163,Attributes!$A:$A,0)-1,MATCH("Attr CN",Attributes!$1:$1,0)-1),"#",$B163*$B$1&amp;"-"&amp;$C163*$B$1)</f>
        <v>对生命值少于自己的目标造成一击必杀0-0</v>
      </c>
      <c r="G163" s="129" t="str">
        <f ca="1">SUBSTITUTE(OFFSET(Attributes!$A$1,MATCH($A163,Attributes!$A:$A,0)-1,MATCH("Attr EN",Attributes!$1:$1,0)-1),"#",$B163*$B$1&amp;"-"&amp;$C163*$B$1)</f>
        <v>One-shot target when it's HP is less than yours0-0</v>
      </c>
      <c r="H163" s="33"/>
      <c r="I163" s="33"/>
      <c r="J163" s="35" t="s">
        <v>571</v>
      </c>
      <c r="K163" s="95" t="str">
        <f t="shared" si="2"/>
        <v>87CEEB</v>
      </c>
    </row>
    <row r="164" spans="1:12" ht="28.5" x14ac:dyDescent="0.25">
      <c r="A164" s="32">
        <v>65</v>
      </c>
      <c r="B164" s="32">
        <v>0.04</v>
      </c>
      <c r="C164" s="32">
        <v>0.06</v>
      </c>
      <c r="D164" s="144">
        <f ca="1">OFFSET(Attributes!$A$1,MATCH(Rare!$A164,Attributes!$A:$A,0)-1,MATCH("Type",Attributes!$1:$1,0)-1)</f>
        <v>2</v>
      </c>
      <c r="E164" s="144" t="str">
        <f ca="1">IFERROR(OFFSET(Attributes!$A$1,MATCH(Rare!$A164,Attributes!$A:$A,0)-1,MATCH("Abbr",Attributes!$1:$1,0)-1),"")</f>
        <v>RG_RUSH</v>
      </c>
      <c r="F164" s="84" t="str">
        <f ca="1">SUBSTITUTE(OFFSET(Attributes!$A$1,MATCH($A164,Attributes!$A:$A,0)-1,MATCH("Attr CN",Attributes!$1:$1,0)-1),"#",$B164*$B$1&amp;"-"&amp;$C164*$B$1)</f>
        <v>对生命值少于30%的目标造成0.12-0.18的额外伤害</v>
      </c>
      <c r="G164" s="128" t="str">
        <f ca="1">SUBSTITUTE(OFFSET(Attributes!$A$1,MATCH($A164,Attributes!$A:$A,0)-1,MATCH("Attr EN",Attributes!$1:$1,0)-1),"#",$B164*$B$1&amp;"-"&amp;$C164*$B$1)</f>
        <v>Sinister Strike and Eviscerate deal 0.12-0.18 extra damage to target below 30% max HP</v>
      </c>
      <c r="H164" s="41"/>
      <c r="I164" s="41"/>
      <c r="J164" s="35" t="s">
        <v>571</v>
      </c>
      <c r="K164" s="95" t="str">
        <f t="shared" si="2"/>
        <v>33FF33</v>
      </c>
    </row>
    <row r="165" spans="1:12" ht="42.75" x14ac:dyDescent="0.25">
      <c r="A165" s="32">
        <v>90</v>
      </c>
      <c r="B165" s="32">
        <v>0.03</v>
      </c>
      <c r="C165" s="32">
        <v>0.06</v>
      </c>
      <c r="D165" s="144">
        <f ca="1">OFFSET(Attributes!$A$1,MATCH(Rare!$A165,Attributes!$A:$A,0)-1,MATCH("Type",Attributes!$1:$1,0)-1)</f>
        <v>2</v>
      </c>
      <c r="E165" s="144" t="str">
        <f ca="1">IFERROR(OFFSET(Attributes!$A$1,MATCH(Rare!$A165,Attributes!$A:$A,0)-1,MATCH("Abbr",Attributes!$1:$1,0)-1),"")</f>
        <v>RG_PARALZ</v>
      </c>
      <c r="F165" s="84" t="str">
        <f ca="1">SUBSTITUTE(OFFSET(Attributes!$A$1,MATCH($A165,Attributes!$A:$A,0)-1,MATCH("Attr CN",Attributes!$1:$1,0)-1),"#",$B165*$B$1&amp;"-"&amp;$C165*$B$1)</f>
        <v>邪恶攻击有0.09-0.18的几率造成麻痹效果，降低目标施法速度20%，并获得一个额外的连击点</v>
      </c>
      <c r="G165" s="128" t="str">
        <f ca="1">SUBSTITUTE(OFFSET(Attributes!$A$1,MATCH($A165,Attributes!$A:$A,0)-1,MATCH("Attr EN",Attributes!$1:$1,0)-1),"#",$B165*$B$1&amp;"-"&amp;$C165*$B$1)</f>
        <v>Sinister Strike has a 0.09-0.18 chance to paralyze target, reduce target spell haste by 20% and gain an extra combo point</v>
      </c>
      <c r="H165" s="41"/>
      <c r="I165" s="41"/>
      <c r="J165" s="35" t="s">
        <v>571</v>
      </c>
      <c r="K165" s="95" t="str">
        <f t="shared" si="2"/>
        <v>33FF33</v>
      </c>
    </row>
    <row r="166" spans="1:12" x14ac:dyDescent="0.25">
      <c r="E166" s="144" t="str">
        <f ca="1">IFERROR(OFFSET(Attributes!$A$1,MATCH(Rare!$A166,Attributes!$A:$A,0)-1,MATCH("Abbr",Attributes!$1:$1,0)-1),"")</f>
        <v/>
      </c>
      <c r="F166" s="88" t="s">
        <v>38</v>
      </c>
      <c r="G166" s="98" t="s">
        <v>608</v>
      </c>
      <c r="H166" s="33"/>
      <c r="I166" s="33"/>
      <c r="J166" s="35" t="s">
        <v>571</v>
      </c>
      <c r="K166" s="95" t="str">
        <f t="shared" si="2"/>
        <v>FFDEAD</v>
      </c>
    </row>
    <row r="167" spans="1:12" x14ac:dyDescent="0.25">
      <c r="E167" s="144" t="str">
        <f ca="1">IFERROR(OFFSET(Attributes!$A$1,MATCH(Rare!$A167,Attributes!$A:$A,0)-1,MATCH("Abbr",Attributes!$1:$1,0)-1),"")</f>
        <v/>
      </c>
      <c r="F167" s="106"/>
      <c r="G167" s="127"/>
      <c r="H167" s="33"/>
      <c r="I167" s="33"/>
      <c r="J167" s="35" t="s">
        <v>571</v>
      </c>
      <c r="K167" s="95" t="str">
        <f t="shared" si="2"/>
        <v>9900FF</v>
      </c>
    </row>
    <row r="168" spans="1:12" x14ac:dyDescent="0.25">
      <c r="E168" s="144" t="str">
        <f ca="1">IFERROR(OFFSET(Attributes!$A$1,MATCH(Rare!$A168,Attributes!$A:$A,0)-1,MATCH("Abbr",Attributes!$1:$1,0)-1),"")</f>
        <v/>
      </c>
      <c r="F168" s="103" t="s">
        <v>39</v>
      </c>
      <c r="G168" s="124" t="s">
        <v>609</v>
      </c>
      <c r="H168" s="32" t="str">
        <f>FormatItemName(F168)</f>
        <v>|CFF8B66FF上古守护者的长弓|R</v>
      </c>
      <c r="I168" s="32" t="str">
        <f>FormatItemName(G168)</f>
        <v>|CFF8B66FFRhokdelar|R</v>
      </c>
      <c r="J168" s="35" t="s">
        <v>571</v>
      </c>
      <c r="K168" s="95" t="str">
        <f t="shared" si="2"/>
        <v>8B66FF</v>
      </c>
    </row>
    <row r="169" spans="1:12" x14ac:dyDescent="0.25">
      <c r="A169" s="32">
        <v>13</v>
      </c>
      <c r="B169" s="32">
        <v>5</v>
      </c>
      <c r="C169" s="32">
        <v>8</v>
      </c>
      <c r="D169" s="144">
        <f ca="1">OFFSET(Attributes!$A$1,MATCH(Rare!$A169,Attributes!$A:$A,0)-1,MATCH("Type",Attributes!$1:$1,0)-1)</f>
        <v>1</v>
      </c>
      <c r="E169" s="144" t="str">
        <f ca="1">IFERROR(OFFSET(Attributes!$A$1,MATCH(Rare!$A169,Attributes!$A:$A,0)-1,MATCH("Abbr",Attributes!$1:$1,0)-1),"")</f>
        <v>AGI</v>
      </c>
      <c r="F169" s="84" t="str">
        <f ca="1">SUBSTITUTE(OFFSET(Attributes!$A$1,MATCH($A169,Attributes!$A:$A,0)-1,MATCH("Attr CN",Attributes!$1:$1,0)-1),"#",$B169*$B$1&amp;"-"&amp;$C169*$B$1)</f>
        <v>+15-24敏捷</v>
      </c>
      <c r="G169" s="97" t="str">
        <f ca="1">SUBSTITUTE(OFFSET(Attributes!$A$1,MATCH($A169,Attributes!$A:$A,0)-1,MATCH("Attr EN",Attributes!$1:$1,0)-1),"#",$B169*$B$1&amp;"-"&amp;$C169*$B$1)</f>
        <v>+15-24 Agility</v>
      </c>
      <c r="H169" s="32" t="str">
        <f ca="1">FormatItemDescription(F168:F174)</f>
        <v>|CFF8B66FFRare|R|N+15-24敏捷|N+33-39攻击强度|N+9-15攻击暴击|N+30-60移动速度|N黑箭数量增加2.1-3枝|N|N|CFFFFDEAD“Rhok'delar”|R</v>
      </c>
      <c r="I169" s="32" t="str">
        <f ca="1">FormatItemDescription(G168:G174)</f>
        <v>|CFF8B66FFRare|R|N+15-24 Agility|N+33-39 Attack power|N+9-15 Attack critical|N+30-60 Movement speed|N|CFF33FF33Number of Dark Arrows increased by 2.1-3 (unique)|R|N|N|CFFFFDEADLongbow of the Ancient Keepers|R</v>
      </c>
      <c r="J169" s="35" t="s">
        <v>571</v>
      </c>
      <c r="K169" s="95" t="str">
        <f t="shared" si="2"/>
        <v>FFFFFF</v>
      </c>
    </row>
    <row r="170" spans="1:12" x14ac:dyDescent="0.25">
      <c r="A170" s="32">
        <v>9</v>
      </c>
      <c r="B170" s="32">
        <v>11</v>
      </c>
      <c r="C170" s="32">
        <v>13</v>
      </c>
      <c r="D170" s="144">
        <f ca="1">OFFSET(Attributes!$A$1,MATCH(Rare!$A170,Attributes!$A:$A,0)-1,MATCH("Type",Attributes!$1:$1,0)-1)</f>
        <v>1</v>
      </c>
      <c r="E170" s="144" t="str">
        <f ca="1">IFERROR(OFFSET(Attributes!$A$1,MATCH(Rare!$A170,Attributes!$A:$A,0)-1,MATCH("Abbr",Attributes!$1:$1,0)-1),"")</f>
        <v>AP</v>
      </c>
      <c r="F170" s="84" t="str">
        <f ca="1">SUBSTITUTE(OFFSET(Attributes!$A$1,MATCH($A170,Attributes!$A:$A,0)-1,MATCH("Attr CN",Attributes!$1:$1,0)-1),"#",$B170*$B$1&amp;"-"&amp;$C170*$B$1)</f>
        <v>+33-39攻击强度</v>
      </c>
      <c r="G170" s="97" t="str">
        <f ca="1">SUBSTITUTE(OFFSET(Attributes!$A$1,MATCH($A170,Attributes!$A:$A,0)-1,MATCH("Attr EN",Attributes!$1:$1,0)-1),"#",$B170*$B$1&amp;"-"&amp;$C170*$B$1)</f>
        <v>+33-39 Attack power</v>
      </c>
      <c r="H170" s="32" t="str">
        <f ca="1">FormatItemUbertip(F169:F174)</f>
        <v>+15-24敏捷|N+33-39攻击强度|N+9-15攻击暴击|N+30-60移动速度|N黑箭数量增加2.1-3枝|N|N|CFFFFDEAD“Rhok'delar”|R</v>
      </c>
      <c r="I170" s="32" t="str">
        <f ca="1">FormatItemUbertip(G169:G174)</f>
        <v>+15-24 Agility|N+33-39 Attack power|N+9-15 Attack critical|N+30-60 Movement speed|N|CFF33FF33Number of Dark Arrows increased by 2.1-3 (unique)|R|N|N|CFFFFDEADLongbow of the Ancient Keepers|R</v>
      </c>
      <c r="J170" s="35" t="s">
        <v>571</v>
      </c>
      <c r="K170" s="95" t="str">
        <f t="shared" si="2"/>
        <v>FFFFFF</v>
      </c>
    </row>
    <row r="171" spans="1:12" x14ac:dyDescent="0.25">
      <c r="A171" s="32">
        <v>11</v>
      </c>
      <c r="B171" s="32">
        <v>3</v>
      </c>
      <c r="C171" s="32">
        <v>5</v>
      </c>
      <c r="D171" s="144">
        <f ca="1">OFFSET(Attributes!$A$1,MATCH(Rare!$A171,Attributes!$A:$A,0)-1,MATCH("Type",Attributes!$1:$1,0)-1)</f>
        <v>1</v>
      </c>
      <c r="E171" s="144" t="str">
        <f ca="1">IFERROR(OFFSET(Attributes!$A$1,MATCH(Rare!$A171,Attributes!$A:$A,0)-1,MATCH("Abbr",Attributes!$1:$1,0)-1),"")</f>
        <v>CRIT</v>
      </c>
      <c r="F171" s="84" t="str">
        <f ca="1">SUBSTITUTE(OFFSET(Attributes!$A$1,MATCH($A171,Attributes!$A:$A,0)-1,MATCH("Attr CN",Attributes!$1:$1,0)-1),"#",$B171*$B$1&amp;"-"&amp;$C171*$B$1)</f>
        <v>+9-15攻击暴击</v>
      </c>
      <c r="G171" s="97" t="str">
        <f ca="1">SUBSTITUTE(OFFSET(Attributes!$A$1,MATCH($A171,Attributes!$A:$A,0)-1,MATCH("Attr EN",Attributes!$1:$1,0)-1),"#",$B171*$B$1&amp;"-"&amp;$C171*$B$1)</f>
        <v>+9-15 Attack critical</v>
      </c>
      <c r="H171" s="33"/>
      <c r="I171" s="33"/>
      <c r="J171" s="35" t="s">
        <v>571</v>
      </c>
      <c r="K171" s="95" t="str">
        <f t="shared" si="2"/>
        <v>FFFFFF</v>
      </c>
    </row>
    <row r="172" spans="1:12" x14ac:dyDescent="0.25">
      <c r="A172" s="32">
        <v>24</v>
      </c>
      <c r="B172" s="32">
        <v>10</v>
      </c>
      <c r="C172" s="32">
        <v>20</v>
      </c>
      <c r="D172" s="144">
        <f ca="1">OFFSET(Attributes!$A$1,MATCH(Rare!$A172,Attributes!$A:$A,0)-1,MATCH("Type",Attributes!$1:$1,0)-1)</f>
        <v>1</v>
      </c>
      <c r="E172" s="144" t="str">
        <f ca="1">IFERROR(OFFSET(Attributes!$A$1,MATCH(Rare!$A172,Attributes!$A:$A,0)-1,MATCH("Abbr",Attributes!$1:$1,0)-1),"")</f>
        <v>MS</v>
      </c>
      <c r="F172" s="84" t="str">
        <f ca="1">SUBSTITUTE(OFFSET(Attributes!$A$1,MATCH($A172,Attributes!$A:$A,0)-1,MATCH("Attr CN",Attributes!$1:$1,0)-1),"#",$B172*$B$1&amp;"-"&amp;$C172*$B$1)</f>
        <v>+30-60移动速度</v>
      </c>
      <c r="G172" s="97" t="str">
        <f ca="1">SUBSTITUTE(OFFSET(Attributes!$A$1,MATCH($A172,Attributes!$A:$A,0)-1,MATCH("Attr EN",Attributes!$1:$1,0)-1),"#",$B172*$B$1&amp;"-"&amp;$C172*$B$1)</f>
        <v>+30-60 Movement speed</v>
      </c>
      <c r="H172" s="33"/>
      <c r="I172" s="33"/>
      <c r="J172" s="35" t="s">
        <v>571</v>
      </c>
      <c r="K172" s="95" t="str">
        <f t="shared" si="2"/>
        <v>FFFFFF</v>
      </c>
    </row>
    <row r="173" spans="1:12" ht="28.5" x14ac:dyDescent="0.25">
      <c r="A173" s="32">
        <v>94</v>
      </c>
      <c r="B173" s="32">
        <v>0.7</v>
      </c>
      <c r="C173" s="32">
        <v>1</v>
      </c>
      <c r="D173" s="144">
        <f ca="1">OFFSET(Attributes!$A$1,MATCH(Rare!$A173,Attributes!$A:$A,0)-1,MATCH("Type",Attributes!$1:$1,0)-1)</f>
        <v>2</v>
      </c>
      <c r="E173" s="144" t="str">
        <f ca="1">IFERROR(OFFSET(Attributes!$A$1,MATCH(Rare!$A173,Attributes!$A:$A,0)-1,MATCH("Abbr",Attributes!$1:$1,0)-1),"")</f>
        <v>DK_ARROW</v>
      </c>
      <c r="F173" s="84" t="str">
        <f ca="1">SUBSTITUTE(OFFSET(Attributes!$A$1,MATCH($A173,Attributes!$A:$A,0)-1,MATCH("Attr CN",Attributes!$1:$1,0)-1),"#",$B173*$B$1&amp;"-"&amp;$C173*$B$1)</f>
        <v>黑箭数量增加2.1-3枝</v>
      </c>
      <c r="G173" s="128" t="str">
        <f ca="1">SUBSTITUTE(OFFSET(Attributes!$A$1,MATCH($A173,Attributes!$A:$A,0)-1,MATCH("Attr EN",Attributes!$1:$1,0)-1),"#",$B173*$B$1&amp;"-"&amp;$C173*$B$1)</f>
        <v>Number of Dark Arrows increased by 2.1-3 (unique)</v>
      </c>
      <c r="H173" s="33"/>
      <c r="I173" s="33"/>
      <c r="J173" s="35" t="s">
        <v>571</v>
      </c>
      <c r="K173" s="95" t="str">
        <f t="shared" si="2"/>
        <v>33FF33</v>
      </c>
    </row>
    <row r="174" spans="1:12" x14ac:dyDescent="0.25">
      <c r="E174" s="144" t="str">
        <f ca="1">IFERROR(OFFSET(Attributes!$A$1,MATCH(Rare!$A174,Attributes!$A:$A,0)-1,MATCH("Abbr",Attributes!$1:$1,0)-1),"")</f>
        <v/>
      </c>
      <c r="F174" s="88" t="s">
        <v>40</v>
      </c>
      <c r="G174" s="98" t="s">
        <v>610</v>
      </c>
      <c r="H174" s="33"/>
      <c r="I174" s="33"/>
      <c r="J174" s="35" t="s">
        <v>571</v>
      </c>
      <c r="K174" s="95" t="str">
        <f t="shared" si="2"/>
        <v>FFDEAD</v>
      </c>
    </row>
    <row r="175" spans="1:12" x14ac:dyDescent="0.25">
      <c r="E175" s="144" t="str">
        <f ca="1">IFERROR(OFFSET(Attributes!$A$1,MATCH(Rare!$A175,Attributes!$A:$A,0)-1,MATCH("Abbr",Attributes!$1:$1,0)-1),"")</f>
        <v/>
      </c>
      <c r="F175" s="106"/>
      <c r="G175" s="127"/>
      <c r="H175" s="33"/>
      <c r="I175" s="33"/>
      <c r="J175" s="35" t="s">
        <v>571</v>
      </c>
      <c r="K175" s="95" t="str">
        <f t="shared" si="2"/>
        <v>9900FF</v>
      </c>
    </row>
    <row r="176" spans="1:12" x14ac:dyDescent="0.25">
      <c r="E176" s="144" t="str">
        <f ca="1">IFERROR(OFFSET(Attributes!$A$1,MATCH(Rare!$A176,Attributes!$A:$A,0)-1,MATCH("Abbr",Attributes!$1:$1,0)-1),"")</f>
        <v/>
      </c>
      <c r="F176" s="103" t="s">
        <v>41</v>
      </c>
      <c r="G176" s="124" t="s">
        <v>611</v>
      </c>
      <c r="H176" s="32" t="str">
        <f>FormatItemName(F176)</f>
        <v>|CFF8B66FF雷基·冬寒的护命匣|R</v>
      </c>
      <c r="I176" s="32" t="str">
        <f>FormatItemName(G176)</f>
        <v>|CFF8B66FFRage Winterchill's Phylactery|R</v>
      </c>
      <c r="J176" s="35" t="s">
        <v>571</v>
      </c>
      <c r="K176" s="95" t="str">
        <f t="shared" si="2"/>
        <v>8B66FF</v>
      </c>
    </row>
    <row r="177" spans="1:11" x14ac:dyDescent="0.25">
      <c r="A177" s="32">
        <v>14</v>
      </c>
      <c r="B177" s="32">
        <v>5</v>
      </c>
      <c r="C177" s="32">
        <v>8</v>
      </c>
      <c r="D177" s="144">
        <f ca="1">OFFSET(Attributes!$A$1,MATCH(Rare!$A177,Attributes!$A:$A,0)-1,MATCH("Type",Attributes!$1:$1,0)-1)</f>
        <v>1</v>
      </c>
      <c r="E177" s="144" t="str">
        <f ca="1">IFERROR(OFFSET(Attributes!$A$1,MATCH(Rare!$A177,Attributes!$A:$A,0)-1,MATCH("Abbr",Attributes!$1:$1,0)-1),"")</f>
        <v>INT</v>
      </c>
      <c r="F177" s="84" t="str">
        <f ca="1">SUBSTITUTE(OFFSET(Attributes!$A$1,MATCH($A177,Attributes!$A:$A,0)-1,MATCH("Attr CN",Attributes!$1:$1,0)-1),"#",$B177*$B$1&amp;"-"&amp;$C177*$B$1)</f>
        <v>+15-24智力</v>
      </c>
      <c r="G177" s="97" t="str">
        <f ca="1">SUBSTITUTE(OFFSET(Attributes!$A$1,MATCH($A177,Attributes!$A:$A,0)-1,MATCH("Attr EN",Attributes!$1:$1,0)-1),"#",$B177*$B$1&amp;"-"&amp;$C177*$B$1)</f>
        <v>+15-24 Intelligence</v>
      </c>
      <c r="H177" s="32" t="str">
        <f ca="1">FormatItemDescription(F176:F182)</f>
        <v>|CFF8B66FFRare|R|N+15-24智力|N+210-270生命上限|N+6-9法术暴击|N提高冰冷法术的伤害0.09-0.12|N暴风雪造成伤害时，有0.03-0.06的几率对目标立即施放寒冰箭|N|N|CFFFFDEAD对于某些人来说，他的护命匣的价值要大于黑暗秘密编年史。|R</v>
      </c>
      <c r="I177" s="32" t="str">
        <f ca="1">FormatItemDescription(G176:G182)</f>
        <v>|CFF8B66FFRare|R|N+15-24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7" s="35" t="s">
        <v>571</v>
      </c>
      <c r="K177" s="95" t="str">
        <f t="shared" si="2"/>
        <v>FFFFFF</v>
      </c>
    </row>
    <row r="178" spans="1:11" x14ac:dyDescent="0.25">
      <c r="A178" s="32">
        <v>21</v>
      </c>
      <c r="B178" s="32">
        <v>70</v>
      </c>
      <c r="C178" s="32">
        <v>90</v>
      </c>
      <c r="D178" s="144">
        <f ca="1">OFFSET(Attributes!$A$1,MATCH(Rare!$A178,Attributes!$A:$A,0)-1,MATCH("Type",Attributes!$1:$1,0)-1)</f>
        <v>1</v>
      </c>
      <c r="E178" s="144" t="str">
        <f ca="1">IFERROR(OFFSET(Attributes!$A$1,MATCH(Rare!$A178,Attributes!$A:$A,0)-1,MATCH("Abbr",Attributes!$1:$1,0)-1),"")</f>
        <v>HP</v>
      </c>
      <c r="F178" s="84" t="str">
        <f ca="1">SUBSTITUTE(OFFSET(Attributes!$A$1,MATCH($A178,Attributes!$A:$A,0)-1,MATCH("Attr CN",Attributes!$1:$1,0)-1),"#",$B178*$B$1&amp;"-"&amp;$C178*$B$1)</f>
        <v>+210-270生命上限</v>
      </c>
      <c r="G178" s="97" t="str">
        <f ca="1">SUBSTITUTE(OFFSET(Attributes!$A$1,MATCH($A178,Attributes!$A:$A,0)-1,MATCH("Attr EN",Attributes!$1:$1,0)-1),"#",$B178*$B$1&amp;"-"&amp;$C178*$B$1)</f>
        <v>+210-270 Max HP</v>
      </c>
      <c r="H178" s="32" t="str">
        <f ca="1">FormatItemUbertip(F177:F182)</f>
        <v>+15-24智力|N+210-270生命上限|N+6-9法术暴击|N提高冰冷法术的伤害0.09-0.12|N暴风雪造成伤害时，有0.03-0.06的几率对目标立即施放寒冰箭|N|N|CFFFFDEAD对于某些人来说，他的护命匣的价值要大于黑暗秘密编年史。|R</v>
      </c>
      <c r="I178" s="32" t="str">
        <f ca="1">FormatItemUbertip(G177:G182)</f>
        <v>+15-24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8" s="35" t="s">
        <v>571</v>
      </c>
      <c r="K178" s="95" t="str">
        <f t="shared" si="2"/>
        <v>FFFFFF</v>
      </c>
    </row>
    <row r="179" spans="1:11" x14ac:dyDescent="0.25">
      <c r="A179" s="32">
        <v>20</v>
      </c>
      <c r="B179" s="32">
        <v>2</v>
      </c>
      <c r="C179" s="32">
        <v>3</v>
      </c>
      <c r="D179" s="144">
        <f ca="1">OFFSET(Attributes!$A$1,MATCH(Rare!$A179,Attributes!$A:$A,0)-1,MATCH("Type",Attributes!$1:$1,0)-1)</f>
        <v>1</v>
      </c>
      <c r="E179" s="144" t="str">
        <f ca="1">IFERROR(OFFSET(Attributes!$A$1,MATCH(Rare!$A179,Attributes!$A:$A,0)-1,MATCH("Abbr",Attributes!$1:$1,0)-1),"")</f>
        <v>SCRIT</v>
      </c>
      <c r="F179" s="84" t="str">
        <f ca="1">SUBSTITUTE(OFFSET(Attributes!$A$1,MATCH($A179,Attributes!$A:$A,0)-1,MATCH("Attr CN",Attributes!$1:$1,0)-1),"#",$B179*$B$1&amp;"-"&amp;$C179*$B$1)</f>
        <v>+6-9法术暴击</v>
      </c>
      <c r="G179" s="97" t="str">
        <f ca="1">SUBSTITUTE(OFFSET(Attributes!$A$1,MATCH($A179,Attributes!$A:$A,0)-1,MATCH("Attr EN",Attributes!$1:$1,0)-1),"#",$B179*$B$1&amp;"-"&amp;$C179*$B$1)</f>
        <v>+6-9 Spell critical</v>
      </c>
      <c r="H179" s="33"/>
      <c r="I179" s="33"/>
      <c r="J179" s="35" t="s">
        <v>571</v>
      </c>
      <c r="K179" s="95" t="str">
        <f t="shared" si="2"/>
        <v>FFFFFF</v>
      </c>
    </row>
    <row r="180" spans="1:11" x14ac:dyDescent="0.25">
      <c r="A180" s="32">
        <v>96</v>
      </c>
      <c r="B180" s="32">
        <v>0.03</v>
      </c>
      <c r="C180" s="32">
        <v>0.04</v>
      </c>
      <c r="D180" s="144">
        <f ca="1">OFFSET(Attributes!$A$1,MATCH(Rare!$A180,Attributes!$A:$A,0)-1,MATCH("Type",Attributes!$1:$1,0)-1)</f>
        <v>2</v>
      </c>
      <c r="E180" s="144" t="str">
        <f ca="1">IFERROR(OFFSET(Attributes!$A$1,MATCH(Rare!$A180,Attributes!$A:$A,0)-1,MATCH("Abbr",Attributes!$1:$1,0)-1),"")</f>
        <v>MG_FDMG</v>
      </c>
      <c r="F180" s="84" t="str">
        <f ca="1">SUBSTITUTE(OFFSET(Attributes!$A$1,MATCH($A180,Attributes!$A:$A,0)-1,MATCH("Attr CN",Attributes!$1:$1,0)-1),"#",$B180*$B$1&amp;"-"&amp;$C180*$B$1)</f>
        <v>提高冰冷法术的伤害0.09-0.12</v>
      </c>
      <c r="G180" s="128" t="str">
        <f ca="1">SUBSTITUTE(OFFSET(Attributes!$A$1,MATCH($A180,Attributes!$A:$A,0)-1,MATCH("Attr EN",Attributes!$1:$1,0)-1),"#",$B180*$B$1&amp;"-"&amp;$C180*$B$1)</f>
        <v>Increase ice spell damage by 0.09-0.12</v>
      </c>
      <c r="H180" s="33"/>
      <c r="I180" s="33"/>
      <c r="J180" s="35" t="s">
        <v>571</v>
      </c>
      <c r="K180" s="95" t="str">
        <f t="shared" si="2"/>
        <v>33FF33</v>
      </c>
    </row>
    <row r="181" spans="1:11" ht="28.5" x14ac:dyDescent="0.25">
      <c r="A181" s="32">
        <v>70</v>
      </c>
      <c r="B181" s="32">
        <v>0.01</v>
      </c>
      <c r="C181" s="32">
        <v>0.02</v>
      </c>
      <c r="D181" s="144">
        <f ca="1">OFFSET(Attributes!$A$1,MATCH(Rare!$A181,Attributes!$A:$A,0)-1,MATCH("Type",Attributes!$1:$1,0)-1)</f>
        <v>2</v>
      </c>
      <c r="E181" s="144" t="str">
        <f ca="1">IFERROR(OFFSET(Attributes!$A$1,MATCH(Rare!$A181,Attributes!$A:$A,0)-1,MATCH("Abbr",Attributes!$1:$1,0)-1),"")</f>
        <v>MG_BLZ</v>
      </c>
      <c r="F181" s="84" t="str">
        <f ca="1">SUBSTITUTE(OFFSET(Attributes!$A$1,MATCH($A181,Attributes!$A:$A,0)-1,MATCH("Attr CN",Attributes!$1:$1,0)-1),"#",$B181*$B$1&amp;"-"&amp;$C181*$B$1)</f>
        <v>暴风雪造成伤害时，有0.03-0.06的几率对目标立即施放寒冰箭</v>
      </c>
      <c r="G181" s="128" t="str">
        <f ca="1">SUBSTITUTE(OFFSET(Attributes!$A$1,MATCH($A181,Attributes!$A:$A,0)-1,MATCH("Attr EN",Attributes!$1:$1,0)-1),"#",$B181*$B$1&amp;"-"&amp;$C181*$B$1)</f>
        <v>0.03-0.06 chance to cast an instant Frost Bolt to targets damaged by Blizzard</v>
      </c>
      <c r="H181" s="33"/>
      <c r="I181" s="33"/>
      <c r="J181" s="35" t="s">
        <v>571</v>
      </c>
      <c r="K181" s="95" t="str">
        <f t="shared" si="2"/>
        <v>33FF33</v>
      </c>
    </row>
    <row r="182" spans="1:11" ht="28.5" x14ac:dyDescent="0.25">
      <c r="E182" s="144" t="str">
        <f ca="1">IFERROR(OFFSET(Attributes!$A$1,MATCH(Rare!$A182,Attributes!$A:$A,0)-1,MATCH("Abbr",Attributes!$1:$1,0)-1),"")</f>
        <v/>
      </c>
      <c r="F182" s="88" t="s">
        <v>42</v>
      </c>
      <c r="G182" s="98" t="s">
        <v>612</v>
      </c>
      <c r="H182" s="34"/>
      <c r="I182" s="34"/>
      <c r="J182" s="35" t="s">
        <v>571</v>
      </c>
      <c r="K182" s="95" t="str">
        <f t="shared" si="2"/>
        <v>FFDEAD</v>
      </c>
    </row>
    <row r="183" spans="1:11" x14ac:dyDescent="0.25">
      <c r="E183" s="144" t="str">
        <f ca="1">IFERROR(OFFSET(Attributes!$A$1,MATCH(Rare!$A183,Attributes!$A:$A,0)-1,MATCH("Abbr",Attributes!$1:$1,0)-1),"")</f>
        <v/>
      </c>
      <c r="F183" s="106"/>
      <c r="G183" s="127"/>
      <c r="H183" s="33"/>
      <c r="I183" s="33"/>
      <c r="J183" s="35" t="s">
        <v>571</v>
      </c>
      <c r="K183" s="95" t="str">
        <f t="shared" si="2"/>
        <v>9900FF</v>
      </c>
    </row>
    <row r="184" spans="1:11" x14ac:dyDescent="0.25">
      <c r="E184" s="144" t="str">
        <f ca="1">IFERROR(OFFSET(Attributes!$A$1,MATCH(Rare!$A184,Attributes!$A:$A,0)-1,MATCH("Abbr",Attributes!$1:$1,0)-1),"")</f>
        <v/>
      </c>
      <c r="F184" s="103" t="s">
        <v>43</v>
      </c>
      <c r="G184" s="124" t="s">
        <v>613</v>
      </c>
      <c r="H184" s="32" t="str">
        <f>FormatItemName(F184)</f>
        <v>|CFF8B66FF咒逐|R</v>
      </c>
      <c r="I184" s="32" t="str">
        <f>FormatItemName(G184)</f>
        <v>|CFF8B66FFAnathema|R</v>
      </c>
      <c r="J184" s="35" t="s">
        <v>571</v>
      </c>
      <c r="K184" s="95" t="str">
        <f t="shared" si="2"/>
        <v>8B66FF</v>
      </c>
    </row>
    <row r="185" spans="1:11" x14ac:dyDescent="0.25">
      <c r="A185" s="32">
        <v>21</v>
      </c>
      <c r="B185" s="32">
        <v>90</v>
      </c>
      <c r="C185" s="32">
        <v>150</v>
      </c>
      <c r="D185" s="144">
        <f ca="1">OFFSET(Attributes!$A$1,MATCH(Rare!$A185,Attributes!$A:$A,0)-1,MATCH("Type",Attributes!$1:$1,0)-1)</f>
        <v>1</v>
      </c>
      <c r="E185" s="144" t="str">
        <f ca="1">IFERROR(OFFSET(Attributes!$A$1,MATCH(Rare!$A185,Attributes!$A:$A,0)-1,MATCH("Abbr",Attributes!$1:$1,0)-1),"")</f>
        <v>HP</v>
      </c>
      <c r="F185" s="84" t="str">
        <f ca="1">SUBSTITUTE(OFFSET(Attributes!$A$1,MATCH($A185,Attributes!$A:$A,0)-1,MATCH("Attr CN",Attributes!$1:$1,0)-1),"#",$B185*$B$1&amp;"-"&amp;$C185*$B$1)</f>
        <v>+270-450生命上限</v>
      </c>
      <c r="G185" s="97" t="str">
        <f ca="1">SUBSTITUTE(OFFSET(Attributes!$A$1,MATCH($A185,Attributes!$A:$A,0)-1,MATCH("Attr EN",Attributes!$1:$1,0)-1),"#",$B185*$B$1&amp;"-"&amp;$C185*$B$1)</f>
        <v>+270-450 Max HP</v>
      </c>
      <c r="H185" s="32" t="str">
        <f ca="1">FormatItemDescription(F184:F190)</f>
        <v>|CFF8B66FFRare|R|N+270-450生命上限|N+30-45法术强度|N+0.06-0.09法术急速|N+0.06-0.09法术暴击|N精髓榨取能让目标身上的痛延长4.5-6秒|N|N|CFFFFDEAD在阴影前面，那是光。|R</v>
      </c>
      <c r="I185" s="32" t="str">
        <f ca="1">FormatItemDescription(G184:G190)</f>
        <v>|CFF8B66FFRare|R|N+270-450 Max HP|N+30-45 Spell power|N+0.06-0.09 Spell haste|N+0.06-0.09 Spell critical|N|CFF33FF33Marrow Squeeze extends the Pain on target by 4.5-6 seconds|R|N|N|CFFFFDEADBefore the shadows, it's light.|R</v>
      </c>
      <c r="J185" s="35" t="s">
        <v>571</v>
      </c>
      <c r="K185" s="95" t="str">
        <f t="shared" si="2"/>
        <v>FFFFFF</v>
      </c>
    </row>
    <row r="186" spans="1:11" x14ac:dyDescent="0.25">
      <c r="A186" s="32">
        <v>18</v>
      </c>
      <c r="B186" s="32">
        <v>10</v>
      </c>
      <c r="C186" s="32">
        <v>15</v>
      </c>
      <c r="D186" s="144">
        <f ca="1">OFFSET(Attributes!$A$1,MATCH(Rare!$A186,Attributes!$A:$A,0)-1,MATCH("Type",Attributes!$1:$1,0)-1)</f>
        <v>1</v>
      </c>
      <c r="E186" s="144" t="str">
        <f ca="1">IFERROR(OFFSET(Attributes!$A$1,MATCH(Rare!$A186,Attributes!$A:$A,0)-1,MATCH("Abbr",Attributes!$1:$1,0)-1),"")</f>
        <v>SP</v>
      </c>
      <c r="F186" s="84" t="str">
        <f ca="1">SUBSTITUTE(OFFSET(Attributes!$A$1,MATCH($A186,Attributes!$A:$A,0)-1,MATCH("Attr CN",Attributes!$1:$1,0)-1),"#",$B186*$B$1&amp;"-"&amp;$C186*$B$1)</f>
        <v>+30-45法术强度</v>
      </c>
      <c r="G186" s="97" t="str">
        <f ca="1">SUBSTITUTE(OFFSET(Attributes!$A$1,MATCH($A186,Attributes!$A:$A,0)-1,MATCH("Attr EN",Attributes!$1:$1,0)-1),"#",$B186*$B$1&amp;"-"&amp;$C186*$B$1)</f>
        <v>+30-45 Spell power</v>
      </c>
      <c r="H186" s="32" t="str">
        <f ca="1">FormatItemUbertip(F185:F190)</f>
        <v>+270-450生命上限|N+30-45法术强度|N+0.06-0.09法术急速|N+0.06-0.09法术暴击|N精髓榨取能让目标身上的痛延长4.5-6秒|N|N|CFFFFDEAD在阴影前面，那是光。|R</v>
      </c>
      <c r="I186" s="32" t="str">
        <f ca="1">FormatItemUbertip(G185:G190)</f>
        <v>+270-450 Max HP|N+30-45 Spell power|N+0.06-0.09 Spell haste|N+0.06-0.09 Spell critical|N|CFF33FF33Marrow Squeeze extends the Pain on target by 4.5-6 seconds|R|N|N|CFFFFDEADBefore the shadows, it's light.|R</v>
      </c>
      <c r="J186" s="35" t="s">
        <v>571</v>
      </c>
      <c r="K186" s="95" t="str">
        <f t="shared" si="2"/>
        <v>FFFFFF</v>
      </c>
    </row>
    <row r="187" spans="1:11" x14ac:dyDescent="0.25">
      <c r="A187" s="32">
        <v>19</v>
      </c>
      <c r="B187" s="32">
        <v>0.02</v>
      </c>
      <c r="C187" s="32">
        <v>0.03</v>
      </c>
      <c r="D187" s="144">
        <f ca="1">OFFSET(Attributes!$A$1,MATCH(Rare!$A187,Attributes!$A:$A,0)-1,MATCH("Type",Attributes!$1:$1,0)-1)</f>
        <v>1</v>
      </c>
      <c r="E187" s="144" t="str">
        <f ca="1">IFERROR(OFFSET(Attributes!$A$1,MATCH(Rare!$A187,Attributes!$A:$A,0)-1,MATCH("Abbr",Attributes!$1:$1,0)-1),"")</f>
        <v>SHASTE</v>
      </c>
      <c r="F187" s="84" t="str">
        <f ca="1">SUBSTITUTE(OFFSET(Attributes!$A$1,MATCH($A187,Attributes!$A:$A,0)-1,MATCH("Attr CN",Attributes!$1:$1,0)-1),"#",$B187*$B$1&amp;"-"&amp;$C187*$B$1)</f>
        <v>+0.06-0.09法术急速</v>
      </c>
      <c r="G187" s="97" t="str">
        <f ca="1">SUBSTITUTE(OFFSET(Attributes!$A$1,MATCH($A187,Attributes!$A:$A,0)-1,MATCH("Attr EN",Attributes!$1:$1,0)-1),"#",$B187*$B$1&amp;"-"&amp;$C187*$B$1)</f>
        <v>+0.06-0.09 Spell haste</v>
      </c>
      <c r="H187" s="33"/>
      <c r="I187" s="33"/>
      <c r="J187" s="35" t="s">
        <v>571</v>
      </c>
      <c r="K187" s="95" t="str">
        <f t="shared" si="2"/>
        <v>FFFFFF</v>
      </c>
    </row>
    <row r="188" spans="1:11" x14ac:dyDescent="0.25">
      <c r="A188" s="32">
        <v>20</v>
      </c>
      <c r="B188" s="32">
        <v>0.02</v>
      </c>
      <c r="C188" s="32">
        <v>0.03</v>
      </c>
      <c r="D188" s="144">
        <f ca="1">OFFSET(Attributes!$A$1,MATCH(Rare!$A188,Attributes!$A:$A,0)-1,MATCH("Type",Attributes!$1:$1,0)-1)</f>
        <v>1</v>
      </c>
      <c r="E188" s="144" t="str">
        <f ca="1">IFERROR(OFFSET(Attributes!$A$1,MATCH(Rare!$A188,Attributes!$A:$A,0)-1,MATCH("Abbr",Attributes!$1:$1,0)-1),"")</f>
        <v>SCRIT</v>
      </c>
      <c r="F188" s="84" t="str">
        <f ca="1">SUBSTITUTE(OFFSET(Attributes!$A$1,MATCH($A188,Attributes!$A:$A,0)-1,MATCH("Attr CN",Attributes!$1:$1,0)-1),"#",$B188*$B$1&amp;"-"&amp;$C188*$B$1)</f>
        <v>+0.06-0.09法术暴击</v>
      </c>
      <c r="G188" s="97" t="str">
        <f ca="1">SUBSTITUTE(OFFSET(Attributes!$A$1,MATCH($A188,Attributes!$A:$A,0)-1,MATCH("Attr EN",Attributes!$1:$1,0)-1),"#",$B188*$B$1&amp;"-"&amp;$C188*$B$1)</f>
        <v>+0.06-0.09 Spell critical</v>
      </c>
      <c r="H188" s="33"/>
      <c r="I188" s="33"/>
      <c r="J188" s="35" t="s">
        <v>571</v>
      </c>
      <c r="K188" s="95" t="str">
        <f t="shared" si="2"/>
        <v>FFFFFF</v>
      </c>
    </row>
    <row r="189" spans="1:11" ht="28.5" x14ac:dyDescent="0.25">
      <c r="A189" s="32">
        <v>81</v>
      </c>
      <c r="B189" s="32">
        <v>1.5</v>
      </c>
      <c r="C189" s="32">
        <v>2</v>
      </c>
      <c r="D189" s="144">
        <f ca="1">OFFSET(Attributes!$A$1,MATCH(Rare!$A189,Attributes!$A:$A,0)-1,MATCH("Type",Attributes!$1:$1,0)-1)</f>
        <v>2</v>
      </c>
      <c r="E189" s="144" t="str">
        <f ca="1">IFERROR(OFFSET(Attributes!$A$1,MATCH(Rare!$A189,Attributes!$A:$A,0)-1,MATCH("Abbr",Attributes!$1:$1,0)-1),"")</f>
        <v>CT_PAIN</v>
      </c>
      <c r="F189" s="84" t="str">
        <f ca="1">SUBSTITUTE(OFFSET(Attributes!$A$1,MATCH($A189,Attributes!$A:$A,0)-1,MATCH("Attr CN",Attributes!$1:$1,0)-1),"#",$B189*$B$1&amp;"-"&amp;$C189*$B$1)</f>
        <v>精髓榨取能让目标身上的痛延长4.5-6秒</v>
      </c>
      <c r="G189" s="128" t="str">
        <f ca="1">SUBSTITUTE(OFFSET(Attributes!$A$1,MATCH($A189,Attributes!$A:$A,0)-1,MATCH("Attr EN",Attributes!$1:$1,0)-1),"#",$B189*$B$1&amp;"-"&amp;$C189*$B$1)</f>
        <v>Marrow Squeeze extends the Pain on target by 4.5-6 seconds</v>
      </c>
      <c r="H189" s="33"/>
      <c r="I189" s="33"/>
      <c r="J189" s="35" t="s">
        <v>571</v>
      </c>
      <c r="K189" s="95" t="str">
        <f t="shared" si="2"/>
        <v>33FF33</v>
      </c>
    </row>
    <row r="190" spans="1:11" x14ac:dyDescent="0.25">
      <c r="E190" s="144" t="str">
        <f ca="1">IFERROR(OFFSET(Attributes!$A$1,MATCH(Rare!$A190,Attributes!$A:$A,0)-1,MATCH("Abbr",Attributes!$1:$1,0)-1),"")</f>
        <v/>
      </c>
      <c r="F190" s="88" t="s">
        <v>44</v>
      </c>
      <c r="G190" s="98" t="s">
        <v>614</v>
      </c>
      <c r="H190" s="33"/>
      <c r="I190" s="33"/>
      <c r="J190" s="35" t="s">
        <v>571</v>
      </c>
      <c r="K190" s="95" t="str">
        <f t="shared" si="2"/>
        <v>FFDEAD</v>
      </c>
    </row>
    <row r="191" spans="1:11" x14ac:dyDescent="0.25">
      <c r="E191" s="144" t="str">
        <f ca="1">IFERROR(OFFSET(Attributes!$A$1,MATCH(Rare!$A191,Attributes!$A:$A,0)-1,MATCH("Abbr",Attributes!$1:$1,0)-1),"")</f>
        <v/>
      </c>
      <c r="F191" s="106"/>
      <c r="G191" s="127"/>
      <c r="H191" s="33"/>
      <c r="I191" s="33"/>
      <c r="J191" s="35" t="s">
        <v>571</v>
      </c>
      <c r="K191" s="95" t="str">
        <f t="shared" si="2"/>
        <v>9900FF</v>
      </c>
    </row>
    <row r="192" spans="1:11" x14ac:dyDescent="0.25">
      <c r="E192" s="144" t="str">
        <f ca="1">IFERROR(OFFSET(Attributes!$A$1,MATCH(Rare!$A192,Attributes!$A:$A,0)-1,MATCH("Abbr",Attributes!$1:$1,0)-1),"")</f>
        <v/>
      </c>
      <c r="F192" s="103" t="s">
        <v>45</v>
      </c>
      <c r="G192" s="124" t="s">
        <v>615</v>
      </c>
      <c r="H192" s="32" t="str">
        <f>FormatItemName(F192)</f>
        <v>|CFF8B66FF罕见的雷电花芯|R</v>
      </c>
      <c r="I192" s="32" t="str">
        <f>FormatItemName(G192)</f>
        <v>|CFF8B66FFRare Shimmer Weed|R</v>
      </c>
      <c r="J192" s="35" t="s">
        <v>571</v>
      </c>
      <c r="K192" s="95" t="str">
        <f t="shared" si="2"/>
        <v>8B66FF</v>
      </c>
    </row>
    <row r="193" spans="1:11" x14ac:dyDescent="0.25">
      <c r="A193" s="32">
        <v>7</v>
      </c>
      <c r="B193" s="32">
        <v>3</v>
      </c>
      <c r="C193" s="32">
        <v>4</v>
      </c>
      <c r="D193" s="144">
        <f ca="1">OFFSET(Attributes!$A$1,MATCH(Rare!$A193,Attributes!$A:$A,0)-1,MATCH("Type",Attributes!$1:$1,0)-1)</f>
        <v>1</v>
      </c>
      <c r="E193" s="144" t="str">
        <f ca="1">IFERROR(OFFSET(Attributes!$A$1,MATCH(Rare!$A193,Attributes!$A:$A,0)-1,MATCH("Abbr",Attributes!$1:$1,0)-1),"")</f>
        <v>ALLSTAT</v>
      </c>
      <c r="F193" s="84" t="str">
        <f ca="1">SUBSTITUTE(OFFSET(Attributes!$A$1,MATCH($A193,Attributes!$A:$A,0)-1,MATCH("Attr CN",Attributes!$1:$1,0)-1),"#",$B193*$B$1&amp;"-"&amp;$C193*$B$1)</f>
        <v>+9-12所有属性</v>
      </c>
      <c r="G193" s="97" t="str">
        <f ca="1">SUBSTITUTE(OFFSET(Attributes!$A$1,MATCH($A193,Attributes!$A:$A,0)-1,MATCH("Attr EN",Attributes!$1:$1,0)-1),"#",$B193*$B$1&amp;"-"&amp;$C193*$B$1)</f>
        <v>+9-12 All stats</v>
      </c>
      <c r="H193" s="32" t="str">
        <f ca="1">FormatItemDescription(F192:F198)</f>
        <v>|CFF8B66FFRare|R|N+9-12所有属性|N+30-36法术强度|N+15-18%攻击速度|N+0.06-0.12法术急速|N风暴打击有0.03-0.09额外的几率冷却大地震击|N|N|CFFFFDEAD采自雷霆山，这颗雷电花芯似乎拥有真正的雷电能量。|R</v>
      </c>
      <c r="I193" s="32" t="str">
        <f ca="1">FormatItemDescription(G192:G198)</f>
        <v>|CFF8B66FFRare|R|N+9-12 All stats|N+30-36 Spell power|N+15-18% Attack speed|N+0.06-0.12 Spell haste|N|CFF33FF33Storm Lash has 0.03-0.09 extra chance to cooldown Earth Shock (unique)|R|N|N|CFFFFDEADGathered from Thunder Mountain, this shimmer weed seems to have real thunder energy.|R</v>
      </c>
      <c r="J193" s="35" t="s">
        <v>571</v>
      </c>
      <c r="K193" s="95" t="str">
        <f t="shared" si="2"/>
        <v>FFFFFF</v>
      </c>
    </row>
    <row r="194" spans="1:11" x14ac:dyDescent="0.25">
      <c r="A194" s="32">
        <v>18</v>
      </c>
      <c r="B194" s="32">
        <v>10</v>
      </c>
      <c r="C194" s="32">
        <v>12</v>
      </c>
      <c r="D194" s="144">
        <f ca="1">OFFSET(Attributes!$A$1,MATCH(Rare!$A194,Attributes!$A:$A,0)-1,MATCH("Type",Attributes!$1:$1,0)-1)</f>
        <v>1</v>
      </c>
      <c r="E194" s="144" t="str">
        <f ca="1">IFERROR(OFFSET(Attributes!$A$1,MATCH(Rare!$A194,Attributes!$A:$A,0)-1,MATCH("Abbr",Attributes!$1:$1,0)-1),"")</f>
        <v>SP</v>
      </c>
      <c r="F194" s="84" t="str">
        <f ca="1">SUBSTITUTE(OFFSET(Attributes!$A$1,MATCH($A194,Attributes!$A:$A,0)-1,MATCH("Attr CN",Attributes!$1:$1,0)-1),"#",$B194*$B$1&amp;"-"&amp;$C194*$B$1)</f>
        <v>+30-36法术强度</v>
      </c>
      <c r="G194" s="97" t="str">
        <f ca="1">SUBSTITUTE(OFFSET(Attributes!$A$1,MATCH($A194,Attributes!$A:$A,0)-1,MATCH("Attr EN",Attributes!$1:$1,0)-1),"#",$B194*$B$1&amp;"-"&amp;$C194*$B$1)</f>
        <v>+30-36 Spell power</v>
      </c>
      <c r="H194" s="32" t="str">
        <f ca="1">FormatItemUbertip(F193:F198)</f>
        <v>+9-12所有属性|N+30-36法术强度|N+15-18%攻击速度|N+0.06-0.12法术急速|N风暴打击有0.03-0.09额外的几率冷却大地震击|N|N|CFFFFDEAD采自雷霆山，这颗雷电花芯似乎拥有真正的雷电能量。|R</v>
      </c>
      <c r="I194" s="32" t="str">
        <f ca="1">FormatItemUbertip(G193:G198)</f>
        <v>+9-12 All stats|N+30-36 Spell power|N+15-18% Attack speed|N+0.06-0.12 Spell haste|N|CFF33FF33Storm Lash has 0.03-0.09 extra chance to cooldown Earth Shock (unique)|R|N|N|CFFFFDEADGathered from Thunder Mountain, this shimmer weed seems to have real thunder energy.|R</v>
      </c>
      <c r="J194" s="35" t="s">
        <v>571</v>
      </c>
      <c r="K194" s="95" t="str">
        <f t="shared" si="2"/>
        <v>FFFFFF</v>
      </c>
    </row>
    <row r="195" spans="1:11" x14ac:dyDescent="0.25">
      <c r="A195" s="32">
        <v>12</v>
      </c>
      <c r="B195" s="32">
        <v>5</v>
      </c>
      <c r="C195" s="32">
        <v>6</v>
      </c>
      <c r="D195" s="144">
        <f ca="1">OFFSET(Attributes!$A$1,MATCH(Rare!$A195,Attributes!$A:$A,0)-1,MATCH("Type",Attributes!$1:$1,0)-1)</f>
        <v>1</v>
      </c>
      <c r="E195" s="144" t="str">
        <f ca="1">IFERROR(OFFSET(Attributes!$A$1,MATCH(Rare!$A195,Attributes!$A:$A,0)-1,MATCH("Abbr",Attributes!$1:$1,0)-1),"")</f>
        <v>IAS</v>
      </c>
      <c r="F195" s="84" t="str">
        <f ca="1">SUBSTITUTE(OFFSET(Attributes!$A$1,MATCH($A195,Attributes!$A:$A,0)-1,MATCH("Attr CN",Attributes!$1:$1,0)-1),"#",$B195*$B$1&amp;"-"&amp;$C195*$B$1)</f>
        <v>+15-18%攻击速度</v>
      </c>
      <c r="G195" s="97" t="str">
        <f ca="1">SUBSTITUTE(OFFSET(Attributes!$A$1,MATCH($A195,Attributes!$A:$A,0)-1,MATCH("Attr EN",Attributes!$1:$1,0)-1),"#",$B195*$B$1&amp;"-"&amp;$C195*$B$1)</f>
        <v>+15-18% Attack speed</v>
      </c>
      <c r="H195" s="33"/>
      <c r="I195" s="33"/>
      <c r="J195" s="35" t="s">
        <v>571</v>
      </c>
      <c r="K195" s="95" t="str">
        <f t="shared" si="2"/>
        <v>FFFFFF</v>
      </c>
    </row>
    <row r="196" spans="1:11" x14ac:dyDescent="0.25">
      <c r="A196" s="32">
        <v>19</v>
      </c>
      <c r="B196" s="32">
        <v>0.02</v>
      </c>
      <c r="C196" s="32">
        <v>0.04</v>
      </c>
      <c r="D196" s="144">
        <f ca="1">OFFSET(Attributes!$A$1,MATCH(Rare!$A196,Attributes!$A:$A,0)-1,MATCH("Type",Attributes!$1:$1,0)-1)</f>
        <v>1</v>
      </c>
      <c r="E196" s="144" t="str">
        <f ca="1">IFERROR(OFFSET(Attributes!$A$1,MATCH(Rare!$A196,Attributes!$A:$A,0)-1,MATCH("Abbr",Attributes!$1:$1,0)-1),"")</f>
        <v>SHASTE</v>
      </c>
      <c r="F196" s="84" t="str">
        <f ca="1">SUBSTITUTE(OFFSET(Attributes!$A$1,MATCH($A196,Attributes!$A:$A,0)-1,MATCH("Attr CN",Attributes!$1:$1,0)-1),"#",$B196*$B$1&amp;"-"&amp;$C196*$B$1)</f>
        <v>+0.06-0.12法术急速</v>
      </c>
      <c r="G196" s="97" t="str">
        <f ca="1">SUBSTITUTE(OFFSET(Attributes!$A$1,MATCH($A196,Attributes!$A:$A,0)-1,MATCH("Attr EN",Attributes!$1:$1,0)-1),"#",$B196*$B$1&amp;"-"&amp;$C196*$B$1)</f>
        <v>+0.06-0.12 Spell haste</v>
      </c>
      <c r="H196" s="33"/>
      <c r="I196" s="33"/>
      <c r="J196" s="35" t="s">
        <v>571</v>
      </c>
      <c r="K196" s="95" t="str">
        <f t="shared" ref="K196:K198" si="3">GetCellColorHEX(G196)</f>
        <v>FFFFFF</v>
      </c>
    </row>
    <row r="197" spans="1:11" ht="28.5" x14ac:dyDescent="0.25">
      <c r="A197" s="32">
        <v>93</v>
      </c>
      <c r="B197" s="32">
        <v>0.01</v>
      </c>
      <c r="C197" s="32">
        <v>0.03</v>
      </c>
      <c r="D197" s="144">
        <f ca="1">OFFSET(Attributes!$A$1,MATCH(Rare!$A197,Attributes!$A:$A,0)-1,MATCH("Type",Attributes!$1:$1,0)-1)</f>
        <v>2</v>
      </c>
      <c r="E197" s="144" t="str">
        <f ca="1">IFERROR(OFFSET(Attributes!$A$1,MATCH(Rare!$A197,Attributes!$A:$A,0)-1,MATCH("Abbr",Attributes!$1:$1,0)-1),"")</f>
        <v>SM_LASH</v>
      </c>
      <c r="F197" s="84" t="str">
        <f ca="1">SUBSTITUTE(OFFSET(Attributes!$A$1,MATCH($A197,Attributes!$A:$A,0)-1,MATCH("Attr CN",Attributes!$1:$1,0)-1),"#",$B197*$B$1&amp;"-"&amp;$C197*$B$1)</f>
        <v>风暴打击有0.03-0.09额外的几率冷却大地震击</v>
      </c>
      <c r="G197" s="128" t="str">
        <f ca="1">SUBSTITUTE(OFFSET(Attributes!$A$1,MATCH($A197,Attributes!$A:$A,0)-1,MATCH("Attr EN",Attributes!$1:$1,0)-1),"#",$B197*$B$1&amp;"-"&amp;$C197*$B$1)</f>
        <v>Storm Lash has 0.03-0.09 extra chance to cooldown Earth Shock (unique)</v>
      </c>
      <c r="H197" s="33"/>
      <c r="I197" s="33"/>
      <c r="J197" s="35" t="s">
        <v>571</v>
      </c>
      <c r="K197" s="95" t="str">
        <f t="shared" si="3"/>
        <v>33FF33</v>
      </c>
    </row>
    <row r="198" spans="1:11" ht="28.5" x14ac:dyDescent="0.25">
      <c r="F198" s="88" t="s">
        <v>46</v>
      </c>
      <c r="G198" s="98" t="s">
        <v>616</v>
      </c>
      <c r="H198" s="34"/>
      <c r="I198" s="34"/>
      <c r="J198" s="35" t="s">
        <v>571</v>
      </c>
      <c r="K198" s="95" t="str">
        <f t="shared" si="3"/>
        <v>FFDEAD</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197"/>
  <sheetViews>
    <sheetView workbookViewId="0">
      <pane ySplit="2" topLeftCell="A42" activePane="bottomLeft" state="frozen"/>
      <selection pane="bottomLeft" activeCell="F54" sqref="F54"/>
    </sheetView>
  </sheetViews>
  <sheetFormatPr defaultColWidth="14.42578125" defaultRowHeight="17.25" x14ac:dyDescent="0.35"/>
  <cols>
    <col min="1" max="1" width="7.42578125" style="82" bestFit="1" customWidth="1"/>
    <col min="2" max="3" width="5" style="82" bestFit="1" customWidth="1"/>
    <col min="4" max="4" width="50.7109375" style="89" hidden="1" customWidth="1"/>
    <col min="5" max="5" width="50.7109375" style="140" customWidth="1"/>
    <col min="6" max="7" width="30.7109375" style="82" customWidth="1"/>
    <col min="8" max="8" width="60.7109375" style="94" bestFit="1" customWidth="1"/>
    <col min="9" max="9" width="4.140625" style="70" bestFit="1" customWidth="1"/>
    <col min="10" max="16384" width="14.42578125" style="68"/>
  </cols>
  <sheetData>
    <row r="1" spans="1:10" s="70" customFormat="1" x14ac:dyDescent="0.35">
      <c r="A1" s="91" t="s">
        <v>631</v>
      </c>
      <c r="B1" s="78">
        <v>3</v>
      </c>
      <c r="C1" s="78"/>
      <c r="D1" s="79"/>
      <c r="E1" s="132"/>
      <c r="H1" s="93"/>
    </row>
    <row r="2" spans="1:10" s="70" customFormat="1" x14ac:dyDescent="0.35">
      <c r="A2" s="92" t="s">
        <v>738</v>
      </c>
      <c r="B2" s="80" t="s">
        <v>739</v>
      </c>
      <c r="C2" s="80" t="s">
        <v>740</v>
      </c>
      <c r="D2" s="81" t="s">
        <v>736</v>
      </c>
      <c r="E2" s="133" t="s">
        <v>737</v>
      </c>
      <c r="H2" s="93" t="s">
        <v>784</v>
      </c>
    </row>
    <row r="3" spans="1:10" x14ac:dyDescent="0.35">
      <c r="D3" s="83" t="s">
        <v>54</v>
      </c>
      <c r="E3" s="134" t="s">
        <v>525</v>
      </c>
      <c r="F3" s="82" t="str">
        <f>FormatItemName(D3)</f>
        <v>|CFFFF8C00战斗召唤|R</v>
      </c>
      <c r="G3" s="82" t="str">
        <f>FormatItemName(E3)</f>
        <v>|CFFFF8C00Call To Arms|R</v>
      </c>
      <c r="I3" s="70" t="s">
        <v>571</v>
      </c>
    </row>
    <row r="4" spans="1:10" x14ac:dyDescent="0.35">
      <c r="A4" s="82">
        <v>9</v>
      </c>
      <c r="B4" s="82">
        <v>10</v>
      </c>
      <c r="C4" s="82">
        <v>15</v>
      </c>
      <c r="D4" s="84" t="str">
        <f ca="1">SUBSTITUTE(OFFSET(Attributes!$A$1,MATCH($A4,Attributes!$A:$A,0)-1,MATCH("Attr CN",Attributes!$1:$1,0)-1),"#",$B4*$B$1&amp;"-"&amp;$C4*$B$1)</f>
        <v>+30-45攻击强度</v>
      </c>
      <c r="E4" s="135" t="str">
        <f ca="1">SUBSTITUTE(OFFSET(Attributes!$A$1,MATCH($A4,Attributes!$A:$A,0)-1,MATCH("Attr EN",Attributes!$1:$1,0)-1),"#",$B4*$B$1&amp;"-"&amp;$C4*$B$1)</f>
        <v>+30-45 Attack power</v>
      </c>
      <c r="F4" s="82" t="str">
        <f>FormatItemDescription(D3:D11)</f>
        <v>|CFFFF8C00Legendary|R|N|CFFFFDEAD撒卡兰姆在被流放的时候，曾领导一支佣兵队伍，他正是靠着这把战斗召唤和圣盾带领着兄弟们踏过无数敌人的尸体。|R</v>
      </c>
      <c r="G4" s="82" t="str">
        <f>FormatItemDescription(E3:E11)</f>
        <v>|CFFFF8C00Legendary|R|N|CFFFFDEADWhen Zakarum was exiled, he led a mercenary team. It is this very battle axe and his Holy Shield that lead his brothers through the bodies of countless enemies.|R</v>
      </c>
      <c r="H4" s="94" t="s">
        <v>785</v>
      </c>
      <c r="I4" s="70" t="s">
        <v>571</v>
      </c>
    </row>
    <row r="5" spans="1:10" x14ac:dyDescent="0.35">
      <c r="A5" s="82">
        <v>18</v>
      </c>
      <c r="B5" s="82">
        <v>12</v>
      </c>
      <c r="C5" s="82">
        <v>18</v>
      </c>
      <c r="D5" s="84" t="str">
        <f ca="1">SUBSTITUTE(OFFSET(Attributes!$A$1,MATCH($A5,Attributes!$A:$A,0)-1,MATCH("Attr CN",Attributes!$1:$1,0)-1),"#",$B5*$B$1&amp;"-"&amp;$C5*$B$1)</f>
        <v>+36-54法术强度</v>
      </c>
      <c r="E5" s="135" t="str">
        <f ca="1">SUBSTITUTE(OFFSET(Attributes!$A$1,MATCH($A5,Attributes!$A:$A,0)-1,MATCH("Attr EN",Attributes!$1:$1,0)-1),"#",$B5*$B$1&amp;"-"&amp;$C5*$B$1)</f>
        <v>+36-54 Spell power</v>
      </c>
      <c r="F5" s="82"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82"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94" t="s">
        <v>786</v>
      </c>
      <c r="I5" s="70" t="s">
        <v>571</v>
      </c>
    </row>
    <row r="6" spans="1:10" x14ac:dyDescent="0.35">
      <c r="A6" s="82">
        <v>73</v>
      </c>
      <c r="B6" s="82">
        <v>10</v>
      </c>
      <c r="C6" s="82">
        <v>17</v>
      </c>
      <c r="D6" s="84" t="str">
        <f ca="1">SUBSTITUTE(OFFSET(Attributes!$A$1,MATCH($A6,Attributes!$A:$A,0)-1,MATCH("Attr CN",Attributes!$1:$1,0)-1),"#",$B6*$B$1&amp;"-"&amp;$C6*$B$1)</f>
        <v>每秒回复30-51点生命值</v>
      </c>
      <c r="E6" s="135" t="str">
        <f ca="1">SUBSTITUTE(OFFSET(Attributes!$A$1,MATCH($A6,Attributes!$A:$A,0)-1,MATCH("Attr EN",Attributes!$1:$1,0)-1),"#",$B6*$B$1&amp;"-"&amp;$C6*$B$1)</f>
        <v>Regens 30-51 HP per second</v>
      </c>
      <c r="H6" s="94" t="s">
        <v>787</v>
      </c>
      <c r="I6" s="70" t="s">
        <v>571</v>
      </c>
    </row>
    <row r="7" spans="1:10" x14ac:dyDescent="0.35">
      <c r="A7" s="82">
        <v>57</v>
      </c>
      <c r="B7" s="82">
        <v>20</v>
      </c>
      <c r="C7" s="82">
        <v>40</v>
      </c>
      <c r="D7" s="85" t="str">
        <f ca="1">SUBSTITUTE(OFFSET(Attributes!$A$1,MATCH($A7,Attributes!$A:$A,0)-1,MATCH("Attr CN",Attributes!$1:$1,0)-1),"#",$B7*$B$1&amp;"-"&amp;$C7*$B$1)</f>
        <v>攻击附加60-120点法术伤害</v>
      </c>
      <c r="E7" s="136" t="str">
        <f ca="1">SUBSTITUTE(OFFSET(Attributes!$A$1,MATCH($A7,Attributes!$A:$A,0)-1,MATCH("Attr EN",Attributes!$1:$1,0)-1),"#",$B7*$B$1&amp;"-"&amp;$C7*$B$1)</f>
        <v>Deals 60-120 extra magic damage per hit</v>
      </c>
      <c r="F7" s="86"/>
      <c r="G7" s="86"/>
      <c r="H7" s="94" t="s">
        <v>788</v>
      </c>
      <c r="I7" s="70" t="s">
        <v>571</v>
      </c>
    </row>
    <row r="8" spans="1:10" x14ac:dyDescent="0.35">
      <c r="A8" s="82">
        <v>45</v>
      </c>
      <c r="B8" s="82">
        <v>0.03</v>
      </c>
      <c r="C8" s="82">
        <v>0.05</v>
      </c>
      <c r="D8" s="85" t="str">
        <f ca="1">SUBSTITUTE(OFFSET(Attributes!$A$1,MATCH($A8,Attributes!$A:$A,0)-1,MATCH("Attr CN",Attributes!$1:$1,0)-1),"#",$B8*$B$1&amp;"-"&amp;$C8*$B$1)</f>
        <v>攻击汲取0.09-0.15生命和法力</v>
      </c>
      <c r="E8" s="136" t="str">
        <f ca="1">SUBSTITUTE(OFFSET(Attributes!$A$1,MATCH($A8,Attributes!$A:$A,0)-1,MATCH("Attr EN",Attributes!$1:$1,0)-1),"#",$B8*$B$1&amp;"-"&amp;$C8*$B$1)</f>
        <v>+0.09-0.15 Life and mana stolen per hit</v>
      </c>
      <c r="F8" s="86"/>
      <c r="G8" s="86"/>
      <c r="H8" s="94" t="s">
        <v>789</v>
      </c>
      <c r="I8" s="70" t="s">
        <v>571</v>
      </c>
    </row>
    <row r="9" spans="1:10" ht="51.75" x14ac:dyDescent="0.35">
      <c r="A9" s="82">
        <v>29</v>
      </c>
      <c r="B9" s="82">
        <v>0.06</v>
      </c>
      <c r="C9" s="82">
        <v>0.12</v>
      </c>
      <c r="D9" s="85" t="str">
        <f ca="1">SUBSTITUTE(OFFSET(Attributes!$A$1,MATCH($A9,Attributes!$A:$A,0)-1,MATCH("Attr CN",Attributes!$1:$1,0)-1),"#",$B9*$B$1&amp;"-"&amp;$C9*$B$1)</f>
        <v>使用：命令怒吼，提升附近900码范围内所有友军的最大生命值0.18-0.36，持续75秒</v>
      </c>
      <c r="E9" s="137" t="str">
        <f ca="1">SUBSTITUTE(OFFSET(Attributes!$A$1,MATCH($A9,Attributes!$A:$A,0)-1,MATCH("Attr EN",Attributes!$1:$1,0)-1),"#",$B9*$B$1&amp;"-"&amp;$C9*$B$1)</f>
        <v>Use: Battle Orders, increases 0.18-0.36 max HP to all allies within 900 yards, lasts for 75 seconds</v>
      </c>
      <c r="F9" s="86"/>
      <c r="G9" s="86"/>
      <c r="H9" s="94" t="s">
        <v>790</v>
      </c>
      <c r="I9" s="70" t="s">
        <v>571</v>
      </c>
    </row>
    <row r="10" spans="1:10" x14ac:dyDescent="0.35">
      <c r="D10" s="87" t="s">
        <v>56</v>
      </c>
      <c r="E10" s="138" t="s">
        <v>521</v>
      </c>
      <c r="I10" s="70" t="s">
        <v>571</v>
      </c>
    </row>
    <row r="11" spans="1:10" ht="69" x14ac:dyDescent="0.35">
      <c r="D11" s="88" t="s">
        <v>57</v>
      </c>
      <c r="E11" s="139" t="s">
        <v>526</v>
      </c>
      <c r="I11" s="70" t="s">
        <v>571</v>
      </c>
    </row>
    <row r="12" spans="1:10" x14ac:dyDescent="0.35">
      <c r="H12" s="94" t="s">
        <v>845</v>
      </c>
      <c r="I12" s="70" t="s">
        <v>571</v>
      </c>
    </row>
    <row r="13" spans="1:10" x14ac:dyDescent="0.35">
      <c r="D13" s="83" t="s">
        <v>73</v>
      </c>
      <c r="E13" s="134" t="s">
        <v>527</v>
      </c>
      <c r="F13" s="82" t="str">
        <f>FormatItemName(D13)</f>
        <v>|CFFFF8C00烦恼诗集|R</v>
      </c>
      <c r="G13" s="82" t="str">
        <f>FormatItemName(E13)</f>
        <v>|CFFFF8C00Woestave|R</v>
      </c>
      <c r="I13" s="70" t="s">
        <v>571</v>
      </c>
    </row>
    <row r="14" spans="1:10" x14ac:dyDescent="0.35">
      <c r="A14" s="82">
        <v>9</v>
      </c>
      <c r="B14" s="82">
        <v>7</v>
      </c>
      <c r="C14" s="82">
        <v>21</v>
      </c>
      <c r="D14" s="84" t="str">
        <f ca="1">SUBSTITUTE(OFFSET(Attributes!$A$1,MATCH($A14,Attributes!$A:$A,0)-1,MATCH("Attr CN",Attributes!$1:$1,0)-1),"#",$B14*$B$1&amp;"-"&amp;$C14*$B$1)</f>
        <v>+21-63攻击强度</v>
      </c>
      <c r="E14" s="135" t="str">
        <f ca="1">SUBSTITUTE(OFFSET(Attributes!$A$1,MATCH($A14,Attributes!$A:$A,0)-1,MATCH("Attr EN",Attributes!$1:$1,0)-1),"#",$B14*$B$1&amp;"-"&amp;$C14*$B$1)</f>
        <v>+21-63 Attack power</v>
      </c>
      <c r="F14" s="82" t="str">
        <f>FormatItemDescription(D13:D21)</f>
        <v>|CFFFF8C00Legendary|R|N|CFFFFDEAD"似青苔悄然蔓延毫不经意,又如困兽走投无路歇斯底里"|R</v>
      </c>
      <c r="G14" s="82" t="str">
        <f>FormatItemDescription(E13:E21)</f>
        <v>|CFFFF8C00Legendary|R|N|CFFFFDEAD"Cause of the great plague."|R</v>
      </c>
      <c r="H14" s="94" t="s">
        <v>791</v>
      </c>
      <c r="I14" s="70" t="s">
        <v>571</v>
      </c>
    </row>
    <row r="15" spans="1:10" ht="34.5" x14ac:dyDescent="0.35">
      <c r="A15" s="82">
        <v>63</v>
      </c>
      <c r="B15" s="82">
        <v>0.01</v>
      </c>
      <c r="C15" s="82">
        <v>0.03</v>
      </c>
      <c r="D15" s="85" t="str">
        <f ca="1">SUBSTITUTE(OFFSET(Attributes!$A$1,MATCH($A15,Attributes!$A:$A,0)-1,MATCH("Attr CN",Attributes!$1:$1,0)-1),"#",$B15*$B$1&amp;"-"&amp;$C15*$B$1)</f>
        <v>命中：降低目标移动速度0.03-0.09</v>
      </c>
      <c r="E15" s="137" t="str">
        <f ca="1">SUBSTITUTE(OFFSET(Attributes!$A$1,MATCH($A15,Attributes!$A:$A,0)-1,MATCH("Attr EN",Attributes!$1:$1,0)-1),"#",$B15*$B$1&amp;"-"&amp;$C15*$B$1)</f>
        <v>On Attack: Decrease target movement speed by 0.03-0.09</v>
      </c>
      <c r="F15" s="82" t="str">
        <f ca="1">FormatItemUbertip(D14:D21)</f>
        <v>+21-63攻击强度|N|CFF33FF33命中：降低目标移动速度0.03-0.09|R|N|CFF33FF33命中：降低目标攻击速度0.06-0.12|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82" t="str">
        <f ca="1">FormatItemUbertip(E14:E20)</f>
        <v>+21-63 Attack power|N|CFF33FF33On Attack: Decrease target movement speed by 0.03-0.09|R|N|CFF33FF33On Attack: Decrease target attack speed by 0.06-0.12|R|N|CFF33FF33On Attack: Decrease target armor by 3-6|R|N|CFF33FF33On Attack: Decrease target attack hit chance by 0.09-0.12|R|N|CFF33FF33On Attack: Decrease target damage and healing dealt by 0.03-0.03|R|N|CFF33FF33On Attack: Decrease target healing taken by 0.33-0.51|R</v>
      </c>
      <c r="H15" s="94" t="s">
        <v>792</v>
      </c>
      <c r="I15" s="70" t="s">
        <v>571</v>
      </c>
      <c r="J15" s="82">
        <f ca="1">LEN(G15)</f>
        <v>422</v>
      </c>
    </row>
    <row r="16" spans="1:10" ht="34.5" x14ac:dyDescent="0.35">
      <c r="A16" s="82">
        <v>62</v>
      </c>
      <c r="B16" s="82">
        <v>0.02</v>
      </c>
      <c r="C16" s="82">
        <v>0.04</v>
      </c>
      <c r="D16" s="85" t="str">
        <f ca="1">SUBSTITUTE(OFFSET(Attributes!$A$1,MATCH($A16,Attributes!$A:$A,0)-1,MATCH("Attr CN",Attributes!$1:$1,0)-1),"#",$B16*$B$1&amp;"-"&amp;$C16*$B$1)</f>
        <v>命中：降低目标攻击速度0.06-0.12</v>
      </c>
      <c r="E16" s="137" t="str">
        <f ca="1">SUBSTITUTE(OFFSET(Attributes!$A$1,MATCH($A16,Attributes!$A:$A,0)-1,MATCH("Attr EN",Attributes!$1:$1,0)-1),"#",$B16*$B$1&amp;"-"&amp;$C16*$B$1)</f>
        <v>On Attack: Decrease target attack speed by 0.06-0.12</v>
      </c>
      <c r="F16" s="86"/>
      <c r="G16" s="86"/>
      <c r="H16" s="94" t="s">
        <v>793</v>
      </c>
      <c r="I16" s="70" t="s">
        <v>571</v>
      </c>
    </row>
    <row r="17" spans="1:9" x14ac:dyDescent="0.35">
      <c r="A17" s="82">
        <v>61</v>
      </c>
      <c r="B17" s="82">
        <v>1</v>
      </c>
      <c r="C17" s="82">
        <v>2</v>
      </c>
      <c r="D17" s="85" t="str">
        <f ca="1">SUBSTITUTE(OFFSET(Attributes!$A$1,MATCH($A17,Attributes!$A:$A,0)-1,MATCH("Attr CN",Attributes!$1:$1,0)-1),"#",$B17*$B$1&amp;"-"&amp;$C17*$B$1)</f>
        <v>命中：降低目标护甲3-6点</v>
      </c>
      <c r="E17" s="137" t="str">
        <f ca="1">SUBSTITUTE(OFFSET(Attributes!$A$1,MATCH($A17,Attributes!$A:$A,0)-1,MATCH("Attr EN",Attributes!$1:$1,0)-1),"#",$B17*$B$1&amp;"-"&amp;$C17*$B$1)</f>
        <v>On Attack: Decrease target armor by 3-6</v>
      </c>
      <c r="F17" s="86"/>
      <c r="G17" s="86"/>
      <c r="H17" s="94" t="s">
        <v>794</v>
      </c>
      <c r="I17" s="70" t="s">
        <v>571</v>
      </c>
    </row>
    <row r="18" spans="1:9" ht="34.5" x14ac:dyDescent="0.35">
      <c r="A18" s="82">
        <v>60</v>
      </c>
      <c r="B18" s="82">
        <v>0.03</v>
      </c>
      <c r="C18" s="82">
        <v>0.04</v>
      </c>
      <c r="D18" s="85" t="str">
        <f ca="1">SUBSTITUTE(OFFSET(Attributes!$A$1,MATCH($A18,Attributes!$A:$A,0)-1,MATCH("Attr CN",Attributes!$1:$1,0)-1),"#",$B18*$B$1&amp;"-"&amp;$C18*$B$1)</f>
        <v>命中：降低目标命中几率0.09-0.12</v>
      </c>
      <c r="E18" s="137" t="str">
        <f ca="1">SUBSTITUTE(OFFSET(Attributes!$A$1,MATCH($A18,Attributes!$A:$A,0)-1,MATCH("Attr EN",Attributes!$1:$1,0)-1),"#",$B18*$B$1&amp;"-"&amp;$C18*$B$1)</f>
        <v>On Attack: Decrease target attack hit chance by 0.09-0.12</v>
      </c>
      <c r="F18" s="86"/>
      <c r="G18" s="86" t="s">
        <v>1000</v>
      </c>
      <c r="H18" s="94" t="s">
        <v>795</v>
      </c>
      <c r="I18" s="70" t="s">
        <v>571</v>
      </c>
    </row>
    <row r="19" spans="1:9" ht="34.5" x14ac:dyDescent="0.35">
      <c r="A19" s="82">
        <v>64</v>
      </c>
      <c r="B19" s="82">
        <v>0.01</v>
      </c>
      <c r="C19" s="82">
        <v>0.01</v>
      </c>
      <c r="D19" s="85" t="str">
        <f ca="1">SUBSTITUTE(OFFSET(Attributes!$A$1,MATCH($A19,Attributes!$A:$A,0)-1,MATCH("Attr CN",Attributes!$1:$1,0)-1),"#",$B19*$B$1&amp;"-"&amp;$C19*$B$1)</f>
        <v>命中：降低目标造成的伤害和治疗0.03-0.03</v>
      </c>
      <c r="E19" s="137" t="str">
        <f ca="1">SUBSTITUTE(OFFSET(Attributes!$A$1,MATCH($A19,Attributes!$A:$A,0)-1,MATCH("Attr EN",Attributes!$1:$1,0)-1),"#",$B19*$B$1&amp;"-"&amp;$C19*$B$1)</f>
        <v>On Attack: Decrease target damage and healing dealt by 0.03-0.03</v>
      </c>
      <c r="F19" s="86"/>
      <c r="G19" s="86"/>
      <c r="H19" s="94" t="s">
        <v>796</v>
      </c>
      <c r="I19" s="70" t="s">
        <v>571</v>
      </c>
    </row>
    <row r="20" spans="1:9" ht="34.5" x14ac:dyDescent="0.35">
      <c r="A20" s="82">
        <v>59</v>
      </c>
      <c r="B20" s="82">
        <v>0.11</v>
      </c>
      <c r="C20" s="82">
        <v>0.17</v>
      </c>
      <c r="D20" s="85" t="str">
        <f ca="1">SUBSTITUTE(OFFSET(Attributes!$A$1,MATCH($A20,Attributes!$A:$A,0)-1,MATCH("Attr CN",Attributes!$1:$1,0)-1),"#",$B20*$B$1&amp;"-"&amp;$C20*$B$1)</f>
        <v>命中：降低目标受到的治疗0.33-0.51</v>
      </c>
      <c r="E20" s="137" t="str">
        <f ca="1">SUBSTITUTE(OFFSET(Attributes!$A$1,MATCH($A20,Attributes!$A:$A,0)-1,MATCH("Attr EN",Attributes!$1:$1,0)-1),"#",$B20*$B$1&amp;"-"&amp;$C20*$B$1)</f>
        <v>On Attack: Decrease target healing taken by 0.33-0.51</v>
      </c>
      <c r="F20" s="86"/>
      <c r="G20" s="86"/>
      <c r="H20" s="94" t="s">
        <v>797</v>
      </c>
      <c r="I20" s="70" t="s">
        <v>571</v>
      </c>
    </row>
    <row r="21" spans="1:9" x14ac:dyDescent="0.35">
      <c r="D21" s="88" t="s">
        <v>87</v>
      </c>
      <c r="E21" s="139" t="s">
        <v>528</v>
      </c>
      <c r="I21" s="70" t="s">
        <v>571</v>
      </c>
    </row>
    <row r="22" spans="1:9" x14ac:dyDescent="0.35">
      <c r="H22" s="94" t="s">
        <v>852</v>
      </c>
      <c r="I22" s="70" t="s">
        <v>571</v>
      </c>
    </row>
    <row r="23" spans="1:9" x14ac:dyDescent="0.35">
      <c r="D23" s="83" t="s">
        <v>91</v>
      </c>
      <c r="E23" s="134" t="s">
        <v>523</v>
      </c>
      <c r="F23" s="82" t="str">
        <f>FormatItemName(D23)</f>
        <v>|CFFFF8C00谜团|R</v>
      </c>
      <c r="G23" s="82" t="str">
        <f>FormatItemName(E23)</f>
        <v>|CFFFF8C00Enigma|R</v>
      </c>
      <c r="I23" s="70" t="s">
        <v>571</v>
      </c>
    </row>
    <row r="24" spans="1:9" x14ac:dyDescent="0.35">
      <c r="A24" s="82">
        <v>1</v>
      </c>
      <c r="B24" s="82">
        <v>0.01</v>
      </c>
      <c r="C24" s="82">
        <v>0.02</v>
      </c>
      <c r="D24" s="84" t="str">
        <f ca="1">SUBSTITUTE(OFFSET(Attributes!$A$1,MATCH($A24,Attributes!$A:$A,0)-1,MATCH("Attr CN",Attributes!$1:$1,0)-1),"#",$B24*$B$1&amp;"-"&amp;$C24*$B$1)</f>
        <v>-0.03-0.06受到的伤害</v>
      </c>
      <c r="E24" s="135" t="str">
        <f ca="1">SUBSTITUTE(OFFSET(Attributes!$A$1,MATCH($A24,Attributes!$A:$A,0)-1,MATCH("Attr EN",Attributes!$1:$1,0)-1),"#",$B24*$B$1&amp;"-"&amp;$C24*$B$1)</f>
        <v>-0.03-0.06 All damage taken</v>
      </c>
      <c r="F24" s="82" t="str">
        <f>FormatItemDescription(D23:D31)</f>
        <v>|CFFFF8C00Legendary|R|N|CFFFFDEAD不详。|R</v>
      </c>
      <c r="G24" s="82" t="str">
        <f>FormatItemDescription(E23:E31)</f>
        <v>|CFFFF8C00Legendary|R|N|CFFFFDEADNot recorded.|R</v>
      </c>
      <c r="H24" s="94" t="s">
        <v>798</v>
      </c>
      <c r="I24" s="70" t="s">
        <v>571</v>
      </c>
    </row>
    <row r="25" spans="1:9" x14ac:dyDescent="0.35">
      <c r="A25" s="82">
        <v>3</v>
      </c>
      <c r="B25" s="82">
        <v>0.01</v>
      </c>
      <c r="C25" s="82">
        <v>0.02</v>
      </c>
      <c r="D25" s="84" t="str">
        <f ca="1">SUBSTITUTE(OFFSET(Attributes!$A$1,MATCH($A25,Attributes!$A:$A,0)-1,MATCH("Attr CN",Attributes!$1:$1,0)-1),"#",$B25*$B$1&amp;"-"&amp;$C25*$B$1)</f>
        <v>+0.03-0.06伤害和治疗</v>
      </c>
      <c r="E25" s="135" t="str">
        <f ca="1">SUBSTITUTE(OFFSET(Attributes!$A$1,MATCH($A25,Attributes!$A:$A,0)-1,MATCH("Attr EN",Attributes!$1:$1,0)-1),"#",$B25*$B$1&amp;"-"&amp;$C25*$B$1)</f>
        <v>+0.03-0.06 Damage and healing dealt</v>
      </c>
      <c r="F25" s="82" t="str">
        <f ca="1">FormatItemUbertip(D24:D31)</f>
        <v>-0.03-0.06受到的伤害|N+0.03-0.06伤害和治疗|N+36-60移动速度|N+24-39力量|N|CFF33FF33从受到的伤害中回复0.03-0.06的法力值|R|N|CFF33FF33使用：传送到一个友军身后0-0|R|N|N|CFFFFCC00历史|R|N|CFFFFDEAD不详。|R</v>
      </c>
      <c r="G25" s="82" t="str">
        <f ca="1">FormatItemUbertip(E24:E31)</f>
        <v>-0.03-0.06 All damage taken|N+0.03-0.06 Damage and healing dealt|N+36-60 Movement speed|N+24-39 Strength|N|CFF33FF33Regens MP from 0.03-0.06 of the damage taken|R|N|CFF87CEEBUse: Teleports to an ally0-0|R|N|N|CFFFFCC00Lore|R|N|CFFFFDEADNot recorded.|R</v>
      </c>
      <c r="H25" s="94" t="s">
        <v>799</v>
      </c>
      <c r="I25" s="70" t="s">
        <v>571</v>
      </c>
    </row>
    <row r="26" spans="1:9" x14ac:dyDescent="0.35">
      <c r="A26" s="82">
        <v>24</v>
      </c>
      <c r="B26" s="82">
        <v>12</v>
      </c>
      <c r="C26" s="82">
        <v>20</v>
      </c>
      <c r="D26" s="84" t="str">
        <f ca="1">SUBSTITUTE(OFFSET(Attributes!$A$1,MATCH($A26,Attributes!$A:$A,0)-1,MATCH("Attr CN",Attributes!$1:$1,0)-1),"#",$B26*$B$1&amp;"-"&amp;$C26*$B$1)</f>
        <v>+36-60移动速度</v>
      </c>
      <c r="E26" s="135" t="str">
        <f ca="1">SUBSTITUTE(OFFSET(Attributes!$A$1,MATCH($A26,Attributes!$A:$A,0)-1,MATCH("Attr EN",Attributes!$1:$1,0)-1),"#",$B26*$B$1&amp;"-"&amp;$C26*$B$1)</f>
        <v>+36-60 Movement speed</v>
      </c>
      <c r="H26" s="94" t="s">
        <v>800</v>
      </c>
      <c r="I26" s="70" t="s">
        <v>571</v>
      </c>
    </row>
    <row r="27" spans="1:9" x14ac:dyDescent="0.35">
      <c r="A27" s="82">
        <v>4</v>
      </c>
      <c r="B27" s="82">
        <v>8</v>
      </c>
      <c r="C27" s="82">
        <v>13</v>
      </c>
      <c r="D27" s="84" t="str">
        <f ca="1">SUBSTITUTE(OFFSET(Attributes!$A$1,MATCH($A27,Attributes!$A:$A,0)-1,MATCH("Attr CN",Attributes!$1:$1,0)-1),"#",$B27*$B$1&amp;"-"&amp;$C27*$B$1)</f>
        <v>+24-39力量</v>
      </c>
      <c r="E27" s="135" t="str">
        <f ca="1">SUBSTITUTE(OFFSET(Attributes!$A$1,MATCH($A27,Attributes!$A:$A,0)-1,MATCH("Attr EN",Attributes!$1:$1,0)-1),"#",$B27*$B$1&amp;"-"&amp;$C27*$B$1)</f>
        <v>+24-39 Strength</v>
      </c>
      <c r="H27" s="94" t="s">
        <v>801</v>
      </c>
      <c r="I27" s="70" t="s">
        <v>571</v>
      </c>
    </row>
    <row r="28" spans="1:9" ht="34.5" x14ac:dyDescent="0.35">
      <c r="A28" s="82">
        <v>40</v>
      </c>
      <c r="B28" s="82">
        <v>0.01</v>
      </c>
      <c r="C28" s="82">
        <v>0.02</v>
      </c>
      <c r="D28" s="85" t="str">
        <f ca="1">SUBSTITUTE(OFFSET(Attributes!$A$1,MATCH($A28,Attributes!$A:$A,0)-1,MATCH("Attr CN",Attributes!$1:$1,0)-1),"#",$B28*$B$1&amp;"-"&amp;$C28*$B$1)</f>
        <v>从受到的伤害中回复0.03-0.06的法力值</v>
      </c>
      <c r="E28" s="137" t="str">
        <f ca="1">SUBSTITUTE(OFFSET(Attributes!$A$1,MATCH($A28,Attributes!$A:$A,0)-1,MATCH("Attr EN",Attributes!$1:$1,0)-1),"#",$B28*$B$1&amp;"-"&amp;$C28*$B$1)</f>
        <v>Regens MP from 0.03-0.06 of the damage taken</v>
      </c>
      <c r="H28" s="94" t="s">
        <v>802</v>
      </c>
      <c r="I28" s="70" t="s">
        <v>571</v>
      </c>
    </row>
    <row r="29" spans="1:9" x14ac:dyDescent="0.35">
      <c r="A29" s="82">
        <v>28</v>
      </c>
      <c r="B29" s="82">
        <v>0</v>
      </c>
      <c r="C29" s="82">
        <v>0</v>
      </c>
      <c r="D29" s="85" t="str">
        <f ca="1">SUBSTITUTE(OFFSET(Attributes!$A$1,MATCH($A29,Attributes!$A:$A,0)-1,MATCH("Attr CN",Attributes!$1:$1,0)-1),"#",$B29*$B$1&amp;"-"&amp;$C29*$B$1)</f>
        <v>使用：传送到一个友军身后0-0</v>
      </c>
      <c r="E29" s="136" t="str">
        <f ca="1">SUBSTITUTE(OFFSET(Attributes!$A$1,MATCH($A29,Attributes!$A:$A,0)-1,MATCH("Attr EN",Attributes!$1:$1,0)-1),"#",$B29*$B$1&amp;"-"&amp;$C29*$B$1)</f>
        <v>Use: Teleports to an ally0-0</v>
      </c>
      <c r="F29" s="86"/>
      <c r="G29" s="86"/>
      <c r="H29" s="94" t="s">
        <v>803</v>
      </c>
      <c r="I29" s="70" t="s">
        <v>571</v>
      </c>
    </row>
    <row r="30" spans="1:9" x14ac:dyDescent="0.35">
      <c r="D30" s="87" t="s">
        <v>56</v>
      </c>
      <c r="E30" s="138" t="s">
        <v>521</v>
      </c>
      <c r="I30" s="70" t="s">
        <v>571</v>
      </c>
    </row>
    <row r="31" spans="1:9" x14ac:dyDescent="0.35">
      <c r="D31" s="88" t="s">
        <v>95</v>
      </c>
      <c r="E31" s="139" t="s">
        <v>524</v>
      </c>
      <c r="I31" s="70" t="s">
        <v>571</v>
      </c>
    </row>
    <row r="32" spans="1:9" x14ac:dyDescent="0.35">
      <c r="H32" s="94" t="s">
        <v>846</v>
      </c>
      <c r="I32" s="70" t="s">
        <v>571</v>
      </c>
    </row>
    <row r="33" spans="1:9" x14ac:dyDescent="0.35">
      <c r="D33" s="83" t="s">
        <v>94</v>
      </c>
      <c r="E33" s="134" t="s">
        <v>520</v>
      </c>
      <c r="F33" s="82" t="str">
        <f>FormatItemName(D33)</f>
        <v>|CFFFF8C00死亡呼吸|R</v>
      </c>
      <c r="G33" s="82" t="str">
        <f>FormatItemName(E33)</f>
        <v>|CFFFF8C00Breath of the Dying|R</v>
      </c>
      <c r="I33" s="70" t="s">
        <v>571</v>
      </c>
    </row>
    <row r="34" spans="1:9" x14ac:dyDescent="0.35">
      <c r="A34" s="82">
        <v>7</v>
      </c>
      <c r="B34" s="82">
        <v>4</v>
      </c>
      <c r="C34" s="82">
        <v>6</v>
      </c>
      <c r="D34" s="84" t="str">
        <f ca="1">SUBSTITUTE(OFFSET(Attributes!$A$1,MATCH($A34,Attributes!$A:$A,0)-1,MATCH("Attr CN",Attributes!$1:$1,0)-1),"#",$B34*$B$1&amp;"-"&amp;$C34*$B$1)</f>
        <v>+12-18所有属性</v>
      </c>
      <c r="E34" s="135" t="str">
        <f ca="1">SUBSTITUTE(OFFSET(Attributes!$A$1,MATCH($A34,Attributes!$A:$A,0)-1,MATCH("Attr EN",Attributes!$1:$1,0)-1),"#",$B34*$B$1&amp;"-"&amp;$C34*$B$1)</f>
        <v>+12-18 All stats</v>
      </c>
      <c r="F34" s="82" t="str">
        <f>FormatItemDescription(D33:D40)</f>
        <v>|CFFFF8C00Legendary|R|N|CFFFFDEAD格里斯华尔德变为不死生物以后的巅峰之作，在暗淡无光的矛柄上隐隐闪动着六个晦涩难懂的神符：Vex-Hel-El-Eld-Zod-Eth。|R</v>
      </c>
      <c r="G34" s="82" t="str">
        <f>FormatItemDescription(E33:E40)</f>
        <v>|CFFFF8C00Legendary|R|N|CFFFFDEADThe master piece by Griswold the Undead. On the unglazed handle six obscure runes glow: Vex-Hel-El-Eld-Zod-Eth.|R</v>
      </c>
      <c r="H34" s="94" t="s">
        <v>804</v>
      </c>
      <c r="I34" s="70" t="s">
        <v>571</v>
      </c>
    </row>
    <row r="35" spans="1:9" x14ac:dyDescent="0.35">
      <c r="A35" s="82">
        <v>9</v>
      </c>
      <c r="B35" s="82">
        <v>18</v>
      </c>
      <c r="C35" s="82">
        <v>22</v>
      </c>
      <c r="D35" s="84" t="str">
        <f ca="1">SUBSTITUTE(OFFSET(Attributes!$A$1,MATCH($A35,Attributes!$A:$A,0)-1,MATCH("Attr CN",Attributes!$1:$1,0)-1),"#",$B35*$B$1&amp;"-"&amp;$C35*$B$1)</f>
        <v>+54-66攻击强度</v>
      </c>
      <c r="E35" s="135" t="str">
        <f ca="1">SUBSTITUTE(OFFSET(Attributes!$A$1,MATCH($A35,Attributes!$A:$A,0)-1,MATCH("Attr EN",Attributes!$1:$1,0)-1),"#",$B35*$B$1&amp;"-"&amp;$C35*$B$1)</f>
        <v>+54-66 Attack power</v>
      </c>
      <c r="F35" s="82" t="str">
        <f ca="1">FormatItemUbertip(D34:D40)</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5" s="82" t="str">
        <f ca="1">FormatItemUbertip(E34:E40)</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5" s="94" t="s">
        <v>805</v>
      </c>
      <c r="I35" s="70" t="s">
        <v>571</v>
      </c>
    </row>
    <row r="36" spans="1:9" x14ac:dyDescent="0.35">
      <c r="A36" s="82">
        <v>12</v>
      </c>
      <c r="B36" s="82">
        <v>6</v>
      </c>
      <c r="C36" s="82">
        <v>9</v>
      </c>
      <c r="D36" s="84" t="str">
        <f ca="1">SUBSTITUTE(OFFSET(Attributes!$A$1,MATCH($A36,Attributes!$A:$A,0)-1,MATCH("Attr CN",Attributes!$1:$1,0)-1),"#",$B36*$B$1&amp;"-"&amp;$C36*$B$1)</f>
        <v>+18-27%攻击速度</v>
      </c>
      <c r="E36" s="135" t="str">
        <f ca="1">SUBSTITUTE(OFFSET(Attributes!$A$1,MATCH($A36,Attributes!$A:$A,0)-1,MATCH("Attr EN",Attributes!$1:$1,0)-1),"#",$B36*$B$1&amp;"-"&amp;$C36*$B$1)</f>
        <v>+18-27% Attack speed</v>
      </c>
      <c r="H36" s="94" t="s">
        <v>806</v>
      </c>
      <c r="I36" s="70" t="s">
        <v>571</v>
      </c>
    </row>
    <row r="37" spans="1:9" s="70" customFormat="1" x14ac:dyDescent="0.35">
      <c r="A37" s="82">
        <v>45</v>
      </c>
      <c r="B37" s="82">
        <v>0.03</v>
      </c>
      <c r="C37" s="82">
        <v>0.04</v>
      </c>
      <c r="D37" s="85" t="str">
        <f ca="1">SUBSTITUTE(OFFSET(Attributes!$A$1,MATCH($A37,Attributes!$A:$A,0)-1,MATCH("Attr CN",Attributes!$1:$1,0)-1),"#",$B37*$B$1&amp;"-"&amp;$C37*$B$1)</f>
        <v>攻击汲取0.09-0.12生命和法力</v>
      </c>
      <c r="E37" s="137" t="str">
        <f ca="1">SUBSTITUTE(OFFSET(Attributes!$A$1,MATCH($A37,Attributes!$A:$A,0)-1,MATCH("Attr EN",Attributes!$1:$1,0)-1),"#",$B37*$B$1&amp;"-"&amp;$C37*$B$1)</f>
        <v>+0.09-0.12 Life and mana stolen per hit</v>
      </c>
      <c r="F37" s="86"/>
      <c r="G37" s="86"/>
      <c r="H37" s="94" t="s">
        <v>807</v>
      </c>
      <c r="I37" s="70" t="s">
        <v>571</v>
      </c>
    </row>
    <row r="38" spans="1:9" s="70" customFormat="1" ht="51.75" x14ac:dyDescent="0.35">
      <c r="A38" s="82">
        <v>50</v>
      </c>
      <c r="B38" s="82">
        <v>18</v>
      </c>
      <c r="C38" s="82">
        <v>23</v>
      </c>
      <c r="D38" s="85" t="str">
        <f ca="1">SUBSTITUTE(OFFSET(Attributes!$A$1,MATCH($A38,Attributes!$A:$A,0)-1,MATCH("Attr CN",Attributes!$1:$1,0)-1),"#",$B38*$B$1&amp;"-"&amp;$C38*$B$1)</f>
        <v>命中：有15%的几率施展剧毒新星，对600码范围内的敌人造成54-69点持续的法术伤害</v>
      </c>
      <c r="E38" s="137" t="str">
        <f ca="1">SUBSTITUTE(OFFSET(Attributes!$A$1,MATCH($A38,Attributes!$A:$A,0)-1,MATCH("Attr EN",Attributes!$1:$1,0)-1),"#",$B38*$B$1&amp;"-"&amp;$C38*$B$1)</f>
        <v>On Attack: 15% chance to cast poison nova, dealing 54-69 magic damage over time to all enemies within 600 yards</v>
      </c>
      <c r="F38" s="86"/>
      <c r="G38" s="86"/>
      <c r="H38" s="94" t="s">
        <v>808</v>
      </c>
      <c r="I38" s="70" t="s">
        <v>571</v>
      </c>
    </row>
    <row r="39" spans="1:9" s="70" customFormat="1" x14ac:dyDescent="0.35">
      <c r="A39" s="82"/>
      <c r="B39" s="82"/>
      <c r="C39" s="82"/>
      <c r="D39" s="87" t="s">
        <v>56</v>
      </c>
      <c r="E39" s="138" t="s">
        <v>521</v>
      </c>
      <c r="F39" s="82"/>
      <c r="G39" s="82"/>
      <c r="H39" s="94"/>
      <c r="I39" s="70" t="s">
        <v>571</v>
      </c>
    </row>
    <row r="40" spans="1:9" s="70" customFormat="1" ht="51.75" x14ac:dyDescent="0.35">
      <c r="A40" s="82"/>
      <c r="B40" s="82"/>
      <c r="C40" s="82"/>
      <c r="D40" s="88" t="s">
        <v>97</v>
      </c>
      <c r="E40" s="139" t="s">
        <v>522</v>
      </c>
      <c r="F40" s="82"/>
      <c r="G40" s="82"/>
      <c r="H40" s="94"/>
      <c r="I40" s="70" t="s">
        <v>571</v>
      </c>
    </row>
    <row r="41" spans="1:9" s="70" customFormat="1" x14ac:dyDescent="0.35">
      <c r="A41" s="82"/>
      <c r="B41" s="82"/>
      <c r="C41" s="82"/>
      <c r="D41" s="90"/>
      <c r="E41" s="132"/>
      <c r="F41" s="82"/>
      <c r="G41" s="82"/>
      <c r="H41" s="94" t="s">
        <v>847</v>
      </c>
      <c r="I41" s="70" t="s">
        <v>571</v>
      </c>
    </row>
    <row r="42" spans="1:9" s="70" customFormat="1" x14ac:dyDescent="0.35">
      <c r="A42" s="82"/>
      <c r="B42" s="82"/>
      <c r="C42" s="82"/>
      <c r="D42" s="83" t="s">
        <v>98</v>
      </c>
      <c r="E42" s="134" t="s">
        <v>529</v>
      </c>
      <c r="F42" s="82" t="str">
        <f>FormatItemName(D42)</f>
        <v>|CFFFF8C00风之力|R</v>
      </c>
      <c r="G42" s="82" t="str">
        <f>FormatItemName(E42)</f>
        <v>|CFFFF8C00Windforce|R</v>
      </c>
      <c r="H42" s="94"/>
      <c r="I42" s="70" t="s">
        <v>571</v>
      </c>
    </row>
    <row r="43" spans="1:9" s="70" customFormat="1" x14ac:dyDescent="0.35">
      <c r="A43" s="82">
        <v>13</v>
      </c>
      <c r="B43" s="82">
        <v>8</v>
      </c>
      <c r="C43" s="82">
        <v>12</v>
      </c>
      <c r="D43" s="84" t="str">
        <f ca="1">SUBSTITUTE(OFFSET(Attributes!$A$1,MATCH($A43,Attributes!$A:$A,0)-1,MATCH("Attr CN",Attributes!$1:$1,0)-1),"#",$B43*$B$1&amp;"-"&amp;$C43*$B$1)</f>
        <v>+24-36敏捷</v>
      </c>
      <c r="E43" s="135" t="str">
        <f ca="1">SUBSTITUTE(OFFSET(Attributes!$A$1,MATCH($A43,Attributes!$A:$A,0)-1,MATCH("Attr EN",Attributes!$1:$1,0)-1),"#",$B43*$B$1&amp;"-"&amp;$C43*$B$1)</f>
        <v>+24-36 Agility</v>
      </c>
      <c r="F43" s="82" t="str">
        <f>FormatItemDescription(D42:D48)</f>
        <v>|CFFFF8C00Legendary|R|N|CFFFFDEAD“逆风者亡！”|R</v>
      </c>
      <c r="G43" s="82" t="str">
        <f>FormatItemDescription(E42:E48)</f>
        <v>|CFFFF8C00Legendary|R|N|CFFFFDEAD"The wind carries life for those enveloped in its flow, and death for those arrayed against it."|R</v>
      </c>
      <c r="H43" s="94" t="s">
        <v>809</v>
      </c>
      <c r="I43" s="70" t="s">
        <v>571</v>
      </c>
    </row>
    <row r="44" spans="1:9" s="70" customFormat="1" x14ac:dyDescent="0.35">
      <c r="A44" s="82">
        <v>9</v>
      </c>
      <c r="B44" s="82">
        <v>11</v>
      </c>
      <c r="C44" s="82">
        <v>16</v>
      </c>
      <c r="D44" s="84" t="str">
        <f ca="1">SUBSTITUTE(OFFSET(Attributes!$A$1,MATCH($A44,Attributes!$A:$A,0)-1,MATCH("Attr CN",Attributes!$1:$1,0)-1),"#",$B44*$B$1&amp;"-"&amp;$C44*$B$1)</f>
        <v>+33-48攻击强度</v>
      </c>
      <c r="E44" s="135" t="str">
        <f ca="1">SUBSTITUTE(OFFSET(Attributes!$A$1,MATCH($A44,Attributes!$A:$A,0)-1,MATCH("Attr EN",Attributes!$1:$1,0)-1),"#",$B44*$B$1&amp;"-"&amp;$C44*$B$1)</f>
        <v>+33-48 Attack power</v>
      </c>
      <c r="F44" s="82" t="str">
        <f ca="1">FormatItemUbertip(D43:D48)</f>
        <v>+24-36敏捷|N+33-48攻击强度|N+18-24%攻击速度|N+0.06-0.09攻击暴击|N|CFF33FF33命中：有0.15-0.3的几率击退敌人|R|N|N|CFFFFDEAD“逆风者亡！”|R</v>
      </c>
      <c r="G44" s="82" t="str">
        <f ca="1">FormatItemUbertip(E43:E48)</f>
        <v>+24-36 Agility|N+33-48 Attack power|N+18-24% Attack speed|N+0.06-0.09 Attack critical|N|CFF33FF33On Attack: 0.15-0.3 chance to knock back target|R|N|N|CFFFFDEAD"The wind carries life for those enveloped in its flow, and death for those arrayed against it."|R</v>
      </c>
      <c r="H44" s="94" t="s">
        <v>810</v>
      </c>
      <c r="I44" s="70" t="s">
        <v>571</v>
      </c>
    </row>
    <row r="45" spans="1:9" s="70" customFormat="1" x14ac:dyDescent="0.35">
      <c r="A45" s="82">
        <v>12</v>
      </c>
      <c r="B45" s="82">
        <v>6</v>
      </c>
      <c r="C45" s="82">
        <v>8</v>
      </c>
      <c r="D45" s="84" t="str">
        <f ca="1">SUBSTITUTE(OFFSET(Attributes!$A$1,MATCH($A45,Attributes!$A:$A,0)-1,MATCH("Attr CN",Attributes!$1:$1,0)-1),"#",$B45*$B$1&amp;"-"&amp;$C45*$B$1)</f>
        <v>+18-24%攻击速度</v>
      </c>
      <c r="E45" s="135" t="str">
        <f ca="1">SUBSTITUTE(OFFSET(Attributes!$A$1,MATCH($A45,Attributes!$A:$A,0)-1,MATCH("Attr EN",Attributes!$1:$1,0)-1),"#",$B45*$B$1&amp;"-"&amp;$C45*$B$1)</f>
        <v>+18-24% Attack speed</v>
      </c>
      <c r="F45" s="82"/>
      <c r="G45" s="82"/>
      <c r="H45" s="94" t="s">
        <v>811</v>
      </c>
      <c r="I45" s="70" t="s">
        <v>571</v>
      </c>
    </row>
    <row r="46" spans="1:9" s="70" customFormat="1" x14ac:dyDescent="0.35">
      <c r="A46" s="82">
        <v>11</v>
      </c>
      <c r="B46" s="82">
        <v>0.02</v>
      </c>
      <c r="C46" s="82">
        <v>0.03</v>
      </c>
      <c r="D46" s="84" t="str">
        <f ca="1">SUBSTITUTE(OFFSET(Attributes!$A$1,MATCH($A46,Attributes!$A:$A,0)-1,MATCH("Attr CN",Attributes!$1:$1,0)-1),"#",$B46*$B$1&amp;"-"&amp;$C46*$B$1)</f>
        <v>+0.06-0.09攻击暴击</v>
      </c>
      <c r="E46" s="135" t="str">
        <f ca="1">SUBSTITUTE(OFFSET(Attributes!$A$1,MATCH($A46,Attributes!$A:$A,0)-1,MATCH("Attr EN",Attributes!$1:$1,0)-1),"#",$B46*$B$1&amp;"-"&amp;$C46*$B$1)</f>
        <v>+0.06-0.09 Attack critical</v>
      </c>
      <c r="F46" s="82"/>
      <c r="G46" s="82"/>
      <c r="H46" s="94" t="s">
        <v>812</v>
      </c>
      <c r="I46" s="70" t="s">
        <v>571</v>
      </c>
    </row>
    <row r="47" spans="1:9" s="70" customFormat="1" ht="34.5" x14ac:dyDescent="0.35">
      <c r="A47" s="82">
        <v>47</v>
      </c>
      <c r="B47" s="82">
        <v>0.05</v>
      </c>
      <c r="C47" s="82">
        <v>0.1</v>
      </c>
      <c r="D47" s="85" t="str">
        <f ca="1">SUBSTITUTE(OFFSET(Attributes!$A$1,MATCH($A47,Attributes!$A:$A,0)-1,MATCH("Attr CN",Attributes!$1:$1,0)-1),"#",$B47*$B$1&amp;"-"&amp;$C47*$B$1)</f>
        <v>命中：有0.15-0.3的几率击退敌人</v>
      </c>
      <c r="E47" s="137" t="str">
        <f ca="1">SUBSTITUTE(OFFSET(Attributes!$A$1,MATCH($A47,Attributes!$A:$A,0)-1,MATCH("Attr EN",Attributes!$1:$1,0)-1),"#",$B47*$B$1&amp;"-"&amp;$C47*$B$1)</f>
        <v>On Attack: 0.15-0.3 chance to knock back target</v>
      </c>
      <c r="F47" s="82"/>
      <c r="G47" s="82"/>
      <c r="H47" s="94" t="s">
        <v>813</v>
      </c>
      <c r="I47" s="70" t="s">
        <v>571</v>
      </c>
    </row>
    <row r="48" spans="1:9" s="70" customFormat="1" ht="51.75" x14ac:dyDescent="0.35">
      <c r="A48" s="82"/>
      <c r="B48" s="82"/>
      <c r="C48" s="82"/>
      <c r="D48" s="88" t="s">
        <v>101</v>
      </c>
      <c r="E48" s="139" t="s">
        <v>530</v>
      </c>
      <c r="F48" s="82"/>
      <c r="G48" s="82"/>
      <c r="H48" s="94"/>
      <c r="I48" s="70" t="s">
        <v>571</v>
      </c>
    </row>
    <row r="49" spans="1:9" s="70" customFormat="1" x14ac:dyDescent="0.35">
      <c r="A49" s="82"/>
      <c r="B49" s="82"/>
      <c r="C49" s="82"/>
      <c r="D49" s="90"/>
      <c r="E49" s="132"/>
      <c r="F49" s="82"/>
      <c r="G49" s="82"/>
      <c r="H49" s="94" t="s">
        <v>853</v>
      </c>
      <c r="I49" s="70" t="s">
        <v>571</v>
      </c>
    </row>
    <row r="50" spans="1:9" s="70" customFormat="1" x14ac:dyDescent="0.35">
      <c r="A50" s="82"/>
      <c r="B50" s="82"/>
      <c r="C50" s="82"/>
      <c r="D50" s="83" t="s">
        <v>103</v>
      </c>
      <c r="E50" s="134" t="s">
        <v>531</v>
      </c>
      <c r="F50" s="82" t="str">
        <f>FormatItemName(D50)</f>
        <v>|CFFFF8C00克苏恩的疯狂|R</v>
      </c>
      <c r="G50" s="82" t="str">
        <f>FormatItemName(E50)</f>
        <v>|CFFFF8C00Derangement of C'Thun|R</v>
      </c>
      <c r="H50" s="94"/>
      <c r="I50" s="70" t="s">
        <v>571</v>
      </c>
    </row>
    <row r="51" spans="1:9" s="70" customFormat="1" x14ac:dyDescent="0.35">
      <c r="A51" s="82">
        <v>4</v>
      </c>
      <c r="B51" s="82">
        <v>7</v>
      </c>
      <c r="C51" s="82">
        <v>10</v>
      </c>
      <c r="D51" s="84" t="str">
        <f ca="1">SUBSTITUTE(OFFSET(Attributes!$A$1,MATCH($A51,Attributes!$A:$A,0)-1,MATCH("Attr CN",Attributes!$1:$1,0)-1),"#",$B51*$B$1&amp;"-"&amp;$C51*$B$1)</f>
        <v>+21-30力量</v>
      </c>
      <c r="E51" s="135" t="str">
        <f ca="1">SUBSTITUTE(OFFSET(Attributes!$A$1,MATCH($A51,Attributes!$A:$A,0)-1,MATCH("Attr EN",Attributes!$1:$1,0)-1),"#",$B51*$B$1&amp;"-"&amp;$C51*$B$1)</f>
        <v>+21-30 Strength</v>
      </c>
      <c r="F51" s="82" t="str">
        <f>FormatItemDescription(D50:D59)</f>
        <v>|CFFFF8C00Legendary|R|N|CFFFFDEAD上古之神克苏恩的本体虽然被消灭，可是他的堕落触须形成的无面者在地之深渊无处不在。|R</v>
      </c>
      <c r="G51" s="82" t="str">
        <f>FormatItemDescription(E50:E59)</f>
        <v>|CFFFF8C00Legendary|R|N|CFFFFDEADAlthough the main body of the Old God C'Thun was eliminated, the faceless one formed by his degraded tentacles was everywhere in the abyss of the earth.|R</v>
      </c>
      <c r="H51" s="94" t="s">
        <v>856</v>
      </c>
      <c r="I51" s="70" t="s">
        <v>571</v>
      </c>
    </row>
    <row r="52" spans="1:9" s="70" customFormat="1" x14ac:dyDescent="0.35">
      <c r="A52" s="82">
        <v>9</v>
      </c>
      <c r="B52" s="82">
        <v>17</v>
      </c>
      <c r="C52" s="82">
        <v>24</v>
      </c>
      <c r="D52" s="84" t="str">
        <f ca="1">SUBSTITUTE(OFFSET(Attributes!$A$1,MATCH($A52,Attributes!$A:$A,0)-1,MATCH("Attr CN",Attributes!$1:$1,0)-1),"#",$B52*$B$1&amp;"-"&amp;$C52*$B$1)</f>
        <v>+51-72攻击强度</v>
      </c>
      <c r="E52" s="135" t="str">
        <f ca="1">SUBSTITUTE(OFFSET(Attributes!$A$1,MATCH($A52,Attributes!$A:$A,0)-1,MATCH("Attr EN",Attributes!$1:$1,0)-1),"#",$B52*$B$1&amp;"-"&amp;$C52*$B$1)</f>
        <v>+51-72 Attack power</v>
      </c>
      <c r="F52" s="82" t="str">
        <f ca="1">FormatItemUbertip(D51:D59)</f>
        <v>+21-30力量|N+51-72攻击强度|N+0.03-0.06攻击暴击|N每秒流失9-90生命值|N|CFF33FF33攻击汲取0.09-0.18生命|R|N|CFF33FF33命中：提升1%的攻击速度，最多0.12-0.18，持续3秒|R|N|CFF33FF33使用：获得上古狂乱的效果，提升100%攻击速度，受到的伤害提高0.15-1.5|R|N|N|CFFFFCC00历史|R|N|CFFFFDEAD上古之神克苏恩的本体虽然被消灭，可是他的堕落触须形成的无面者在地之深渊无处不在。|R</v>
      </c>
      <c r="G52" s="82" t="str">
        <f ca="1">FormatItemUbertip(E51:E57)</f>
        <v>+21-30 Strength|N+51-72 Attack power|N+0.03-0.06 Attack critical|NLost 9-90 HP per second during combat|N|CFF87CEEB+0.09-0.18 Life stolen per hit|R|N|CFF33FF33On Attack: Increase attack speed by 1% per attack, stacks up to 0.12-0.18, lasts for 3 seconds|R|N|CFF33FF33Use: Increase attack speed by 100%, take 0.15-1.5 extra damage (unique)|R</v>
      </c>
      <c r="H52" s="94" t="s">
        <v>857</v>
      </c>
      <c r="I52" s="70" t="s">
        <v>571</v>
      </c>
    </row>
    <row r="53" spans="1:9" s="70" customFormat="1" x14ac:dyDescent="0.35">
      <c r="A53" s="82">
        <v>11</v>
      </c>
      <c r="B53" s="82">
        <v>0.01</v>
      </c>
      <c r="C53" s="82">
        <v>0.02</v>
      </c>
      <c r="D53" s="84" t="str">
        <f ca="1">SUBSTITUTE(OFFSET(Attributes!$A$1,MATCH($A53,Attributes!$A:$A,0)-1,MATCH("Attr CN",Attributes!$1:$1,0)-1),"#",$B53*$B$1&amp;"-"&amp;$C53*$B$1)</f>
        <v>+0.03-0.06攻击暴击</v>
      </c>
      <c r="E53" s="135" t="str">
        <f ca="1">SUBSTITUTE(OFFSET(Attributes!$A$1,MATCH($A53,Attributes!$A:$A,0)-1,MATCH("Attr EN",Attributes!$1:$1,0)-1),"#",$B53*$B$1&amp;"-"&amp;$C53*$B$1)</f>
        <v>+0.03-0.06 Attack critical</v>
      </c>
      <c r="F53" s="82"/>
      <c r="G53" s="82"/>
      <c r="H53" s="94" t="s">
        <v>858</v>
      </c>
      <c r="I53" s="70" t="s">
        <v>571</v>
      </c>
    </row>
    <row r="54" spans="1:9" s="70" customFormat="1" x14ac:dyDescent="0.35">
      <c r="A54" s="82">
        <v>74</v>
      </c>
      <c r="B54" s="82">
        <v>3</v>
      </c>
      <c r="C54" s="82">
        <v>30</v>
      </c>
      <c r="D54" s="84" t="str">
        <f ca="1">SUBSTITUTE(OFFSET(Attributes!$A$1,MATCH($A54,Attributes!$A:$A,0)-1,MATCH("Attr CN",Attributes!$1:$1,0)-1),"#",$B54*$B$1&amp;"-"&amp;$C54*$B$1)</f>
        <v>每秒流失9-90生命值</v>
      </c>
      <c r="E54" s="135" t="str">
        <f ca="1">SUBSTITUTE(OFFSET(Attributes!$A$1,MATCH($A54,Attributes!$A:$A,0)-1,MATCH("Attr EN",Attributes!$1:$1,0)-1),"#",$B54*$B$1&amp;"-"&amp;$C54*$B$1)</f>
        <v>Lost 9-90 HP per second during combat</v>
      </c>
      <c r="F54" s="82"/>
      <c r="G54" s="82"/>
      <c r="H54" s="94" t="s">
        <v>859</v>
      </c>
      <c r="I54" s="70" t="s">
        <v>571</v>
      </c>
    </row>
    <row r="55" spans="1:9" s="70" customFormat="1" x14ac:dyDescent="0.35">
      <c r="A55" s="82">
        <v>44</v>
      </c>
      <c r="B55" s="82">
        <v>0.03</v>
      </c>
      <c r="C55" s="82">
        <v>0.06</v>
      </c>
      <c r="D55" s="85" t="str">
        <f ca="1">SUBSTITUTE(OFFSET(Attributes!$A$1,MATCH($A55,Attributes!$A:$A,0)-1,MATCH("Attr CN",Attributes!$1:$1,0)-1),"#",$B55*$B$1&amp;"-"&amp;$C55*$B$1)</f>
        <v>攻击汲取0.09-0.18生命</v>
      </c>
      <c r="E55" s="136" t="str">
        <f ca="1">SUBSTITUTE(OFFSET(Attributes!$A$1,MATCH($A55,Attributes!$A:$A,0)-1,MATCH("Attr EN",Attributes!$1:$1,0)-1),"#",$B55*$B$1&amp;"-"&amp;$C55*$B$1)</f>
        <v>+0.09-0.18 Life stolen per hit</v>
      </c>
      <c r="F55" s="82"/>
      <c r="G55" s="82"/>
      <c r="H55" s="94" t="s">
        <v>860</v>
      </c>
      <c r="I55" s="70" t="s">
        <v>571</v>
      </c>
    </row>
    <row r="56" spans="1:9" s="70" customFormat="1" ht="51.75" x14ac:dyDescent="0.35">
      <c r="A56" s="82">
        <v>46</v>
      </c>
      <c r="B56" s="82">
        <v>0.04</v>
      </c>
      <c r="C56" s="82">
        <v>0.06</v>
      </c>
      <c r="D56" s="85" t="str">
        <f ca="1">SUBSTITUTE(OFFSET(Attributes!$A$1,MATCH($A56,Attributes!$A:$A,0)-1,MATCH("Attr CN",Attributes!$1:$1,0)-1),"#",$B56*$B$1&amp;"-"&amp;$C56*$B$1)</f>
        <v>命中：提升1%的攻击速度，最多0.12-0.18，持续3秒</v>
      </c>
      <c r="E56" s="137" t="str">
        <f ca="1">SUBSTITUTE(OFFSET(Attributes!$A$1,MATCH($A56,Attributes!$A:$A,0)-1,MATCH("Attr EN",Attributes!$1:$1,0)-1),"#",$B56*$B$1&amp;"-"&amp;$C56*$B$1)</f>
        <v>On Attack: Increase attack speed by 1% per attack, stacks up to 0.12-0.18, lasts for 3 seconds</v>
      </c>
      <c r="F56" s="82"/>
      <c r="G56" s="82"/>
      <c r="H56" s="94" t="s">
        <v>861</v>
      </c>
      <c r="I56" s="70" t="s">
        <v>571</v>
      </c>
    </row>
    <row r="57" spans="1:9" s="70" customFormat="1" ht="34.5" x14ac:dyDescent="0.35">
      <c r="A57" s="82">
        <v>37</v>
      </c>
      <c r="B57" s="82">
        <v>0.05</v>
      </c>
      <c r="C57" s="82">
        <v>0.5</v>
      </c>
      <c r="D57" s="85" t="str">
        <f ca="1">SUBSTITUTE(OFFSET(Attributes!$A$1,MATCH($A57,Attributes!$A:$A,0)-1,MATCH("Attr CN",Attributes!$1:$1,0)-1),"#",$B57*$B$1&amp;"-"&amp;$C57*$B$1)</f>
        <v>使用：获得上古狂乱的效果，提升100%攻击速度，受到的伤害提高0.15-1.5</v>
      </c>
      <c r="E57" s="137" t="str">
        <f ca="1">SUBSTITUTE(OFFSET(Attributes!$A$1,MATCH($A57,Attributes!$A:$A,0)-1,MATCH("Attr EN",Attributes!$1:$1,0)-1),"#",$B57*$B$1&amp;"-"&amp;$C57*$B$1)</f>
        <v>Use: Increase attack speed by 100%, take 0.15-1.5 extra damage (unique)</v>
      </c>
      <c r="F57" s="82"/>
      <c r="G57" s="82"/>
      <c r="H57" s="94" t="s">
        <v>862</v>
      </c>
      <c r="I57" s="70" t="s">
        <v>571</v>
      </c>
    </row>
    <row r="58" spans="1:9" s="70" customFormat="1" x14ac:dyDescent="0.35">
      <c r="A58" s="82"/>
      <c r="B58" s="82"/>
      <c r="C58" s="82"/>
      <c r="D58" s="87" t="s">
        <v>56</v>
      </c>
      <c r="E58" s="138" t="s">
        <v>521</v>
      </c>
      <c r="F58" s="82"/>
      <c r="G58" s="82"/>
      <c r="H58" s="94"/>
      <c r="I58" s="70" t="s">
        <v>571</v>
      </c>
    </row>
    <row r="59" spans="1:9" s="70" customFormat="1" ht="69" x14ac:dyDescent="0.35">
      <c r="A59" s="82"/>
      <c r="B59" s="82"/>
      <c r="C59" s="82"/>
      <c r="D59" s="88" t="s">
        <v>104</v>
      </c>
      <c r="E59" s="139" t="s">
        <v>532</v>
      </c>
      <c r="F59" s="82"/>
      <c r="G59" s="82"/>
      <c r="H59" s="94"/>
      <c r="I59" s="70" t="s">
        <v>571</v>
      </c>
    </row>
    <row r="60" spans="1:9" s="70" customFormat="1" x14ac:dyDescent="0.35">
      <c r="A60" s="82"/>
      <c r="B60" s="82"/>
      <c r="C60" s="82"/>
      <c r="D60" s="90"/>
      <c r="E60" s="132"/>
      <c r="F60" s="82"/>
      <c r="G60" s="82"/>
      <c r="H60" s="94" t="s">
        <v>863</v>
      </c>
      <c r="I60" s="70" t="s">
        <v>571</v>
      </c>
    </row>
    <row r="61" spans="1:9" x14ac:dyDescent="0.35">
      <c r="D61" s="83" t="s">
        <v>84</v>
      </c>
      <c r="E61" s="134" t="s">
        <v>533</v>
      </c>
      <c r="F61" s="82" t="str">
        <f>FormatItemName(D61)</f>
        <v>|CFFFF8C00正义天使之力|R</v>
      </c>
      <c r="G61" s="82" t="str">
        <f>FormatItemName(E61)</f>
        <v>|CFFFF8C00Might of the Angel of Justice|R</v>
      </c>
      <c r="I61" s="70" t="s">
        <v>571</v>
      </c>
    </row>
    <row r="62" spans="1:9" x14ac:dyDescent="0.35">
      <c r="A62" s="82">
        <v>4</v>
      </c>
      <c r="B62" s="82">
        <v>5</v>
      </c>
      <c r="C62" s="82">
        <v>7</v>
      </c>
      <c r="D62" s="84" t="str">
        <f ca="1">SUBSTITUTE(OFFSET(Attributes!$A$1,MATCH($A62,Attributes!$A:$A,0)-1,MATCH("Attr CN",Attributes!$1:$1,0)-1),"#",$B62*$B$1&amp;"-"&amp;$C62*$B$1)</f>
        <v>+15-21力量</v>
      </c>
      <c r="E62" s="135" t="str">
        <f ca="1">SUBSTITUTE(OFFSET(Attributes!$A$1,MATCH($A62,Attributes!$A:$A,0)-1,MATCH("Attr EN",Attributes!$1:$1,0)-1),"#",$B62*$B$1&amp;"-"&amp;$C62*$B$1)</f>
        <v>+15-21 Strength</v>
      </c>
      <c r="F62" s="82" t="str">
        <f>FormatItemDescription(D61:D70)</f>
        <v>|CFFFF8C00Legendary|R|N|CFFFFDEAD伟大的智慧天使秦端雨曾经作为正义的化身之时所使用的护甲.|R</v>
      </c>
      <c r="G62" s="82" t="str">
        <f>FormatItemDescription(E61:E70)</f>
        <v>|CFFFF8C00Legendary|R|N|CFFFFDEADThe armor used by Tyrael, the Archangel of Wisdom when he was once the incarnation of justice.|R</v>
      </c>
      <c r="H62" s="94" t="s">
        <v>814</v>
      </c>
      <c r="I62" s="70" t="s">
        <v>571</v>
      </c>
    </row>
    <row r="63" spans="1:9" x14ac:dyDescent="0.35">
      <c r="A63" s="82">
        <v>8</v>
      </c>
      <c r="B63" s="82">
        <v>2</v>
      </c>
      <c r="C63" s="82">
        <v>3</v>
      </c>
      <c r="D63" s="84" t="str">
        <f ca="1">SUBSTITUTE(OFFSET(Attributes!$A$1,MATCH($A63,Attributes!$A:$A,0)-1,MATCH("Attr CN",Attributes!$1:$1,0)-1),"#",$B63*$B$1&amp;"-"&amp;$C63*$B$1)</f>
        <v>+6-9护甲</v>
      </c>
      <c r="E63" s="135" t="str">
        <f ca="1">SUBSTITUTE(OFFSET(Attributes!$A$1,MATCH($A63,Attributes!$A:$A,0)-1,MATCH("Attr EN",Attributes!$1:$1,0)-1),"#",$B63*$B$1&amp;"-"&amp;$C63*$B$1)</f>
        <v>+6-9 Armor</v>
      </c>
      <c r="F63" s="82" t="str">
        <f ca="1">FormatItemUbertip(D62:D70)</f>
        <v>+15-21力量|N+6-9护甲|N-0.03-0.06受到的伤害|N-0.03-0.09受到的法术伤害|N+36-45移动速度|N|CFF33FF33受到治疗：积累1点神圣能量，最多6-15点|R|N|CFF33FF33使用：释放所有神圣能量以治疗自己，每点神圣能量治疗75-105点生命值|R|N|N|CFFFFCC00历史|R|N|CFFFFDEAD伟大的智慧天使秦端雨曾经作为正义的化身之时所使用的护甲.|R</v>
      </c>
      <c r="G63" s="82" t="str">
        <f ca="1">FormatItemUbertip(E62:E70)</f>
        <v>+15-21 Strength|N+6-9 Armor|N-0.03-0.06 All damage taken|N-0.03-0.09 magic damage taken|N+36-45 Movement speed|N|CFF33FF33On Healed: Charges 1 holy power, stacks up to 6-15 points|R|N|CFF33FF33Use: Release all holy power to heal yourself, each point heals 75-105 HP|R|N|N|CFFFFCC00Lore|R|N|CFFFFDEADThe armor used by Tyrael, the Archangel of Wisdom when he was once the incarnation of justice.|R</v>
      </c>
      <c r="H63" s="94" t="s">
        <v>815</v>
      </c>
      <c r="I63" s="70" t="s">
        <v>571</v>
      </c>
    </row>
    <row r="64" spans="1:9" x14ac:dyDescent="0.35">
      <c r="A64" s="82">
        <v>1</v>
      </c>
      <c r="B64" s="82">
        <v>0.01</v>
      </c>
      <c r="C64" s="82">
        <v>0.02</v>
      </c>
      <c r="D64" s="84" t="str">
        <f ca="1">SUBSTITUTE(OFFSET(Attributes!$A$1,MATCH($A64,Attributes!$A:$A,0)-1,MATCH("Attr CN",Attributes!$1:$1,0)-1),"#",$B64*$B$1&amp;"-"&amp;$C64*$B$1)</f>
        <v>-0.03-0.06受到的伤害</v>
      </c>
      <c r="E64" s="135" t="str">
        <f ca="1">SUBSTITUTE(OFFSET(Attributes!$A$1,MATCH($A64,Attributes!$A:$A,0)-1,MATCH("Attr EN",Attributes!$1:$1,0)-1),"#",$B64*$B$1&amp;"-"&amp;$C64*$B$1)</f>
        <v>-0.03-0.06 All damage taken</v>
      </c>
      <c r="H64" s="94" t="s">
        <v>816</v>
      </c>
      <c r="I64" s="70" t="s">
        <v>571</v>
      </c>
    </row>
    <row r="65" spans="1:9" x14ac:dyDescent="0.35">
      <c r="A65" s="82">
        <v>2</v>
      </c>
      <c r="B65" s="82">
        <v>0.01</v>
      </c>
      <c r="C65" s="82">
        <v>0.03</v>
      </c>
      <c r="D65" s="84" t="str">
        <f ca="1">SUBSTITUTE(OFFSET(Attributes!$A$1,MATCH($A65,Attributes!$A:$A,0)-1,MATCH("Attr CN",Attributes!$1:$1,0)-1),"#",$B65*$B$1&amp;"-"&amp;$C65*$B$1)</f>
        <v>-0.03-0.09受到的法术伤害</v>
      </c>
      <c r="E65" s="135" t="str">
        <f ca="1">SUBSTITUTE(OFFSET(Attributes!$A$1,MATCH($A65,Attributes!$A:$A,0)-1,MATCH("Attr EN",Attributes!$1:$1,0)-1),"#",$B65*$B$1&amp;"-"&amp;$C65*$B$1)</f>
        <v>-0.03-0.09 magic damage taken</v>
      </c>
      <c r="H65" s="94" t="s">
        <v>817</v>
      </c>
      <c r="I65" s="70" t="s">
        <v>571</v>
      </c>
    </row>
    <row r="66" spans="1:9" x14ac:dyDescent="0.35">
      <c r="A66" s="82">
        <v>24</v>
      </c>
      <c r="B66" s="82">
        <v>12</v>
      </c>
      <c r="C66" s="82">
        <v>15</v>
      </c>
      <c r="D66" s="84" t="str">
        <f ca="1">SUBSTITUTE(OFFSET(Attributes!$A$1,MATCH($A66,Attributes!$A:$A,0)-1,MATCH("Attr CN",Attributes!$1:$1,0)-1),"#",$B66*$B$1&amp;"-"&amp;$C66*$B$1)</f>
        <v>+36-45移动速度</v>
      </c>
      <c r="E66" s="135" t="str">
        <f ca="1">SUBSTITUTE(OFFSET(Attributes!$A$1,MATCH($A66,Attributes!$A:$A,0)-1,MATCH("Attr EN",Attributes!$1:$1,0)-1),"#",$B66*$B$1&amp;"-"&amp;$C66*$B$1)</f>
        <v>+36-45 Movement speed</v>
      </c>
      <c r="H66" s="94" t="s">
        <v>818</v>
      </c>
      <c r="I66" s="70" t="s">
        <v>571</v>
      </c>
    </row>
    <row r="67" spans="1:9" ht="34.5" x14ac:dyDescent="0.35">
      <c r="A67" s="82">
        <v>42</v>
      </c>
      <c r="B67" s="82">
        <v>2</v>
      </c>
      <c r="C67" s="82">
        <v>5</v>
      </c>
      <c r="D67" s="85" t="str">
        <f ca="1">SUBSTITUTE(OFFSET(Attributes!$A$1,MATCH($A67,Attributes!$A:$A,0)-1,MATCH("Attr CN",Attributes!$1:$1,0)-1),"#",$B67*$B$1&amp;"-"&amp;$C67*$B$1)</f>
        <v>受到治疗：积累1点神圣能量，最多6-15点</v>
      </c>
      <c r="E67" s="137" t="str">
        <f ca="1">SUBSTITUTE(OFFSET(Attributes!$A$1,MATCH($A67,Attributes!$A:$A,0)-1,MATCH("Attr EN",Attributes!$1:$1,0)-1),"#",$B67*$B$1&amp;"-"&amp;$C67*$B$1)</f>
        <v>On Healed: Charges 1 holy power, stacks up to 6-15 points</v>
      </c>
      <c r="H67" s="94" t="s">
        <v>819</v>
      </c>
      <c r="I67" s="70" t="s">
        <v>571</v>
      </c>
    </row>
    <row r="68" spans="1:9" ht="34.5" x14ac:dyDescent="0.35">
      <c r="A68" s="82">
        <v>38</v>
      </c>
      <c r="B68" s="82">
        <v>25</v>
      </c>
      <c r="C68" s="82">
        <v>35</v>
      </c>
      <c r="D68" s="85" t="str">
        <f ca="1">SUBSTITUTE(OFFSET(Attributes!$A$1,MATCH($A68,Attributes!$A:$A,0)-1,MATCH("Attr CN",Attributes!$1:$1,0)-1),"#",$B68*$B$1&amp;"-"&amp;$C68*$B$1)</f>
        <v>使用：释放所有神圣能量以治疗自己，每点神圣能量治疗75-105点生命值</v>
      </c>
      <c r="E68" s="137" t="str">
        <f ca="1">SUBSTITUTE(OFFSET(Attributes!$A$1,MATCH($A68,Attributes!$A:$A,0)-1,MATCH("Attr EN",Attributes!$1:$1,0)-1),"#",$B68*$B$1&amp;"-"&amp;$C68*$B$1)</f>
        <v>Use: Release all holy power to heal yourself, each point heals 75-105 HP</v>
      </c>
      <c r="H68" s="94" t="s">
        <v>820</v>
      </c>
      <c r="I68" s="70" t="s">
        <v>571</v>
      </c>
    </row>
    <row r="69" spans="1:9" x14ac:dyDescent="0.35">
      <c r="D69" s="87" t="s">
        <v>56</v>
      </c>
      <c r="E69" s="138" t="s">
        <v>521</v>
      </c>
      <c r="I69" s="70" t="s">
        <v>571</v>
      </c>
    </row>
    <row r="70" spans="1:9" ht="51.75" x14ac:dyDescent="0.35">
      <c r="D70" s="88" t="s">
        <v>92</v>
      </c>
      <c r="E70" s="139" t="s">
        <v>534</v>
      </c>
      <c r="I70" s="70" t="s">
        <v>571</v>
      </c>
    </row>
    <row r="71" spans="1:9" x14ac:dyDescent="0.35">
      <c r="H71" s="94" t="s">
        <v>848</v>
      </c>
      <c r="I71" s="70" t="s">
        <v>571</v>
      </c>
    </row>
    <row r="72" spans="1:9" x14ac:dyDescent="0.35">
      <c r="D72" s="83" t="s">
        <v>50</v>
      </c>
      <c r="E72" s="134" t="s">
        <v>535</v>
      </c>
      <c r="F72" s="82" t="str">
        <f>FormatItemName(D72)</f>
        <v>|CFFFF8C00无限|R</v>
      </c>
      <c r="G72" s="82" t="str">
        <f>FormatItemName(E72)</f>
        <v>|CFFFF8C00Infinity|R</v>
      </c>
      <c r="I72" s="70" t="s">
        <v>571</v>
      </c>
    </row>
    <row r="73" spans="1:9" x14ac:dyDescent="0.35">
      <c r="A73" s="82">
        <v>14</v>
      </c>
      <c r="B73" s="82">
        <v>4</v>
      </c>
      <c r="C73" s="82">
        <v>6</v>
      </c>
      <c r="D73" s="84" t="str">
        <f ca="1">SUBSTITUTE(OFFSET(Attributes!$A$1,MATCH($A73,Attributes!$A:$A,0)-1,MATCH("Attr CN",Attributes!$1:$1,0)-1),"#",$B73*$B$1&amp;"-"&amp;$C73*$B$1)</f>
        <v>+12-18智力</v>
      </c>
      <c r="E73" s="135" t="str">
        <f ca="1">SUBSTITUTE(OFFSET(Attributes!$A$1,MATCH($A73,Attributes!$A:$A,0)-1,MATCH("Attr EN",Attributes!$1:$1,0)-1),"#",$B73*$B$1&amp;"-"&amp;$C73*$B$1)</f>
        <v>+12-18 Intelligence</v>
      </c>
      <c r="F73" s="82" t="str">
        <f>FormatItemDescription(D72:D79)</f>
        <v>|CFFFF8C00Legendary|R|N|CFFFFDEAD        
 |R</v>
      </c>
      <c r="G73" s="82" t="str">
        <f>FormatItemDescription(E72:E79)</f>
        <v>|CFFFF8C00Legendary|R|N|CFFFFDEADInfinity is the essence of the Will o'wisps. The energy of lightning contained in it excites the prophet Drexel. It is said that the soul of the bleak soul with a green cloud-like halo is a nightmare for all adventurers.|R</v>
      </c>
      <c r="H73" s="94" t="s">
        <v>821</v>
      </c>
      <c r="I73" s="70" t="s">
        <v>571</v>
      </c>
    </row>
    <row r="74" spans="1:9" x14ac:dyDescent="0.35">
      <c r="A74" s="82">
        <v>21</v>
      </c>
      <c r="B74" s="82">
        <v>70</v>
      </c>
      <c r="C74" s="82">
        <v>166</v>
      </c>
      <c r="D74" s="84" t="str">
        <f ca="1">SUBSTITUTE(OFFSET(Attributes!$A$1,MATCH($A74,Attributes!$A:$A,0)-1,MATCH("Attr CN",Attributes!$1:$1,0)-1),"#",$B74*$B$1&amp;"-"&amp;$C74*$B$1)</f>
        <v>+210-498生命上限</v>
      </c>
      <c r="E74" s="135" t="str">
        <f ca="1">SUBSTITUTE(OFFSET(Attributes!$A$1,MATCH($A74,Attributes!$A:$A,0)-1,MATCH("Attr EN",Attributes!$1:$1,0)-1),"#",$B74*$B$1&amp;"-"&amp;$C74*$B$1)</f>
        <v>+210-498 Max HP</v>
      </c>
      <c r="F74" s="82" t="str">
        <f ca="1">FormatItemUbertip(D73:D79)</f>
        <v>+12-18智力|N+210-498生命上限|N+24-36法术强度|N|CFF33FF33赋予信念光环：使附近600码范围内所有敌人受到的法术伤害提高0.03-0.06|R|N|CFF33FF33造成法术伤害：有10%的几率施放闪电链，造成180-225点法术伤害|R|N|N|CFFFFCC00历史|R|N|CFFFFDEAD        
 |R</v>
      </c>
      <c r="G74" s="82" t="str">
        <f ca="1">FormatItemUbertip(E73:E77)</f>
        <v>+12-18 Intelligence|N+210-498 Max HP|N+24-36 Spell power|N|CFF33FF33Grant Aura of Conviction: All enemies within 600 yards take 0.03-0.06 more magic damage|R|N|CFF33FF33Dealing Magic Damage: 10% chance to cast Chain Lightning to target, dealing 180-225 magic damage|R</v>
      </c>
      <c r="H74" s="94" t="s">
        <v>822</v>
      </c>
      <c r="I74" s="70" t="s">
        <v>571</v>
      </c>
    </row>
    <row r="75" spans="1:9" x14ac:dyDescent="0.35">
      <c r="A75" s="82">
        <v>18</v>
      </c>
      <c r="B75" s="82">
        <v>8</v>
      </c>
      <c r="C75" s="82">
        <v>12</v>
      </c>
      <c r="D75" s="84" t="str">
        <f ca="1">SUBSTITUTE(OFFSET(Attributes!$A$1,MATCH($A75,Attributes!$A:$A,0)-1,MATCH("Attr CN",Attributes!$1:$1,0)-1),"#",$B75*$B$1&amp;"-"&amp;$C75*$B$1)</f>
        <v>+24-36法术强度</v>
      </c>
      <c r="E75" s="135" t="str">
        <f ca="1">SUBSTITUTE(OFFSET(Attributes!$A$1,MATCH($A75,Attributes!$A:$A,0)-1,MATCH("Attr EN",Attributes!$1:$1,0)-1),"#",$B75*$B$1&amp;"-"&amp;$C75*$B$1)</f>
        <v>+24-36 Spell power</v>
      </c>
      <c r="H75" s="94" t="s">
        <v>823</v>
      </c>
      <c r="I75" s="70" t="s">
        <v>571</v>
      </c>
    </row>
    <row r="76" spans="1:9" ht="51.75" x14ac:dyDescent="0.35">
      <c r="A76" s="82">
        <v>82</v>
      </c>
      <c r="B76" s="82">
        <v>0.01</v>
      </c>
      <c r="C76" s="82">
        <v>0.02</v>
      </c>
      <c r="D76" s="85" t="str">
        <f ca="1">SUBSTITUTE(OFFSET(Attributes!$A$1,MATCH($A76,Attributes!$A:$A,0)-1,MATCH("Attr CN",Attributes!$1:$1,0)-1),"#",$B76*$B$1&amp;"-"&amp;$C76*$B$1)</f>
        <v>赋予信念光环：使附近600码范围内所有敌人受到的法术伤害提高0.03-0.06</v>
      </c>
      <c r="E76" s="137" t="str">
        <f ca="1">SUBSTITUTE(OFFSET(Attributes!$A$1,MATCH($A76,Attributes!$A:$A,0)-1,MATCH("Attr EN",Attributes!$1:$1,0)-1),"#",$B76*$B$1&amp;"-"&amp;$C76*$B$1)</f>
        <v>Grant Aura of Conviction: All enemies within 600 yards take 0.03-0.06 more magic damage</v>
      </c>
      <c r="H76" s="94" t="s">
        <v>824</v>
      </c>
      <c r="I76" s="70" t="s">
        <v>571</v>
      </c>
    </row>
    <row r="77" spans="1:9" ht="51.75" x14ac:dyDescent="0.35">
      <c r="A77" s="82">
        <v>89</v>
      </c>
      <c r="B77" s="82">
        <v>60</v>
      </c>
      <c r="C77" s="82">
        <v>75</v>
      </c>
      <c r="D77" s="85" t="str">
        <f ca="1">SUBSTITUTE(OFFSET(Attributes!$A$1,MATCH($A77,Attributes!$A:$A,0)-1,MATCH("Attr CN",Attributes!$1:$1,0)-1),"#",$B77*$B$1&amp;"-"&amp;$C77*$B$1)</f>
        <v>造成法术伤害：有10%的几率施放闪电链，造成180-225点法术伤害</v>
      </c>
      <c r="E77" s="137" t="str">
        <f ca="1">SUBSTITUTE(OFFSET(Attributes!$A$1,MATCH($A77,Attributes!$A:$A,0)-1,MATCH("Attr EN",Attributes!$1:$1,0)-1),"#",$B77*$B$1&amp;"-"&amp;$C77*$B$1)</f>
        <v>Dealing Magic Damage: 10% chance to cast Chain Lightning to target, dealing 180-225 magic damage</v>
      </c>
      <c r="H77" s="94" t="s">
        <v>825</v>
      </c>
      <c r="I77" s="70" t="s">
        <v>571</v>
      </c>
    </row>
    <row r="78" spans="1:9" x14ac:dyDescent="0.35">
      <c r="D78" s="87" t="s">
        <v>56</v>
      </c>
      <c r="E78" s="138" t="s">
        <v>521</v>
      </c>
      <c r="I78" s="70" t="s">
        <v>571</v>
      </c>
    </row>
    <row r="79" spans="1:9" ht="103.5" x14ac:dyDescent="0.35">
      <c r="D79" s="88" t="s">
        <v>1006</v>
      </c>
      <c r="E79" s="139" t="s">
        <v>536</v>
      </c>
      <c r="I79" s="70" t="s">
        <v>571</v>
      </c>
    </row>
    <row r="80" spans="1:9" x14ac:dyDescent="0.35">
      <c r="H80" s="94" t="s">
        <v>849</v>
      </c>
      <c r="I80" s="70" t="s">
        <v>571</v>
      </c>
    </row>
    <row r="81" spans="1:9" s="70" customFormat="1" x14ac:dyDescent="0.35">
      <c r="A81" s="82"/>
      <c r="B81" s="82"/>
      <c r="C81" s="82"/>
      <c r="D81" s="83" t="s">
        <v>96</v>
      </c>
      <c r="E81" s="134" t="s">
        <v>537</v>
      </c>
      <c r="F81" s="82" t="str">
        <f>FormatItemName(D81)</f>
        <v>|CFFFF8C00洞察|R</v>
      </c>
      <c r="G81" s="82" t="str">
        <f>FormatItemName(E81)</f>
        <v>|CFFFF8C00Insight|R</v>
      </c>
      <c r="H81" s="94"/>
      <c r="I81" s="70" t="s">
        <v>571</v>
      </c>
    </row>
    <row r="82" spans="1:9" s="70" customFormat="1" x14ac:dyDescent="0.35">
      <c r="A82" s="82">
        <v>14</v>
      </c>
      <c r="B82" s="82">
        <v>3</v>
      </c>
      <c r="C82" s="82">
        <v>4</v>
      </c>
      <c r="D82" s="84" t="str">
        <f ca="1">SUBSTITUTE(OFFSET(Attributes!$A$1,MATCH($A82,Attributes!$A:$A,0)-1,MATCH("Attr CN",Attributes!$1:$1,0)-1),"#",$B82*$B$1&amp;"-"&amp;$C82*$B$1)</f>
        <v>+9-12智力</v>
      </c>
      <c r="E82" s="135" t="str">
        <f ca="1">SUBSTITUTE(OFFSET(Attributes!$A$1,MATCH($A82,Attributes!$A:$A,0)-1,MATCH("Attr EN",Attributes!$1:$1,0)-1),"#",$B82*$B$1&amp;"-"&amp;$C82*$B$1)</f>
        <v>+9-12 Intelligence</v>
      </c>
      <c r="F82" s="82" t="str">
        <f>FormatItemDescription(D81:D90)</f>
        <v>|CFFFF8C00Legendary|R|N|CFFFFDEAD在抵抗森林巨魔的战斗中，血精灵游侠们挥舞着受到这颗来自肯瑞托的法珠附魔的武器所向披靡，最终成功地建立了奎尔萨拉斯。|R</v>
      </c>
      <c r="G82" s="82" t="str">
        <f>FormatItemDescription(E81:E90)</f>
        <v>|CFFFF8C00Legendary|R|N|CFFFFDEADIn the fight against the forest trolls, the Blood Elf Rangers used this enchanted orb from Kirin Tor and eventually succeeded in establishing Quel'Thalas.|R</v>
      </c>
      <c r="H82" s="94" t="s">
        <v>826</v>
      </c>
      <c r="I82" s="70" t="s">
        <v>571</v>
      </c>
    </row>
    <row r="83" spans="1:9" s="70" customFormat="1" x14ac:dyDescent="0.35">
      <c r="A83" s="82">
        <v>9</v>
      </c>
      <c r="B83" s="82">
        <v>3</v>
      </c>
      <c r="C83" s="82">
        <v>5</v>
      </c>
      <c r="D83" s="84" t="str">
        <f ca="1">SUBSTITUTE(OFFSET(Attributes!$A$1,MATCH($A83,Attributes!$A:$A,0)-1,MATCH("Attr CN",Attributes!$1:$1,0)-1),"#",$B83*$B$1&amp;"-"&amp;$C83*$B$1)</f>
        <v>+9-15攻击强度</v>
      </c>
      <c r="E83" s="135" t="str">
        <f ca="1">SUBSTITUTE(OFFSET(Attributes!$A$1,MATCH($A83,Attributes!$A:$A,0)-1,MATCH("Attr EN",Attributes!$1:$1,0)-1),"#",$B83*$B$1&amp;"-"&amp;$C83*$B$1)</f>
        <v>+9-15 Attack power</v>
      </c>
      <c r="F83" s="82" t="str">
        <f ca="1">FormatItemUbertip(D82:D90)</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3" s="82" t="str">
        <f ca="1">FormatItemUbertip(E82:E88)</f>
        <v>+9-12 Intelligence|N+9-15 Attack power|N+30-51 Spell power|N+0.09-0.18 Spell haste|N|CFF33FF33Deals 51-90 extra magic damage per hit|R|N|CFF33FF33Converts your normal attacks into magic damage0-0|R|N|CFF33FF33Grant Aura of Meditation: All allies within 600 yards regen 6-12 MP per second|R</v>
      </c>
      <c r="H83" s="94" t="s">
        <v>827</v>
      </c>
      <c r="I83" s="70" t="s">
        <v>571</v>
      </c>
    </row>
    <row r="84" spans="1:9" s="70" customFormat="1" x14ac:dyDescent="0.35">
      <c r="A84" s="82">
        <v>18</v>
      </c>
      <c r="B84" s="82">
        <v>10</v>
      </c>
      <c r="C84" s="82">
        <v>17</v>
      </c>
      <c r="D84" s="84" t="str">
        <f ca="1">SUBSTITUTE(OFFSET(Attributes!$A$1,MATCH($A84,Attributes!$A:$A,0)-1,MATCH("Attr CN",Attributes!$1:$1,0)-1),"#",$B84*$B$1&amp;"-"&amp;$C84*$B$1)</f>
        <v>+30-51法术强度</v>
      </c>
      <c r="E84" s="135" t="str">
        <f ca="1">SUBSTITUTE(OFFSET(Attributes!$A$1,MATCH($A84,Attributes!$A:$A,0)-1,MATCH("Attr EN",Attributes!$1:$1,0)-1),"#",$B84*$B$1&amp;"-"&amp;$C84*$B$1)</f>
        <v>+30-51 Spell power</v>
      </c>
      <c r="F84" s="82"/>
      <c r="G84" s="82"/>
      <c r="H84" s="94" t="s">
        <v>828</v>
      </c>
      <c r="I84" s="70" t="s">
        <v>571</v>
      </c>
    </row>
    <row r="85" spans="1:9" s="70" customFormat="1" x14ac:dyDescent="0.35">
      <c r="A85" s="82">
        <v>19</v>
      </c>
      <c r="B85" s="82">
        <v>0.03</v>
      </c>
      <c r="C85" s="82">
        <v>0.06</v>
      </c>
      <c r="D85" s="84" t="str">
        <f ca="1">SUBSTITUTE(OFFSET(Attributes!$A$1,MATCH($A85,Attributes!$A:$A,0)-1,MATCH("Attr CN",Attributes!$1:$1,0)-1),"#",$B85*$B$1&amp;"-"&amp;$C85*$B$1)</f>
        <v>+0.09-0.18法术急速</v>
      </c>
      <c r="E85" s="135" t="str">
        <f ca="1">SUBSTITUTE(OFFSET(Attributes!$A$1,MATCH($A85,Attributes!$A:$A,0)-1,MATCH("Attr EN",Attributes!$1:$1,0)-1),"#",$B85*$B$1&amp;"-"&amp;$C85*$B$1)</f>
        <v>+0.09-0.18 Spell haste</v>
      </c>
      <c r="F85" s="82"/>
      <c r="G85" s="82"/>
      <c r="H85" s="94" t="s">
        <v>829</v>
      </c>
      <c r="I85" s="70" t="s">
        <v>571</v>
      </c>
    </row>
    <row r="86" spans="1:9" s="70" customFormat="1" x14ac:dyDescent="0.35">
      <c r="A86" s="82">
        <v>57</v>
      </c>
      <c r="B86" s="82">
        <v>17</v>
      </c>
      <c r="C86" s="82">
        <v>30</v>
      </c>
      <c r="D86" s="85" t="str">
        <f ca="1">SUBSTITUTE(OFFSET(Attributes!$A$1,MATCH($A86,Attributes!$A:$A,0)-1,MATCH("Attr CN",Attributes!$1:$1,0)-1),"#",$B86*$B$1&amp;"-"&amp;$C86*$B$1)</f>
        <v>攻击附加51-90点法术伤害</v>
      </c>
      <c r="E86" s="137" t="str">
        <f ca="1">SUBSTITUTE(OFFSET(Attributes!$A$1,MATCH($A86,Attributes!$A:$A,0)-1,MATCH("Attr EN",Attributes!$1:$1,0)-1),"#",$B86*$B$1&amp;"-"&amp;$C86*$B$1)</f>
        <v>Deals 51-90 extra magic damage per hit</v>
      </c>
      <c r="F86" s="82"/>
      <c r="G86" s="82"/>
      <c r="H86" s="94" t="s">
        <v>830</v>
      </c>
      <c r="I86" s="70" t="s">
        <v>571</v>
      </c>
    </row>
    <row r="87" spans="1:9" s="70" customFormat="1" ht="34.5" x14ac:dyDescent="0.35">
      <c r="A87" s="82">
        <v>68</v>
      </c>
      <c r="B87" s="82">
        <v>0</v>
      </c>
      <c r="C87" s="82">
        <v>0</v>
      </c>
      <c r="D87" s="85" t="str">
        <f ca="1">SUBSTITUTE(OFFSET(Attributes!$A$1,MATCH($A87,Attributes!$A:$A,0)-1,MATCH("Attr CN",Attributes!$1:$1,0)-1),"#",$B87*$B$1&amp;"-"&amp;$C87*$B$1)</f>
        <v>将普通攻击转化为法术伤害0-0</v>
      </c>
      <c r="E87" s="137" t="str">
        <f ca="1">SUBSTITUTE(OFFSET(Attributes!$A$1,MATCH($A87,Attributes!$A:$A,0)-1,MATCH("Attr EN",Attributes!$1:$1,0)-1),"#",$B87*$B$1&amp;"-"&amp;$C87*$B$1)</f>
        <v>Converts your normal attacks into magic damage0-0</v>
      </c>
      <c r="F87" s="82"/>
      <c r="G87" s="82"/>
      <c r="H87" s="94" t="s">
        <v>831</v>
      </c>
      <c r="I87" s="70" t="s">
        <v>571</v>
      </c>
    </row>
    <row r="88" spans="1:9" s="70" customFormat="1" ht="51.75" x14ac:dyDescent="0.35">
      <c r="A88" s="82">
        <v>83</v>
      </c>
      <c r="B88" s="82">
        <v>2</v>
      </c>
      <c r="C88" s="82">
        <v>4</v>
      </c>
      <c r="D88" s="85" t="str">
        <f ca="1">SUBSTITUTE(OFFSET(Attributes!$A$1,MATCH($A88,Attributes!$A:$A,0)-1,MATCH("Attr CN",Attributes!$1:$1,0)-1),"#",$B88*$B$1&amp;"-"&amp;$C88*$B$1)</f>
        <v>赋予冥想光环：使附近600码范围内的所有友军每秒回复6-12点法力值</v>
      </c>
      <c r="E88" s="137" t="str">
        <f ca="1">SUBSTITUTE(OFFSET(Attributes!$A$1,MATCH($A88,Attributes!$A:$A,0)-1,MATCH("Attr EN",Attributes!$1:$1,0)-1),"#",$B88*$B$1&amp;"-"&amp;$C88*$B$1)</f>
        <v>Grant Aura of Meditation: All allies within 600 yards regen 6-12 MP per second</v>
      </c>
      <c r="F88" s="82"/>
      <c r="G88" s="82"/>
      <c r="H88" s="94" t="s">
        <v>832</v>
      </c>
      <c r="I88" s="70" t="s">
        <v>571</v>
      </c>
    </row>
    <row r="89" spans="1:9" s="70" customFormat="1" x14ac:dyDescent="0.35">
      <c r="A89" s="82"/>
      <c r="B89" s="82"/>
      <c r="C89" s="82"/>
      <c r="D89" s="87" t="s">
        <v>56</v>
      </c>
      <c r="E89" s="138" t="s">
        <v>521</v>
      </c>
      <c r="F89" s="82"/>
      <c r="G89" s="82"/>
      <c r="H89" s="94"/>
      <c r="I89" s="70" t="s">
        <v>571</v>
      </c>
    </row>
    <row r="90" spans="1:9" s="70" customFormat="1" ht="69" x14ac:dyDescent="0.35">
      <c r="A90" s="82"/>
      <c r="B90" s="82"/>
      <c r="C90" s="82"/>
      <c r="D90" s="88" t="s">
        <v>99</v>
      </c>
      <c r="E90" s="139" t="s">
        <v>538</v>
      </c>
      <c r="F90" s="82"/>
      <c r="G90" s="82"/>
      <c r="H90" s="94"/>
      <c r="I90" s="70" t="s">
        <v>571</v>
      </c>
    </row>
    <row r="91" spans="1:9" s="70" customFormat="1" x14ac:dyDescent="0.35">
      <c r="A91" s="82"/>
      <c r="B91" s="82"/>
      <c r="C91" s="82"/>
      <c r="D91" s="90"/>
      <c r="E91" s="132"/>
      <c r="F91" s="82"/>
      <c r="G91" s="82"/>
      <c r="H91" s="94" t="s">
        <v>850</v>
      </c>
      <c r="I91" s="70" t="s">
        <v>571</v>
      </c>
    </row>
    <row r="92" spans="1:9" s="70" customFormat="1" x14ac:dyDescent="0.35">
      <c r="A92" s="82"/>
      <c r="B92" s="82"/>
      <c r="C92" s="82"/>
      <c r="D92" s="83" t="s">
        <v>100</v>
      </c>
      <c r="E92" s="134" t="s">
        <v>539</v>
      </c>
      <c r="F92" s="82" t="str">
        <f>FormatItemName(D92)</f>
        <v>|CFFFF8C00巫毒瓶|R</v>
      </c>
      <c r="G92" s="82" t="str">
        <f>FormatItemName(E92)</f>
        <v>|CFFFF8C00Voodoo Vials|R</v>
      </c>
      <c r="H92" s="94"/>
      <c r="I92" s="70" t="s">
        <v>571</v>
      </c>
    </row>
    <row r="93" spans="1:9" s="70" customFormat="1" x14ac:dyDescent="0.35">
      <c r="A93" s="82">
        <v>14</v>
      </c>
      <c r="B93" s="82">
        <v>3</v>
      </c>
      <c r="C93" s="82">
        <v>5</v>
      </c>
      <c r="D93" s="84" t="str">
        <f ca="1">SUBSTITUTE(OFFSET(Attributes!$A$1,MATCH($A93,Attributes!$A:$A,0)-1,MATCH("Attr CN",Attributes!$1:$1,0)-1),"#",$B93*$B$1&amp;"-"&amp;$C93*$B$1)</f>
        <v>+9-15智力</v>
      </c>
      <c r="E93" s="135" t="str">
        <f ca="1">SUBSTITUTE(OFFSET(Attributes!$A$1,MATCH($A93,Attributes!$A:$A,0)-1,MATCH("Attr EN",Attributes!$1:$1,0)-1),"#",$B93*$B$1&amp;"-"&amp;$C93*$B$1)</f>
        <v>+9-15 Intelligence</v>
      </c>
      <c r="F93" s="82" t="str">
        <f>FormatItemDescription(D92:D100)</f>
        <v>|CFFFF8C00Legendary|R|N|CFFFFDEAD知道这个不起眼的小瓶是赞吉尔发明的人都变成了他的“朋友”。|R</v>
      </c>
      <c r="G93" s="82" t="str">
        <f>FormatItemDescription(E92:E100)</f>
        <v>|CFFFF8C00Legendary|R|N|CFFFFDEADZanzil "makes" friends by these small vials.|R</v>
      </c>
      <c r="H93" s="94" t="s">
        <v>833</v>
      </c>
      <c r="I93" s="70" t="s">
        <v>571</v>
      </c>
    </row>
    <row r="94" spans="1:9" s="70" customFormat="1" x14ac:dyDescent="0.35">
      <c r="A94" s="82">
        <v>17</v>
      </c>
      <c r="B94" s="82">
        <v>83</v>
      </c>
      <c r="C94" s="82">
        <v>110</v>
      </c>
      <c r="D94" s="84" t="str">
        <f ca="1">SUBSTITUTE(OFFSET(Attributes!$A$1,MATCH($A94,Attributes!$A:$A,0)-1,MATCH("Attr CN",Attributes!$1:$1,0)-1),"#",$B94*$B$1&amp;"-"&amp;$C94*$B$1)</f>
        <v>+249-330法力上限</v>
      </c>
      <c r="E94" s="135" t="str">
        <f ca="1">SUBSTITUTE(OFFSET(Attributes!$A$1,MATCH($A94,Attributes!$A:$A,0)-1,MATCH("Attr EN",Attributes!$1:$1,0)-1),"#",$B94*$B$1&amp;"-"&amp;$C94*$B$1)</f>
        <v>+249-330 Max MP</v>
      </c>
      <c r="F94" s="82" t="str">
        <f ca="1">FormatItemUbertip(D93:D100)</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4" s="82" t="str">
        <f ca="1">FormatItemUbertip(E93:E100)</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4" s="94" t="s">
        <v>834</v>
      </c>
      <c r="I94" s="70" t="s">
        <v>571</v>
      </c>
    </row>
    <row r="95" spans="1:9" s="70" customFormat="1" x14ac:dyDescent="0.35">
      <c r="A95" s="82">
        <v>20</v>
      </c>
      <c r="B95" s="82">
        <v>0.01</v>
      </c>
      <c r="C95" s="82">
        <v>0.01</v>
      </c>
      <c r="D95" s="84" t="str">
        <f ca="1">SUBSTITUTE(OFFSET(Attributes!$A$1,MATCH($A95,Attributes!$A:$A,0)-1,MATCH("Attr CN",Attributes!$1:$1,0)-1),"#",$B95*$B$1&amp;"-"&amp;$C95*$B$1)</f>
        <v>+0.03-0.03法术暴击</v>
      </c>
      <c r="E95" s="135" t="str">
        <f ca="1">SUBSTITUTE(OFFSET(Attributes!$A$1,MATCH($A95,Attributes!$A:$A,0)-1,MATCH("Attr EN",Attributes!$1:$1,0)-1),"#",$B95*$B$1&amp;"-"&amp;$C95*$B$1)</f>
        <v>+0.03-0.03 Spell critical</v>
      </c>
      <c r="F95" s="82"/>
      <c r="G95" s="82"/>
      <c r="H95" s="94" t="s">
        <v>835</v>
      </c>
      <c r="I95" s="70" t="s">
        <v>571</v>
      </c>
    </row>
    <row r="96" spans="1:9" s="70" customFormat="1" x14ac:dyDescent="0.35">
      <c r="A96" s="82">
        <v>19</v>
      </c>
      <c r="B96" s="82">
        <v>0.01</v>
      </c>
      <c r="C96" s="82">
        <v>0.02</v>
      </c>
      <c r="D96" s="84" t="str">
        <f ca="1">SUBSTITUTE(OFFSET(Attributes!$A$1,MATCH($A96,Attributes!$A:$A,0)-1,MATCH("Attr CN",Attributes!$1:$1,0)-1),"#",$B96*$B$1&amp;"-"&amp;$C96*$B$1)</f>
        <v>+0.03-0.06法术急速</v>
      </c>
      <c r="E96" s="135" t="str">
        <f ca="1">SUBSTITUTE(OFFSET(Attributes!$A$1,MATCH($A96,Attributes!$A:$A,0)-1,MATCH("Attr EN",Attributes!$1:$1,0)-1),"#",$B96*$B$1&amp;"-"&amp;$C96*$B$1)</f>
        <v>+0.03-0.06 Spell haste</v>
      </c>
      <c r="F96" s="82"/>
      <c r="G96" s="82"/>
      <c r="H96" s="94" t="s">
        <v>836</v>
      </c>
      <c r="I96" s="70" t="s">
        <v>571</v>
      </c>
    </row>
    <row r="97" spans="1:9" s="70" customFormat="1" ht="51.75" x14ac:dyDescent="0.35">
      <c r="A97" s="82">
        <v>88</v>
      </c>
      <c r="B97" s="82">
        <v>12</v>
      </c>
      <c r="C97" s="82">
        <v>20</v>
      </c>
      <c r="D97" s="85" t="str">
        <f ca="1">SUBSTITUTE(OFFSET(Attributes!$A$1,MATCH($A97,Attributes!$A:$A,0)-1,MATCH("Attr CN",Attributes!$1:$1,0)-1),"#",$B97*$B$1&amp;"-"&amp;$C97*$B$1)</f>
        <v>造成法术伤害：有10%的几率使敌人中毒，每秒造成36-60点法术伤害</v>
      </c>
      <c r="E97" s="137" t="str">
        <f ca="1">SUBSTITUTE(OFFSET(Attributes!$A$1,MATCH($A97,Attributes!$A:$A,0)-1,MATCH("Attr EN",Attributes!$1:$1,0)-1),"#",$B97*$B$1&amp;"-"&amp;$C97*$B$1)</f>
        <v>Dealing Magic Damage: 10% chance to poison target, dealing 36-60 magic damage over time</v>
      </c>
      <c r="F97" s="82"/>
      <c r="G97" s="82"/>
      <c r="H97" s="94" t="s">
        <v>837</v>
      </c>
      <c r="I97" s="70" t="s">
        <v>571</v>
      </c>
    </row>
    <row r="98" spans="1:9" s="70" customFormat="1" ht="34.5" x14ac:dyDescent="0.35">
      <c r="A98" s="82">
        <v>32</v>
      </c>
      <c r="B98" s="82">
        <v>15</v>
      </c>
      <c r="C98" s="82">
        <v>30</v>
      </c>
      <c r="D98" s="85" t="str">
        <f ca="1">SUBSTITUTE(OFFSET(Attributes!$A$1,MATCH($A98,Attributes!$A:$A,0)-1,MATCH("Attr CN",Attributes!$1:$1,0)-1),"#",$B98*$B$1&amp;"-"&amp;$C98*$B$1)</f>
        <v>使用：投掷一个巫毒瓶到目标区域，释放出里面的邪恶生物，对区域内的敌人造成45-90点持续的法术伤害</v>
      </c>
      <c r="E98" s="137" t="str">
        <f ca="1">SUBSTITUTE(OFFSET(Attributes!$A$1,MATCH($A98,Attributes!$A:$A,0)-1,MATCH("Attr EN",Attributes!$1:$1,0)-1),"#",$B98*$B$1&amp;"-"&amp;$C98*$B$1)</f>
        <v>Use: Deals 45-90 magic damage to all enemies within range over time</v>
      </c>
      <c r="F98" s="82"/>
      <c r="G98" s="82"/>
      <c r="H98" s="94" t="s">
        <v>838</v>
      </c>
      <c r="I98" s="70" t="s">
        <v>571</v>
      </c>
    </row>
    <row r="99" spans="1:9" s="70" customFormat="1" x14ac:dyDescent="0.35">
      <c r="A99" s="82"/>
      <c r="B99" s="82"/>
      <c r="C99" s="82"/>
      <c r="D99" s="87" t="s">
        <v>56</v>
      </c>
      <c r="E99" s="138" t="s">
        <v>521</v>
      </c>
      <c r="F99" s="82"/>
      <c r="G99" s="82"/>
      <c r="H99" s="94"/>
      <c r="I99" s="70" t="s">
        <v>571</v>
      </c>
    </row>
    <row r="100" spans="1:9" s="70" customFormat="1" ht="30" x14ac:dyDescent="0.35">
      <c r="A100" s="82"/>
      <c r="B100" s="82"/>
      <c r="C100" s="82"/>
      <c r="D100" s="88" t="s">
        <v>102</v>
      </c>
      <c r="E100" s="139" t="s">
        <v>540</v>
      </c>
      <c r="F100" s="82"/>
      <c r="G100" s="82"/>
      <c r="H100" s="94"/>
      <c r="I100" s="70" t="s">
        <v>571</v>
      </c>
    </row>
    <row r="101" spans="1:9" s="70" customFormat="1" x14ac:dyDescent="0.35">
      <c r="A101" s="82"/>
      <c r="B101" s="82"/>
      <c r="C101" s="82"/>
      <c r="D101" s="90"/>
      <c r="E101" s="132"/>
      <c r="F101" s="82"/>
      <c r="G101" s="82"/>
      <c r="H101" s="94" t="s">
        <v>851</v>
      </c>
      <c r="I101" s="70" t="s">
        <v>571</v>
      </c>
    </row>
    <row r="102" spans="1:9" s="70" customFormat="1" x14ac:dyDescent="0.35">
      <c r="A102" s="82"/>
      <c r="B102" s="82"/>
      <c r="C102" s="82"/>
      <c r="D102" s="83" t="s">
        <v>345</v>
      </c>
      <c r="E102" s="134" t="s">
        <v>541</v>
      </c>
      <c r="F102" s="82" t="str">
        <f>FormatItemName(D102)</f>
        <v>|CFFFF8C00神圣月光之剑|R</v>
      </c>
      <c r="G102" s="82" t="str">
        <f>FormatItemName(E102)</f>
        <v>|CFFFF8C00Holy Moonlight Sword|R</v>
      </c>
      <c r="H102" s="94"/>
      <c r="I102" s="70" t="s">
        <v>571</v>
      </c>
    </row>
    <row r="103" spans="1:9" s="70" customFormat="1" x14ac:dyDescent="0.35">
      <c r="A103" s="82">
        <v>4</v>
      </c>
      <c r="B103" s="82">
        <v>4</v>
      </c>
      <c r="C103" s="82">
        <v>6</v>
      </c>
      <c r="D103" s="84" t="str">
        <f ca="1">SUBSTITUTE(OFFSET(Attributes!$A$1,MATCH($A103,Attributes!$A:$A,0)-1,MATCH("Attr CN",Attributes!$1:$1,0)-1),"#",$B103*$B$1&amp;"-"&amp;$C103*$B$1)</f>
        <v>+12-18力量</v>
      </c>
      <c r="E103" s="135" t="str">
        <f ca="1">SUBSTITUTE(OFFSET(Attributes!$A$1,MATCH($A103,Attributes!$A:$A,0)-1,MATCH("Attr EN",Attributes!$1:$1,0)-1),"#",$B103*$B$1&amp;"-"&amp;$C103*$B$1)</f>
        <v>+12-18 Strength</v>
      </c>
      <c r="F103" s="82" t="str">
        <f>FormatItemDescription(D102:D109)</f>
        <v>|CFFFF8C00Legendary|R|N|CFFFFDEAD“圣剑路德维希”|R</v>
      </c>
      <c r="G103" s="82" t="str">
        <f>FormatItemDescription(E102:E109)</f>
        <v>|CFFFF8C00Legendary|R|N|CFFFFDEAD"Ludwig the Holy Blade"|R</v>
      </c>
      <c r="H103" s="94" t="s">
        <v>839</v>
      </c>
      <c r="I103" s="70" t="s">
        <v>571</v>
      </c>
    </row>
    <row r="104" spans="1:9" s="70" customFormat="1" x14ac:dyDescent="0.35">
      <c r="A104" s="82">
        <v>21</v>
      </c>
      <c r="B104" s="82">
        <v>75</v>
      </c>
      <c r="C104" s="82">
        <v>100</v>
      </c>
      <c r="D104" s="84" t="str">
        <f ca="1">SUBSTITUTE(OFFSET(Attributes!$A$1,MATCH($A104,Attributes!$A:$A,0)-1,MATCH("Attr CN",Attributes!$1:$1,0)-1),"#",$B104*$B$1&amp;"-"&amp;$C104*$B$1)</f>
        <v>+225-300生命上限</v>
      </c>
      <c r="E104" s="135" t="str">
        <f ca="1">SUBSTITUTE(OFFSET(Attributes!$A$1,MATCH($A104,Attributes!$A:$A,0)-1,MATCH("Attr EN",Attributes!$1:$1,0)-1),"#",$B104*$B$1&amp;"-"&amp;$C104*$B$1)</f>
        <v>+225-300 Max HP</v>
      </c>
      <c r="F104" s="82" t="str">
        <f ca="1">FormatItemUbertip(D103:D109)</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4" s="82" t="str">
        <f ca="1">FormatItemUbertip(E103:E108)</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4" s="94" t="s">
        <v>840</v>
      </c>
      <c r="I104" s="70" t="s">
        <v>571</v>
      </c>
    </row>
    <row r="105" spans="1:9" s="70" customFormat="1" x14ac:dyDescent="0.35">
      <c r="A105" s="82">
        <v>57</v>
      </c>
      <c r="B105" s="82">
        <v>11</v>
      </c>
      <c r="C105" s="82">
        <v>19</v>
      </c>
      <c r="D105" s="85" t="str">
        <f ca="1">SUBSTITUTE(OFFSET(Attributes!$A$1,MATCH($A105,Attributes!$A:$A,0)-1,MATCH("Attr CN",Attributes!$1:$1,0)-1),"#",$B105*$B$1&amp;"-"&amp;$C105*$B$1)</f>
        <v>攻击附加33-57点法术伤害</v>
      </c>
      <c r="E105" s="137" t="str">
        <f ca="1">SUBSTITUTE(OFFSET(Attributes!$A$1,MATCH($A105,Attributes!$A:$A,0)-1,MATCH("Attr EN",Attributes!$1:$1,0)-1),"#",$B105*$B$1&amp;"-"&amp;$C105*$B$1)</f>
        <v>Deals 33-57 extra magic damage per hit</v>
      </c>
      <c r="F105" s="82"/>
      <c r="G105" s="82"/>
      <c r="H105" s="94" t="s">
        <v>841</v>
      </c>
      <c r="I105" s="70" t="s">
        <v>571</v>
      </c>
    </row>
    <row r="106" spans="1:9" s="70" customFormat="1" x14ac:dyDescent="0.35">
      <c r="A106" s="82">
        <v>43</v>
      </c>
      <c r="B106" s="82">
        <v>0.03</v>
      </c>
      <c r="C106" s="82">
        <v>0.04</v>
      </c>
      <c r="D106" s="85" t="str">
        <f ca="1">SUBSTITUTE(OFFSET(Attributes!$A$1,MATCH($A106,Attributes!$A:$A,0)-1,MATCH("Attr CN",Attributes!$1:$1,0)-1),"#",$B106*$B$1&amp;"-"&amp;$C106*$B$1)</f>
        <v>攻击汲取0.09-0.12法力</v>
      </c>
      <c r="E106" s="137" t="str">
        <f ca="1">SUBSTITUTE(OFFSET(Attributes!$A$1,MATCH($A106,Attributes!$A:$A,0)-1,MATCH("Attr EN",Attributes!$1:$1,0)-1),"#",$B106*$B$1&amp;"-"&amp;$C106*$B$1)</f>
        <v>+0.09-0.12 Mana stolen per hit</v>
      </c>
      <c r="F106" s="82"/>
      <c r="G106" s="82"/>
      <c r="H106" s="94" t="s">
        <v>842</v>
      </c>
      <c r="I106" s="70" t="s">
        <v>571</v>
      </c>
    </row>
    <row r="107" spans="1:9" s="70" customFormat="1" ht="51.75" x14ac:dyDescent="0.35">
      <c r="A107" s="82">
        <v>75</v>
      </c>
      <c r="B107" s="82">
        <v>75</v>
      </c>
      <c r="C107" s="82">
        <v>100</v>
      </c>
      <c r="D107" s="85" t="str">
        <f ca="1">SUBSTITUTE(OFFSET(Attributes!$A$1,MATCH($A107,Attributes!$A:$A,0)-1,MATCH("Attr CN",Attributes!$1:$1,0)-1),"#",$B107*$B$1&amp;"-"&amp;$C107*$B$1)</f>
        <v>每第三次普通攻击：消耗5%的法力值，引爆月光，对附近的敌人造成225-300点法术伤害</v>
      </c>
      <c r="E107" s="137" t="str">
        <f ca="1">SUBSTITUTE(OFFSET(Attributes!$A$1,MATCH($A107,Attributes!$A:$A,0)-1,MATCH("Attr EN",Attributes!$1:$1,0)-1),"#",$B107*$B$1&amp;"-"&amp;$C107*$B$1)</f>
        <v>Every Third Attack: Consumes 5% of max MP, deals 225-300 magic damage to all enemies nearby</v>
      </c>
      <c r="F107" s="82"/>
      <c r="G107" s="82"/>
      <c r="H107" s="94" t="s">
        <v>843</v>
      </c>
      <c r="I107" s="70" t="s">
        <v>571</v>
      </c>
    </row>
    <row r="108" spans="1:9" s="70" customFormat="1" ht="51.75" x14ac:dyDescent="0.35">
      <c r="A108" s="82">
        <v>49</v>
      </c>
      <c r="B108" s="82">
        <v>60</v>
      </c>
      <c r="C108" s="82">
        <v>80</v>
      </c>
      <c r="D108" s="85" t="str">
        <f ca="1">SUBSTITUTE(OFFSET(Attributes!$A$1,MATCH($A108,Attributes!$A:$A,0)-1,MATCH("Attr CN",Attributes!$1:$1,0)-1),"#",$B108*$B$1&amp;"-"&amp;$C108*$B$1)</f>
        <v>命中：有10%的几率消耗5%的法力值，向前方释放一道月光波，对直线上的敌人造成180-240点法术伤害</v>
      </c>
      <c r="E108" s="137" t="str">
        <f ca="1">SUBSTITUTE(OFFSET(Attributes!$A$1,MATCH($A108,Attributes!$A:$A,0)-1,MATCH("Attr EN",Attributes!$1:$1,0)-1),"#",$B108*$B$1&amp;"-"&amp;$C108*$B$1)</f>
        <v>On Attack: 10% chance to consume 5% of max MP, deals 180-240 magic damage to all enemies in a row</v>
      </c>
      <c r="F108" s="82"/>
      <c r="G108" s="82"/>
      <c r="H108" s="94" t="s">
        <v>844</v>
      </c>
      <c r="I108" s="70" t="s">
        <v>571</v>
      </c>
    </row>
    <row r="109" spans="1:9" s="70" customFormat="1" x14ac:dyDescent="0.35">
      <c r="A109" s="82"/>
      <c r="B109" s="82"/>
      <c r="C109" s="82"/>
      <c r="D109" s="88" t="s">
        <v>346</v>
      </c>
      <c r="E109" s="139" t="s">
        <v>542</v>
      </c>
      <c r="F109" s="82"/>
      <c r="G109" s="82"/>
      <c r="H109" s="94"/>
      <c r="I109" s="70" t="s">
        <v>571</v>
      </c>
    </row>
    <row r="110" spans="1:9" s="70" customFormat="1" x14ac:dyDescent="0.35">
      <c r="A110" s="82"/>
      <c r="B110" s="82"/>
      <c r="C110" s="82"/>
      <c r="D110" s="90"/>
      <c r="E110" s="132"/>
      <c r="F110" s="82"/>
      <c r="G110" s="82"/>
      <c r="H110" s="94" t="s">
        <v>854</v>
      </c>
      <c r="I110" s="70" t="s">
        <v>571</v>
      </c>
    </row>
    <row r="111" spans="1:9" s="70" customFormat="1" x14ac:dyDescent="0.35">
      <c r="A111" s="82"/>
      <c r="B111" s="82"/>
      <c r="C111" s="82"/>
      <c r="D111" s="90"/>
      <c r="E111" s="141"/>
      <c r="F111" s="82"/>
      <c r="G111" s="82"/>
      <c r="H111" s="94" t="s">
        <v>855</v>
      </c>
      <c r="I111" s="70" t="s">
        <v>571</v>
      </c>
    </row>
    <row r="112" spans="1:9" s="70" customFormat="1" x14ac:dyDescent="0.35">
      <c r="A112" s="82"/>
      <c r="B112" s="82"/>
      <c r="C112" s="82"/>
      <c r="D112" s="90"/>
      <c r="E112" s="141"/>
      <c r="F112" s="82"/>
      <c r="G112" s="82"/>
      <c r="H112" s="94" t="s">
        <v>855</v>
      </c>
      <c r="I112" s="70" t="s">
        <v>571</v>
      </c>
    </row>
    <row r="113" spans="8:9" x14ac:dyDescent="0.35">
      <c r="H113" s="94" t="s">
        <v>855</v>
      </c>
      <c r="I113" s="70" t="s">
        <v>571</v>
      </c>
    </row>
    <row r="114" spans="8:9" x14ac:dyDescent="0.35">
      <c r="H114" s="94" t="s">
        <v>855</v>
      </c>
      <c r="I114" s="70" t="s">
        <v>571</v>
      </c>
    </row>
    <row r="115" spans="8:9" x14ac:dyDescent="0.35">
      <c r="I115" s="70" t="s">
        <v>571</v>
      </c>
    </row>
    <row r="116" spans="8:9" x14ac:dyDescent="0.35">
      <c r="I116" s="70" t="s">
        <v>571</v>
      </c>
    </row>
    <row r="117" spans="8:9" x14ac:dyDescent="0.35">
      <c r="I117" s="70" t="s">
        <v>571</v>
      </c>
    </row>
    <row r="118" spans="8:9" x14ac:dyDescent="0.35">
      <c r="I118" s="70" t="s">
        <v>571</v>
      </c>
    </row>
    <row r="119" spans="8:9" x14ac:dyDescent="0.35">
      <c r="I119" s="70" t="s">
        <v>571</v>
      </c>
    </row>
    <row r="120" spans="8:9" x14ac:dyDescent="0.35">
      <c r="I120" s="70" t="s">
        <v>571</v>
      </c>
    </row>
    <row r="121" spans="8:9" x14ac:dyDescent="0.35">
      <c r="I121" s="70" t="s">
        <v>571</v>
      </c>
    </row>
    <row r="122" spans="8:9" x14ac:dyDescent="0.35">
      <c r="I122" s="70" t="s">
        <v>571</v>
      </c>
    </row>
    <row r="123" spans="8:9" x14ac:dyDescent="0.35">
      <c r="I123" s="70" t="s">
        <v>571</v>
      </c>
    </row>
    <row r="124" spans="8:9" x14ac:dyDescent="0.35">
      <c r="I124" s="70" t="s">
        <v>571</v>
      </c>
    </row>
    <row r="125" spans="8:9" x14ac:dyDescent="0.35">
      <c r="I125" s="70" t="s">
        <v>571</v>
      </c>
    </row>
    <row r="126" spans="8:9" x14ac:dyDescent="0.35">
      <c r="I126" s="70" t="s">
        <v>571</v>
      </c>
    </row>
    <row r="127" spans="8:9" x14ac:dyDescent="0.35">
      <c r="I127" s="70" t="s">
        <v>571</v>
      </c>
    </row>
    <row r="128" spans="8:9" x14ac:dyDescent="0.35">
      <c r="I128" s="70" t="s">
        <v>571</v>
      </c>
    </row>
    <row r="129" spans="9:9" x14ac:dyDescent="0.35">
      <c r="I129" s="70" t="s">
        <v>571</v>
      </c>
    </row>
    <row r="130" spans="9:9" x14ac:dyDescent="0.35">
      <c r="I130" s="70" t="s">
        <v>571</v>
      </c>
    </row>
    <row r="131" spans="9:9" x14ac:dyDescent="0.35">
      <c r="I131" s="70" t="s">
        <v>571</v>
      </c>
    </row>
    <row r="132" spans="9:9" x14ac:dyDescent="0.35">
      <c r="I132" s="70" t="s">
        <v>571</v>
      </c>
    </row>
    <row r="133" spans="9:9" x14ac:dyDescent="0.35">
      <c r="I133" s="70" t="s">
        <v>571</v>
      </c>
    </row>
    <row r="134" spans="9:9" x14ac:dyDescent="0.35">
      <c r="I134" s="70" t="s">
        <v>571</v>
      </c>
    </row>
    <row r="135" spans="9:9" x14ac:dyDescent="0.35">
      <c r="I135" s="70" t="s">
        <v>571</v>
      </c>
    </row>
    <row r="136" spans="9:9" x14ac:dyDescent="0.35">
      <c r="I136" s="70" t="s">
        <v>571</v>
      </c>
    </row>
    <row r="137" spans="9:9" x14ac:dyDescent="0.35">
      <c r="I137" s="70" t="s">
        <v>571</v>
      </c>
    </row>
    <row r="138" spans="9:9" x14ac:dyDescent="0.35">
      <c r="I138" s="70" t="s">
        <v>571</v>
      </c>
    </row>
    <row r="139" spans="9:9" x14ac:dyDescent="0.35">
      <c r="I139" s="70" t="s">
        <v>571</v>
      </c>
    </row>
    <row r="140" spans="9:9" x14ac:dyDescent="0.35">
      <c r="I140" s="70" t="s">
        <v>571</v>
      </c>
    </row>
    <row r="141" spans="9:9" x14ac:dyDescent="0.35">
      <c r="I141" s="70" t="s">
        <v>571</v>
      </c>
    </row>
    <row r="142" spans="9:9" x14ac:dyDescent="0.35">
      <c r="I142" s="70" t="s">
        <v>571</v>
      </c>
    </row>
    <row r="143" spans="9:9" x14ac:dyDescent="0.35">
      <c r="I143" s="70" t="s">
        <v>571</v>
      </c>
    </row>
    <row r="144" spans="9:9" x14ac:dyDescent="0.35">
      <c r="I144" s="70" t="s">
        <v>571</v>
      </c>
    </row>
    <row r="145" spans="9:9" x14ac:dyDescent="0.35">
      <c r="I145" s="70" t="s">
        <v>571</v>
      </c>
    </row>
    <row r="146" spans="9:9" x14ac:dyDescent="0.35">
      <c r="I146" s="70" t="s">
        <v>571</v>
      </c>
    </row>
    <row r="147" spans="9:9" x14ac:dyDescent="0.35">
      <c r="I147" s="70" t="s">
        <v>571</v>
      </c>
    </row>
    <row r="148" spans="9:9" x14ac:dyDescent="0.35">
      <c r="I148" s="70" t="s">
        <v>571</v>
      </c>
    </row>
    <row r="149" spans="9:9" x14ac:dyDescent="0.35">
      <c r="I149" s="70" t="s">
        <v>571</v>
      </c>
    </row>
    <row r="150" spans="9:9" x14ac:dyDescent="0.35">
      <c r="I150" s="70" t="s">
        <v>571</v>
      </c>
    </row>
    <row r="151" spans="9:9" x14ac:dyDescent="0.35">
      <c r="I151" s="70" t="s">
        <v>571</v>
      </c>
    </row>
    <row r="152" spans="9:9" x14ac:dyDescent="0.35">
      <c r="I152" s="70" t="s">
        <v>571</v>
      </c>
    </row>
    <row r="153" spans="9:9" x14ac:dyDescent="0.35">
      <c r="I153" s="70" t="s">
        <v>571</v>
      </c>
    </row>
    <row r="154" spans="9:9" x14ac:dyDescent="0.35">
      <c r="I154" s="70" t="s">
        <v>571</v>
      </c>
    </row>
    <row r="155" spans="9:9" x14ac:dyDescent="0.35">
      <c r="I155" s="70" t="s">
        <v>571</v>
      </c>
    </row>
    <row r="156" spans="9:9" x14ac:dyDescent="0.35">
      <c r="I156" s="70" t="s">
        <v>571</v>
      </c>
    </row>
    <row r="157" spans="9:9" x14ac:dyDescent="0.35">
      <c r="I157" s="70" t="s">
        <v>571</v>
      </c>
    </row>
    <row r="158" spans="9:9" x14ac:dyDescent="0.35">
      <c r="I158" s="70" t="s">
        <v>571</v>
      </c>
    </row>
    <row r="159" spans="9:9" x14ac:dyDescent="0.35">
      <c r="I159" s="70" t="s">
        <v>571</v>
      </c>
    </row>
    <row r="160" spans="9:9" x14ac:dyDescent="0.35">
      <c r="I160" s="70" t="s">
        <v>571</v>
      </c>
    </row>
    <row r="161" spans="9:9" x14ac:dyDescent="0.35">
      <c r="I161" s="70" t="s">
        <v>571</v>
      </c>
    </row>
    <row r="162" spans="9:9" x14ac:dyDescent="0.35">
      <c r="I162" s="70" t="s">
        <v>571</v>
      </c>
    </row>
    <row r="163" spans="9:9" x14ac:dyDescent="0.35">
      <c r="I163" s="70" t="s">
        <v>571</v>
      </c>
    </row>
    <row r="164" spans="9:9" x14ac:dyDescent="0.35">
      <c r="I164" s="70" t="s">
        <v>571</v>
      </c>
    </row>
    <row r="165" spans="9:9" x14ac:dyDescent="0.35">
      <c r="I165" s="70" t="s">
        <v>571</v>
      </c>
    </row>
    <row r="166" spans="9:9" x14ac:dyDescent="0.35">
      <c r="I166" s="70" t="s">
        <v>571</v>
      </c>
    </row>
    <row r="167" spans="9:9" x14ac:dyDescent="0.35">
      <c r="I167" s="70" t="s">
        <v>571</v>
      </c>
    </row>
    <row r="168" spans="9:9" x14ac:dyDescent="0.35">
      <c r="I168" s="70" t="s">
        <v>571</v>
      </c>
    </row>
    <row r="169" spans="9:9" x14ac:dyDescent="0.35">
      <c r="I169" s="70" t="s">
        <v>571</v>
      </c>
    </row>
    <row r="170" spans="9:9" x14ac:dyDescent="0.35">
      <c r="I170" s="70" t="s">
        <v>571</v>
      </c>
    </row>
    <row r="171" spans="9:9" x14ac:dyDescent="0.35">
      <c r="I171" s="70" t="s">
        <v>571</v>
      </c>
    </row>
    <row r="172" spans="9:9" x14ac:dyDescent="0.35">
      <c r="I172" s="70" t="s">
        <v>571</v>
      </c>
    </row>
    <row r="173" spans="9:9" x14ac:dyDescent="0.35">
      <c r="I173" s="70" t="s">
        <v>571</v>
      </c>
    </row>
    <row r="174" spans="9:9" x14ac:dyDescent="0.35">
      <c r="I174" s="70" t="s">
        <v>571</v>
      </c>
    </row>
    <row r="175" spans="9:9" x14ac:dyDescent="0.35">
      <c r="I175" s="70" t="s">
        <v>571</v>
      </c>
    </row>
    <row r="176" spans="9:9" x14ac:dyDescent="0.35">
      <c r="I176" s="70" t="s">
        <v>571</v>
      </c>
    </row>
    <row r="177" spans="9:9" x14ac:dyDescent="0.35">
      <c r="I177" s="70" t="s">
        <v>571</v>
      </c>
    </row>
    <row r="178" spans="9:9" x14ac:dyDescent="0.35">
      <c r="I178" s="70" t="s">
        <v>571</v>
      </c>
    </row>
    <row r="179" spans="9:9" x14ac:dyDescent="0.35">
      <c r="I179" s="70" t="s">
        <v>571</v>
      </c>
    </row>
    <row r="180" spans="9:9" x14ac:dyDescent="0.35">
      <c r="I180" s="70" t="s">
        <v>571</v>
      </c>
    </row>
    <row r="181" spans="9:9" x14ac:dyDescent="0.35">
      <c r="I181" s="70" t="s">
        <v>571</v>
      </c>
    </row>
    <row r="182" spans="9:9" x14ac:dyDescent="0.35">
      <c r="I182" s="70" t="s">
        <v>571</v>
      </c>
    </row>
    <row r="183" spans="9:9" x14ac:dyDescent="0.35">
      <c r="I183" s="70" t="s">
        <v>571</v>
      </c>
    </row>
    <row r="184" spans="9:9" x14ac:dyDescent="0.35">
      <c r="I184" s="70" t="s">
        <v>571</v>
      </c>
    </row>
    <row r="185" spans="9:9" x14ac:dyDescent="0.35">
      <c r="I185" s="70" t="s">
        <v>571</v>
      </c>
    </row>
    <row r="186" spans="9:9" x14ac:dyDescent="0.35">
      <c r="I186" s="70" t="s">
        <v>571</v>
      </c>
    </row>
    <row r="187" spans="9:9" x14ac:dyDescent="0.35">
      <c r="I187" s="70" t="s">
        <v>571</v>
      </c>
    </row>
    <row r="188" spans="9:9" x14ac:dyDescent="0.35">
      <c r="I188" s="70" t="s">
        <v>571</v>
      </c>
    </row>
    <row r="189" spans="9:9" x14ac:dyDescent="0.35">
      <c r="I189" s="70" t="s">
        <v>571</v>
      </c>
    </row>
    <row r="190" spans="9:9" x14ac:dyDescent="0.35">
      <c r="I190" s="70" t="s">
        <v>571</v>
      </c>
    </row>
    <row r="191" spans="9:9" x14ac:dyDescent="0.35">
      <c r="I191" s="70" t="s">
        <v>571</v>
      </c>
    </row>
    <row r="192" spans="9:9" x14ac:dyDescent="0.35">
      <c r="I192" s="70" t="s">
        <v>571</v>
      </c>
    </row>
    <row r="193" spans="9:9" x14ac:dyDescent="0.35">
      <c r="I193" s="70" t="s">
        <v>571</v>
      </c>
    </row>
    <row r="194" spans="9:9" x14ac:dyDescent="0.35">
      <c r="I194" s="70" t="s">
        <v>571</v>
      </c>
    </row>
    <row r="195" spans="9:9" x14ac:dyDescent="0.35">
      <c r="I195" s="70" t="s">
        <v>571</v>
      </c>
    </row>
    <row r="196" spans="9:9" x14ac:dyDescent="0.35">
      <c r="I196" s="70" t="s">
        <v>571</v>
      </c>
    </row>
    <row r="197" spans="9:9" x14ac:dyDescent="0.35">
      <c r="I197" s="70" t="s">
        <v>571</v>
      </c>
    </row>
  </sheetData>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topLeftCell="A10" workbookViewId="0">
      <selection activeCell="B20" sqref="B20"/>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0</v>
      </c>
    </row>
    <row r="2" spans="1:3" x14ac:dyDescent="0.35">
      <c r="A2" s="5"/>
      <c r="B2" s="7" t="s">
        <v>1</v>
      </c>
      <c r="C2" s="4" t="s">
        <v>2</v>
      </c>
    </row>
    <row r="3" spans="1:3" x14ac:dyDescent="0.35">
      <c r="A3" s="5"/>
      <c r="B3" s="7" t="s">
        <v>290</v>
      </c>
      <c r="C3" s="4" t="s">
        <v>3</v>
      </c>
    </row>
    <row r="4" spans="1:3" x14ac:dyDescent="0.35">
      <c r="A4" s="5"/>
      <c r="B4" s="7" t="s">
        <v>4</v>
      </c>
      <c r="C4" s="4" t="s">
        <v>3</v>
      </c>
    </row>
    <row r="5" spans="1:3" x14ac:dyDescent="0.35">
      <c r="A5" s="5"/>
    </row>
    <row r="6" spans="1:3" x14ac:dyDescent="0.35">
      <c r="A6" s="5" t="s">
        <v>5</v>
      </c>
      <c r="B6" s="5" t="s">
        <v>6</v>
      </c>
    </row>
    <row r="7" spans="1:3" x14ac:dyDescent="0.35">
      <c r="A7" s="5"/>
      <c r="B7" s="5" t="s">
        <v>7</v>
      </c>
    </row>
    <row r="8" spans="1:3" x14ac:dyDescent="0.35">
      <c r="A8" s="5"/>
      <c r="B8" s="4" t="s">
        <v>282</v>
      </c>
    </row>
    <row r="9" spans="1:3" x14ac:dyDescent="0.35">
      <c r="A9" s="5"/>
      <c r="B9" s="1" t="s">
        <v>288</v>
      </c>
    </row>
    <row r="10" spans="1:3" x14ac:dyDescent="0.35">
      <c r="A10" s="5"/>
      <c r="B10" s="1" t="s">
        <v>289</v>
      </c>
    </row>
    <row r="11" spans="1:3" x14ac:dyDescent="0.35">
      <c r="A11" s="5"/>
      <c r="B11" s="8" t="s">
        <v>291</v>
      </c>
      <c r="C11" s="4" t="s">
        <v>8</v>
      </c>
    </row>
    <row r="12" spans="1:3" x14ac:dyDescent="0.35">
      <c r="A12" s="5"/>
      <c r="B12" s="3" t="s">
        <v>9</v>
      </c>
    </row>
    <row r="13" spans="1:3" x14ac:dyDescent="0.35">
      <c r="A13" s="5"/>
    </row>
    <row r="14" spans="1:3" x14ac:dyDescent="0.35">
      <c r="A14" s="5" t="s">
        <v>10</v>
      </c>
      <c r="B14" s="5" t="s">
        <v>6</v>
      </c>
    </row>
    <row r="15" spans="1:3" x14ac:dyDescent="0.35">
      <c r="A15" s="5"/>
      <c r="B15" s="5" t="s">
        <v>7</v>
      </c>
    </row>
    <row r="16" spans="1:3" x14ac:dyDescent="0.35">
      <c r="A16" s="5"/>
      <c r="B16" s="4" t="s">
        <v>286</v>
      </c>
    </row>
    <row r="17" spans="1:3" x14ac:dyDescent="0.35">
      <c r="A17" s="5"/>
      <c r="B17" s="4" t="s">
        <v>287</v>
      </c>
    </row>
    <row r="18" spans="1:3" x14ac:dyDescent="0.35">
      <c r="A18" s="5"/>
      <c r="B18" s="2" t="s">
        <v>11</v>
      </c>
    </row>
    <row r="19" spans="1:3" x14ac:dyDescent="0.35">
      <c r="A19" s="5"/>
      <c r="B19" s="8" t="s">
        <v>292</v>
      </c>
      <c r="C19" s="4" t="s">
        <v>2</v>
      </c>
    </row>
    <row r="20" spans="1:3" x14ac:dyDescent="0.35">
      <c r="A20" s="5"/>
      <c r="B20" s="3" t="s">
        <v>12</v>
      </c>
    </row>
    <row r="21" spans="1:3" x14ac:dyDescent="0.35">
      <c r="A21" s="5"/>
    </row>
    <row r="22" spans="1:3" x14ac:dyDescent="0.35">
      <c r="A22" s="5" t="s">
        <v>13</v>
      </c>
      <c r="B22" s="5" t="s">
        <v>6</v>
      </c>
    </row>
    <row r="23" spans="1:3" x14ac:dyDescent="0.35">
      <c r="A23" s="5"/>
      <c r="B23" s="5" t="s">
        <v>7</v>
      </c>
    </row>
    <row r="24" spans="1:3" x14ac:dyDescent="0.35">
      <c r="A24" s="5"/>
      <c r="B24" s="4" t="s">
        <v>283</v>
      </c>
    </row>
    <row r="25" spans="1:3" x14ac:dyDescent="0.35">
      <c r="A25" s="5"/>
      <c r="B25" s="2" t="s">
        <v>14</v>
      </c>
    </row>
    <row r="26" spans="1:3" x14ac:dyDescent="0.35">
      <c r="A26" s="5"/>
      <c r="B26" s="2" t="s">
        <v>15</v>
      </c>
    </row>
    <row r="27" spans="1:3" x14ac:dyDescent="0.35">
      <c r="A27" s="5"/>
      <c r="B27" s="8" t="s">
        <v>284</v>
      </c>
      <c r="C27" s="4" t="s">
        <v>8</v>
      </c>
    </row>
    <row r="28" spans="1:3" x14ac:dyDescent="0.35">
      <c r="A28" s="5"/>
      <c r="B28" s="8" t="s">
        <v>16</v>
      </c>
      <c r="C28" s="4" t="s">
        <v>3</v>
      </c>
    </row>
    <row r="29" spans="1:3" x14ac:dyDescent="0.35">
      <c r="A29" s="5"/>
      <c r="B29" s="3" t="s">
        <v>17</v>
      </c>
    </row>
    <row r="30" spans="1:3" x14ac:dyDescent="0.35">
      <c r="A30" s="5"/>
    </row>
    <row r="31" spans="1:3" x14ac:dyDescent="0.35">
      <c r="A31" s="5" t="s">
        <v>18</v>
      </c>
      <c r="B31" s="5" t="s">
        <v>6</v>
      </c>
    </row>
    <row r="32" spans="1:3" x14ac:dyDescent="0.35">
      <c r="A32" s="5"/>
      <c r="B32" s="5" t="s">
        <v>7</v>
      </c>
    </row>
    <row r="33" spans="1:3" x14ac:dyDescent="0.35">
      <c r="A33" s="5"/>
      <c r="B33" s="4" t="s">
        <v>281</v>
      </c>
    </row>
    <row r="34" spans="1:3" x14ac:dyDescent="0.35">
      <c r="A34" s="5"/>
      <c r="B34" s="2" t="s">
        <v>19</v>
      </c>
    </row>
    <row r="35" spans="1:3" x14ac:dyDescent="0.35">
      <c r="A35" s="5"/>
      <c r="B35" s="2" t="s">
        <v>20</v>
      </c>
    </row>
    <row r="36" spans="1:3" x14ac:dyDescent="0.35">
      <c r="A36" s="5"/>
      <c r="B36" s="8" t="s">
        <v>22</v>
      </c>
      <c r="C36" s="4" t="s">
        <v>2</v>
      </c>
    </row>
    <row r="37" spans="1:3" x14ac:dyDescent="0.35">
      <c r="A37" s="5"/>
      <c r="B37" s="8" t="s">
        <v>23</v>
      </c>
      <c r="C37" s="4" t="s">
        <v>3</v>
      </c>
    </row>
    <row r="38" spans="1:3" x14ac:dyDescent="0.35">
      <c r="A38" s="5"/>
      <c r="B38" s="3" t="s">
        <v>25</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36" customWidth="1"/>
    <col min="2" max="2" width="5" style="36" customWidth="1"/>
    <col min="3" max="3" width="2" style="36" customWidth="1"/>
    <col min="4" max="4" width="23" style="36" bestFit="1" customWidth="1"/>
    <col min="5" max="5" width="14.140625" style="36" bestFit="1" customWidth="1"/>
    <col min="6" max="6" width="3" style="36" customWidth="1"/>
    <col min="7" max="7" width="2" style="36" customWidth="1"/>
    <col min="8" max="8" width="78.42578125" style="34" bestFit="1" customWidth="1"/>
    <col min="9" max="9" width="116" style="34" customWidth="1"/>
    <col min="10" max="10" width="5.5703125" style="36" customWidth="1"/>
    <col min="11" max="11" width="6.7109375" style="36" customWidth="1"/>
    <col min="12" max="12" width="49.28515625" style="36" customWidth="1"/>
    <col min="13" max="16384" width="14.42578125" style="36"/>
  </cols>
  <sheetData>
    <row r="1" spans="1:12" ht="24.95" customHeight="1" x14ac:dyDescent="0.25">
      <c r="A1" s="42" t="s">
        <v>347</v>
      </c>
      <c r="B1" s="42"/>
      <c r="C1" s="43"/>
      <c r="D1" s="42"/>
      <c r="E1" s="42"/>
      <c r="F1" s="43"/>
      <c r="G1" s="43"/>
      <c r="H1" s="44"/>
      <c r="I1" s="44"/>
      <c r="J1" s="42" t="s">
        <v>106</v>
      </c>
      <c r="K1" s="42"/>
      <c r="L1" s="42"/>
    </row>
    <row r="2" spans="1:12" ht="24.95" customHeight="1" x14ac:dyDescent="0.25">
      <c r="A2" s="42"/>
      <c r="B2" s="45" t="s">
        <v>107</v>
      </c>
      <c r="C2" s="46">
        <v>2</v>
      </c>
      <c r="D2" s="45"/>
      <c r="E2" s="47" t="s">
        <v>108</v>
      </c>
      <c r="F2" s="46">
        <v>1</v>
      </c>
      <c r="G2" s="46">
        <v>1</v>
      </c>
      <c r="H2" s="44" t="s">
        <v>109</v>
      </c>
      <c r="I2" s="48" t="s">
        <v>110</v>
      </c>
      <c r="J2" s="49"/>
      <c r="K2" s="42"/>
      <c r="L2" s="42" t="str">
        <f t="shared" ref="L2:L69" si="0">IF(F2, CONCATENATE("thistype.create('",B2, "', ", C2, ", true, false, ",F2,", ",G2,");"), "")</f>
        <v>thistype.create('Ial0', 2, true, false, 1, 1);</v>
      </c>
    </row>
    <row r="3" spans="1:12" ht="24.95" customHeight="1" x14ac:dyDescent="0.25">
      <c r="A3" s="42"/>
      <c r="B3" s="45" t="s">
        <v>111</v>
      </c>
      <c r="C3" s="46">
        <v>2</v>
      </c>
      <c r="D3" s="45"/>
      <c r="E3" s="47" t="s">
        <v>112</v>
      </c>
      <c r="F3" s="46">
        <v>1</v>
      </c>
      <c r="G3" s="46">
        <v>1</v>
      </c>
      <c r="H3" s="44" t="s">
        <v>113</v>
      </c>
      <c r="I3" s="44"/>
      <c r="J3" s="49"/>
      <c r="K3" s="42"/>
      <c r="L3" s="42" t="str">
        <f t="shared" si="0"/>
        <v>thistype.create('shas', 2, true, false, 1, 1);</v>
      </c>
    </row>
    <row r="4" spans="1:12" ht="24.95" customHeight="1" x14ac:dyDescent="0.25">
      <c r="A4" s="42"/>
      <c r="B4" s="45" t="s">
        <v>114</v>
      </c>
      <c r="C4" s="46">
        <v>2</v>
      </c>
      <c r="D4" s="45"/>
      <c r="E4" s="56" t="s">
        <v>115</v>
      </c>
      <c r="F4" s="46">
        <v>1</v>
      </c>
      <c r="G4" s="46">
        <v>1</v>
      </c>
      <c r="H4" s="44" t="s">
        <v>116</v>
      </c>
      <c r="I4" s="44"/>
      <c r="J4" s="49"/>
      <c r="K4" s="42"/>
      <c r="L4" s="42" t="str">
        <f t="shared" si="0"/>
        <v>thistype.create('Ifz0', 2, true, false, 1, 1);</v>
      </c>
    </row>
    <row r="5" spans="1:12" ht="24.95" customHeight="1" x14ac:dyDescent="0.25">
      <c r="A5" s="42"/>
      <c r="B5" s="45" t="s">
        <v>117</v>
      </c>
      <c r="C5" s="46">
        <v>2</v>
      </c>
      <c r="D5" s="45"/>
      <c r="E5" s="47" t="s">
        <v>118</v>
      </c>
      <c r="F5" s="46">
        <v>1</v>
      </c>
      <c r="G5" s="46">
        <v>2</v>
      </c>
      <c r="H5" s="44" t="s">
        <v>119</v>
      </c>
      <c r="I5" s="44"/>
      <c r="J5" s="49"/>
      <c r="K5" s="42"/>
      <c r="L5" s="42" t="str">
        <f t="shared" si="0"/>
        <v>thistype.create('spro', 2, true, false, 1, 2);</v>
      </c>
    </row>
    <row r="6" spans="1:12" ht="24.95" customHeight="1" x14ac:dyDescent="0.25">
      <c r="A6" s="42"/>
      <c r="B6" s="45" t="s">
        <v>120</v>
      </c>
      <c r="C6" s="46">
        <v>2</v>
      </c>
      <c r="D6" s="45"/>
      <c r="E6" s="56" t="s">
        <v>121</v>
      </c>
      <c r="F6" s="46">
        <v>1</v>
      </c>
      <c r="G6" s="46">
        <v>1</v>
      </c>
      <c r="H6" s="44" t="s">
        <v>122</v>
      </c>
      <c r="I6" s="44"/>
      <c r="J6" s="49"/>
      <c r="K6" s="42"/>
      <c r="L6" s="42" t="str">
        <f t="shared" si="0"/>
        <v>thistype.create('sman', 2, true, false, 1, 1);</v>
      </c>
    </row>
    <row r="7" spans="1:12" ht="24.95" customHeight="1" x14ac:dyDescent="0.25">
      <c r="A7" s="42"/>
      <c r="B7" s="45" t="s">
        <v>123</v>
      </c>
      <c r="C7" s="46">
        <v>3</v>
      </c>
      <c r="D7" s="45"/>
      <c r="E7" s="54" t="s">
        <v>124</v>
      </c>
      <c r="F7" s="46">
        <v>1</v>
      </c>
      <c r="G7" s="46">
        <v>0</v>
      </c>
      <c r="H7" s="44" t="s">
        <v>125</v>
      </c>
      <c r="I7" s="44"/>
      <c r="J7" s="49"/>
      <c r="K7" s="42"/>
      <c r="L7" s="42" t="str">
        <f t="shared" si="0"/>
        <v>thistype.create('shea', 3, true, false, 1, 0);</v>
      </c>
    </row>
    <row r="8" spans="1:12" ht="24.95" customHeight="1" x14ac:dyDescent="0.25">
      <c r="A8" s="42"/>
      <c r="B8" s="45" t="s">
        <v>126</v>
      </c>
      <c r="C8" s="46">
        <v>4</v>
      </c>
      <c r="D8" s="45"/>
      <c r="E8" s="55" t="s">
        <v>127</v>
      </c>
      <c r="F8" s="46">
        <v>1</v>
      </c>
      <c r="G8" s="46">
        <v>0</v>
      </c>
      <c r="H8" s="44" t="s">
        <v>128</v>
      </c>
      <c r="I8" s="52" t="s">
        <v>129</v>
      </c>
      <c r="J8" s="49"/>
      <c r="K8" s="42"/>
      <c r="L8" s="42" t="str">
        <f t="shared" si="0"/>
        <v>thistype.create('I003', 4, true, false, 1, 0);</v>
      </c>
    </row>
    <row r="9" spans="1:12" ht="24.95" customHeight="1" x14ac:dyDescent="0.25">
      <c r="A9" s="42"/>
      <c r="B9" s="45" t="s">
        <v>130</v>
      </c>
      <c r="C9" s="46">
        <v>2</v>
      </c>
      <c r="D9" s="45"/>
      <c r="E9" s="47" t="s">
        <v>131</v>
      </c>
      <c r="F9" s="46">
        <v>1</v>
      </c>
      <c r="G9" s="46">
        <v>1</v>
      </c>
      <c r="H9" s="44" t="s">
        <v>132</v>
      </c>
      <c r="I9" s="44"/>
      <c r="J9" s="49"/>
      <c r="K9" s="42"/>
      <c r="L9" s="42" t="str">
        <f t="shared" si="0"/>
        <v>thistype.create('sror', 2, true, false, 1, 1);</v>
      </c>
    </row>
    <row r="10" spans="1:12" ht="24.95" customHeight="1" x14ac:dyDescent="0.25">
      <c r="A10" s="42"/>
      <c r="B10" s="45" t="s">
        <v>133</v>
      </c>
      <c r="C10" s="46">
        <v>3</v>
      </c>
      <c r="D10" s="45"/>
      <c r="E10" s="50" t="s">
        <v>134</v>
      </c>
      <c r="F10" s="46">
        <v>1</v>
      </c>
      <c r="G10" s="46">
        <v>0</v>
      </c>
      <c r="H10" s="44" t="s">
        <v>135</v>
      </c>
      <c r="I10" s="44"/>
      <c r="J10" s="49"/>
      <c r="K10" s="42"/>
      <c r="L10" s="42" t="str">
        <f t="shared" si="0"/>
        <v>thistype.create('srrc', 3, true, false, 1, 0);</v>
      </c>
    </row>
    <row r="11" spans="1:12" ht="24.95" customHeight="1" x14ac:dyDescent="0.25">
      <c r="A11" s="42"/>
      <c r="B11" s="45" t="s">
        <v>136</v>
      </c>
      <c r="C11" s="46">
        <v>3</v>
      </c>
      <c r="D11" s="45"/>
      <c r="E11" s="50" t="s">
        <v>137</v>
      </c>
      <c r="F11" s="46">
        <v>1</v>
      </c>
      <c r="G11" s="46">
        <v>0</v>
      </c>
      <c r="H11" s="44" t="s">
        <v>138</v>
      </c>
      <c r="I11" s="53" t="s">
        <v>139</v>
      </c>
      <c r="J11" s="49"/>
      <c r="K11" s="42"/>
      <c r="L11" s="42" t="str">
        <f t="shared" si="0"/>
        <v>thistype.create('I006', 3, true, false, 1, 0);</v>
      </c>
    </row>
    <row r="12" spans="1:12" ht="24.95" customHeight="1" x14ac:dyDescent="0.25">
      <c r="A12" s="42"/>
      <c r="B12" s="45" t="s">
        <v>140</v>
      </c>
      <c r="C12" s="46">
        <v>2</v>
      </c>
      <c r="D12" s="45"/>
      <c r="E12" s="56" t="s">
        <v>141</v>
      </c>
      <c r="F12" s="46">
        <v>1</v>
      </c>
      <c r="G12" s="46">
        <v>1</v>
      </c>
      <c r="H12" s="44" t="s">
        <v>142</v>
      </c>
      <c r="I12" s="53" t="s">
        <v>143</v>
      </c>
      <c r="J12" s="49"/>
      <c r="K12" s="42"/>
      <c r="L12" s="42" t="str">
        <f t="shared" si="0"/>
        <v>thistype.create('I00M', 2, true, false, 1, 1);</v>
      </c>
    </row>
    <row r="13" spans="1:12" ht="24.95" customHeight="1" x14ac:dyDescent="0.25">
      <c r="A13" s="42"/>
      <c r="B13" s="45" t="s">
        <v>144</v>
      </c>
      <c r="C13" s="46">
        <v>2</v>
      </c>
      <c r="D13" s="45"/>
      <c r="E13" s="56" t="s">
        <v>145</v>
      </c>
      <c r="F13" s="46">
        <v>1</v>
      </c>
      <c r="G13" s="46">
        <v>3</v>
      </c>
      <c r="H13" s="44" t="s">
        <v>146</v>
      </c>
      <c r="I13" s="48"/>
      <c r="J13" s="49"/>
      <c r="K13" s="42"/>
      <c r="L13" s="42" t="str">
        <f t="shared" si="0"/>
        <v>thistype.create('I017', 2, true, false, 1, 3);</v>
      </c>
    </row>
    <row r="14" spans="1:12" ht="24.95" customHeight="1" x14ac:dyDescent="0.25">
      <c r="A14" s="42"/>
      <c r="B14" s="45" t="s">
        <v>147</v>
      </c>
      <c r="C14" s="46">
        <v>2</v>
      </c>
      <c r="D14" s="45"/>
      <c r="E14" s="47" t="s">
        <v>148</v>
      </c>
      <c r="F14" s="46">
        <v>1</v>
      </c>
      <c r="G14" s="46">
        <v>1</v>
      </c>
      <c r="H14" s="44" t="s">
        <v>149</v>
      </c>
      <c r="I14" s="48" t="s">
        <v>150</v>
      </c>
      <c r="J14" s="49"/>
      <c r="K14" s="42"/>
      <c r="L14" s="42" t="str">
        <f t="shared" si="0"/>
        <v>thistype.create('I002', 2, true, false, 1, 1);</v>
      </c>
    </row>
    <row r="15" spans="1:12" ht="24.95" customHeight="1" x14ac:dyDescent="0.25">
      <c r="A15" s="42"/>
      <c r="B15" s="45" t="s">
        <v>151</v>
      </c>
      <c r="C15" s="46">
        <v>2</v>
      </c>
      <c r="D15" s="45"/>
      <c r="E15" s="47" t="s">
        <v>152</v>
      </c>
      <c r="F15" s="46">
        <v>1</v>
      </c>
      <c r="G15" s="46">
        <v>2</v>
      </c>
      <c r="H15" s="44" t="s">
        <v>153</v>
      </c>
      <c r="I15" s="48"/>
      <c r="J15" s="49"/>
      <c r="K15" s="42"/>
      <c r="L15" s="42" t="str">
        <f t="shared" si="0"/>
        <v>thistype.create('I004', 2, true, false, 1, 2);</v>
      </c>
    </row>
    <row r="16" spans="1:12" ht="24.95" customHeight="1" x14ac:dyDescent="0.25">
      <c r="A16" s="42"/>
      <c r="B16" s="45" t="s">
        <v>154</v>
      </c>
      <c r="C16" s="46">
        <v>3</v>
      </c>
      <c r="D16" s="45"/>
      <c r="E16" s="50" t="s">
        <v>155</v>
      </c>
      <c r="F16" s="46">
        <v>1</v>
      </c>
      <c r="G16" s="46">
        <v>0</v>
      </c>
      <c r="H16" s="44" t="s">
        <v>156</v>
      </c>
      <c r="I16" s="48" t="s">
        <v>157</v>
      </c>
      <c r="J16" s="49"/>
      <c r="K16" s="42"/>
      <c r="L16" s="42" t="str">
        <f t="shared" si="0"/>
        <v>thistype.create('I00C', 3, true, false, 1, 0);</v>
      </c>
    </row>
    <row r="17" spans="1:12" ht="24.95" customHeight="1" x14ac:dyDescent="0.25">
      <c r="A17" s="42"/>
      <c r="B17" s="45" t="s">
        <v>158</v>
      </c>
      <c r="C17" s="46">
        <v>4</v>
      </c>
      <c r="D17" s="45"/>
      <c r="E17" s="51" t="s">
        <v>159</v>
      </c>
      <c r="F17" s="46">
        <v>1</v>
      </c>
      <c r="G17" s="46">
        <v>0</v>
      </c>
      <c r="H17" s="44" t="s">
        <v>160</v>
      </c>
      <c r="I17" s="52" t="s">
        <v>161</v>
      </c>
      <c r="J17" s="49"/>
      <c r="K17" s="42"/>
      <c r="L17" s="42" t="str">
        <f t="shared" si="0"/>
        <v>thistype.create('I00D', 4, true, false, 1, 0);</v>
      </c>
    </row>
    <row r="18" spans="1:12" ht="24.95" customHeight="1" x14ac:dyDescent="0.25">
      <c r="A18" s="42"/>
      <c r="B18" s="42"/>
      <c r="C18" s="43"/>
      <c r="D18" s="42"/>
      <c r="E18" s="42"/>
      <c r="F18" s="43"/>
      <c r="G18" s="43"/>
      <c r="H18" s="44"/>
      <c r="I18" s="44"/>
      <c r="J18" s="42"/>
      <c r="K18" s="42"/>
      <c r="L18" s="42" t="str">
        <f t="shared" si="0"/>
        <v/>
      </c>
    </row>
    <row r="19" spans="1:12" ht="24.95" customHeight="1" x14ac:dyDescent="0.25">
      <c r="A19" s="42"/>
      <c r="B19" s="42" t="s">
        <v>162</v>
      </c>
      <c r="C19" s="43">
        <v>1</v>
      </c>
      <c r="D19" s="42"/>
      <c r="E19" s="42" t="s">
        <v>163</v>
      </c>
      <c r="F19" s="43">
        <v>2</v>
      </c>
      <c r="G19" s="43">
        <v>2</v>
      </c>
      <c r="H19" s="44" t="s">
        <v>257</v>
      </c>
      <c r="I19" s="44"/>
      <c r="J19" s="49"/>
      <c r="K19" s="42"/>
      <c r="L19" s="42" t="str">
        <f t="shared" si="0"/>
        <v>thistype.create('phea', 1, true, false, 2, 2);</v>
      </c>
    </row>
    <row r="20" spans="1:12" ht="24.95" customHeight="1" x14ac:dyDescent="0.25">
      <c r="A20" s="42"/>
      <c r="B20" s="42" t="s">
        <v>164</v>
      </c>
      <c r="C20" s="43">
        <v>1</v>
      </c>
      <c r="D20" s="42"/>
      <c r="E20" s="42" t="s">
        <v>165</v>
      </c>
      <c r="F20" s="43">
        <v>2</v>
      </c>
      <c r="G20" s="43">
        <v>2</v>
      </c>
      <c r="H20" s="44" t="s">
        <v>258</v>
      </c>
      <c r="I20" s="44"/>
      <c r="J20" s="49"/>
      <c r="K20" s="42"/>
      <c r="L20" s="42" t="str">
        <f t="shared" si="0"/>
        <v>thistype.create('pman', 1, true, false, 2, 2);</v>
      </c>
    </row>
    <row r="21" spans="1:12" ht="24.95" customHeight="1" x14ac:dyDescent="0.25">
      <c r="A21" s="42"/>
      <c r="B21" s="45" t="s">
        <v>166</v>
      </c>
      <c r="C21" s="46">
        <v>2</v>
      </c>
      <c r="D21" s="45"/>
      <c r="E21" s="47" t="s">
        <v>167</v>
      </c>
      <c r="F21" s="46">
        <v>1</v>
      </c>
      <c r="G21" s="46">
        <v>1</v>
      </c>
      <c r="H21" s="44" t="s">
        <v>252</v>
      </c>
      <c r="I21" s="44"/>
      <c r="J21" s="49"/>
      <c r="K21" s="42"/>
      <c r="L21" s="42" t="str">
        <f t="shared" si="0"/>
        <v>thistype.create('I00A', 2, true, false, 1, 1);</v>
      </c>
    </row>
    <row r="22" spans="1:12" ht="24.95" customHeight="1" x14ac:dyDescent="0.25">
      <c r="A22" s="42"/>
      <c r="B22" s="45" t="s">
        <v>168</v>
      </c>
      <c r="C22" s="46">
        <v>2</v>
      </c>
      <c r="D22" s="45"/>
      <c r="E22" s="47" t="s">
        <v>169</v>
      </c>
      <c r="F22" s="46">
        <v>1</v>
      </c>
      <c r="G22" s="46">
        <v>1</v>
      </c>
      <c r="H22" s="44" t="s">
        <v>253</v>
      </c>
      <c r="I22" s="44"/>
      <c r="J22" s="49"/>
      <c r="K22" s="42"/>
      <c r="L22" s="42" t="str">
        <f t="shared" si="0"/>
        <v>thistype.create('I00Q', 2, true, false, 1, 1);</v>
      </c>
    </row>
    <row r="23" spans="1:12" ht="24.95" customHeight="1" x14ac:dyDescent="0.25">
      <c r="A23" s="42"/>
      <c r="B23" s="45" t="s">
        <v>170</v>
      </c>
      <c r="C23" s="46">
        <v>2</v>
      </c>
      <c r="D23" s="45"/>
      <c r="E23" s="47" t="s">
        <v>171</v>
      </c>
      <c r="F23" s="46">
        <v>1</v>
      </c>
      <c r="G23" s="46">
        <v>1</v>
      </c>
      <c r="H23" s="44" t="s">
        <v>254</v>
      </c>
      <c r="I23" s="44"/>
      <c r="J23" s="49"/>
      <c r="K23" s="42"/>
      <c r="L23" s="42" t="str">
        <f t="shared" si="0"/>
        <v>thistype.create('I00R', 2, true, false, 1, 1);</v>
      </c>
    </row>
    <row r="24" spans="1:12" ht="24.95" customHeight="1" x14ac:dyDescent="0.25">
      <c r="A24" s="42"/>
      <c r="B24" s="45" t="s">
        <v>172</v>
      </c>
      <c r="C24" s="46">
        <v>4</v>
      </c>
      <c r="D24" s="45"/>
      <c r="E24" s="51" t="s">
        <v>173</v>
      </c>
      <c r="F24" s="46">
        <v>2</v>
      </c>
      <c r="G24" s="46">
        <v>1</v>
      </c>
      <c r="H24" s="44" t="s">
        <v>255</v>
      </c>
      <c r="I24" s="44"/>
      <c r="J24" s="49"/>
      <c r="K24" s="42"/>
      <c r="L24" s="42" t="str">
        <f t="shared" si="0"/>
        <v>thistype.create('I00E', 4, true, false, 2, 1);</v>
      </c>
    </row>
    <row r="25" spans="1:12" ht="24.95" customHeight="1" x14ac:dyDescent="0.25">
      <c r="A25" s="42"/>
      <c r="B25" s="45" t="s">
        <v>174</v>
      </c>
      <c r="C25" s="46">
        <v>2</v>
      </c>
      <c r="D25" s="45"/>
      <c r="E25" s="47" t="s">
        <v>175</v>
      </c>
      <c r="F25" s="46">
        <v>1</v>
      </c>
      <c r="G25" s="46">
        <v>1</v>
      </c>
      <c r="H25" s="44" t="s">
        <v>256</v>
      </c>
      <c r="I25" s="44"/>
      <c r="J25" s="49"/>
      <c r="K25" s="42"/>
      <c r="L25" s="42" t="str">
        <f t="shared" si="0"/>
        <v>thistype.create('I00F', 2, true, false, 1, 1);</v>
      </c>
    </row>
    <row r="26" spans="1:12" ht="24.95" customHeight="1" x14ac:dyDescent="0.25">
      <c r="A26" s="42"/>
      <c r="B26" s="45" t="s">
        <v>176</v>
      </c>
      <c r="C26" s="46">
        <v>2</v>
      </c>
      <c r="D26" s="45"/>
      <c r="E26" s="47" t="s">
        <v>177</v>
      </c>
      <c r="F26" s="46">
        <v>2</v>
      </c>
      <c r="G26" s="46">
        <v>1</v>
      </c>
      <c r="H26" s="44" t="s">
        <v>259</v>
      </c>
      <c r="I26" s="44"/>
      <c r="J26" s="49"/>
      <c r="K26" s="42"/>
      <c r="L26" s="42" t="str">
        <f t="shared" si="0"/>
        <v>thistype.create('I00I', 2, true, false, 2, 1);</v>
      </c>
    </row>
    <row r="27" spans="1:12" ht="24.95" customHeight="1" x14ac:dyDescent="0.25">
      <c r="A27" s="42"/>
      <c r="B27" s="45" t="s">
        <v>178</v>
      </c>
      <c r="C27" s="46">
        <v>3</v>
      </c>
      <c r="D27" s="45"/>
      <c r="E27" s="50" t="s">
        <v>179</v>
      </c>
      <c r="F27" s="46">
        <v>2</v>
      </c>
      <c r="G27" s="46">
        <v>1</v>
      </c>
      <c r="H27" s="44" t="s">
        <v>260</v>
      </c>
      <c r="I27" s="44"/>
      <c r="J27" s="49"/>
      <c r="K27" s="42"/>
      <c r="L27" s="42" t="str">
        <f t="shared" si="0"/>
        <v>thistype.create('I00J', 3, true, false, 2, 1);</v>
      </c>
    </row>
    <row r="28" spans="1:12" ht="24.95" customHeight="1" x14ac:dyDescent="0.25">
      <c r="A28" s="42"/>
      <c r="B28" s="45" t="s">
        <v>180</v>
      </c>
      <c r="C28" s="46">
        <v>3</v>
      </c>
      <c r="D28" s="45"/>
      <c r="E28" s="50" t="s">
        <v>181</v>
      </c>
      <c r="F28" s="46">
        <v>2</v>
      </c>
      <c r="G28" s="46">
        <v>1</v>
      </c>
      <c r="H28" s="44" t="s">
        <v>261</v>
      </c>
      <c r="I28" s="44"/>
      <c r="J28" s="49"/>
      <c r="K28" s="42"/>
      <c r="L28" s="42" t="str">
        <f t="shared" si="0"/>
        <v>thistype.create('I00N', 3, true, false, 2, 1);</v>
      </c>
    </row>
    <row r="29" spans="1:12" ht="24.95" customHeight="1" x14ac:dyDescent="0.25">
      <c r="A29" s="42"/>
      <c r="B29" s="45" t="s">
        <v>182</v>
      </c>
      <c r="C29" s="46">
        <v>2</v>
      </c>
      <c r="D29" s="45"/>
      <c r="E29" s="47" t="s">
        <v>183</v>
      </c>
      <c r="F29" s="46">
        <v>1</v>
      </c>
      <c r="G29" s="46">
        <v>0</v>
      </c>
      <c r="H29" s="44" t="s">
        <v>262</v>
      </c>
      <c r="I29" s="44"/>
      <c r="J29" s="49"/>
      <c r="K29" s="42"/>
      <c r="L29" s="42" t="str">
        <f t="shared" si="0"/>
        <v>thistype.create('I00O', 2, true, false, 1, 0);</v>
      </c>
    </row>
    <row r="30" spans="1:12" ht="24.95" customHeight="1" x14ac:dyDescent="0.25">
      <c r="A30" s="42"/>
      <c r="B30" s="45" t="s">
        <v>184</v>
      </c>
      <c r="C30" s="46">
        <v>2</v>
      </c>
      <c r="D30" s="45"/>
      <c r="E30" s="47" t="s">
        <v>185</v>
      </c>
      <c r="F30" s="46">
        <v>1</v>
      </c>
      <c r="G30" s="46">
        <v>1</v>
      </c>
      <c r="H30" s="44" t="s">
        <v>263</v>
      </c>
      <c r="I30" s="44"/>
      <c r="J30" s="49"/>
      <c r="K30" s="42"/>
      <c r="L30" s="42" t="str">
        <f t="shared" si="0"/>
        <v>thistype.create('I01J', 2, true, false, 1, 1);</v>
      </c>
    </row>
    <row r="31" spans="1:12" ht="24.95" customHeight="1" x14ac:dyDescent="0.25">
      <c r="A31" s="42"/>
      <c r="B31" s="42"/>
      <c r="C31" s="43"/>
      <c r="D31" s="42"/>
      <c r="E31" s="42"/>
      <c r="F31" s="43"/>
      <c r="G31" s="43"/>
      <c r="H31" s="44"/>
      <c r="I31" s="44"/>
      <c r="J31" s="42"/>
      <c r="K31" s="42"/>
      <c r="L31" s="42" t="str">
        <f t="shared" si="0"/>
        <v/>
      </c>
    </row>
    <row r="32" spans="1:12" ht="24.95" customHeight="1" x14ac:dyDescent="0.25">
      <c r="A32" s="42"/>
      <c r="B32" s="45" t="s">
        <v>186</v>
      </c>
      <c r="C32" s="46">
        <v>3</v>
      </c>
      <c r="D32" s="45"/>
      <c r="E32" s="50" t="s">
        <v>187</v>
      </c>
      <c r="F32" s="46">
        <v>1</v>
      </c>
      <c r="G32" s="46">
        <v>1</v>
      </c>
      <c r="H32" s="44" t="s">
        <v>264</v>
      </c>
      <c r="I32" s="44"/>
      <c r="J32" s="49"/>
      <c r="K32" s="42"/>
      <c r="L32" s="42" t="str">
        <f t="shared" si="0"/>
        <v>thistype.create('I00S', 3, true, false, 1, 1);</v>
      </c>
    </row>
    <row r="33" spans="1:12" ht="24.95" customHeight="1" x14ac:dyDescent="0.25">
      <c r="A33" s="42"/>
      <c r="B33" s="45" t="s">
        <v>188</v>
      </c>
      <c r="C33" s="46">
        <v>3</v>
      </c>
      <c r="D33" s="45"/>
      <c r="E33" s="50" t="s">
        <v>189</v>
      </c>
      <c r="F33" s="46">
        <v>1</v>
      </c>
      <c r="G33" s="46">
        <v>1</v>
      </c>
      <c r="H33" s="44" t="s">
        <v>265</v>
      </c>
      <c r="I33" s="44"/>
      <c r="J33" s="49"/>
      <c r="K33" s="42"/>
      <c r="L33" s="42" t="str">
        <f t="shared" si="0"/>
        <v>thistype.create('I00V', 3, true, false, 1, 1);</v>
      </c>
    </row>
    <row r="34" spans="1:12" ht="24.95" customHeight="1" x14ac:dyDescent="0.25">
      <c r="A34" s="42"/>
      <c r="B34" s="45" t="s">
        <v>190</v>
      </c>
      <c r="C34" s="46">
        <v>2</v>
      </c>
      <c r="D34" s="45"/>
      <c r="E34" s="47" t="s">
        <v>191</v>
      </c>
      <c r="F34" s="46">
        <v>1</v>
      </c>
      <c r="G34" s="46">
        <v>1</v>
      </c>
      <c r="H34" s="44" t="s">
        <v>266</v>
      </c>
      <c r="I34" s="44"/>
      <c r="J34" s="49"/>
      <c r="K34" s="42"/>
      <c r="L34" s="42" t="str">
        <f t="shared" si="0"/>
        <v>thistype.create('I00W', 2, true, false, 1, 1);</v>
      </c>
    </row>
    <row r="35" spans="1:12" ht="24.95" customHeight="1" x14ac:dyDescent="0.25">
      <c r="A35" s="42"/>
      <c r="B35" s="45" t="s">
        <v>192</v>
      </c>
      <c r="C35" s="46">
        <v>2</v>
      </c>
      <c r="D35" s="45"/>
      <c r="E35" s="47" t="s">
        <v>193</v>
      </c>
      <c r="F35" s="46">
        <v>1</v>
      </c>
      <c r="G35" s="46">
        <v>1</v>
      </c>
      <c r="H35" s="44" t="s">
        <v>267</v>
      </c>
      <c r="I35" s="44"/>
      <c r="J35" s="49"/>
      <c r="K35" s="42"/>
      <c r="L35" s="42" t="str">
        <f t="shared" si="0"/>
        <v>thistype.create('pnvl', 2, true, false, 1, 1);</v>
      </c>
    </row>
    <row r="36" spans="1:12" ht="24.95" customHeight="1" x14ac:dyDescent="0.25">
      <c r="A36" s="42"/>
      <c r="B36" s="45" t="s">
        <v>194</v>
      </c>
      <c r="C36" s="46">
        <v>3</v>
      </c>
      <c r="D36" s="45"/>
      <c r="E36" s="54" t="s">
        <v>195</v>
      </c>
      <c r="F36" s="46">
        <v>1</v>
      </c>
      <c r="G36" s="46">
        <v>0</v>
      </c>
      <c r="H36" s="44" t="s">
        <v>268</v>
      </c>
      <c r="I36" s="44"/>
      <c r="J36" s="49"/>
      <c r="K36" s="42"/>
      <c r="L36" s="42" t="str">
        <f t="shared" si="0"/>
        <v>thistype.create('pnvu', 3, true, false, 1, 0);</v>
      </c>
    </row>
    <row r="37" spans="1:12" ht="24.95" customHeight="1" x14ac:dyDescent="0.25">
      <c r="A37" s="42"/>
      <c r="B37" s="45" t="s">
        <v>196</v>
      </c>
      <c r="C37" s="46">
        <v>2</v>
      </c>
      <c r="D37" s="45"/>
      <c r="E37" s="57" t="s">
        <v>197</v>
      </c>
      <c r="F37" s="46">
        <v>1</v>
      </c>
      <c r="G37" s="46">
        <v>1</v>
      </c>
      <c r="H37" s="44" t="s">
        <v>269</v>
      </c>
      <c r="I37" s="44"/>
      <c r="J37" s="49"/>
      <c r="K37" s="42"/>
      <c r="L37" s="42" t="str">
        <f t="shared" si="0"/>
        <v>thistype.create('I008', 2, true, false, 1, 1);</v>
      </c>
    </row>
    <row r="38" spans="1:12" ht="24.95" customHeight="1" x14ac:dyDescent="0.25">
      <c r="A38" s="42"/>
      <c r="B38" s="42"/>
      <c r="C38" s="43"/>
      <c r="D38" s="42"/>
      <c r="E38" s="42"/>
      <c r="F38" s="43"/>
      <c r="G38" s="43"/>
      <c r="H38" s="44"/>
      <c r="I38" s="44"/>
      <c r="J38" s="42"/>
      <c r="K38" s="42"/>
      <c r="L38" s="42" t="str">
        <f t="shared" si="0"/>
        <v/>
      </c>
    </row>
    <row r="39" spans="1:12" ht="24.95" customHeight="1" x14ac:dyDescent="0.25">
      <c r="A39" s="42"/>
      <c r="B39" s="45" t="s">
        <v>198</v>
      </c>
      <c r="C39" s="46">
        <v>2</v>
      </c>
      <c r="D39" s="45"/>
      <c r="E39" s="47" t="s">
        <v>199</v>
      </c>
      <c r="F39" s="46">
        <v>1</v>
      </c>
      <c r="G39" s="46">
        <v>1</v>
      </c>
      <c r="H39" s="44" t="s">
        <v>271</v>
      </c>
      <c r="I39" s="44"/>
      <c r="J39" s="49"/>
      <c r="K39" s="42"/>
      <c r="L39" s="42" t="str">
        <f t="shared" si="0"/>
        <v>thistype.create('I00B', 2, true, false, 1, 1);</v>
      </c>
    </row>
    <row r="40" spans="1:12" ht="24.95" customHeight="1" x14ac:dyDescent="0.25">
      <c r="A40" s="42"/>
      <c r="B40" s="45" t="s">
        <v>200</v>
      </c>
      <c r="C40" s="46">
        <v>2</v>
      </c>
      <c r="D40" s="45"/>
      <c r="E40" s="47" t="s">
        <v>201</v>
      </c>
      <c r="F40" s="46">
        <v>1</v>
      </c>
      <c r="G40" s="46">
        <v>1</v>
      </c>
      <c r="H40" s="44" t="s">
        <v>272</v>
      </c>
      <c r="I40" s="44"/>
      <c r="J40" s="49"/>
      <c r="K40" s="42"/>
      <c r="L40" s="42" t="str">
        <f t="shared" si="0"/>
        <v>thistype.create('I00X', 2, true, false, 1, 1);</v>
      </c>
    </row>
    <row r="41" spans="1:12" ht="24.95" customHeight="1" x14ac:dyDescent="0.25">
      <c r="A41" s="42"/>
      <c r="B41" s="45" t="s">
        <v>202</v>
      </c>
      <c r="C41" s="46">
        <v>2</v>
      </c>
      <c r="D41" s="45"/>
      <c r="E41" s="47" t="s">
        <v>203</v>
      </c>
      <c r="F41" s="46">
        <v>1</v>
      </c>
      <c r="G41" s="46">
        <v>1</v>
      </c>
      <c r="H41" s="44" t="s">
        <v>273</v>
      </c>
      <c r="I41" s="44"/>
      <c r="J41" s="49"/>
      <c r="K41" s="42"/>
      <c r="L41" s="42" t="str">
        <f t="shared" si="0"/>
        <v>thistype.create('I01Q', 2, true, false, 1, 1);</v>
      </c>
    </row>
    <row r="42" spans="1:12" ht="24.95" customHeight="1" x14ac:dyDescent="0.25">
      <c r="A42" s="42"/>
      <c r="B42" s="42"/>
      <c r="C42" s="43"/>
      <c r="D42" s="42"/>
      <c r="E42" s="42"/>
      <c r="F42" s="43"/>
      <c r="G42" s="43"/>
      <c r="H42" s="44"/>
      <c r="I42" s="44"/>
      <c r="J42" s="42"/>
      <c r="K42" s="42"/>
      <c r="L42" s="42" t="str">
        <f t="shared" si="0"/>
        <v/>
      </c>
    </row>
    <row r="43" spans="1:12" ht="24.95" customHeight="1" x14ac:dyDescent="0.25">
      <c r="A43" s="42"/>
      <c r="B43" s="45" t="s">
        <v>204</v>
      </c>
      <c r="C43" s="46">
        <v>2</v>
      </c>
      <c r="D43" s="45"/>
      <c r="E43" s="47" t="s">
        <v>205</v>
      </c>
      <c r="F43" s="46">
        <v>1</v>
      </c>
      <c r="G43" s="46">
        <v>1</v>
      </c>
      <c r="H43" s="44" t="s">
        <v>206</v>
      </c>
      <c r="I43" s="44"/>
      <c r="J43" s="49"/>
      <c r="K43" s="42"/>
      <c r="L43" s="42" t="str">
        <f t="shared" si="0"/>
        <v>thistype.create('I007', 2, true, false, 1, 1);</v>
      </c>
    </row>
    <row r="44" spans="1:12" ht="24.95" customHeight="1" x14ac:dyDescent="0.25">
      <c r="A44" s="42"/>
      <c r="B44" s="45" t="s">
        <v>207</v>
      </c>
      <c r="C44" s="46">
        <v>2</v>
      </c>
      <c r="D44" s="45"/>
      <c r="E44" s="47" t="s">
        <v>208</v>
      </c>
      <c r="F44" s="46">
        <v>1</v>
      </c>
      <c r="G44" s="46">
        <v>1</v>
      </c>
      <c r="H44" s="44" t="s">
        <v>209</v>
      </c>
      <c r="I44" s="44"/>
      <c r="J44" s="49"/>
      <c r="K44" s="42"/>
      <c r="L44" s="42" t="str">
        <f t="shared" si="0"/>
        <v>thistype.create('I00Z', 2, true, false, 1, 1);</v>
      </c>
    </row>
    <row r="45" spans="1:12" ht="24.95" customHeight="1" x14ac:dyDescent="0.25">
      <c r="A45" s="42"/>
      <c r="B45" s="45" t="s">
        <v>210</v>
      </c>
      <c r="C45" s="46">
        <v>3</v>
      </c>
      <c r="D45" s="45"/>
      <c r="E45" s="50" t="s">
        <v>211</v>
      </c>
      <c r="F45" s="46">
        <v>1</v>
      </c>
      <c r="G45" s="46">
        <v>1</v>
      </c>
      <c r="H45" s="44" t="s">
        <v>276</v>
      </c>
      <c r="I45" s="44"/>
      <c r="J45" s="49"/>
      <c r="K45" s="42"/>
      <c r="L45" s="42" t="str">
        <f t="shared" si="0"/>
        <v>thistype.create('I010', 3, true, false, 1, 1);</v>
      </c>
    </row>
    <row r="46" spans="1:12" ht="24.95" customHeight="1" x14ac:dyDescent="0.25">
      <c r="A46" s="42"/>
      <c r="B46" s="42"/>
      <c r="C46" s="43"/>
      <c r="D46" s="42"/>
      <c r="E46" s="42"/>
      <c r="F46" s="43"/>
      <c r="G46" s="43"/>
      <c r="H46" s="44"/>
      <c r="I46" s="44"/>
      <c r="J46" s="42"/>
      <c r="K46" s="42"/>
      <c r="L46" s="42" t="str">
        <f t="shared" si="0"/>
        <v/>
      </c>
    </row>
    <row r="47" spans="1:12" ht="24.95" customHeight="1" x14ac:dyDescent="0.25">
      <c r="A47" s="42"/>
      <c r="B47" s="45" t="s">
        <v>212</v>
      </c>
      <c r="C47" s="46">
        <v>2</v>
      </c>
      <c r="D47" s="45"/>
      <c r="E47" s="47" t="s">
        <v>213</v>
      </c>
      <c r="F47" s="46">
        <v>1</v>
      </c>
      <c r="G47" s="46">
        <v>1</v>
      </c>
      <c r="H47" s="44" t="s">
        <v>280</v>
      </c>
      <c r="I47" s="44"/>
      <c r="J47" s="49"/>
      <c r="K47" s="42"/>
      <c r="L47" s="42" t="str">
        <f t="shared" si="0"/>
        <v>thistype.create('I009', 2, true, false, 1, 1);</v>
      </c>
    </row>
    <row r="48" spans="1:12" ht="24.95" customHeight="1" x14ac:dyDescent="0.25">
      <c r="A48" s="42"/>
      <c r="B48" s="45" t="s">
        <v>214</v>
      </c>
      <c r="C48" s="46">
        <v>2</v>
      </c>
      <c r="D48" s="45"/>
      <c r="E48" s="47" t="s">
        <v>215</v>
      </c>
      <c r="F48" s="46">
        <v>1</v>
      </c>
      <c r="G48" s="46">
        <v>1</v>
      </c>
      <c r="H48" s="44" t="s">
        <v>277</v>
      </c>
      <c r="I48" s="44"/>
      <c r="J48" s="49"/>
      <c r="K48" s="42"/>
      <c r="L48" s="42" t="str">
        <f t="shared" si="0"/>
        <v>thistype.create('I011', 2, true, false, 1, 1);</v>
      </c>
    </row>
    <row r="49" spans="1:12" ht="24.95" customHeight="1" x14ac:dyDescent="0.25">
      <c r="A49" s="42"/>
      <c r="B49" s="45" t="s">
        <v>216</v>
      </c>
      <c r="C49" s="46">
        <v>2</v>
      </c>
      <c r="D49" s="45"/>
      <c r="E49" s="47" t="s">
        <v>217</v>
      </c>
      <c r="F49" s="46">
        <v>1</v>
      </c>
      <c r="G49" s="46">
        <v>1</v>
      </c>
      <c r="H49" s="44" t="s">
        <v>278</v>
      </c>
      <c r="I49" s="44"/>
      <c r="J49" s="49"/>
      <c r="K49" s="42"/>
      <c r="L49" s="42" t="str">
        <f t="shared" si="0"/>
        <v>thistype.create('I00Y', 2, true, false, 1, 1);</v>
      </c>
    </row>
    <row r="50" spans="1:12" ht="24.95" customHeight="1" x14ac:dyDescent="0.25">
      <c r="A50" s="42"/>
      <c r="B50" s="45"/>
      <c r="C50" s="46"/>
      <c r="D50" s="45"/>
      <c r="E50" s="47"/>
      <c r="F50" s="46"/>
      <c r="G50" s="46"/>
      <c r="H50" s="44"/>
      <c r="I50" s="44"/>
      <c r="J50" s="42"/>
      <c r="K50" s="42"/>
      <c r="L50" s="42" t="str">
        <f t="shared" si="0"/>
        <v/>
      </c>
    </row>
    <row r="51" spans="1:12" ht="24.95" customHeight="1" x14ac:dyDescent="0.25">
      <c r="A51" s="42"/>
      <c r="B51" s="45" t="s">
        <v>218</v>
      </c>
      <c r="C51" s="46">
        <v>2</v>
      </c>
      <c r="D51" s="45" t="s">
        <v>219</v>
      </c>
      <c r="E51" s="47" t="s">
        <v>220</v>
      </c>
      <c r="F51" s="46">
        <v>8</v>
      </c>
      <c r="G51" s="46">
        <v>0</v>
      </c>
      <c r="H51" s="44" t="s">
        <v>221</v>
      </c>
      <c r="I51" s="44"/>
      <c r="J51" s="49"/>
      <c r="K51" s="42"/>
      <c r="L51" s="42" t="str">
        <f t="shared" si="0"/>
        <v>thistype.create('I01I', 2, true, false, 8, 0);</v>
      </c>
    </row>
    <row r="52" spans="1:12" ht="24.95" customHeight="1" x14ac:dyDescent="0.25">
      <c r="A52" s="42"/>
      <c r="B52" s="45" t="s">
        <v>222</v>
      </c>
      <c r="C52" s="46">
        <v>2</v>
      </c>
      <c r="D52" s="45" t="s">
        <v>223</v>
      </c>
      <c r="E52" s="47" t="s">
        <v>224</v>
      </c>
      <c r="F52" s="46">
        <v>10</v>
      </c>
      <c r="G52" s="46">
        <v>5</v>
      </c>
      <c r="H52" s="44" t="s">
        <v>225</v>
      </c>
      <c r="I52" s="44"/>
      <c r="J52" s="49"/>
      <c r="K52" s="42"/>
      <c r="L52" s="42" t="str">
        <f t="shared" si="0"/>
        <v>thistype.create('I01G', 2, true, false, 10, 5);</v>
      </c>
    </row>
    <row r="53" spans="1:12" ht="24.95" customHeight="1" x14ac:dyDescent="0.25">
      <c r="A53" s="42"/>
      <c r="B53" s="45" t="s">
        <v>226</v>
      </c>
      <c r="C53" s="46">
        <v>2</v>
      </c>
      <c r="D53" s="45" t="s">
        <v>227</v>
      </c>
      <c r="E53" s="47" t="s">
        <v>228</v>
      </c>
      <c r="F53" s="46">
        <v>3</v>
      </c>
      <c r="G53" s="46">
        <v>4</v>
      </c>
      <c r="H53" s="44" t="s">
        <v>274</v>
      </c>
      <c r="I53" s="44"/>
      <c r="J53" s="49"/>
      <c r="K53" s="42"/>
      <c r="L53" s="42" t="str">
        <f t="shared" si="0"/>
        <v>thistype.create('I01F', 2, true, false, 3, 4);</v>
      </c>
    </row>
    <row r="54" spans="1:12" ht="24.95" customHeight="1" x14ac:dyDescent="0.25">
      <c r="A54" s="42"/>
      <c r="B54" s="45" t="s">
        <v>229</v>
      </c>
      <c r="C54" s="46">
        <v>2</v>
      </c>
      <c r="D54" s="45" t="s">
        <v>230</v>
      </c>
      <c r="E54" s="56" t="s">
        <v>231</v>
      </c>
      <c r="F54" s="46">
        <v>8</v>
      </c>
      <c r="G54" s="46">
        <v>4</v>
      </c>
      <c r="H54" s="44" t="s">
        <v>279</v>
      </c>
      <c r="I54" s="44"/>
      <c r="J54" s="49"/>
      <c r="K54" s="42"/>
      <c r="L54" s="42" t="str">
        <f t="shared" si="0"/>
        <v>thistype.create('I01E', 2, true, false, 8, 4);</v>
      </c>
    </row>
    <row r="55" spans="1:12" ht="24.95" customHeight="1" x14ac:dyDescent="0.25">
      <c r="A55" s="42"/>
      <c r="B55" s="45" t="s">
        <v>232</v>
      </c>
      <c r="C55" s="46">
        <v>3</v>
      </c>
      <c r="D55" s="45" t="s">
        <v>233</v>
      </c>
      <c r="E55" s="50" t="s">
        <v>234</v>
      </c>
      <c r="F55" s="46">
        <v>3</v>
      </c>
      <c r="G55" s="46">
        <v>2</v>
      </c>
      <c r="H55" s="44" t="s">
        <v>275</v>
      </c>
      <c r="I55" s="44"/>
      <c r="J55" s="49"/>
      <c r="K55" s="42"/>
      <c r="L55" s="42" t="str">
        <f t="shared" si="0"/>
        <v>thistype.create('I005', 3, true, false, 3, 2);</v>
      </c>
    </row>
    <row r="56" spans="1:12" ht="24.95" customHeight="1" x14ac:dyDescent="0.25">
      <c r="A56" s="42"/>
      <c r="B56" s="45" t="s">
        <v>235</v>
      </c>
      <c r="C56" s="46">
        <v>3</v>
      </c>
      <c r="D56" s="45" t="s">
        <v>236</v>
      </c>
      <c r="E56" s="50" t="s">
        <v>237</v>
      </c>
      <c r="F56" s="46">
        <v>3</v>
      </c>
      <c r="G56" s="46">
        <v>2</v>
      </c>
      <c r="H56" s="44" t="s">
        <v>270</v>
      </c>
      <c r="I56" s="44"/>
      <c r="J56" s="49"/>
      <c r="K56" s="42"/>
      <c r="L56" s="42" t="str">
        <f t="shared" si="0"/>
        <v>thistype.create('I00G', 3, true, false, 3, 2);</v>
      </c>
    </row>
    <row r="57" spans="1:12" ht="24.95" customHeight="1" x14ac:dyDescent="0.25">
      <c r="A57" s="42"/>
      <c r="B57" s="45" t="s">
        <v>238</v>
      </c>
      <c r="C57" s="46">
        <v>2</v>
      </c>
      <c r="D57" s="45" t="s">
        <v>239</v>
      </c>
      <c r="E57" s="56" t="s">
        <v>240</v>
      </c>
      <c r="F57" s="46">
        <v>5</v>
      </c>
      <c r="G57" s="46">
        <v>4</v>
      </c>
      <c r="H57" s="44" t="s">
        <v>241</v>
      </c>
      <c r="I57" s="44"/>
      <c r="J57" s="49"/>
      <c r="K57" s="42"/>
      <c r="L57" s="42" t="str">
        <f t="shared" si="0"/>
        <v>thistype.create('I020', 2, true, false, 5, 4);</v>
      </c>
    </row>
    <row r="58" spans="1:12" ht="24.95" customHeight="1" x14ac:dyDescent="0.25">
      <c r="A58" s="42"/>
      <c r="B58" s="45" t="s">
        <v>242</v>
      </c>
      <c r="C58" s="46">
        <v>2</v>
      </c>
      <c r="D58" s="45" t="s">
        <v>243</v>
      </c>
      <c r="E58" s="47" t="s">
        <v>244</v>
      </c>
      <c r="F58" s="46">
        <v>4</v>
      </c>
      <c r="G58" s="46">
        <v>4</v>
      </c>
      <c r="H58" s="44" t="s">
        <v>245</v>
      </c>
      <c r="I58" s="53" t="s">
        <v>246</v>
      </c>
      <c r="J58" s="49"/>
      <c r="K58" s="42"/>
      <c r="L58" s="42" t="str">
        <f t="shared" si="0"/>
        <v>thistype.create('I021', 2, true, false, 4, 4);</v>
      </c>
    </row>
    <row r="59" spans="1:12" ht="24.95" customHeight="1" x14ac:dyDescent="0.25">
      <c r="A59" s="42"/>
      <c r="B59" s="45" t="s">
        <v>247</v>
      </c>
      <c r="C59" s="46">
        <v>3</v>
      </c>
      <c r="D59" s="45" t="s">
        <v>248</v>
      </c>
      <c r="E59" s="54" t="s">
        <v>249</v>
      </c>
      <c r="F59" s="46">
        <v>2</v>
      </c>
      <c r="G59" s="46">
        <v>2</v>
      </c>
      <c r="H59" s="44" t="s">
        <v>250</v>
      </c>
      <c r="I59" s="53" t="s">
        <v>251</v>
      </c>
      <c r="J59" s="49"/>
      <c r="K59" s="42"/>
      <c r="L59" s="42" t="str">
        <f t="shared" si="0"/>
        <v>thistype.create('I023', 3, true, false, 2, 2);</v>
      </c>
    </row>
    <row r="60" spans="1:12" ht="24.95" customHeight="1" x14ac:dyDescent="0.25">
      <c r="A60" s="42"/>
      <c r="B60" s="42"/>
      <c r="C60" s="43"/>
      <c r="D60" s="42"/>
      <c r="E60" s="42"/>
      <c r="F60" s="43"/>
      <c r="G60" s="43"/>
      <c r="H60" s="44"/>
      <c r="I60" s="44"/>
      <c r="J60" s="42"/>
      <c r="K60" s="42"/>
      <c r="L60" s="42" t="str">
        <f t="shared" si="0"/>
        <v/>
      </c>
    </row>
    <row r="61" spans="1:12" ht="24.95" customHeight="1" x14ac:dyDescent="0.25">
      <c r="A61" s="42"/>
      <c r="B61" s="45"/>
      <c r="C61" s="46"/>
      <c r="D61" s="45"/>
      <c r="E61" s="47"/>
      <c r="F61" s="46"/>
      <c r="G61" s="46"/>
      <c r="H61" s="44"/>
      <c r="I61" s="44"/>
      <c r="J61" s="42"/>
      <c r="K61" s="42"/>
      <c r="L61" s="42" t="str">
        <f t="shared" si="0"/>
        <v/>
      </c>
    </row>
    <row r="62" spans="1:12" ht="24.95" customHeight="1" x14ac:dyDescent="0.25">
      <c r="A62" s="42"/>
      <c r="B62" s="45"/>
      <c r="C62" s="46"/>
      <c r="D62" s="45"/>
      <c r="E62" s="47"/>
      <c r="F62" s="46"/>
      <c r="G62" s="46"/>
      <c r="H62" s="44"/>
      <c r="I62" s="44"/>
      <c r="J62" s="42"/>
      <c r="K62" s="42"/>
      <c r="L62" s="42" t="str">
        <f t="shared" si="0"/>
        <v/>
      </c>
    </row>
    <row r="63" spans="1:12" ht="24.95" customHeight="1" x14ac:dyDescent="0.25">
      <c r="A63" s="42"/>
      <c r="B63" s="45"/>
      <c r="C63" s="46"/>
      <c r="D63" s="45"/>
      <c r="E63" s="47"/>
      <c r="F63" s="46"/>
      <c r="G63" s="46"/>
      <c r="H63" s="44"/>
      <c r="I63" s="44"/>
      <c r="J63" s="42"/>
      <c r="K63" s="42"/>
      <c r="L63" s="42" t="str">
        <f t="shared" si="0"/>
        <v/>
      </c>
    </row>
    <row r="64" spans="1:12" ht="24.95" customHeight="1" x14ac:dyDescent="0.25">
      <c r="A64" s="42"/>
      <c r="B64" s="45"/>
      <c r="C64" s="46"/>
      <c r="D64" s="45"/>
      <c r="E64" s="47"/>
      <c r="F64" s="46"/>
      <c r="G64" s="46"/>
      <c r="H64" s="44"/>
      <c r="I64" s="44"/>
      <c r="J64" s="42"/>
      <c r="K64" s="42"/>
      <c r="L64" s="42" t="str">
        <f t="shared" si="0"/>
        <v/>
      </c>
    </row>
    <row r="65" spans="1:12" ht="24.95" customHeight="1" x14ac:dyDescent="0.25">
      <c r="A65" s="42"/>
      <c r="B65" s="45"/>
      <c r="C65" s="46"/>
      <c r="D65" s="45"/>
      <c r="E65" s="47"/>
      <c r="F65" s="46"/>
      <c r="G65" s="46"/>
      <c r="H65" s="44"/>
      <c r="I65" s="44"/>
      <c r="J65" s="42"/>
      <c r="K65" s="42"/>
      <c r="L65" s="42" t="str">
        <f t="shared" si="0"/>
        <v/>
      </c>
    </row>
    <row r="66" spans="1:12" ht="24.95" customHeight="1" x14ac:dyDescent="0.25">
      <c r="A66" s="42"/>
      <c r="B66" s="45"/>
      <c r="C66" s="46"/>
      <c r="D66" s="45"/>
      <c r="E66" s="47"/>
      <c r="F66" s="46"/>
      <c r="G66" s="46"/>
      <c r="H66" s="44"/>
      <c r="I66" s="44"/>
      <c r="J66" s="42"/>
      <c r="K66" s="42"/>
      <c r="L66" s="42" t="str">
        <f t="shared" si="0"/>
        <v/>
      </c>
    </row>
    <row r="67" spans="1:12" ht="24.95" customHeight="1" x14ac:dyDescent="0.25">
      <c r="A67" s="42"/>
      <c r="B67" s="45"/>
      <c r="C67" s="46"/>
      <c r="D67" s="45"/>
      <c r="E67" s="47"/>
      <c r="F67" s="46"/>
      <c r="G67" s="46"/>
      <c r="H67" s="44"/>
      <c r="I67" s="44"/>
      <c r="J67" s="42"/>
      <c r="K67" s="42"/>
      <c r="L67" s="42" t="str">
        <f t="shared" si="0"/>
        <v/>
      </c>
    </row>
    <row r="68" spans="1:12" ht="24.95" customHeight="1" x14ac:dyDescent="0.25">
      <c r="A68" s="42"/>
      <c r="B68" s="45"/>
      <c r="C68" s="46"/>
      <c r="D68" s="45"/>
      <c r="E68" s="47"/>
      <c r="F68" s="46"/>
      <c r="G68" s="46"/>
      <c r="H68" s="44"/>
      <c r="I68" s="44"/>
      <c r="J68" s="42"/>
      <c r="K68" s="42"/>
      <c r="L68" s="42" t="str">
        <f t="shared" si="0"/>
        <v/>
      </c>
    </row>
    <row r="69" spans="1:12" ht="24.95" customHeight="1" x14ac:dyDescent="0.25">
      <c r="A69" s="42"/>
      <c r="B69" s="45"/>
      <c r="C69" s="46"/>
      <c r="D69" s="45"/>
      <c r="E69" s="47"/>
      <c r="F69" s="46"/>
      <c r="G69" s="46"/>
      <c r="H69" s="44"/>
      <c r="I69" s="44"/>
      <c r="J69" s="42"/>
      <c r="K69" s="42"/>
      <c r="L69" s="42"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35" bestFit="1" customWidth="1"/>
    <col min="2" max="2" width="13.5703125" style="35" bestFit="1" customWidth="1"/>
    <col min="3" max="5" width="9.140625" style="35" bestFit="1" customWidth="1"/>
    <col min="6" max="6" width="5.42578125" style="35" bestFit="1" customWidth="1"/>
    <col min="7" max="7" width="11.140625" style="35" bestFit="1" customWidth="1"/>
    <col min="8" max="9" width="9.140625" style="35" bestFit="1" customWidth="1"/>
    <col min="10" max="10" width="3.7109375" style="35" bestFit="1" customWidth="1"/>
    <col min="11" max="11" width="17.42578125" style="35" bestFit="1" customWidth="1"/>
    <col min="12" max="21" width="17.28515625" style="35" customWidth="1"/>
    <col min="22" max="16384" width="14.42578125" style="35"/>
  </cols>
  <sheetData>
    <row r="1" spans="1:21" x14ac:dyDescent="0.25">
      <c r="A1" s="131" t="s">
        <v>617</v>
      </c>
      <c r="B1" s="131"/>
      <c r="C1" s="131"/>
      <c r="D1" s="131"/>
      <c r="E1" s="131"/>
      <c r="F1" s="131"/>
      <c r="G1" s="131"/>
      <c r="H1" s="131"/>
      <c r="I1" s="131"/>
      <c r="J1" s="131"/>
    </row>
    <row r="2" spans="1:21" x14ac:dyDescent="0.25">
      <c r="A2" s="59"/>
      <c r="B2" s="59" t="s">
        <v>618</v>
      </c>
      <c r="C2" s="59" t="s">
        <v>619</v>
      </c>
      <c r="D2" s="59" t="s">
        <v>620</v>
      </c>
      <c r="E2" s="59" t="s">
        <v>621</v>
      </c>
      <c r="F2" s="59" t="s">
        <v>622</v>
      </c>
      <c r="G2" s="59" t="s">
        <v>623</v>
      </c>
      <c r="H2" s="59" t="s">
        <v>624</v>
      </c>
      <c r="I2" s="59" t="s">
        <v>625</v>
      </c>
      <c r="J2" s="59"/>
      <c r="K2" s="59"/>
      <c r="L2" s="59"/>
      <c r="M2" s="59"/>
      <c r="N2" s="59"/>
      <c r="O2" s="59"/>
      <c r="P2" s="59"/>
      <c r="Q2" s="59"/>
      <c r="R2" s="59"/>
      <c r="S2" s="59"/>
      <c r="T2" s="59"/>
      <c r="U2" s="59"/>
    </row>
    <row r="3" spans="1:21" x14ac:dyDescent="0.25">
      <c r="A3" s="60" t="str">
        <f>Legendary!D3</f>
        <v>战斗召唤</v>
      </c>
      <c r="B3" s="40" t="s">
        <v>626</v>
      </c>
    </row>
    <row r="4" spans="1:21" x14ac:dyDescent="0.25">
      <c r="A4" s="60" t="str">
        <f>Legendary!D13</f>
        <v>烦恼诗集</v>
      </c>
      <c r="B4" s="40" t="s">
        <v>626</v>
      </c>
    </row>
    <row r="5" spans="1:21" x14ac:dyDescent="0.25">
      <c r="A5" s="60" t="str">
        <f>Legendary!D23</f>
        <v>谜团</v>
      </c>
      <c r="B5" s="40" t="s">
        <v>626</v>
      </c>
    </row>
    <row r="6" spans="1:21" x14ac:dyDescent="0.25">
      <c r="A6" s="60" t="str">
        <f>Legendary!D33</f>
        <v>死亡呼吸</v>
      </c>
      <c r="B6" s="40" t="s">
        <v>626</v>
      </c>
    </row>
    <row r="7" spans="1:21" x14ac:dyDescent="0.25">
      <c r="A7" s="60" t="str">
        <f>Legendary!D42</f>
        <v>风之力</v>
      </c>
      <c r="B7" s="40" t="s">
        <v>626</v>
      </c>
    </row>
    <row r="8" spans="1:21" x14ac:dyDescent="0.25">
      <c r="A8" s="60" t="str">
        <f>Legendary!D50</f>
        <v>克苏恩的疯狂</v>
      </c>
      <c r="B8" s="40" t="s">
        <v>626</v>
      </c>
    </row>
    <row r="9" spans="1:21" x14ac:dyDescent="0.25">
      <c r="A9" s="60" t="str">
        <f>Legendary!D61</f>
        <v>正义天使之力</v>
      </c>
      <c r="B9" s="40" t="s">
        <v>626</v>
      </c>
    </row>
    <row r="10" spans="1:21" x14ac:dyDescent="0.25">
      <c r="A10" s="60" t="str">
        <f>Legendary!D72</f>
        <v>无限</v>
      </c>
      <c r="B10" s="40" t="s">
        <v>626</v>
      </c>
    </row>
    <row r="11" spans="1:21" x14ac:dyDescent="0.25">
      <c r="A11" s="60" t="str">
        <f>Legendary!D81</f>
        <v>洞察</v>
      </c>
      <c r="B11" s="40" t="s">
        <v>626</v>
      </c>
    </row>
    <row r="12" spans="1:21" x14ac:dyDescent="0.25">
      <c r="A12" s="60" t="str">
        <f>Legendary!D92</f>
        <v>巫毒瓶</v>
      </c>
      <c r="B12" s="40" t="s">
        <v>626</v>
      </c>
    </row>
    <row r="13" spans="1:21" x14ac:dyDescent="0.25">
      <c r="A13" s="61" t="e">
        <f>#REF!</f>
        <v>#REF!</v>
      </c>
      <c r="B13" s="40" t="s">
        <v>627</v>
      </c>
    </row>
    <row r="14" spans="1:21" x14ac:dyDescent="0.25">
      <c r="A14" s="61" t="e">
        <f>#REF!</f>
        <v>#REF!</v>
      </c>
      <c r="B14" s="40" t="s">
        <v>627</v>
      </c>
    </row>
    <row r="15" spans="1:21" x14ac:dyDescent="0.25">
      <c r="A15" s="61" t="e">
        <f>#REF!</f>
        <v>#REF!</v>
      </c>
      <c r="B15" s="40" t="s">
        <v>627</v>
      </c>
    </row>
    <row r="16" spans="1:21" x14ac:dyDescent="0.25">
      <c r="A16" s="61" t="e">
        <f>#REF!</f>
        <v>#REF!</v>
      </c>
      <c r="B16" s="40" t="s">
        <v>627</v>
      </c>
    </row>
    <row r="17" spans="1:11" x14ac:dyDescent="0.25">
      <c r="A17" s="61" t="e">
        <f>#REF!</f>
        <v>#REF!</v>
      </c>
      <c r="B17" s="40" t="s">
        <v>627</v>
      </c>
    </row>
    <row r="18" spans="1:11" x14ac:dyDescent="0.25">
      <c r="A18" s="61" t="e">
        <f>#REF!</f>
        <v>#REF!</v>
      </c>
      <c r="B18" s="40" t="s">
        <v>627</v>
      </c>
    </row>
    <row r="19" spans="1:11" x14ac:dyDescent="0.25">
      <c r="A19" s="61" t="e">
        <f>#REF!</f>
        <v>#REF!</v>
      </c>
      <c r="B19" s="40" t="s">
        <v>627</v>
      </c>
    </row>
    <row r="20" spans="1:11" x14ac:dyDescent="0.25">
      <c r="A20" s="61" t="e">
        <f>#REF!</f>
        <v>#REF!</v>
      </c>
      <c r="B20" s="40" t="s">
        <v>627</v>
      </c>
    </row>
    <row r="21" spans="1:11" x14ac:dyDescent="0.25">
      <c r="A21" s="61" t="e">
        <f>#REF!</f>
        <v>#REF!</v>
      </c>
      <c r="B21" s="40" t="s">
        <v>627</v>
      </c>
    </row>
    <row r="22" spans="1:11" x14ac:dyDescent="0.25">
      <c r="A22" s="61" t="e">
        <f>#REF!</f>
        <v>#REF!</v>
      </c>
      <c r="B22" s="40" t="s">
        <v>627</v>
      </c>
    </row>
    <row r="23" spans="1:11" x14ac:dyDescent="0.25">
      <c r="A23" s="61" t="e">
        <f>#REF!</f>
        <v>#REF!</v>
      </c>
      <c r="B23" s="40" t="s">
        <v>627</v>
      </c>
    </row>
    <row r="24" spans="1:11" x14ac:dyDescent="0.25">
      <c r="A24" s="61"/>
    </row>
    <row r="25" spans="1:11" x14ac:dyDescent="0.25">
      <c r="A25" s="61" t="e">
        <f>Rare!#REF!</f>
        <v>#REF!</v>
      </c>
      <c r="B25" s="40" t="s">
        <v>628</v>
      </c>
      <c r="C25" s="62">
        <v>15</v>
      </c>
      <c r="D25" s="62">
        <v>10</v>
      </c>
      <c r="E25" s="62">
        <v>11</v>
      </c>
      <c r="F25" s="62"/>
      <c r="G25" s="62"/>
      <c r="H25" s="62"/>
      <c r="I25" s="62">
        <v>7</v>
      </c>
      <c r="J25" s="35">
        <f t="shared" ref="J25:J40" si="0">SUM(C25:I25)</f>
        <v>43</v>
      </c>
      <c r="K25" s="61" t="s">
        <v>21</v>
      </c>
    </row>
    <row r="26" spans="1:11" x14ac:dyDescent="0.25">
      <c r="A26" s="61" t="e">
        <f>Rare!#REF!</f>
        <v>#REF!</v>
      </c>
      <c r="B26" s="40" t="s">
        <v>628</v>
      </c>
      <c r="C26" s="62">
        <v>25</v>
      </c>
      <c r="D26" s="62"/>
      <c r="E26" s="62">
        <v>11</v>
      </c>
      <c r="F26" s="62"/>
      <c r="G26" s="62"/>
      <c r="H26" s="62"/>
      <c r="I26" s="62">
        <v>7</v>
      </c>
      <c r="J26" s="35">
        <f t="shared" si="0"/>
        <v>43</v>
      </c>
      <c r="K26" s="61" t="s">
        <v>48</v>
      </c>
    </row>
    <row r="27" spans="1:11" x14ac:dyDescent="0.25">
      <c r="A27" s="61" t="str">
        <f>Rare!F20</f>
        <v>战歌之鼓</v>
      </c>
      <c r="B27" s="40" t="s">
        <v>628</v>
      </c>
      <c r="C27" s="62"/>
      <c r="D27" s="62"/>
      <c r="E27" s="62"/>
      <c r="F27" s="62">
        <v>11</v>
      </c>
      <c r="G27" s="62">
        <v>13</v>
      </c>
      <c r="H27" s="62">
        <v>12</v>
      </c>
      <c r="I27" s="62">
        <v>7</v>
      </c>
      <c r="J27" s="35">
        <f t="shared" si="0"/>
        <v>43</v>
      </c>
      <c r="K27" s="61" t="s">
        <v>52</v>
      </c>
    </row>
    <row r="28" spans="1:11" x14ac:dyDescent="0.25">
      <c r="A28" s="61" t="str">
        <f>Rare!F26</f>
        <v>托尔贝恩</v>
      </c>
      <c r="B28" s="40" t="s">
        <v>628</v>
      </c>
      <c r="C28" s="62"/>
      <c r="D28" s="62">
        <v>9</v>
      </c>
      <c r="E28" s="62"/>
      <c r="F28" s="62">
        <v>17</v>
      </c>
      <c r="G28" s="62">
        <v>12</v>
      </c>
      <c r="H28" s="62"/>
      <c r="I28" s="62">
        <v>6</v>
      </c>
      <c r="J28" s="35">
        <f t="shared" si="0"/>
        <v>44</v>
      </c>
      <c r="K28" s="61" t="s">
        <v>60</v>
      </c>
    </row>
    <row r="29" spans="1:11" x14ac:dyDescent="0.25">
      <c r="A29" s="61" t="str">
        <f>Rare!F32</f>
        <v>血吼</v>
      </c>
      <c r="B29" s="40" t="s">
        <v>628</v>
      </c>
      <c r="C29" s="62"/>
      <c r="D29" s="62"/>
      <c r="E29" s="62"/>
      <c r="F29" s="62">
        <v>10</v>
      </c>
      <c r="G29" s="62">
        <v>12</v>
      </c>
      <c r="H29" s="62">
        <v>15</v>
      </c>
      <c r="I29" s="62">
        <v>7</v>
      </c>
      <c r="J29" s="35">
        <f t="shared" si="0"/>
        <v>44</v>
      </c>
      <c r="K29" s="61" t="s">
        <v>64</v>
      </c>
    </row>
    <row r="30" spans="1:11" x14ac:dyDescent="0.25">
      <c r="A30" s="61" t="str">
        <f>Rare!F38</f>
        <v>熔火犬牙</v>
      </c>
      <c r="B30" s="40" t="s">
        <v>628</v>
      </c>
      <c r="C30" s="62">
        <v>7</v>
      </c>
      <c r="D30" s="62"/>
      <c r="E30" s="62"/>
      <c r="F30" s="62"/>
      <c r="G30" s="62">
        <v>14</v>
      </c>
      <c r="H30" s="62">
        <v>17</v>
      </c>
      <c r="I30" s="62">
        <v>6</v>
      </c>
      <c r="J30" s="35">
        <f t="shared" si="0"/>
        <v>44</v>
      </c>
      <c r="K30" s="61" t="s">
        <v>69</v>
      </c>
    </row>
    <row r="31" spans="1:11" x14ac:dyDescent="0.25">
      <c r="A31" s="61" t="str">
        <f>Rare!F44</f>
        <v>维斯卡格</v>
      </c>
      <c r="B31" s="40" t="s">
        <v>628</v>
      </c>
      <c r="C31" s="62">
        <v>11</v>
      </c>
      <c r="D31" s="62"/>
      <c r="E31" s="62">
        <v>12</v>
      </c>
      <c r="F31" s="62">
        <v>14</v>
      </c>
      <c r="G31" s="62"/>
      <c r="H31" s="62"/>
      <c r="I31" s="62">
        <v>7</v>
      </c>
      <c r="J31" s="35">
        <f t="shared" si="0"/>
        <v>44</v>
      </c>
      <c r="K31" s="61" t="s">
        <v>79</v>
      </c>
    </row>
    <row r="32" spans="1:11" x14ac:dyDescent="0.25">
      <c r="A32" s="61" t="str">
        <f>Rare!F51</f>
        <v>风暴狮角</v>
      </c>
      <c r="B32" s="40" t="s">
        <v>628</v>
      </c>
      <c r="C32" s="62"/>
      <c r="D32" s="62">
        <v>20</v>
      </c>
      <c r="E32" s="62"/>
      <c r="F32" s="62"/>
      <c r="G32" s="62">
        <v>10</v>
      </c>
      <c r="H32" s="62">
        <v>7</v>
      </c>
      <c r="I32" s="62">
        <v>7</v>
      </c>
      <c r="J32" s="35">
        <f t="shared" si="0"/>
        <v>44</v>
      </c>
      <c r="K32" s="61" t="s">
        <v>88</v>
      </c>
    </row>
    <row r="33" spans="1:11" x14ac:dyDescent="0.25">
      <c r="A33" s="61" t="str">
        <f>Rare!F57</f>
        <v>诅咒铠甲</v>
      </c>
      <c r="B33" s="40" t="s">
        <v>628</v>
      </c>
      <c r="C33" s="62">
        <v>10</v>
      </c>
      <c r="D33" s="62"/>
      <c r="E33" s="62"/>
      <c r="F33" s="62"/>
      <c r="G33" s="62">
        <v>15</v>
      </c>
      <c r="H33" s="62">
        <v>12</v>
      </c>
      <c r="I33" s="62">
        <v>7</v>
      </c>
      <c r="J33" s="35">
        <f t="shared" si="0"/>
        <v>44</v>
      </c>
      <c r="K33" s="61" t="s">
        <v>55</v>
      </c>
    </row>
    <row r="34" spans="1:11" x14ac:dyDescent="0.25">
      <c r="A34" s="61" t="str">
        <f>Rare!F65</f>
        <v>阿曼尼帝国壁垒</v>
      </c>
      <c r="B34" s="40" t="s">
        <v>628</v>
      </c>
      <c r="C34" s="62">
        <v>11</v>
      </c>
      <c r="D34" s="62"/>
      <c r="E34" s="62"/>
      <c r="F34" s="62"/>
      <c r="G34" s="62">
        <v>15</v>
      </c>
      <c r="H34" s="62">
        <v>12</v>
      </c>
      <c r="I34" s="62">
        <v>6</v>
      </c>
      <c r="J34" s="35">
        <f t="shared" si="0"/>
        <v>44</v>
      </c>
      <c r="K34" s="61" t="s">
        <v>67</v>
      </c>
    </row>
    <row r="35" spans="1:11" x14ac:dyDescent="0.25">
      <c r="A35" s="61" t="str">
        <f>Rare!F72</f>
        <v>末日防御者徽记</v>
      </c>
      <c r="B35" s="40" t="s">
        <v>628</v>
      </c>
      <c r="C35" s="62"/>
      <c r="D35" s="62"/>
      <c r="E35" s="62">
        <v>15</v>
      </c>
      <c r="F35" s="62">
        <v>14</v>
      </c>
      <c r="G35" s="62">
        <v>9</v>
      </c>
      <c r="H35" s="62"/>
      <c r="I35" s="62">
        <v>6</v>
      </c>
      <c r="J35" s="35">
        <f t="shared" si="0"/>
        <v>44</v>
      </c>
      <c r="K35" s="61" t="s">
        <v>77</v>
      </c>
    </row>
    <row r="36" spans="1:11" x14ac:dyDescent="0.25">
      <c r="A36" s="61" t="str">
        <f>Rare!F79</f>
        <v>埃兰的镇定宝石</v>
      </c>
      <c r="B36" s="40" t="s">
        <v>628</v>
      </c>
      <c r="C36" s="62"/>
      <c r="D36" s="62">
        <v>9</v>
      </c>
      <c r="E36" s="62">
        <v>13</v>
      </c>
      <c r="F36" s="62"/>
      <c r="G36" s="62"/>
      <c r="H36" s="62">
        <v>15</v>
      </c>
      <c r="I36" s="62">
        <v>7</v>
      </c>
      <c r="J36" s="35">
        <f t="shared" si="0"/>
        <v>44</v>
      </c>
      <c r="K36" s="61" t="s">
        <v>58</v>
      </c>
    </row>
    <row r="37" spans="1:11" x14ac:dyDescent="0.25">
      <c r="A37" s="61" t="str">
        <f>Rare!F86</f>
        <v>纯净秘法</v>
      </c>
      <c r="B37" s="40" t="s">
        <v>628</v>
      </c>
      <c r="C37" s="62">
        <v>11</v>
      </c>
      <c r="D37" s="62">
        <v>13</v>
      </c>
      <c r="E37" s="62">
        <v>13</v>
      </c>
      <c r="F37" s="62"/>
      <c r="G37" s="62"/>
      <c r="H37" s="62"/>
      <c r="I37" s="62">
        <v>7</v>
      </c>
      <c r="J37" s="35">
        <f t="shared" si="0"/>
        <v>44</v>
      </c>
      <c r="K37" s="61" t="s">
        <v>65</v>
      </c>
    </row>
    <row r="38" spans="1:11" x14ac:dyDescent="0.25">
      <c r="A38" s="61" t="str">
        <f>Rare!F90</f>
        <v>妖术之颅</v>
      </c>
      <c r="B38" s="40" t="s">
        <v>628</v>
      </c>
      <c r="C38" s="62"/>
      <c r="D38" s="62">
        <v>10</v>
      </c>
      <c r="E38" s="62">
        <v>9</v>
      </c>
      <c r="F38" s="62">
        <v>14</v>
      </c>
      <c r="G38" s="62"/>
      <c r="H38" s="62">
        <v>10</v>
      </c>
      <c r="I38" s="62"/>
      <c r="J38" s="35">
        <f t="shared" si="0"/>
        <v>43</v>
      </c>
      <c r="K38" s="61" t="s">
        <v>68</v>
      </c>
    </row>
    <row r="39" spans="1:11" x14ac:dyDescent="0.25">
      <c r="A39" s="61" t="str">
        <f>Rare!F96</f>
        <v>暗影烈焰法杖</v>
      </c>
      <c r="B39" s="40" t="s">
        <v>628</v>
      </c>
      <c r="C39" s="62">
        <v>10</v>
      </c>
      <c r="D39" s="62">
        <v>13</v>
      </c>
      <c r="E39" s="62"/>
      <c r="F39" s="62">
        <v>14</v>
      </c>
      <c r="G39" s="62"/>
      <c r="H39" s="62"/>
      <c r="I39" s="62">
        <v>7</v>
      </c>
      <c r="J39" s="35">
        <f t="shared" si="0"/>
        <v>44</v>
      </c>
      <c r="K39" s="61" t="s">
        <v>74</v>
      </c>
    </row>
    <row r="40" spans="1:11" x14ac:dyDescent="0.25">
      <c r="A40" s="61" t="str">
        <f>Rare!F102</f>
        <v>潮汐指环</v>
      </c>
      <c r="B40" s="40" t="s">
        <v>628</v>
      </c>
      <c r="C40" s="62"/>
      <c r="D40" s="62">
        <v>16</v>
      </c>
      <c r="E40" s="62">
        <v>16</v>
      </c>
      <c r="F40" s="62">
        <v>6</v>
      </c>
      <c r="G40" s="62"/>
      <c r="H40" s="62"/>
      <c r="I40" s="62">
        <v>6</v>
      </c>
      <c r="J40" s="35">
        <f t="shared" si="0"/>
        <v>44</v>
      </c>
      <c r="K40" s="61" t="s">
        <v>82</v>
      </c>
    </row>
    <row r="41" spans="1:11" x14ac:dyDescent="0.25">
      <c r="C41" s="35">
        <f t="shared" ref="C41:I41" si="1">SUM(C25:C40)</f>
        <v>100</v>
      </c>
      <c r="D41" s="35">
        <f t="shared" si="1"/>
        <v>100</v>
      </c>
      <c r="E41" s="35">
        <f t="shared" si="1"/>
        <v>100</v>
      </c>
      <c r="F41" s="35">
        <f t="shared" si="1"/>
        <v>100</v>
      </c>
      <c r="G41" s="35">
        <f t="shared" si="1"/>
        <v>100</v>
      </c>
      <c r="H41" s="35">
        <f t="shared" si="1"/>
        <v>100</v>
      </c>
      <c r="I41" s="35">
        <f t="shared" si="1"/>
        <v>100</v>
      </c>
    </row>
    <row r="42" spans="1:11" x14ac:dyDescent="0.25">
      <c r="A42" s="63" t="e">
        <f>Legendary!#REF!</f>
        <v>#REF!</v>
      </c>
    </row>
    <row r="43" spans="1:11" x14ac:dyDescent="0.25">
      <c r="A43" s="63" t="e">
        <f>Legendary!#REF!</f>
        <v>#REF!</v>
      </c>
    </row>
    <row r="44" spans="1:11" x14ac:dyDescent="0.25">
      <c r="A44" s="63" t="s">
        <v>629</v>
      </c>
      <c r="B44" s="40" t="s">
        <v>626</v>
      </c>
    </row>
    <row r="45" spans="1:11" x14ac:dyDescent="0.25">
      <c r="A45" s="63" t="e">
        <f>Rare!#REF!</f>
        <v>#REF!</v>
      </c>
    </row>
    <row r="46" spans="1:11" x14ac:dyDescent="0.25">
      <c r="A46" s="63" t="e">
        <f>#REF!</f>
        <v>#REF!</v>
      </c>
    </row>
    <row r="47" spans="1:11" x14ac:dyDescent="0.25">
      <c r="A47" s="63" t="e">
        <f>#REF!</f>
        <v>#REF!</v>
      </c>
    </row>
    <row r="48" spans="1:11" x14ac:dyDescent="0.25">
      <c r="A48" s="63" t="e">
        <f>#REF!</f>
        <v>#REF!</v>
      </c>
    </row>
    <row r="49" spans="1:3" x14ac:dyDescent="0.25">
      <c r="A49" s="63" t="s">
        <v>105</v>
      </c>
    </row>
    <row r="51" spans="1:3" x14ac:dyDescent="0.25">
      <c r="A51" s="63" t="str">
        <f>Consumable!E2</f>
        <v>埃兰的反制卷轴</v>
      </c>
    </row>
    <row r="52" spans="1:3" x14ac:dyDescent="0.25">
      <c r="A52" s="63" t="str">
        <f>Consumable!E3</f>
        <v>加速卷轴</v>
      </c>
    </row>
    <row r="53" spans="1:3" x14ac:dyDescent="0.25">
      <c r="A53" s="63" t="str">
        <f>Consumable!E4</f>
        <v>狂热卷轴</v>
      </c>
    </row>
    <row r="54" spans="1:3" x14ac:dyDescent="0.25">
      <c r="A54" s="63" t="str">
        <f>Consumable!E5</f>
        <v>守护卷轴</v>
      </c>
    </row>
    <row r="55" spans="1:3" x14ac:dyDescent="0.25">
      <c r="A55" s="63" t="str">
        <f>Consumable!E6</f>
        <v>魔法卷轴</v>
      </c>
    </row>
    <row r="56" spans="1:3" x14ac:dyDescent="0.25">
      <c r="A56" s="61" t="str">
        <f>Consumable!E7</f>
        <v>医疗卷轴</v>
      </c>
    </row>
    <row r="57" spans="1:3" x14ac:dyDescent="0.25">
      <c r="A57" s="60" t="str">
        <f>Consumable!E8</f>
        <v>末日审判卷轴</v>
      </c>
    </row>
    <row r="58" spans="1:3" x14ac:dyDescent="0.25">
      <c r="A58" s="63" t="str">
        <f>Consumable!E9</f>
        <v>野兽卷轴</v>
      </c>
    </row>
    <row r="59" spans="1:3" x14ac:dyDescent="0.25">
      <c r="A59" s="61" t="str">
        <f>Consumable!E10</f>
        <v>杀戮卷轴</v>
      </c>
    </row>
    <row r="60" spans="1:3" x14ac:dyDescent="0.25">
      <c r="A60" s="61" t="str">
        <f>Consumable!E11</f>
        <v>庇护所卷轴</v>
      </c>
      <c r="C60" s="35">
        <v>1</v>
      </c>
    </row>
    <row r="61" spans="1:3" x14ac:dyDescent="0.25">
      <c r="A61" s="63" t="str">
        <f>Consumable!E12</f>
        <v>绝缘卷轴</v>
      </c>
    </row>
    <row r="62" spans="1:3" x14ac:dyDescent="0.25">
      <c r="A62" s="63" t="str">
        <f>Consumable!E13</f>
        <v>大型驱魔卷轴</v>
      </c>
    </row>
    <row r="63" spans="1:3" x14ac:dyDescent="0.25">
      <c r="A63" s="63" t="str">
        <f>Consumable!E14</f>
        <v>群体传送卷轴</v>
      </c>
    </row>
    <row r="64" spans="1:3" x14ac:dyDescent="0.25">
      <c r="A64" s="63" t="str">
        <f>Consumable!E15</f>
        <v>腐蚀卷轴</v>
      </c>
    </row>
    <row r="65" spans="1:1" x14ac:dyDescent="0.25">
      <c r="A65" s="61" t="str">
        <f>Consumable!E16</f>
        <v>女妖之嚎卷轴</v>
      </c>
    </row>
    <row r="66" spans="1:1" x14ac:dyDescent="0.25">
      <c r="A66" s="60" t="str">
        <f>Consumable!E17</f>
        <v>虚弱诅咒卷轴</v>
      </c>
    </row>
    <row r="67" spans="1:1" x14ac:dyDescent="0.25">
      <c r="A67" s="60">
        <f>Consumable!E18</f>
        <v>0</v>
      </c>
    </row>
    <row r="68" spans="1:1" x14ac:dyDescent="0.25">
      <c r="A68" s="63" t="str">
        <f>Consumable!E51</f>
        <v>简易治疗符咒</v>
      </c>
    </row>
    <row r="69" spans="1:1" x14ac:dyDescent="0.25">
      <c r="A69" s="63" t="str">
        <f>Consumable!E52</f>
        <v>驱散术符咒</v>
      </c>
    </row>
    <row r="70" spans="1:1" x14ac:dyDescent="0.25">
      <c r="A70" s="63" t="str">
        <f>Consumable!E53</f>
        <v>治疗结界符咒</v>
      </c>
    </row>
    <row r="71" spans="1:1" x14ac:dyDescent="0.25">
      <c r="A71" s="63" t="str">
        <f>Consumable!E54</f>
        <v>心灵之火符咒</v>
      </c>
    </row>
    <row r="72" spans="1:1" x14ac:dyDescent="0.25">
      <c r="A72" s="61" t="str">
        <f>Consumable!E55</f>
        <v>闪电链符咒</v>
      </c>
    </row>
    <row r="73" spans="1:1" x14ac:dyDescent="0.25">
      <c r="A73" s="61" t="str">
        <f>Consumable!E56</f>
        <v>死亡之指符咒</v>
      </c>
    </row>
    <row r="74" spans="1:1" x14ac:dyDescent="0.25">
      <c r="A74" s="60" t="str">
        <f>Consumable!E57</f>
        <v>生命虹吸符咒</v>
      </c>
    </row>
    <row r="75" spans="1:1" x14ac:dyDescent="0.25">
      <c r="A75" s="60" t="str">
        <f>Consumable!E58</f>
        <v>恶魔符文</v>
      </c>
    </row>
    <row r="76" spans="1:1" x14ac:dyDescent="0.25">
      <c r="A76" s="60">
        <f>Consumable!E60</f>
        <v>0</v>
      </c>
    </row>
    <row r="77" spans="1:1" x14ac:dyDescent="0.25">
      <c r="A77" s="35" t="str">
        <f>Consumable!E19</f>
        <v>生命药水</v>
      </c>
    </row>
    <row r="78" spans="1:1" x14ac:dyDescent="0.25">
      <c r="A78" s="35" t="str">
        <f>Consumable!E20</f>
        <v>魔法药水</v>
      </c>
    </row>
    <row r="79" spans="1:1" x14ac:dyDescent="0.25">
      <c r="A79" s="63" t="str">
        <f>Consumable!E21</f>
        <v>吸血药水</v>
      </c>
    </row>
    <row r="80" spans="1:1" x14ac:dyDescent="0.25">
      <c r="A80" s="63" t="str">
        <f>Consumable!E22</f>
        <v>再生药水</v>
      </c>
    </row>
    <row r="81" spans="1:1" x14ac:dyDescent="0.25">
      <c r="A81" s="63" t="str">
        <f>Consumable!E23</f>
        <v>清晰预兆药水</v>
      </c>
    </row>
    <row r="82" spans="1:1" x14ac:dyDescent="0.25">
      <c r="A82" s="60" t="str">
        <f>Consumable!E24</f>
        <v>魔力之源</v>
      </c>
    </row>
    <row r="83" spans="1:1" x14ac:dyDescent="0.25">
      <c r="A83" s="63" t="str">
        <f>Consumable!E25</f>
        <v>宁静药水</v>
      </c>
    </row>
    <row r="84" spans="1:1" x14ac:dyDescent="0.25">
      <c r="A84" s="63" t="str">
        <f>Consumable!E26</f>
        <v>大生命药水</v>
      </c>
    </row>
    <row r="85" spans="1:1" x14ac:dyDescent="0.25">
      <c r="A85" s="61" t="str">
        <f>Consumable!E27</f>
        <v>魔导师药剂</v>
      </c>
    </row>
    <row r="86" spans="1:1" x14ac:dyDescent="0.25">
      <c r="A86" s="61" t="str">
        <f>Consumable!E28</f>
        <v>战斗大师药剂</v>
      </c>
    </row>
    <row r="87" spans="1:1" x14ac:dyDescent="0.25">
      <c r="A87" s="63" t="str">
        <f>Consumable!E29</f>
        <v>皇帝的新药</v>
      </c>
    </row>
    <row r="88" spans="1:1" x14ac:dyDescent="0.25">
      <c r="A88" s="63" t="str">
        <f>Consumable!E30</f>
        <v>转换药剂</v>
      </c>
    </row>
    <row r="89" spans="1:1" x14ac:dyDescent="0.25">
      <c r="A89" s="63">
        <f>Consumable!E31</f>
        <v>0</v>
      </c>
    </row>
    <row r="90" spans="1:1" x14ac:dyDescent="0.25">
      <c r="A90" s="61" t="str">
        <f>Consumable!E32</f>
        <v>护盾药剂</v>
      </c>
    </row>
    <row r="91" spans="1:1" x14ac:dyDescent="0.25">
      <c r="A91" s="61" t="str">
        <f>Consumable!E33</f>
        <v>壁垒药剂</v>
      </c>
    </row>
    <row r="92" spans="1:1" x14ac:dyDescent="0.25">
      <c r="A92" s="63" t="str">
        <f>Consumable!E34</f>
        <v>闪避药水</v>
      </c>
    </row>
    <row r="93" spans="1:1" x14ac:dyDescent="0.25">
      <c r="A93" s="63" t="str">
        <f>Consumable!E35</f>
        <v>较小的无敌药水</v>
      </c>
    </row>
    <row r="94" spans="1:1" x14ac:dyDescent="0.25">
      <c r="A94" s="61" t="str">
        <f>Consumable!E36</f>
        <v>无敌药水</v>
      </c>
    </row>
    <row r="95" spans="1:1" x14ac:dyDescent="0.25">
      <c r="A95" s="63" t="str">
        <f>Consumable!E37</f>
        <v>石皮药水</v>
      </c>
    </row>
    <row r="96" spans="1:1" x14ac:dyDescent="0.25">
      <c r="A96" s="63">
        <f>Consumable!E38</f>
        <v>0</v>
      </c>
    </row>
    <row r="97" spans="1:1" x14ac:dyDescent="0.25">
      <c r="A97" s="63" t="str">
        <f>Consumable!E39</f>
        <v>法能药水</v>
      </c>
    </row>
    <row r="98" spans="1:1" x14ac:dyDescent="0.25">
      <c r="A98" s="63" t="str">
        <f>Consumable!E40</f>
        <v>法术掌控药剂</v>
      </c>
    </row>
    <row r="99" spans="1:1" x14ac:dyDescent="0.25">
      <c r="A99" s="63" t="str">
        <f>Consumable!E41</f>
        <v>秘法药水</v>
      </c>
    </row>
    <row r="100" spans="1:1" x14ac:dyDescent="0.25">
      <c r="A100" s="63">
        <f>Consumable!E42</f>
        <v>0</v>
      </c>
    </row>
    <row r="101" spans="1:1" x14ac:dyDescent="0.25">
      <c r="A101" s="63" t="str">
        <f>Consumable!E43</f>
        <v>愤怒施法药水</v>
      </c>
    </row>
    <row r="102" spans="1:1" x14ac:dyDescent="0.25">
      <c r="A102" s="63" t="str">
        <f>Consumable!E44</f>
        <v>法术穿透药剂</v>
      </c>
    </row>
    <row r="103" spans="1:1" x14ac:dyDescent="0.25">
      <c r="A103" s="61" t="str">
        <f>Consumable!E45</f>
        <v>不稳定的药剂</v>
      </c>
    </row>
    <row r="104" spans="1:1" x14ac:dyDescent="0.25">
      <c r="A104" s="63">
        <f>Consumable!E46</f>
        <v>0</v>
      </c>
    </row>
    <row r="105" spans="1:1" x14ac:dyDescent="0.25">
      <c r="A105" s="63" t="str">
        <f>Consumable!E47</f>
        <v>敏捷药水</v>
      </c>
    </row>
    <row r="106" spans="1:1" x14ac:dyDescent="0.25">
      <c r="A106" s="63" t="str">
        <f>Consumable!E48</f>
        <v>敏锐药水</v>
      </c>
    </row>
    <row r="107" spans="1:1" x14ac:dyDescent="0.25">
      <c r="A107" s="63" t="str">
        <f>Consumable!E49</f>
        <v>迅捷药水</v>
      </c>
    </row>
    <row r="108" spans="1:1" x14ac:dyDescent="0.25">
      <c r="A108" s="60">
        <f>Consumable!E70</f>
        <v>0</v>
      </c>
    </row>
    <row r="109" spans="1:1" x14ac:dyDescent="0.25">
      <c r="A109" s="60">
        <f>Consumable!E71</f>
        <v>0</v>
      </c>
    </row>
    <row r="110" spans="1:1" x14ac:dyDescent="0.25">
      <c r="A110" s="60">
        <f>Consumable!E72</f>
        <v>0</v>
      </c>
    </row>
    <row r="111" spans="1:1" x14ac:dyDescent="0.25">
      <c r="A111" s="60">
        <f>Consumable!E73</f>
        <v>0</v>
      </c>
    </row>
    <row r="112" spans="1:1" x14ac:dyDescent="0.25">
      <c r="A112" s="60">
        <f>Consumable!E74</f>
        <v>0</v>
      </c>
    </row>
    <row r="113" spans="1:1" x14ac:dyDescent="0.25">
      <c r="A113" s="60">
        <f>Consumable!E75</f>
        <v>0</v>
      </c>
    </row>
    <row r="114" spans="1:1" x14ac:dyDescent="0.25">
      <c r="A114" s="60">
        <f>Consumable!E76</f>
        <v>0</v>
      </c>
    </row>
    <row r="115" spans="1:1" x14ac:dyDescent="0.25">
      <c r="A115" s="60">
        <f>Consumable!E77</f>
        <v>0</v>
      </c>
    </row>
    <row r="116" spans="1:1" x14ac:dyDescent="0.25">
      <c r="A116" s="63"/>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324</v>
      </c>
      <c r="B1" s="17" t="s">
        <v>296</v>
      </c>
      <c r="C1" s="12" t="s">
        <v>293</v>
      </c>
      <c r="D1" s="20" t="s">
        <v>294</v>
      </c>
    </row>
    <row r="2" spans="1:4" x14ac:dyDescent="0.35">
      <c r="A2" s="23" t="s">
        <v>342</v>
      </c>
      <c r="B2" s="24">
        <v>1</v>
      </c>
      <c r="C2" s="21" t="s">
        <v>309</v>
      </c>
      <c r="D2" s="19"/>
    </row>
    <row r="3" spans="1:4" x14ac:dyDescent="0.35">
      <c r="A3" s="23"/>
      <c r="B3" s="24">
        <v>2</v>
      </c>
      <c r="C3" s="21" t="s">
        <v>310</v>
      </c>
      <c r="D3" s="19"/>
    </row>
    <row r="4" spans="1:4" x14ac:dyDescent="0.35">
      <c r="A4" s="23"/>
      <c r="B4" s="24">
        <v>3</v>
      </c>
      <c r="C4" s="21" t="s">
        <v>311</v>
      </c>
      <c r="D4" s="19"/>
    </row>
    <row r="5" spans="1:4" x14ac:dyDescent="0.35">
      <c r="A5" s="23"/>
      <c r="B5" s="24">
        <v>4</v>
      </c>
      <c r="C5" s="21" t="s">
        <v>312</v>
      </c>
      <c r="D5" s="19"/>
    </row>
    <row r="6" spans="1:4" x14ac:dyDescent="0.35">
      <c r="A6" s="23"/>
      <c r="B6" s="24">
        <v>5</v>
      </c>
      <c r="C6" s="21" t="s">
        <v>313</v>
      </c>
      <c r="D6" s="19"/>
    </row>
    <row r="7" spans="1:4" x14ac:dyDescent="0.35">
      <c r="A7" s="23" t="s">
        <v>343</v>
      </c>
      <c r="B7" s="16">
        <v>1</v>
      </c>
      <c r="C7" s="21" t="s">
        <v>319</v>
      </c>
      <c r="D7" s="19"/>
    </row>
    <row r="8" spans="1:4" x14ac:dyDescent="0.35">
      <c r="A8" s="23"/>
      <c r="B8" s="16">
        <v>2</v>
      </c>
      <c r="C8" s="21" t="s">
        <v>320</v>
      </c>
      <c r="D8" s="19"/>
    </row>
    <row r="9" spans="1:4" x14ac:dyDescent="0.35">
      <c r="A9" s="23"/>
      <c r="B9" s="16">
        <v>3</v>
      </c>
      <c r="C9" s="21" t="s">
        <v>321</v>
      </c>
      <c r="D9" s="19"/>
    </row>
    <row r="10" spans="1:4" x14ac:dyDescent="0.35">
      <c r="A10" s="23"/>
      <c r="B10" s="16">
        <v>4</v>
      </c>
      <c r="C10" s="21" t="s">
        <v>322</v>
      </c>
      <c r="D10" s="19"/>
    </row>
    <row r="11" spans="1:4" x14ac:dyDescent="0.35">
      <c r="A11" s="23"/>
      <c r="B11" s="16">
        <v>5</v>
      </c>
      <c r="C11" s="21" t="s">
        <v>323</v>
      </c>
      <c r="D11" s="19"/>
    </row>
    <row r="12" spans="1:4" x14ac:dyDescent="0.35">
      <c r="A12" s="23" t="s">
        <v>344</v>
      </c>
      <c r="B12" s="24">
        <v>1</v>
      </c>
      <c r="C12" s="21" t="s">
        <v>314</v>
      </c>
      <c r="D12" s="19"/>
    </row>
    <row r="13" spans="1:4" x14ac:dyDescent="0.35">
      <c r="A13" s="23"/>
      <c r="B13" s="24">
        <v>2</v>
      </c>
      <c r="C13" s="21" t="s">
        <v>315</v>
      </c>
      <c r="D13" s="19"/>
    </row>
    <row r="14" spans="1:4" x14ac:dyDescent="0.35">
      <c r="A14" s="23"/>
      <c r="B14" s="24">
        <v>3</v>
      </c>
      <c r="C14" s="21" t="s">
        <v>316</v>
      </c>
      <c r="D14" s="19"/>
    </row>
    <row r="15" spans="1:4" x14ac:dyDescent="0.35">
      <c r="A15" s="23"/>
      <c r="B15" s="24">
        <v>4</v>
      </c>
      <c r="C15" s="21" t="s">
        <v>317</v>
      </c>
      <c r="D15" s="19"/>
    </row>
    <row r="16" spans="1:4" x14ac:dyDescent="0.35">
      <c r="A16" s="23"/>
      <c r="B16" s="24">
        <v>5</v>
      </c>
      <c r="C16" s="21" t="s">
        <v>318</v>
      </c>
      <c r="D16" s="19"/>
    </row>
    <row r="17" spans="1:4" x14ac:dyDescent="0.35">
      <c r="A17" s="23" t="s">
        <v>295</v>
      </c>
      <c r="B17" s="16">
        <v>1</v>
      </c>
      <c r="C17" s="21" t="s">
        <v>304</v>
      </c>
      <c r="D17" s="19"/>
    </row>
    <row r="18" spans="1:4" x14ac:dyDescent="0.35">
      <c r="A18" s="23"/>
      <c r="B18" s="16">
        <v>2</v>
      </c>
      <c r="C18" s="21" t="s">
        <v>305</v>
      </c>
      <c r="D18" s="19"/>
    </row>
    <row r="19" spans="1:4" x14ac:dyDescent="0.35">
      <c r="A19" s="23"/>
      <c r="B19" s="16">
        <v>3</v>
      </c>
      <c r="C19" s="21" t="s">
        <v>306</v>
      </c>
      <c r="D19" s="19"/>
    </row>
    <row r="20" spans="1:4" x14ac:dyDescent="0.35">
      <c r="A20" s="23"/>
      <c r="B20" s="16">
        <v>4</v>
      </c>
      <c r="C20" s="21" t="s">
        <v>307</v>
      </c>
      <c r="D20" s="19"/>
    </row>
    <row r="21" spans="1:4" x14ac:dyDescent="0.35">
      <c r="A21" s="23"/>
      <c r="B21" s="16">
        <v>5</v>
      </c>
      <c r="C21" s="21" t="s">
        <v>308</v>
      </c>
      <c r="D21" s="19">
        <v>60</v>
      </c>
    </row>
    <row r="22" spans="1:4" x14ac:dyDescent="0.35">
      <c r="A22" s="23" t="s">
        <v>325</v>
      </c>
      <c r="B22" s="16">
        <v>1</v>
      </c>
      <c r="C22" s="21" t="s">
        <v>326</v>
      </c>
      <c r="D22" s="19"/>
    </row>
    <row r="23" spans="1:4" x14ac:dyDescent="0.35">
      <c r="A23" s="23"/>
      <c r="B23" s="16">
        <v>2</v>
      </c>
      <c r="C23" s="21" t="s">
        <v>327</v>
      </c>
      <c r="D23" s="19"/>
    </row>
    <row r="24" spans="1:4" x14ac:dyDescent="0.35">
      <c r="A24" s="23"/>
      <c r="B24" s="16">
        <v>3</v>
      </c>
      <c r="C24" s="21" t="s">
        <v>328</v>
      </c>
      <c r="D24" s="19"/>
    </row>
    <row r="25" spans="1:4" x14ac:dyDescent="0.35">
      <c r="A25" s="23"/>
      <c r="B25" s="16">
        <v>4</v>
      </c>
      <c r="C25" s="21" t="s">
        <v>329</v>
      </c>
      <c r="D25" s="19"/>
    </row>
    <row r="26" spans="1:4" x14ac:dyDescent="0.35">
      <c r="A26" s="23"/>
      <c r="B26" s="16">
        <v>5</v>
      </c>
      <c r="C26" s="21" t="s">
        <v>341</v>
      </c>
      <c r="D26" s="19">
        <v>60</v>
      </c>
    </row>
    <row r="27" spans="1:4" x14ac:dyDescent="0.35">
      <c r="A27" s="23" t="s">
        <v>297</v>
      </c>
      <c r="B27" s="24">
        <v>1</v>
      </c>
      <c r="C27" s="21" t="s">
        <v>299</v>
      </c>
      <c r="D27" s="19">
        <v>60</v>
      </c>
    </row>
    <row r="28" spans="1:4" x14ac:dyDescent="0.35">
      <c r="A28" s="23"/>
      <c r="B28" s="24">
        <v>2</v>
      </c>
      <c r="C28" s="21" t="s">
        <v>300</v>
      </c>
      <c r="D28" s="19">
        <v>60</v>
      </c>
    </row>
    <row r="29" spans="1:4" x14ac:dyDescent="0.35">
      <c r="A29" s="23"/>
      <c r="B29" s="24">
        <v>3</v>
      </c>
      <c r="C29" s="21" t="s">
        <v>301</v>
      </c>
      <c r="D29" s="19">
        <v>60</v>
      </c>
    </row>
    <row r="30" spans="1:4" x14ac:dyDescent="0.35">
      <c r="A30" s="23"/>
      <c r="B30" s="24">
        <v>4</v>
      </c>
      <c r="C30" s="21" t="s">
        <v>302</v>
      </c>
      <c r="D30" s="19">
        <v>60</v>
      </c>
    </row>
    <row r="31" spans="1:4" x14ac:dyDescent="0.35">
      <c r="A31" s="23"/>
      <c r="B31" s="24">
        <v>5</v>
      </c>
      <c r="C31" s="21" t="s">
        <v>303</v>
      </c>
      <c r="D31" s="19">
        <v>60</v>
      </c>
    </row>
    <row r="32" spans="1:4" x14ac:dyDescent="0.35">
      <c r="A32" s="23" t="s">
        <v>298</v>
      </c>
      <c r="B32" s="24">
        <v>1</v>
      </c>
      <c r="C32" s="14" t="s">
        <v>330</v>
      </c>
      <c r="D32" s="19">
        <v>60</v>
      </c>
    </row>
    <row r="33" spans="1:4" x14ac:dyDescent="0.35">
      <c r="A33" s="23"/>
      <c r="B33" s="24">
        <v>2</v>
      </c>
      <c r="C33" s="14" t="s">
        <v>331</v>
      </c>
      <c r="D33" s="19">
        <v>60</v>
      </c>
    </row>
    <row r="34" spans="1:4" x14ac:dyDescent="0.35">
      <c r="A34" s="23"/>
      <c r="B34" s="24">
        <v>3</v>
      </c>
      <c r="C34" s="14" t="s">
        <v>332</v>
      </c>
      <c r="D34" s="19">
        <v>60</v>
      </c>
    </row>
    <row r="35" spans="1:4" x14ac:dyDescent="0.35">
      <c r="A35" s="23"/>
      <c r="B35" s="24">
        <v>4</v>
      </c>
      <c r="C35" s="14" t="s">
        <v>333</v>
      </c>
      <c r="D35" s="19">
        <v>60</v>
      </c>
    </row>
    <row r="36" spans="1:4" x14ac:dyDescent="0.35">
      <c r="A36" s="23"/>
      <c r="B36" s="24">
        <v>5</v>
      </c>
      <c r="C36" s="14" t="s">
        <v>334</v>
      </c>
      <c r="D36" s="19">
        <v>60</v>
      </c>
    </row>
    <row r="37" spans="1:4" x14ac:dyDescent="0.35">
      <c r="A37" s="23" t="s">
        <v>335</v>
      </c>
      <c r="B37" s="16">
        <v>1</v>
      </c>
      <c r="C37" s="14" t="s">
        <v>336</v>
      </c>
      <c r="D37" s="19"/>
    </row>
    <row r="38" spans="1:4" x14ac:dyDescent="0.35">
      <c r="A38" s="23"/>
      <c r="B38" s="16">
        <v>2</v>
      </c>
      <c r="C38" s="14" t="s">
        <v>337</v>
      </c>
      <c r="D38" s="19"/>
    </row>
    <row r="39" spans="1:4" x14ac:dyDescent="0.35">
      <c r="A39" s="23"/>
      <c r="B39" s="16">
        <v>3</v>
      </c>
      <c r="C39" s="14" t="s">
        <v>338</v>
      </c>
      <c r="D39" s="19"/>
    </row>
    <row r="40" spans="1:4" x14ac:dyDescent="0.35">
      <c r="A40" s="23"/>
      <c r="B40" s="16">
        <v>4</v>
      </c>
      <c r="C40" s="14" t="s">
        <v>339</v>
      </c>
      <c r="D40" s="19"/>
    </row>
    <row r="41" spans="1:4" x14ac:dyDescent="0.35">
      <c r="A41" s="23"/>
      <c r="B41" s="16">
        <v>5</v>
      </c>
      <c r="C41" s="14" t="s">
        <v>340</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2018-05-15T14:42:43Z</dcterms:modified>
</cp:coreProperties>
</file>