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D:\Documents\Warcraft III\Maps\Zulaman-WE\design\"/>
    </mc:Choice>
  </mc:AlternateContent>
  <xr:revisionPtr revIDLastSave="0" documentId="13_ncr:1_{FC50A802-62ED-4A26-89FC-CF5C9F6042E9}" xr6:coauthVersionLast="32" xr6:coauthVersionMax="32" xr10:uidLastSave="{00000000-0000-0000-0000-000000000000}"/>
  <bookViews>
    <workbookView xWindow="0" yWindow="60" windowWidth="20490" windowHeight="7380" activeTab="7" xr2:uid="{00000000-000D-0000-FFFF-FFFF00000000}"/>
  </bookViews>
  <sheets>
    <sheet name="Prefix" sheetId="15" r:id="rId1"/>
    <sheet name="Uncommon" sheetId="14" r:id="rId2"/>
    <sheet name="Rare" sheetId="4" r:id="rId3"/>
    <sheet name="Legendary" sheetId="3" r:id="rId4"/>
    <sheet name="Relic" sheetId="9" r:id="rId5"/>
    <sheet name="Consumable" sheetId="7" r:id="rId6"/>
    <sheet name="BossLoot" sheetId="10" r:id="rId7"/>
    <sheet name="Glyph" sheetId="13" r:id="rId8"/>
  </sheets>
  <functionGroups builtInGroupCount="19"/>
  <calcPr calcId="179017"/>
</workbook>
</file>

<file path=xl/calcChain.xml><?xml version="1.0" encoding="utf-8"?>
<calcChain xmlns="http://schemas.openxmlformats.org/spreadsheetml/2006/main">
  <c r="A115" i="10" l="1"/>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 r="C80" i="3"/>
  <c r="C22" i="3"/>
  <c r="C93" i="3"/>
  <c r="C41" i="3"/>
  <c r="D192" i="4"/>
  <c r="D37" i="4"/>
  <c r="D142" i="4"/>
  <c r="D116" i="4"/>
  <c r="D125" i="4"/>
  <c r="D134" i="4"/>
  <c r="D157" i="4"/>
  <c r="D149" i="4"/>
  <c r="D78" i="4"/>
  <c r="D12" i="4"/>
  <c r="D88" i="4"/>
  <c r="D37" i="14"/>
  <c r="D57" i="14"/>
  <c r="D79" i="14"/>
  <c r="D63" i="14"/>
  <c r="D11" i="14"/>
  <c r="D39" i="14"/>
  <c r="D49" i="14"/>
  <c r="C76" i="14"/>
  <c r="D3" i="3"/>
  <c r="C182" i="4"/>
  <c r="C158" i="4"/>
  <c r="C134" i="4"/>
  <c r="C115" i="4"/>
  <c r="C95" i="4"/>
  <c r="C79" i="4"/>
  <c r="C63" i="4"/>
  <c r="C43" i="4"/>
  <c r="C25" i="4"/>
  <c r="C10" i="4"/>
  <c r="D11" i="3"/>
  <c r="D60" i="3"/>
  <c r="D62" i="3"/>
  <c r="C81" i="14"/>
  <c r="C66" i="14"/>
  <c r="C55" i="14"/>
  <c r="C45" i="14"/>
  <c r="C34" i="14"/>
  <c r="C23" i="14"/>
  <c r="C11" i="14"/>
  <c r="D101" i="3"/>
  <c r="C37" i="14"/>
  <c r="C5" i="14"/>
  <c r="C33" i="3"/>
  <c r="D182" i="4"/>
  <c r="D2" i="4"/>
  <c r="D42" i="14"/>
  <c r="D70" i="14"/>
  <c r="C166" i="4"/>
  <c r="C85" i="4"/>
  <c r="C12" i="4"/>
  <c r="D91" i="3"/>
  <c r="C38" i="14"/>
  <c r="C50" i="3"/>
  <c r="C60" i="3"/>
  <c r="C71" i="3"/>
  <c r="C12" i="3"/>
  <c r="D174" i="4"/>
  <c r="D20" i="4"/>
  <c r="D49" i="4"/>
  <c r="D96" i="4"/>
  <c r="D19" i="4"/>
  <c r="D115" i="4"/>
  <c r="D133" i="4"/>
  <c r="D36" i="4"/>
  <c r="D25" i="4"/>
  <c r="D175" i="4"/>
  <c r="D167" i="4"/>
  <c r="D26" i="14"/>
  <c r="D46" i="14"/>
  <c r="D66" i="14"/>
  <c r="D41" i="14"/>
  <c r="D1" i="14"/>
  <c r="D29" i="14"/>
  <c r="D38" i="14"/>
  <c r="C75" i="14"/>
  <c r="D2" i="3"/>
  <c r="C176" i="4"/>
  <c r="C157" i="4"/>
  <c r="C133" i="4"/>
  <c r="C109" i="4"/>
  <c r="C94" i="4"/>
  <c r="C78" i="4"/>
  <c r="C57" i="4"/>
  <c r="C42" i="4"/>
  <c r="C24" i="4"/>
  <c r="C8" i="4"/>
  <c r="D82" i="3"/>
  <c r="D21" i="3"/>
  <c r="D12" i="3"/>
  <c r="C80" i="14"/>
  <c r="C65" i="14"/>
  <c r="C54" i="14"/>
  <c r="C43" i="14"/>
  <c r="C33" i="14"/>
  <c r="C22" i="14"/>
  <c r="C10" i="14"/>
  <c r="C102" i="4"/>
  <c r="C19" i="4"/>
  <c r="D41" i="3"/>
  <c r="C61" i="14"/>
  <c r="C39" i="14"/>
  <c r="C6" i="14"/>
  <c r="C43" i="3"/>
  <c r="D3" i="4"/>
  <c r="D31" i="4"/>
  <c r="D65" i="4"/>
  <c r="D69" i="14"/>
  <c r="D23" i="14"/>
  <c r="D30" i="14"/>
  <c r="C3" i="14"/>
  <c r="C143" i="4"/>
  <c r="C86" i="4"/>
  <c r="C18" i="4"/>
  <c r="D93" i="3"/>
  <c r="C49" i="14"/>
  <c r="C92" i="3"/>
  <c r="D159" i="4"/>
  <c r="D1" i="4"/>
  <c r="D80" i="14"/>
  <c r="D61" i="14"/>
  <c r="C184" i="4"/>
  <c r="C100" i="4"/>
  <c r="C31" i="4"/>
  <c r="D71" i="3"/>
  <c r="C47" i="14"/>
  <c r="D103" i="3"/>
  <c r="C23" i="3"/>
  <c r="C2" i="3"/>
  <c r="C42" i="3"/>
  <c r="C61" i="3"/>
  <c r="D150" i="4"/>
  <c r="D6" i="4"/>
  <c r="D191" i="4"/>
  <c r="D84" i="4"/>
  <c r="D86" i="4"/>
  <c r="D95" i="4"/>
  <c r="D109" i="4"/>
  <c r="D101" i="4"/>
  <c r="D56" i="4"/>
  <c r="D151" i="4"/>
  <c r="D18" i="4"/>
  <c r="D15" i="14"/>
  <c r="D35" i="14"/>
  <c r="D55" i="14"/>
  <c r="D76" i="14"/>
  <c r="D75" i="14"/>
  <c r="D18" i="14"/>
  <c r="D27" i="14"/>
  <c r="C3" i="4"/>
  <c r="D1" i="3"/>
  <c r="C175" i="4"/>
  <c r="C151" i="4"/>
  <c r="C132" i="4"/>
  <c r="C108" i="4"/>
  <c r="C90" i="4"/>
  <c r="C77" i="4"/>
  <c r="C56" i="4"/>
  <c r="C38" i="4"/>
  <c r="C26" i="4"/>
  <c r="C7" i="4"/>
  <c r="D23" i="3"/>
  <c r="D72" i="3"/>
  <c r="D13" i="3"/>
  <c r="C79" i="14"/>
  <c r="C63" i="14"/>
  <c r="C53" i="14"/>
  <c r="C42" i="14"/>
  <c r="C31" i="14"/>
  <c r="C21" i="14"/>
  <c r="C9" i="14"/>
  <c r="C7" i="14"/>
  <c r="C3" i="3"/>
  <c r="C34" i="3"/>
  <c r="C81" i="3"/>
  <c r="D71" i="4"/>
  <c r="D44" i="4"/>
  <c r="D63" i="4"/>
  <c r="D166" i="4"/>
  <c r="D108" i="4"/>
  <c r="D53" i="14"/>
  <c r="D34" i="14"/>
  <c r="D9" i="14"/>
  <c r="D6" i="14"/>
  <c r="C192" i="4"/>
  <c r="C125" i="4"/>
  <c r="C71" i="4"/>
  <c r="C36" i="4"/>
  <c r="D50" i="3"/>
  <c r="C71" i="14"/>
  <c r="C29" i="14"/>
  <c r="C102" i="3"/>
  <c r="C91" i="3"/>
  <c r="D30" i="4"/>
  <c r="D42" i="4"/>
  <c r="D90" i="4"/>
  <c r="D3" i="14"/>
  <c r="D71" i="14"/>
  <c r="C190" i="4"/>
  <c r="C124" i="4"/>
  <c r="C50" i="4"/>
  <c r="D32" i="3"/>
  <c r="D34" i="3"/>
  <c r="C59" i="14"/>
  <c r="C17" i="14"/>
  <c r="C21" i="3"/>
  <c r="D72" i="4"/>
  <c r="D11" i="4"/>
  <c r="D8" i="4"/>
  <c r="D77" i="4"/>
  <c r="D13" i="14"/>
  <c r="C2" i="14"/>
  <c r="C117" i="4"/>
  <c r="C49" i="4"/>
  <c r="D73" i="3"/>
  <c r="C58" i="14"/>
  <c r="C27" i="14"/>
  <c r="D102" i="3"/>
  <c r="C1" i="3"/>
  <c r="C101" i="3"/>
  <c r="C13" i="3"/>
  <c r="C11" i="3"/>
  <c r="D126" i="4"/>
  <c r="D168" i="4"/>
  <c r="D190" i="4"/>
  <c r="D64" i="4"/>
  <c r="D32" i="4"/>
  <c r="D79" i="4"/>
  <c r="D94" i="4"/>
  <c r="D70" i="4"/>
  <c r="D102" i="4"/>
  <c r="D132" i="4"/>
  <c r="D85" i="4"/>
  <c r="D5" i="14"/>
  <c r="D25" i="14"/>
  <c r="D45" i="14"/>
  <c r="D65" i="14"/>
  <c r="D10" i="14"/>
  <c r="D7" i="14"/>
  <c r="D17" i="14"/>
  <c r="C2" i="4"/>
  <c r="C191" i="4"/>
  <c r="C174" i="4"/>
  <c r="C149" i="4"/>
  <c r="C126" i="4"/>
  <c r="C107" i="4"/>
  <c r="C89" i="4"/>
  <c r="C72" i="4"/>
  <c r="C55" i="4"/>
  <c r="C37" i="4"/>
  <c r="C20" i="4"/>
  <c r="C6" i="4"/>
  <c r="D80" i="3"/>
  <c r="D43" i="3"/>
  <c r="D92" i="3"/>
  <c r="C74" i="14"/>
  <c r="C62" i="14"/>
  <c r="C51" i="14"/>
  <c r="C41" i="14"/>
  <c r="C30" i="14"/>
  <c r="C19" i="14"/>
  <c r="C72" i="3"/>
  <c r="D107" i="4"/>
  <c r="D184" i="4"/>
  <c r="D117" i="4"/>
  <c r="D57" i="4"/>
  <c r="D51" i="4"/>
  <c r="D81" i="14"/>
  <c r="D14" i="14"/>
  <c r="D54" i="14"/>
  <c r="D21" i="14"/>
  <c r="C1" i="4"/>
  <c r="C168" i="4"/>
  <c r="C150" i="4"/>
  <c r="C88" i="4"/>
  <c r="C51" i="4"/>
  <c r="C14" i="14"/>
  <c r="D33" i="3"/>
  <c r="C50" i="14"/>
  <c r="C18" i="14"/>
  <c r="C51" i="3"/>
  <c r="D89" i="4"/>
  <c r="D183" i="4"/>
  <c r="D43" i="4"/>
  <c r="D143" i="4"/>
  <c r="D51" i="14"/>
  <c r="D43" i="14"/>
  <c r="D31" i="14"/>
  <c r="C167" i="4"/>
  <c r="C101" i="4"/>
  <c r="C70" i="4"/>
  <c r="C32" i="4"/>
  <c r="D22" i="3"/>
  <c r="C70" i="14"/>
  <c r="C25" i="14"/>
  <c r="C73" i="3"/>
  <c r="D124" i="4"/>
  <c r="D26" i="4"/>
  <c r="D58" i="14"/>
  <c r="D33" i="14"/>
  <c r="D74" i="14"/>
  <c r="C142" i="4"/>
  <c r="C65" i="4"/>
  <c r="D81" i="3"/>
  <c r="C69" i="14"/>
  <c r="C15" i="14"/>
  <c r="C13" i="14"/>
  <c r="C103" i="3"/>
  <c r="C49" i="3"/>
  <c r="C82" i="3"/>
  <c r="C62" i="3"/>
  <c r="C32" i="3"/>
  <c r="D55" i="4"/>
  <c r="D50" i="4"/>
  <c r="D141" i="4"/>
  <c r="D7" i="4"/>
  <c r="D158" i="4"/>
  <c r="D10" i="4"/>
  <c r="D38" i="4"/>
  <c r="D176" i="4"/>
  <c r="D100" i="4"/>
  <c r="D24" i="4"/>
  <c r="D47" i="14"/>
  <c r="D67" i="14"/>
  <c r="D62" i="14"/>
  <c r="D2" i="14"/>
  <c r="D22" i="14"/>
  <c r="D50" i="14"/>
  <c r="D59" i="14"/>
  <c r="D19" i="14"/>
  <c r="C1" i="14"/>
  <c r="C183" i="4"/>
  <c r="C159" i="4"/>
  <c r="C141" i="4"/>
  <c r="C116" i="4"/>
  <c r="C96" i="4"/>
  <c r="C84" i="4"/>
  <c r="C64" i="4"/>
  <c r="C44" i="4"/>
  <c r="C30" i="4"/>
  <c r="C11" i="4"/>
  <c r="D51" i="3"/>
  <c r="D49" i="3"/>
  <c r="D42" i="3"/>
  <c r="D61" i="3"/>
  <c r="C67" i="14"/>
  <c r="C57" i="14"/>
  <c r="C46" i="14"/>
  <c r="C35" i="14"/>
  <c r="C26" i="14"/>
</calcChain>
</file>

<file path=xl/sharedStrings.xml><?xml version="1.0" encoding="utf-8"?>
<sst xmlns="http://schemas.openxmlformats.org/spreadsheetml/2006/main" count="1655" uniqueCount="949">
  <si>
    <t>每秒回复3点法力值</t>
  </si>
  <si>
    <t>阿尔萨斯的堕落</t>
  </si>
  <si>
    <t>命中：有15%的几率施展死亡缠绕，对目标造成400点伤害并使其受到的伤害提高3%。</t>
  </si>
  <si>
    <t>3 items</t>
  </si>
  <si>
    <t>complete set</t>
  </si>
  <si>
    <t>赋予邪恶光环，使附近所有友军的生命回复提升20点。</t>
  </si>
  <si>
    <t>复仇的决心</t>
  </si>
  <si>
    <t>点击以查看套装效果</t>
  </si>
  <si>
    <t>阿尔萨斯的堕落（复仇的决心，斯坦索姆惨剧，弑父者，霜之哀伤）</t>
  </si>
  <si>
    <t>2 items</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</si>
  <si>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</si>
  <si>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</si>
  <si>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</si>
  <si>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</si>
  <si>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</si>
  <si>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</si>
  <si>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</si>
  <si>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命中：有5%的几率使目标昏迷2秒。</t>
  </si>
  <si>
    <t>“最后一步！”</t>
  </si>
  <si>
    <t>霜之哀伤</t>
  </si>
  <si>
    <t>命中：吸取造成的伤害11%的生命值。</t>
  </si>
  <si>
    <t>每秒吸取附近所有敌人30点生命值到自身。</t>
  </si>
  <si>
    <t>至尊二十一戒</t>
  </si>
  <si>
    <t>命中：吸取造成的伤害9%的法力值。</t>
  </si>
  <si>
    <t>对攻击目标会造成额外的法术伤害，对受伤的目标造成更高伤害。</t>
  </si>
  <si>
    <t>辛多雷宝珠</t>
  </si>
  <si>
    <t>“巫妖王的礼物。”</t>
  </si>
  <si>
    <t>杰出血精灵卫士的荣耀象征。</t>
  </si>
  <si>
    <t>重铸的坚韧徽章</t>
  </si>
  <si>
    <t>使你的生存本能可以提供15%额外的生命值和生命上限。</t>
  </si>
  <si>
    <t>使用：立即冷却生存本能。</t>
  </si>
  <si>
    <t>据说这枚徽章最早是由恶魔沙图尔打造的。</t>
  </si>
  <si>
    <t>圣光的正义</t>
  </si>
  <si>
    <t>使你的神圣震击一定能造成极效治疗。</t>
  </si>
  <si>
    <t>使用：驱散友军/敌军目标身上的一个有害/有益的魔法效果，并且在接下来的12秒内每3秒造成一次驱散效果。</t>
  </si>
  <si>
    <t>向圣光打开你的心扉。</t>
  </si>
  <si>
    <t>祈福</t>
  </si>
  <si>
    <t>在光的背后，是阴影。</t>
  </si>
  <si>
    <t>塞纳留斯的号角</t>
  </si>
  <si>
    <t>使愈合的瞬发效果的间隔时间缩短10秒。</t>
  </si>
  <si>
    <t>这个暗夜精灵族的神器据说能召唤来所有暗夜精灵的灵魂。</t>
  </si>
  <si>
    <t>部落旗帜</t>
  </si>
  <si>
    <t>使英勇打击消耗的法力值减少5点。</t>
  </si>
  <si>
    <t>带着部落的荣耀，斩下入侵者的头颅。</t>
  </si>
  <si>
    <t>科勒恩的刺杀匕首</t>
  </si>
  <si>
    <t>对生命值少于自己的目标造成一击必杀。</t>
  </si>
  <si>
    <t>使你的邪恶攻击有15%概率造成麻痹效果，降低目标施法速度20%，并获得一个额外的连击点。</t>
  </si>
  <si>
    <t>科勒恩不仅仅是逃脱大师而已。</t>
  </si>
  <si>
    <t>上古守护者的长弓</t>
  </si>
  <si>
    <t>使你的黑箭数量增加一枝。</t>
  </si>
  <si>
    <t>“Rhok'delar”</t>
  </si>
  <si>
    <t>雷基·冬寒的护命匣</t>
  </si>
  <si>
    <t>使你的寒冰箭能冻结敌人1秒。</t>
  </si>
  <si>
    <t>对于某些人来说，他的护命匣的价值要大于黑暗秘密编年史。</t>
  </si>
  <si>
    <t>咒逐</t>
  </si>
  <si>
    <t>使你的精髓榨取能让目标身上的暗言字：痛额外地生效一次。</t>
  </si>
  <si>
    <t>在阴影前面，那是光。</t>
  </si>
  <si>
    <t>罕见的雷电花芯</t>
  </si>
  <si>
    <t>采自雷霆山，这颗雷电花芯似乎拥有真正的雷电能量。</t>
  </si>
  <si>
    <t>前面二十个都是渣.</t>
  </si>
  <si>
    <t>限量版地精火箭靴</t>
  </si>
  <si>
    <t>Goblin Rocket Boots Limited Edition</t>
  </si>
  <si>
    <t>使用:提高300点移动速度,持续10秒.可能故障.</t>
  </si>
  <si>
    <t>无限</t>
  </si>
  <si>
    <t>限量发售,可是毕竟是地精产品</t>
  </si>
  <si>
    <t>战歌之鼓</t>
  </si>
  <si>
    <t>命中:标记目标,使其受到的伤害增加2%,持续3秒.</t>
  </si>
  <si>
    <t>赋予战歌光环:提升附近所有友军造成的伤害2%和受到的治疗效果10%.</t>
  </si>
  <si>
    <t>士气高涨,牛头人的秘密武器</t>
  </si>
  <si>
    <t>战斗召唤</t>
  </si>
  <si>
    <t>在命中目标以后，造成30点法术伤害，受攻击强度和法术强度的影响。</t>
  </si>
  <si>
    <t>在命中目标以后，吸取造成伤害7%的生命值和法力值。</t>
  </si>
  <si>
    <t>诅咒铠甲</t>
  </si>
  <si>
    <t>历史</t>
  </si>
  <si>
    <t>撒卡兰姆在被流放的时候，曾领导一支佣兵队伍，他正是靠着这把战斗召唤和圣盾带领着兄弟们踏过无数敌人的尸体。</t>
  </si>
  <si>
    <t>埃兰的镇定宝石</t>
  </si>
  <si>
    <t>+8智力</t>
  </si>
  <si>
    <t>一把粗犷的巨剑，做工不是很精良，在哈洛加斯这是最受欢迎的量产武器。</t>
  </si>
  <si>
    <t>+10法术强度</t>
  </si>
  <si>
    <t>托尔贝恩</t>
  </si>
  <si>
    <t>每秒流失5点生命值</t>
  </si>
  <si>
    <t>+5%法术急速</t>
  </si>
  <si>
    <t>被击中以后会导致目标的攻击强度降低</t>
  </si>
  <si>
    <t>+10攻击强度</t>
  </si>
  <si>
    <t>埃兰将所有不同种类的宝石都制成过镇定宝石，冒险者们比较熟悉的应该是一颗蓝宝石。</t>
  </si>
  <si>
    <t>“你认得这把斧头……”</t>
  </si>
  <si>
    <t>"迟缓大法,恶咒附身,虚弱无力,大难临头"</t>
  </si>
  <si>
    <t>血吼</t>
  </si>
  <si>
    <t>纯净秘法</t>
  </si>
  <si>
    <t>法术伤害造成暴击以后会积累一层秘法能量，在积累到三层以后会自动释放，对目标造成300点法术伤害。</t>
  </si>
  <si>
    <t>“梅卡托克对此不屑一顾，他认为一个简单的电容器就能达到这个效果。”</t>
  </si>
  <si>
    <t>阿曼尼帝国壁垒</t>
  </si>
  <si>
    <t>妖术之颅</t>
  </si>
  <si>
    <t>熔火犬牙</t>
  </si>
  <si>
    <t>+17智力</t>
  </si>
  <si>
    <t>Hex Shrunken Head</t>
  </si>
  <si>
    <t>+17法术强度</t>
  </si>
  <si>
    <t>使用：提高法术强度35点，持续15秒。</t>
  </si>
  <si>
    <t>似乎仍然缭绕着兄弟公会的第一任防护战士和守护骑士的怨念。</t>
  </si>
  <si>
    <t>妖术领主现在已经足够强大，不再需要这样的小玩意了。</t>
  </si>
  <si>
    <t>烦恼诗集</t>
  </si>
  <si>
    <t>暗影烈焰法杖</t>
  </si>
  <si>
    <t>命中：降低目标移动速度100点。</t>
  </si>
  <si>
    <t>Staff of the Shadow Flame</t>
  </si>
  <si>
    <t>命中：降低目标攻击速度30%。</t>
  </si>
  <si>
    <t>命中：降低目标物理免伤3点。</t>
  </si>
  <si>
    <t>Core Hound Tooth</t>
  </si>
  <si>
    <t>末日防御者徽记</t>
  </si>
  <si>
    <t>Signet of the Last Defender</t>
  </si>
  <si>
    <t>命中：降低目标命中率10%。</t>
  </si>
  <si>
    <t>维斯卡格</t>
  </si>
  <si>
    <t>命中：降低目标造成的伤害4%。</t>
  </si>
  <si>
    <t>受到的治疗效果提升10%</t>
  </si>
  <si>
    <t>这个戒指本属于一个恶魔领主,后来被一个兽人盗贼盗走.</t>
  </si>
  <si>
    <t>法杖末端的暗影烈焰是如此之纯净,蕴含着巨大的能量.</t>
  </si>
  <si>
    <t>潮汐指环</t>
  </si>
  <si>
    <t>Vis'kag</t>
  </si>
  <si>
    <t>正义天使之力</t>
  </si>
  <si>
    <t>Tidal Loop</t>
  </si>
  <si>
    <t>命中:吸取造成伤害8%的生命值.</t>
  </si>
  <si>
    <t>命中：降低目标受到的治疗效果35%。</t>
  </si>
  <si>
    <t>每秒回复6点法力值</t>
  </si>
  <si>
    <t>"血书."</t>
  </si>
  <si>
    <t>"似青苔悄然蔓延毫不经意,又如困兽走投无路歇斯底里"</t>
  </si>
  <si>
    <t>造成法术伤害时,有1%的概率立即回复100点法力值.</t>
  </si>
  <si>
    <t>风暴狮角</t>
  </si>
  <si>
    <t>这枚戒指当年是为了对抗火焰之王的军团而打造的,现在已经找不到其火焰抵抗能力了.</t>
  </si>
  <si>
    <t>受到治疗以后,可以积累神圣能量。</t>
  </si>
  <si>
    <t>使用:释放所有神圣能量以治疗自己.</t>
  </si>
  <si>
    <t>Lion Horn</t>
  </si>
  <si>
    <t>谜团</t>
  </si>
  <si>
    <t>伟大的智慧天使秦端雨曾经作为正义的化身之时所使用的护甲.</t>
  </si>
  <si>
    <t>命中:有10%的概率提高攻击速度30%,持续5秒.</t>
  </si>
  <si>
    <t>使用：传送到一个友军身后。</t>
  </si>
  <si>
    <t>比龙脊奖章好多了.</t>
  </si>
  <si>
    <t>赋予无限光环，使附近600码范围内所有敌人受到的法术伤害提高5%。</t>
  </si>
  <si>
    <t>在造成任何法术伤害的时候，有10%的概率对目标敌人施展闪电链，造成150点法术伤害。</t>
  </si>
  <si>
    <t>死亡呼吸</t>
  </si>
  <si>
    <t>无限是薄暮之魂的灵魂精华，它所蕴含的闪电能量让先知德雷克萨尔都感到惊叹，传说带有绿色云状光环的薄暮之魂是所有探险者的噩梦。</t>
  </si>
  <si>
    <t>不详。</t>
  </si>
  <si>
    <t>洞察</t>
  </si>
  <si>
    <t>在命中目标以后，吸取造成伤害10%的生命值和法力值。</t>
  </si>
  <si>
    <t>在命中目标以后，有15%的概率施展剧毒新星，对600码范围内的敌人造成持续性的法术伤害。</t>
  </si>
  <si>
    <t>命中：造成45点法术伤害。</t>
  </si>
  <si>
    <t>格里斯华尔德变为不死生物以后的巅峰之作，在暗淡无光的矛柄上隐隐闪动着六个晦涩难懂的神符：Vex-Hel-El-Eld-Zod-Eth。</t>
  </si>
  <si>
    <t>将普通攻击转化为法术伤害。</t>
  </si>
  <si>
    <t>风之力</t>
  </si>
  <si>
    <t>赋予洞察光环，使附近600码范围内的所有友军每秒额外回复6点法力值。</t>
  </si>
  <si>
    <t>在抵抗森林巨魔的战斗中，血精灵游侠们挥舞着受到这颗来自肯瑞托的法珠附魔的武器所向披靡，最终成功地建立了奎尔萨拉斯。</t>
  </si>
  <si>
    <t>巫毒瓶</t>
  </si>
  <si>
    <t>在造成任何法术伤害的时候，有10%的概率使敌人中毒，受到持续性的法术伤害，受瓶中能量影响。</t>
  </si>
  <si>
    <t>命中：有30%的几率击退敌人。</t>
  </si>
  <si>
    <t>使用：召唤一个魔法瓶投掷到目标区域，释放出里面的邪恶生物对区域内的敌人造成持续的法术伤害。</t>
  </si>
  <si>
    <t>“逆风者亡！”</t>
  </si>
  <si>
    <t>知道这个不起眼的小瓶是赞吉尔发明的人都变成了他的“朋友”。</t>
  </si>
  <si>
    <t>克苏恩的疯狂</t>
  </si>
  <si>
    <t>战斗中每秒流失40点生命值</t>
  </si>
  <si>
    <t>在命中目标以后，吸取造成伤害14%的生命值。</t>
  </si>
  <si>
    <t>每次命中获得1%额外的攻击速度，持续3秒，最多10%。</t>
  </si>
  <si>
    <t>使用：获得上古狂乱的效果，提升40%攻击速度，受到的伤害提高100%。</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</si>
  <si>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</si>
  <si>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</si>
  <si>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</si>
  <si>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</si>
  <si>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</si>
  <si>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</si>
  <si>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</si>
  <si>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</si>
  <si>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</si>
  <si>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</si>
  <si>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</si>
  <si>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</si>
  <si>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</si>
  <si>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</si>
  <si>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</si>
  <si>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</si>
  <si>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</si>
  <si>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</si>
  <si>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</si>
  <si>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</si>
  <si>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</si>
  <si>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</si>
  <si>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</si>
  <si>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</si>
  <si>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</si>
  <si>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</si>
  <si>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</si>
  <si>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</si>
  <si>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</si>
  <si>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</si>
  <si>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</si>
  <si>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</si>
  <si>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</si>
  <si>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</si>
  <si>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</si>
  <si>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</si>
  <si>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</si>
  <si>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</si>
  <si>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</si>
  <si>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</si>
  <si>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</si>
  <si>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</si>
  <si>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</si>
  <si>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</si>
  <si>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</si>
  <si>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</si>
  <si>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</si>
  <si>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</si>
  <si>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</si>
  <si>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</si>
  <si>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</si>
  <si>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</si>
  <si>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</si>
  <si>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</si>
  <si>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</si>
  <si>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</si>
  <si>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</si>
  <si>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</si>
  <si>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</si>
  <si>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</si>
  <si>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</si>
  <si>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</si>
  <si>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</si>
  <si>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</si>
  <si>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</si>
  <si>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</si>
  <si>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</si>
  <si>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</si>
  <si>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</si>
  <si>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</si>
  <si>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</si>
  <si>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</si>
  <si>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</si>
  <si>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</si>
  <si>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</si>
  <si>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</si>
  <si>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</si>
  <si>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</si>
  <si>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</si>
  <si>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</si>
  <si>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</si>
  <si>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</si>
  <si>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</si>
  <si>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</si>
  <si>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</si>
  <si>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</si>
  <si>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</si>
  <si>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</si>
  <si>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</si>
  <si>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</si>
  <si>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</si>
  <si>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</si>
  <si>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</si>
  <si>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</si>
  <si>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</si>
  <si>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</si>
  <si>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</si>
  <si>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</si>
  <si>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</si>
  <si>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</si>
  <si>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</si>
  <si>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</si>
  <si>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</si>
  <si>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</si>
  <si>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</si>
  <si>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</si>
  <si>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</si>
  <si>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</si>
  <si>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</si>
  <si>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</si>
  <si>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</si>
  <si>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</si>
  <si>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</si>
  <si>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</si>
  <si>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</si>
  <si>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</si>
  <si>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</si>
  <si>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</si>
  <si>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</si>
  <si>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</si>
  <si>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</si>
  <si>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</si>
  <si>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</si>
  <si>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</si>
  <si>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</si>
  <si>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</si>
  <si>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</si>
  <si>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</si>
  <si>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</si>
  <si>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</si>
  <si>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</si>
  <si>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</si>
  <si>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</si>
  <si>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</si>
  <si>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</si>
  <si>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</si>
  <si>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</si>
  <si>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</si>
  <si>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</si>
  <si>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</si>
  <si>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</si>
  <si>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</si>
  <si>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</si>
  <si>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</si>
  <si>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</si>
  <si>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</si>
  <si>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</si>
  <si>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</si>
  <si>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</si>
  <si>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</si>
  <si>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</si>
  <si>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</si>
  <si>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</si>
  <si>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</si>
  <si>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</si>
  <si>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</si>
  <si>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</si>
  <si>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</si>
  <si>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</si>
  <si>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</si>
  <si>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</si>
  <si>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</si>
  <si>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</si>
  <si>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</si>
  <si>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</si>
  <si>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</si>
  <si>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</si>
  <si>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</si>
  <si>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</si>
  <si>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</si>
  <si>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</si>
  <si>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</si>
  <si>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</si>
  <si>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</si>
  <si>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</si>
  <si>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</si>
  <si>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</si>
  <si>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+10智力</t>
  </si>
  <si>
    <t>+15法术强度</t>
  </si>
  <si>
    <t>+7%法术暴击</t>
  </si>
  <si>
    <t>+10力量</t>
  </si>
  <si>
    <t>+15智力</t>
  </si>
  <si>
    <t>+10%法术急速</t>
  </si>
  <si>
    <t>+14智力</t>
  </si>
  <si>
    <t>+250法力上限</t>
  </si>
  <si>
    <t>+3%法术暴击</t>
  </si>
  <si>
    <t>+7%法术急速</t>
  </si>
  <si>
    <t>+35点生命值每英雄等级</t>
  </si>
  <si>
    <t>+12智力</t>
  </si>
  <si>
    <t>+15攻击强度</t>
  </si>
  <si>
    <t>+25法术强度</t>
  </si>
  <si>
    <t>+4物理免伤</t>
  </si>
  <si>
    <t>+15力量</t>
  </si>
  <si>
    <t>+35招架值</t>
  </si>
  <si>
    <t>+3物理免伤</t>
  </si>
  <si>
    <t>+170生命值</t>
  </si>
  <si>
    <t>+28招架值</t>
  </si>
  <si>
    <t>+1物理免伤每英雄等级</t>
  </si>
  <si>
    <t>+4%躲闪</t>
  </si>
  <si>
    <t>+20力量</t>
  </si>
  <si>
    <t>+8物理免伤</t>
  </si>
  <si>
    <t>-8%受到的伤害</t>
  </si>
  <si>
    <t>-12%受到的法术伤害</t>
  </si>
  <si>
    <t>+30移动速度</t>
  </si>
  <si>
    <t>+75生命上限</t>
  </si>
  <si>
    <t>+15敏捷</t>
  </si>
  <si>
    <t>+20攻击强度</t>
  </si>
  <si>
    <t>+7%暴击几率</t>
  </si>
  <si>
    <t>+100生命值</t>
  </si>
  <si>
    <t>+30攻击强度</t>
  </si>
  <si>
    <t>+10%攻击速度</t>
  </si>
  <si>
    <t>+5%暴击几率</t>
  </si>
  <si>
    <t>+14%攻击速度</t>
  </si>
  <si>
    <t>+25攻击强度</t>
  </si>
  <si>
    <t>+3%造成的伤害</t>
  </si>
  <si>
    <t>+5攻击强度每英雄等级</t>
  </si>
  <si>
    <t>+4%暴击几率</t>
  </si>
  <si>
    <t>+50攻击强度</t>
  </si>
  <si>
    <t>+30%攻击速度</t>
  </si>
  <si>
    <t>“这把格罗姆地狱咆哮的战斧曾在无数的战场上令敌人闻风丧胆。”</t>
  </si>
  <si>
    <t>+10点所有属性</t>
  </si>
  <si>
    <t>+40攻击强度</t>
  </si>
  <si>
    <t>+20%攻击速度</t>
  </si>
  <si>
    <t>+35攻击强度</t>
  </si>
  <si>
    <t>+15%攻击速度</t>
  </si>
  <si>
    <t>+21所有属性</t>
  </si>
  <si>
    <t>+175法力上限</t>
  </si>
  <si>
    <t>+1%躲闪</t>
  </si>
  <si>
    <t>+20移动速度</t>
  </si>
  <si>
    <t>+20点攻击强度</t>
  </si>
  <si>
    <t>-5%受到的伤害</t>
  </si>
  <si>
    <t>+5%造成的伤害</t>
  </si>
  <si>
    <t>+45点移动速度</t>
  </si>
  <si>
    <t>+5%生命上限</t>
  </si>
  <si>
    <t>+5%法术暴击</t>
  </si>
  <si>
    <t>+100生命上限</t>
  </si>
  <si>
    <t>+20法术强度</t>
  </si>
  <si>
    <t>每秒回复5点法力值</t>
  </si>
  <si>
    <t>+8所有属性</t>
  </si>
  <si>
    <t>+100法力上限</t>
  </si>
  <si>
    <t>+10敏捷</t>
  </si>
  <si>
    <t>+150生命上限</t>
  </si>
  <si>
    <t>+125生命上限</t>
  </si>
  <si>
    <t>+7%格挡几率</t>
  </si>
  <si>
    <t>+5物理免伤</t>
  </si>
  <si>
    <t>+8%暴击几率</t>
  </si>
  <si>
    <t>+5%冰冷法术伤害</t>
  </si>
  <si>
    <t>-7%受到的伤害</t>
  </si>
  <si>
    <t>+10所有属性</t>
  </si>
  <si>
    <t>+10%招架几率</t>
  </si>
  <si>
    <t>+10移动速度每英雄等级</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</si>
  <si>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</si>
  <si>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</si>
  <si>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</si>
  <si>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</si>
  <si>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</si>
  <si>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</si>
  <si>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</si>
  <si>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</si>
  <si>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</si>
  <si>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</si>
  <si>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</si>
  <si>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</si>
  <si>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</si>
  <si>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</si>
  <si>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</si>
  <si>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</si>
  <si>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</si>
  <si>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</si>
  <si>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</si>
  <si>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</si>
  <si>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</si>
  <si>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</si>
  <si>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</si>
  <si>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</si>
  <si>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</si>
  <si>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</si>
  <si>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</si>
  <si>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</si>
  <si>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</si>
  <si>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</si>
  <si>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</si>
  <si>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</si>
  <si>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</si>
  <si>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</si>
  <si>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</si>
  <si>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</si>
  <si>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</si>
  <si>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</si>
  <si>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</si>
  <si>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</si>
  <si>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</si>
  <si>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</si>
  <si>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</si>
  <si>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</si>
  <si>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</si>
  <si>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</si>
  <si>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</si>
  <si>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</si>
  <si>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</si>
  <si>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</si>
  <si>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</si>
  <si>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</si>
  <si>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The 21 Ring</t>
  </si>
  <si>
    <t>+2%攻击速度</t>
  </si>
  <si>
    <t>+25点法术强度</t>
  </si>
  <si>
    <t>使用：命令怒吼，提升附近900码范围内所有友军的最大生命值300点，持续75秒。</t>
  </si>
  <si>
    <t>每秒回复15点生命值</t>
  </si>
  <si>
    <t>+45攻击强度</t>
  </si>
  <si>
    <t>使你的辛多雷之盾能提供35%额外的伤害减免，并且在开启时可以强迫附近所有敌人攻击你。</t>
  </si>
  <si>
    <t>+4力量</t>
  </si>
  <si>
    <t>+4敏捷</t>
  </si>
  <si>
    <t>+1物理免伤</t>
  </si>
  <si>
    <t>+2物理免伤</t>
  </si>
  <si>
    <t>+4智力</t>
  </si>
  <si>
    <t>移除护盾术造成的虚弱效果。</t>
  </si>
  <si>
    <t>医疗术使目标受到治疗增幅的效果翻倍。</t>
  </si>
  <si>
    <t>每秒回复4点法力值</t>
  </si>
  <si>
    <t>+3所有属性</t>
  </si>
  <si>
    <t>+3%暴击几率</t>
  </si>
  <si>
    <t>对生命值少于30%的目标造成15%额外伤害。</t>
  </si>
  <si>
    <t>使你的风暴打击有25%额外概率冷却大地震击。</t>
  </si>
  <si>
    <t>+5所有属性</t>
  </si>
  <si>
    <t>+3%躲闪</t>
  </si>
  <si>
    <t>+5力量每英雄等级</t>
  </si>
  <si>
    <t>从受到的伤害中获取5%的法力值。</t>
  </si>
  <si>
    <t>神圣月光之剑</t>
  </si>
  <si>
    <t>命中：吸取造成伤害10%的法力值。</t>
  </si>
  <si>
    <t>命中：有一定几率消耗5%的法力值，向前方释放一道月光波，对直线上的敌人造成法术伤害伤害。</t>
  </si>
  <si>
    <t>命中：造成法术伤害。</t>
  </si>
  <si>
    <t>每第三次普通攻击：消耗5%的法力值，引爆月光，对范围内的目标造成法术伤害。</t>
  </si>
  <si>
    <t>+200生命上限</t>
  </si>
  <si>
    <t>“圣剑路德维希”</t>
  </si>
  <si>
    <t>icon</t>
    <phoneticPr fontId="14"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</si>
  <si>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</si>
  <si>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</si>
  <si>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</si>
  <si>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</si>
  <si>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</si>
  <si>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</si>
  <si>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</si>
  <si>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</si>
  <si>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</si>
  <si>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</si>
  <si>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</si>
  <si>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</si>
  <si>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</si>
  <si>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</si>
  <si>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</si>
  <si>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</si>
  <si>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</si>
  <si>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</si>
  <si>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</si>
  <si>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</si>
  <si>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</si>
  <si>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</si>
  <si>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</si>
  <si>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</si>
  <si>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</si>
  <si>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</si>
  <si>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</si>
  <si>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</si>
  <si>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</si>
  <si>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</si>
  <si>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</si>
  <si>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+1%躲闪几率</t>
  </si>
  <si>
    <t>贵族圆环</t>
  </si>
  <si>
    <t>减速之靴</t>
  </si>
  <si>
    <t>这双靴子除了很重以外，没有什么特点了。</t>
  </si>
  <si>
    <t>英勇面具</t>
  </si>
  <si>
    <t>勇气勋章</t>
  </si>
  <si>
    <t>灵巧头巾</t>
  </si>
  <si>
    <t>攻击之爪</t>
  </si>
  <si>
    <t>+5攻击强度</t>
  </si>
  <si>
    <t>加速手套</t>
  </si>
  <si>
    <t>+5%攻击速度</t>
  </si>
  <si>
    <t>刺杀剑</t>
  </si>
  <si>
    <t>生命护符</t>
  </si>
  <si>
    <t>+80生命值</t>
  </si>
  <si>
    <t>守护指环</t>
  </si>
  <si>
    <t>闪避护符</t>
  </si>
  <si>
    <t>能量垂饰</t>
  </si>
  <si>
    <t>+100法力值</t>
  </si>
  <si>
    <t>艺人面罩</t>
  </si>
  <si>
    <t>巫医法杖</t>
  </si>
  <si>
    <t>医疗石</t>
  </si>
  <si>
    <t>每秒回复5点生命值</t>
  </si>
  <si>
    <t>使用:回复300-600点生命值</t>
  </si>
  <si>
    <t>魔法石</t>
  </si>
  <si>
    <t>使用:回复200-400点法力值</t>
  </si>
  <si>
    <t>罗密欧的过期毒药</t>
  </si>
  <si>
    <t>命中：有25%的几率对目标造成80-115点法术伤害。</t>
  </si>
  <si>
    <t>还能用。</t>
  </si>
  <si>
    <t>莫罗斯的幸运齿轮</t>
  </si>
  <si>
    <t>+3%躲闪几率</t>
  </si>
  <si>
    <t>使用：提高30%的躲闪几率，持续10秒。</t>
  </si>
  <si>
    <t>从莫罗斯的幸运怀表上面卸下来的。</t>
  </si>
  <si>
    <t>神秘腰带</t>
  </si>
  <si>
    <t>-10%受到的法术伤害</t>
  </si>
  <si>
    <t>无光的新月徽记</t>
  </si>
  <si>
    <t>+7智力</t>
  </si>
  <si>
    <t>使用：提高15点智力，持续20秒。</t>
  </si>
  <si>
    <t>依稀可以看出这个徽记曾经是漂亮的银色。</t>
  </si>
  <si>
    <t>特效等级</t>
  </si>
  <si>
    <t>sufix</t>
  </si>
  <si>
    <t>prefix</t>
  </si>
  <si>
    <t>厚重的</t>
  </si>
  <si>
    <t>Heavy</t>
  </si>
  <si>
    <t>4-6</t>
  </si>
  <si>
    <t>强壮的</t>
  </si>
  <si>
    <t>Strong</t>
  </si>
  <si>
    <t>7-10</t>
  </si>
  <si>
    <t>锋利的</t>
  </si>
  <si>
    <t>敏捷的</t>
  </si>
  <si>
    <t>Agile</t>
  </si>
  <si>
    <t>闪耀的</t>
  </si>
  <si>
    <t>Shimering</t>
  </si>
  <si>
    <t>智慧的</t>
  </si>
  <si>
    <t>Intelligent</t>
  </si>
  <si>
    <t>Sharp</t>
  </si>
  <si>
    <t>耐久的</t>
  </si>
  <si>
    <t>生命的</t>
  </si>
  <si>
    <t>Vibrant</t>
  </si>
  <si>
    <t>Endurable</t>
  </si>
  <si>
    <t>60-90</t>
  </si>
  <si>
    <t>熟练的</t>
  </si>
  <si>
    <t>Skilled</t>
  </si>
  <si>
    <t>7-11</t>
  </si>
  <si>
    <t>附魔的</t>
  </si>
  <si>
    <t>Enchanted</t>
  </si>
  <si>
    <t>法术的</t>
  </si>
  <si>
    <t>Sorcerous</t>
  </si>
  <si>
    <t>8-12</t>
  </si>
  <si>
    <t>91-150</t>
  </si>
  <si>
    <t>12-18</t>
  </si>
  <si>
    <t>13-20</t>
  </si>
  <si>
    <t>神秘的</t>
  </si>
  <si>
    <t>Mysterious</t>
  </si>
  <si>
    <t>Cruel</t>
  </si>
  <si>
    <t>永恒的</t>
  </si>
  <si>
    <t>Eternal</t>
  </si>
  <si>
    <t>2-3</t>
  </si>
  <si>
    <t>4-5</t>
  </si>
  <si>
    <t>1-2</t>
  </si>
  <si>
    <t>1-3</t>
  </si>
  <si>
    <t>1</t>
  </si>
  <si>
    <t>5-7</t>
  </si>
  <si>
    <t>护甲</t>
  </si>
  <si>
    <t>稳固的</t>
  </si>
  <si>
    <t>Steady</t>
  </si>
  <si>
    <t>坚硬的</t>
  </si>
  <si>
    <t>Tough</t>
  </si>
  <si>
    <t>3-5</t>
  </si>
  <si>
    <t>6-8</t>
  </si>
  <si>
    <t>of Wind Serpent</t>
  </si>
  <si>
    <t>风蛇之</t>
  </si>
  <si>
    <t>of Snake</t>
  </si>
  <si>
    <t>灵蛇之</t>
  </si>
  <si>
    <t>5-10</t>
  </si>
  <si>
    <t>4-8</t>
  </si>
  <si>
    <t>6-12</t>
  </si>
  <si>
    <t>活力之</t>
  </si>
  <si>
    <t>of Vitality</t>
  </si>
  <si>
    <t>90-180</t>
  </si>
  <si>
    <t>8-11</t>
  </si>
  <si>
    <t>游侠之</t>
  </si>
  <si>
    <t>2-4</t>
  </si>
  <si>
    <t>70-100</t>
  </si>
  <si>
    <t>精通之</t>
  </si>
  <si>
    <t>of Mastery</t>
  </si>
  <si>
    <t>模糊之</t>
  </si>
  <si>
    <t>of Blur</t>
  </si>
  <si>
    <t>堡垒之</t>
  </si>
  <si>
    <t>of Stronghold</t>
  </si>
  <si>
    <t>深海之</t>
  </si>
  <si>
    <t>of Deep Sea</t>
  </si>
  <si>
    <t>3-6</t>
  </si>
  <si>
    <t>虚空之</t>
  </si>
  <si>
    <t>of Void</t>
  </si>
  <si>
    <t>12-24</t>
  </si>
  <si>
    <t>of Quickness</t>
  </si>
  <si>
    <t>致命之</t>
  </si>
  <si>
    <t>of Lethality</t>
  </si>
  <si>
    <t>快速之</t>
  </si>
  <si>
    <t>残忍的</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</si>
  <si>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</si>
  <si>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</si>
  <si>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</si>
  <si>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</si>
  <si>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</si>
  <si>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</si>
  <si>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</si>
  <si>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</si>
  <si>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</si>
  <si>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</si>
  <si>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</si>
  <si>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</si>
  <si>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</si>
  <si>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</si>
  <si>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</si>
  <si>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</si>
  <si>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</si>
  <si>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</si>
  <si>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</si>
  <si>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</si>
  <si>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</si>
  <si>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</si>
  <si>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</si>
  <si>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</si>
  <si>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</si>
  <si>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</si>
  <si>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</si>
  <si>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</si>
  <si>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</si>
  <si>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</si>
  <si>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</si>
  <si>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</si>
  <si>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</si>
  <si>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</si>
  <si>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</si>
  <si>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Breath of the Dying</t>
  </si>
  <si>
    <t>+10 All stats</t>
  </si>
  <si>
    <t>+40 Attack power</t>
  </si>
  <si>
    <t>+20% Attack speed</t>
  </si>
  <si>
    <t>Hit Target: 10% life and mana steal</t>
  </si>
  <si>
    <t>Lore</t>
  </si>
  <si>
    <t>The master piece by Griswold the Undead. On the unglazed handle six obscure runes glow: Vex-Hel-El-Eld-Zod-Eth.</t>
  </si>
  <si>
    <t>Enigma</t>
  </si>
  <si>
    <t>+5% Damage and healing dealt</t>
  </si>
  <si>
    <t>-5% Damage taken</t>
  </si>
  <si>
    <t>+45 Movement speed</t>
  </si>
  <si>
    <t>+5 Strength per hero level</t>
  </si>
  <si>
    <t>Hit Target: 15% chance to cast poison nova, dealing magic damage to all enemies within 600 yards</t>
  </si>
  <si>
    <t>On Hit: Replenishes mana from 5% of the damage taken</t>
  </si>
  <si>
    <t>Use: Teleports to an ally</t>
  </si>
  <si>
    <t>Not recorded.</t>
  </si>
  <si>
    <t>Call To Arms</t>
  </si>
  <si>
    <t>+20 Attack power</t>
  </si>
  <si>
    <t>+25 Spell power</t>
  </si>
  <si>
    <t>When Zakarum was exiled, he led a mercenary team. It is this very battle axe and his Holy Shield that lead his brothers through the bodies of countless enemies.</t>
  </si>
  <si>
    <t>Woestave</t>
  </si>
  <si>
    <t>+45 Attack power</t>
  </si>
  <si>
    <t>+35 Attack power</t>
  </si>
  <si>
    <t>"Cause of the great plague."</t>
  </si>
  <si>
    <t>Windforce</t>
  </si>
  <si>
    <t>+15 Agility</t>
  </si>
  <si>
    <t>+15% Attack speed</t>
  </si>
  <si>
    <t>+5% Attack critical hit chance</t>
  </si>
  <si>
    <t>"The wind carries life for those enveloped in its flow, and death for those arrayed against it."</t>
  </si>
  <si>
    <t>Derangement of C'Thun</t>
  </si>
  <si>
    <t>+20 Strength</t>
  </si>
  <si>
    <t>+5 Attack power per hero level</t>
  </si>
  <si>
    <t>+4% Attack critical hit chance</t>
  </si>
  <si>
    <t>Use: Gain Derangement of the Old One, increase attack speed by 40%, take 100% extra damage</t>
  </si>
  <si>
    <t>Although the main body of the Old God C'Thun was eliminated, the faceless one formed by his degraded tentacles was everywhere in the abyss of the earth.</t>
  </si>
  <si>
    <t>Might of the Angel of Justice</t>
  </si>
  <si>
    <t>+8 Armor</t>
  </si>
  <si>
    <t>-8% Damage taken</t>
  </si>
  <si>
    <t>+30 Movement speed</t>
  </si>
  <si>
    <t>On Healed: Charges holy power</t>
  </si>
  <si>
    <t>Use: Release all holy power to heal yourself</t>
  </si>
  <si>
    <t>The armor used by Tyrael, the Archangel of Wisdom when he was once the incarnation of justice.</t>
  </si>
  <si>
    <t>Infinity</t>
  </si>
  <si>
    <t>+15 Intelligence</t>
  </si>
  <si>
    <t>+15 Spell power</t>
  </si>
  <si>
    <t>Grant Aura of Conviction: All enemies within 600 yards take 5% more magical damage</t>
  </si>
  <si>
    <t>Infinity is the essence of the Will o'wisps. The energy of lightning contained in it excites the prophet Drexel. It is said that the soul of the bleak soul with a green cloud-like halo is a nightmare for all adventurers.</t>
  </si>
  <si>
    <t>Insight</t>
  </si>
  <si>
    <t>+12 Intelligence</t>
  </si>
  <si>
    <t>+15 Attack power</t>
  </si>
  <si>
    <t>+10% Spell haste</t>
  </si>
  <si>
    <t>Converts your normal attacks into magical damage</t>
  </si>
  <si>
    <t>Grant Aura of Meditation: All allies within 600 yards replenish 6 mana per second</t>
  </si>
  <si>
    <t>In the fight against the forest trolls, the Blood Elf Rangers used this enchanted orb from Kirin Tor and eventually succeeded in establishing Quel'Thalas.</t>
  </si>
  <si>
    <t>+14 Intelligence</t>
  </si>
  <si>
    <t>+250 Max mana points</t>
  </si>
  <si>
    <t>+3% Spell critical hit chance</t>
  </si>
  <si>
    <t>+7% Spell Haste</t>
  </si>
  <si>
    <t>On Dealing Magical Damage: 10% chance to cast Chain Lightning to target, dealing 150 magical damage</t>
  </si>
  <si>
    <t>On Dealing Magical Damage: 10% chance to poison target, dealing magical damage over time. The damage is affected by the charges of Voodoo Vials</t>
  </si>
  <si>
    <t>Voodoo Vials</t>
  </si>
  <si>
    <t>Use: Throw a Voodoo Vial towards target area and release the evil creatures inside to deal magical damage to all enemies within range over time</t>
  </si>
  <si>
    <t>Zanzil "makes" friends by these small vials.</t>
  </si>
  <si>
    <t>Holy Moonlight Sword</t>
  </si>
  <si>
    <t>+15 Strength</t>
  </si>
  <si>
    <t>Every Third Attack: Consumes 5% of max mana, detonates the moonlight, deals magical damage to all enemies within 300 yards</t>
  </si>
  <si>
    <t>"Ludwig the Holy Blade"</t>
  </si>
  <si>
    <t>巨神之刃</t>
  </si>
  <si>
    <t>Colossus Blade</t>
  </si>
  <si>
    <t>Circlet of Nobility</t>
  </si>
  <si>
    <t>+3 All stats</t>
  </si>
  <si>
    <t>Heavy Boots</t>
  </si>
  <si>
    <t>+1 Armor</t>
  </si>
  <si>
    <t>It's just heavy, nothing special.</t>
  </si>
  <si>
    <t>Helm of Valor</t>
  </si>
  <si>
    <t>+4 Strength</t>
  </si>
  <si>
    <t>+4 Agility</t>
  </si>
  <si>
    <t>Medalion of Courage</t>
  </si>
  <si>
    <t>+4 Intelligence</t>
  </si>
  <si>
    <t>Hood of Cunning</t>
  </si>
  <si>
    <t>Claws of Attack</t>
  </si>
  <si>
    <t>+5 Attack power</t>
  </si>
  <si>
    <t>Gloves of Haste</t>
  </si>
  <si>
    <t>+5% Attack speed</t>
  </si>
  <si>
    <t>Sword of Assassination</t>
  </si>
  <si>
    <t>+3% Attack critical hit chance</t>
  </si>
  <si>
    <t>Vitality Periapt</t>
  </si>
  <si>
    <t>+5% Max hit points</t>
  </si>
  <si>
    <t>Lost 40 hit points per second during combat</t>
  </si>
  <si>
    <t>Replenishes 15 hit points per second</t>
  </si>
  <si>
    <t>Use: Battle Orders, increases 300 max hit points to all allies within 900 yards, lasts for 75 seconds</t>
  </si>
  <si>
    <t>+200 Max hit points</t>
  </si>
  <si>
    <t>+35 Max hit points per hero level</t>
  </si>
  <si>
    <t>+80 Max hit points</t>
  </si>
  <si>
    <t>Ring of Protection</t>
  </si>
  <si>
    <t>+2 Armor</t>
  </si>
  <si>
    <t>Talisman of Evasion</t>
  </si>
  <si>
    <t>+1% Dodge chance</t>
  </si>
  <si>
    <t>Mana Periapt</t>
  </si>
  <si>
    <t>+100 Max mana points</t>
  </si>
  <si>
    <t>Sobi Mask</t>
  </si>
  <si>
    <t>Replenishes 4 mana points per second</t>
  </si>
  <si>
    <t>Staff of the Witch Doctor</t>
  </si>
  <si>
    <t>+10 Spell power</t>
  </si>
  <si>
    <t>Health Stone</t>
  </si>
  <si>
    <t>Replenishes 5 hit points per second</t>
  </si>
  <si>
    <t>Use: Replenishes 300 - 600 hit points</t>
  </si>
  <si>
    <t>Mana Stone</t>
  </si>
  <si>
    <t>Use: Replenishes 200 - 400 mana points</t>
  </si>
  <si>
    <t>Romulo's Expired Poison</t>
  </si>
  <si>
    <t>Still usable.</t>
  </si>
  <si>
    <t>Moroes' Lucky Gear</t>
  </si>
  <si>
    <t>+3% Dodge chance</t>
  </si>
  <si>
    <t>Use: Increase dodge chance by 30%, lasts for 10 seconds</t>
  </si>
  <si>
    <t>Disassembled from Moroes' Lucky Pocket Watch</t>
  </si>
  <si>
    <t>Runed Belt</t>
  </si>
  <si>
    <t>所谓护腕，是对食人魔而言。</t>
  </si>
  <si>
    <t>+75 Max hit points</t>
  </si>
  <si>
    <t>-10% Magical damage taken</t>
  </si>
  <si>
    <t>-12% Magical damage taken</t>
  </si>
  <si>
    <t>Was a bracelet of an ogre.</t>
  </si>
  <si>
    <t>Unglazed Icon of the Crescent</t>
  </si>
  <si>
    <t>+7 Intelligence</t>
  </si>
  <si>
    <t>Use: Increase intelligence by 15, lasts for 20 seconds</t>
  </si>
  <si>
    <t>It can be seen vaguely that this icon was once beautiful silver.</t>
  </si>
  <si>
    <t>EOF</t>
  </si>
  <si>
    <t>+50 Attack power</t>
  </si>
  <si>
    <t>+30% Attack speed</t>
  </si>
  <si>
    <t>A rough sword, the workmanship is not very good. But it's the most popular production weapons in Harrogath.</t>
  </si>
  <si>
    <t>+21 All stats</t>
  </si>
  <si>
    <t>All the former 20 are trash!</t>
  </si>
  <si>
    <t>+125 Max hit points</t>
  </si>
  <si>
    <t>+175 Max mana points</t>
  </si>
  <si>
    <t>+25 Movement speed</t>
  </si>
  <si>
    <t>Use: Increase movement speed by 300, lasts for 10 seconds. Failure possible.</t>
  </si>
  <si>
    <t>Limited edition, but it's a goblin product after all. So use it with caution.</t>
  </si>
  <si>
    <t>Warsong Battle Drums</t>
  </si>
  <si>
    <t>+2% Attack speed</t>
  </si>
  <si>
    <t>Grant Aura of Warsong: All allies deal 2% more damage and healing, take 10% more healing within 600 yards</t>
  </si>
  <si>
    <t>High morale.</t>
  </si>
  <si>
    <t>Troll Bane</t>
  </si>
  <si>
    <t>+10 Strength</t>
  </si>
  <si>
    <t>+10 Attack power</t>
  </si>
  <si>
    <t>"You know this blade..."</t>
  </si>
  <si>
    <t>Gorehowl</t>
  </si>
  <si>
    <t>+7% Attack critical hit chance</t>
  </si>
  <si>
    <t>"The axe of Grom Hellscream has sown terror across hundreds of battlefields."</t>
  </si>
  <si>
    <t>+100 Max hit points</t>
  </si>
  <si>
    <t>+30 Attack power</t>
  </si>
  <si>
    <t>+10% Attack speed</t>
  </si>
  <si>
    <t>+14% Attack speed</t>
  </si>
  <si>
    <t>"The blood letter"</t>
  </si>
  <si>
    <t>+25 Attack power</t>
  </si>
  <si>
    <t>+3% Damage and healing dealt</t>
  </si>
  <si>
    <t>Much better than Dragonspine Trophy.</t>
  </si>
  <si>
    <t>Armor of the Damned</t>
  </si>
  <si>
    <t>+4 Armor</t>
  </si>
  <si>
    <t>+5 Armor</t>
  </si>
  <si>
    <t>+35 Block points</t>
  </si>
  <si>
    <t>Lost 5 hit points per second during combat</t>
  </si>
  <si>
    <t>Hit Target: Deals 30 magic damage, scaled up by your attack power and spell power</t>
  </si>
  <si>
    <t>Hit Target: 7% life and mana steal</t>
  </si>
  <si>
    <t>Hit Target: Decrease target movement speed by 100</t>
  </si>
  <si>
    <t>Hit Target: Decrease target attack speed by 30%</t>
  </si>
  <si>
    <t>Hit Target: Decrease target armor by 3</t>
  </si>
  <si>
    <t>Hit Target: Decrease target attack rate by 10%</t>
  </si>
  <si>
    <t>Hit Target: Decrease target damage dealt by 4%</t>
  </si>
  <si>
    <t>Hit Target: Decrease target healing taken by 35%</t>
  </si>
  <si>
    <t>Hit Target: 30% chance to knock back target</t>
  </si>
  <si>
    <t>Hit Target: 14% life steal</t>
  </si>
  <si>
    <t>Hit Target: Increase attack speed by 1% per hit, stacks up to 10%, lasts for 3 seconds</t>
  </si>
  <si>
    <t>Hit Target: Deals 45 magical damage</t>
  </si>
  <si>
    <t>Hit Target: Deals 50 magical damage</t>
  </si>
  <si>
    <t>Hit Target: 10% mana steal</t>
  </si>
  <si>
    <t>Hit Target: 10% chance to consume 5% of max mana, release a moonlight wave, deals magical damage to all enemies in front of you</t>
  </si>
  <si>
    <t>Hit Target: 25% chance to deal 80 - 115 magical damage to target</t>
  </si>
  <si>
    <t>Hit Target: Target takes 2% more damage, lasts for 3 seconds</t>
  </si>
  <si>
    <t>Hit Target: 8% life steal</t>
  </si>
  <si>
    <t>Hit Target: 10% chance to increase 30% attack speed, lasts for 5 seconds</t>
  </si>
  <si>
    <t>On Hit: Decreases attacker's attack power by 30</t>
  </si>
  <si>
    <t>"Slow, Curse, Weakness, Misfortune"</t>
  </si>
  <si>
    <t>Bulwark of the Amani Empire</t>
  </si>
  <si>
    <t>+3 Armor</t>
  </si>
  <si>
    <t>+170 Max hit points</t>
  </si>
  <si>
    <t>+28 Block points</t>
  </si>
  <si>
    <t>It still seems to linger with the resentment of the first guardian warrior of the Brothers’ Guild.</t>
  </si>
  <si>
    <t>+1 Armor per hero level</t>
  </si>
  <si>
    <t>+4% Dodge chance</t>
  </si>
  <si>
    <t>Healing taken increased by 10%</t>
  </si>
  <si>
    <t>The signet originally belongs to a demon lord and was later stolen by an orc thief.</t>
  </si>
  <si>
    <t>Aran's Soothing Emerald</t>
  </si>
  <si>
    <t>+8 Intelligence</t>
  </si>
  <si>
    <t>+10 Intelligence</t>
  </si>
  <si>
    <t>+5% Spell haste</t>
  </si>
  <si>
    <t>Replenishes 3 mana points per second</t>
  </si>
  <si>
    <t>Aran had made all kinds of precious stones into soothing gems. It should be a sapphire that adventurers are most familiar with.</t>
  </si>
  <si>
    <t>Pure Arcane</t>
  </si>
  <si>
    <t>On Spell Critical Hit: Charges with arcane power. All arcane power will be released automatically after 3 stacks, dealing 300 magical damage to target</t>
  </si>
  <si>
    <t>Megatorque despises this, he thinks "One simple capacitor can achieve this effect".</t>
  </si>
  <si>
    <t>+17 Intelligence</t>
  </si>
  <si>
    <t>+17 Spell power</t>
  </si>
  <si>
    <t>Use: Increase spell power by 35, lasts for 15 seconds</t>
  </si>
  <si>
    <t>The Hex Lord is now strong enough to no longer need such trinkets.</t>
  </si>
  <si>
    <t>+7% Spell critical hit chance</t>
  </si>
  <si>
    <t>The dark flame at the end of the staff is so pure and contains tremendous energy.</t>
  </si>
  <si>
    <t>Replenishes 6 mana points per second</t>
  </si>
  <si>
    <t>On Dealing Magical Damage: 1% chance to replenish 100 mana points</t>
  </si>
  <si>
    <t>The ring was crafted to fight against the Lord of Fire's legion. But now its ability of fire resistance has lost.</t>
  </si>
  <si>
    <t>Orb of the Sin'dorei</t>
  </si>
  <si>
    <t>+7% Block chance</t>
  </si>
  <si>
    <t>Shield of Sin'dorei provides 35% extra damage reduction, and forces all nearby enemies to attack you</t>
  </si>
  <si>
    <t>The glory sign of remarkable bloodelf defenders.</t>
  </si>
  <si>
    <t>Reforged Badge of Tenacity</t>
  </si>
  <si>
    <t>+10 Agility</t>
  </si>
  <si>
    <t>+150 Max hit points</t>
  </si>
  <si>
    <t>Survival Instincts provides 15% extra healing and max hit points</t>
  </si>
  <si>
    <t>Reduce cooldown of Survival Instincts by 20 seconds</t>
  </si>
  <si>
    <t>Originally forged by a demon overseer named Shartuul.</t>
  </si>
  <si>
    <t>Light's Justice</t>
  </si>
  <si>
    <t>+20 Spell power</t>
  </si>
  <si>
    <t>+5% Spell critical hit chance</t>
  </si>
  <si>
    <t>Holy Shock always deals critical healing</t>
  </si>
  <si>
    <t>Flash Light dispels one debuff from target</t>
  </si>
  <si>
    <t>Open your heart to the light.</t>
  </si>
  <si>
    <t>Benediction</t>
  </si>
  <si>
    <t>Replenishes 5 mana points per second</t>
  </si>
  <si>
    <t>Prayer of healing increases armor of target by 10</t>
  </si>
  <si>
    <t>Removes weakness effect of Shield</t>
  </si>
  <si>
    <t>Behind the light, it's shadow.</t>
  </si>
  <si>
    <t>Horn of Cenarius</t>
  </si>
  <si>
    <t>+8 All stats</t>
  </si>
  <si>
    <t>Reduce cooldown of Instant Regrowth by 10 seconds</t>
  </si>
  <si>
    <t>This Night Elf artifact is said to be able to summon the souls of all night elves.</t>
  </si>
  <si>
    <t>Banner of the Horde</t>
  </si>
  <si>
    <t>Regenerates 100% more valor points</t>
  </si>
  <si>
    <t>With the tribal glory, the head of the enemies were left behind.</t>
  </si>
  <si>
    <t>Kelen's Dagger of Assassination</t>
  </si>
  <si>
    <t>One-shot target when it's hit points are less than yours</t>
  </si>
  <si>
    <t>Deals 15% extra damage to target below 30% max hit points</t>
  </si>
  <si>
    <t>Sinister Strike has a 15% chance to palsy target, reduce spell haste by 20% and gain an extra combo point</t>
  </si>
  <si>
    <t>Kelen is not just a master escaper.</t>
  </si>
  <si>
    <t>Rhokdelar</t>
  </si>
  <si>
    <t>+8% Attack critical hit chance</t>
  </si>
  <si>
    <t>Increase your Dark Arrow by one</t>
  </si>
  <si>
    <t>Longbow of the Ancient Keepers</t>
  </si>
  <si>
    <t>Rage Winterchill's Phylactery</t>
  </si>
  <si>
    <t>+5% Ice spell damage</t>
  </si>
  <si>
    <t>For some people, the value of his phylactery is greater than the Chronicle of Dark Secrets.</t>
  </si>
  <si>
    <t>3% chance to cast an instant Frost Bolt to targets damaged by Blizzard</t>
  </si>
  <si>
    <t>Anathema</t>
  </si>
  <si>
    <t>Marrow Squeeze extends the Pain on target by 3 seconds</t>
  </si>
  <si>
    <t>Before the shadows, it's light.</t>
  </si>
  <si>
    <t>Rare Shimmer Weed</t>
  </si>
  <si>
    <t>+5 All stats</t>
  </si>
  <si>
    <t>Storm Lash now has 25% chance to cooldown Earth Shock</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</si>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</sst>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0"/>
      <color rgb="FF000000"/>
      <name val="Arial"/>
    </font>
    <font>
      <sz val="10"/>
      <color rgb="FF000000"/>
      <name val="微软雅黑"/>
      <family val="2"/>
      <charset val="134"/>
    </font>
    <font>
      <sz val="10"/>
      <color rgb="FFB45F06"/>
      <name val="微软雅黑"/>
      <family val="2"/>
      <charset val="134"/>
    </font>
    <font>
      <sz val="10"/>
      <color rgb="FF38761D"/>
      <name val="微软雅黑"/>
      <family val="2"/>
      <charset val="134"/>
    </font>
    <font>
      <sz val="10"/>
      <name val="微软雅黑"/>
      <family val="2"/>
      <charset val="134"/>
    </font>
    <font>
      <sz val="10"/>
      <color rgb="FF6AA84F"/>
      <name val="微软雅黑"/>
      <family val="2"/>
      <charset val="134"/>
    </font>
    <font>
      <b/>
      <sz val="10"/>
      <color rgb="FF000000"/>
      <name val="微软雅黑"/>
      <family val="2"/>
      <charset val="134"/>
    </font>
    <font>
      <sz val="10"/>
      <color rgb="FF7F6000"/>
      <name val="微软雅黑"/>
      <family val="2"/>
      <charset val="134"/>
    </font>
    <font>
      <sz val="10"/>
      <color rgb="FFA61C00"/>
      <name val="微软雅黑"/>
      <family val="2"/>
      <charset val="134"/>
    </font>
    <font>
      <sz val="10"/>
      <color rgb="FFDD7E6B"/>
      <name val="微软雅黑"/>
      <family val="2"/>
      <charset val="134"/>
    </font>
    <font>
      <sz val="10"/>
      <color rgb="FFBF9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1"/>
      <color rgb="FF000000"/>
      <name val="Calibri"/>
      <family val="2"/>
      <scheme val="minor"/>
    </font>
    <font>
      <b/>
      <sz val="11"/>
      <color rgb="FF000000"/>
      <name val="Calibri"/>
      <family val="2"/>
      <scheme val="minor"/>
    </font>
    <font>
      <sz val="10.5"/>
      <color rgb="FFFF8C00"/>
      <name val="Calibri"/>
      <family val="2"/>
      <scheme val="minor"/>
    </font>
    <font>
      <sz val="10.5"/>
      <color rgb="FF000000"/>
      <name val="Calibri"/>
      <family val="2"/>
      <scheme val="minor"/>
    </font>
    <font>
      <sz val="10.5"/>
      <color theme="0"/>
      <name val="Calibri"/>
      <family val="2"/>
      <scheme val="minor"/>
    </font>
    <font>
      <sz val="10.5"/>
      <color rgb="FF33FF33"/>
      <name val="Calibri"/>
      <family val="2"/>
      <scheme val="minor"/>
    </font>
    <font>
      <sz val="10.5"/>
      <color rgb="FF6AA84F"/>
      <name val="Calibri"/>
      <family val="2"/>
      <scheme val="minor"/>
    </font>
    <font>
      <sz val="10.5"/>
      <color rgb="FFFFCC00"/>
      <name val="Calibri"/>
      <family val="2"/>
      <scheme val="minor"/>
    </font>
    <font>
      <sz val="10.5"/>
      <color rgb="FFFFDEAD"/>
      <name val="Calibri"/>
      <family val="2"/>
      <scheme val="minor"/>
    </font>
    <font>
      <sz val="10.5"/>
      <name val="Calibri"/>
      <family val="2"/>
      <scheme val="minor"/>
    </font>
    <font>
      <sz val="10.5"/>
      <color rgb="FF666666"/>
      <name val="Calibri"/>
      <family val="2"/>
      <scheme val="minor"/>
    </font>
    <font>
      <sz val="10.5"/>
      <color rgb="FF38761D"/>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
      <sz val="10.5"/>
      <color rgb="FF9900FF"/>
      <name val="Calibri"/>
      <family val="2"/>
      <scheme val="minor"/>
    </font>
    <font>
      <sz val="10.5"/>
      <color rgb="FFFF9900"/>
      <name val="Calibri"/>
      <family val="2"/>
      <scheme val="minor"/>
    </font>
    <font>
      <sz val="10.5"/>
      <color rgb="FFB45F06"/>
      <name val="Calibri"/>
      <family val="2"/>
      <scheme val="minor"/>
    </font>
    <font>
      <b/>
      <sz val="10.5"/>
      <color rgb="FF0B5394"/>
      <name val="Calibri"/>
      <family val="2"/>
      <scheme val="minor"/>
    </font>
  </fonts>
  <fills count="10">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2" tint="-9.9978637043366805E-2"/>
        <bgColor indexed="64"/>
      </patternFill>
    </fill>
  </fills>
  <borders count="1">
    <border>
      <left/>
      <right/>
      <top/>
      <bottom/>
      <diagonal/>
    </border>
  </borders>
  <cellStyleXfs count="2">
    <xf numFmtId="0" fontId="0" fillId="0" borderId="0"/>
    <xf numFmtId="0" fontId="11" fillId="4" borderId="0" applyNumberFormat="0" applyBorder="0" applyAlignment="0" applyProtection="0"/>
  </cellStyleXfs>
  <cellXfs count="88">
    <xf numFmtId="0" fontId="0" fillId="0" borderId="0" xfId="0" applyFont="1" applyAlignment="1">
      <alignment wrapText="1"/>
    </xf>
    <xf numFmtId="49" fontId="1" fillId="0" borderId="0" xfId="0" applyNumberFormat="1" applyFont="1" applyAlignment="1"/>
    <xf numFmtId="49" fontId="5" fillId="0" borderId="0" xfId="0" applyNumberFormat="1" applyFont="1" applyAlignment="1"/>
    <xf numFmtId="49" fontId="2" fillId="0" borderId="0" xfId="0" applyNumberFormat="1" applyFont="1" applyAlignment="1"/>
    <xf numFmtId="49" fontId="4" fillId="0" borderId="0" xfId="0" applyNumberFormat="1" applyFont="1" applyAlignment="1"/>
    <xf numFmtId="49" fontId="7" fillId="0" borderId="0" xfId="0" applyNumberFormat="1" applyFont="1" applyAlignment="1"/>
    <xf numFmtId="49" fontId="8" fillId="0" borderId="0" xfId="0" applyNumberFormat="1" applyFont="1" applyAlignment="1"/>
    <xf numFmtId="49" fontId="9" fillId="0" borderId="0" xfId="0" applyNumberFormat="1" applyFont="1" applyAlignment="1"/>
    <xf numFmtId="49" fontId="10" fillId="0" borderId="0" xfId="0" applyNumberFormat="1" applyFont="1" applyAlignment="1"/>
    <xf numFmtId="0" fontId="1" fillId="0" borderId="0" xfId="0" applyFont="1" applyAlignment="1"/>
    <xf numFmtId="0" fontId="1" fillId="0" borderId="0" xfId="0" applyFont="1" applyFill="1" applyAlignment="1"/>
    <xf numFmtId="0" fontId="12" fillId="0" borderId="0" xfId="0" applyFont="1" applyFill="1" applyAlignment="1">
      <alignment horizontal="center" vertical="center"/>
    </xf>
    <xf numFmtId="0" fontId="6" fillId="0" borderId="0" xfId="0" applyFont="1" applyFill="1" applyAlignment="1">
      <alignment vertical="center"/>
    </xf>
    <xf numFmtId="0" fontId="6" fillId="0" borderId="0" xfId="0" applyFont="1" applyAlignment="1"/>
    <xf numFmtId="0" fontId="1" fillId="0" borderId="0" xfId="0" applyFont="1" applyFill="1" applyBorder="1" applyAlignment="1">
      <alignment vertical="center"/>
    </xf>
    <xf numFmtId="0" fontId="4" fillId="0" borderId="0" xfId="0" applyFont="1" applyFill="1" applyAlignment="1"/>
    <xf numFmtId="0" fontId="4" fillId="0" borderId="0" xfId="0" applyNumberFormat="1" applyFont="1" applyFill="1" applyBorder="1" applyAlignment="1">
      <alignment vertical="center"/>
    </xf>
    <xf numFmtId="0" fontId="12" fillId="0" borderId="0" xfId="0" applyNumberFormat="1" applyFont="1" applyFill="1" applyAlignment="1">
      <alignment vertical="center"/>
    </xf>
    <xf numFmtId="0" fontId="4" fillId="0" borderId="0" xfId="0" applyNumberFormat="1" applyFont="1" applyFill="1" applyAlignment="1"/>
    <xf numFmtId="0" fontId="4" fillId="0" borderId="0" xfId="0" applyFont="1" applyFill="1" applyBorder="1" applyAlignment="1">
      <alignment vertical="center"/>
    </xf>
    <xf numFmtId="0" fontId="12" fillId="0" borderId="0" xfId="0" applyFont="1" applyFill="1" applyAlignment="1">
      <alignment horizontal="center"/>
    </xf>
    <xf numFmtId="0" fontId="1" fillId="0" borderId="0" xfId="0" quotePrefix="1" applyFont="1" applyFill="1" applyBorder="1" applyAlignment="1">
      <alignment vertical="center"/>
    </xf>
    <xf numFmtId="0" fontId="4" fillId="0" borderId="0" xfId="0" applyFont="1" applyFill="1" applyAlignment="1">
      <alignment horizontal="center"/>
    </xf>
    <xf numFmtId="0" fontId="3" fillId="0" borderId="0" xfId="0" applyFont="1" applyAlignment="1">
      <alignment horizontal="center"/>
    </xf>
    <xf numFmtId="0" fontId="13" fillId="0" borderId="0" xfId="1" applyNumberFormat="1" applyFont="1" applyFill="1" applyBorder="1" applyAlignment="1">
      <alignment vertical="center"/>
    </xf>
    <xf numFmtId="49" fontId="15" fillId="0" borderId="0" xfId="0" applyNumberFormat="1" applyFont="1" applyAlignment="1">
      <alignment wrapText="1"/>
    </xf>
    <xf numFmtId="49" fontId="15" fillId="0" borderId="0" xfId="0" applyNumberFormat="1" applyFont="1" applyAlignment="1"/>
    <xf numFmtId="49" fontId="16" fillId="0" borderId="0" xfId="0" applyNumberFormat="1" applyFont="1" applyAlignment="1">
      <alignment wrapText="1"/>
    </xf>
    <xf numFmtId="49" fontId="16" fillId="0" borderId="0" xfId="0" applyNumberFormat="1" applyFont="1" applyAlignment="1"/>
    <xf numFmtId="49" fontId="16" fillId="5" borderId="0" xfId="0" applyNumberFormat="1" applyFont="1" applyFill="1" applyAlignment="1"/>
    <xf numFmtId="49" fontId="15" fillId="6" borderId="0" xfId="0" applyNumberFormat="1" applyFont="1" applyFill="1" applyAlignment="1">
      <alignment wrapText="1"/>
    </xf>
    <xf numFmtId="49" fontId="15" fillId="6" borderId="0" xfId="0" applyNumberFormat="1" applyFont="1" applyFill="1" applyAlignment="1"/>
    <xf numFmtId="0" fontId="17" fillId="7" borderId="0" xfId="0" applyFont="1" applyFill="1" applyAlignment="1">
      <alignment wrapText="1"/>
    </xf>
    <xf numFmtId="0" fontId="18" fillId="0" borderId="0" xfId="0" applyNumberFormat="1" applyFont="1" applyAlignment="1"/>
    <xf numFmtId="49" fontId="18" fillId="0" borderId="0" xfId="0" applyNumberFormat="1" applyFont="1" applyAlignment="1">
      <alignment wrapText="1"/>
    </xf>
    <xf numFmtId="49" fontId="18" fillId="0" borderId="0" xfId="0" applyNumberFormat="1" applyFont="1" applyAlignment="1"/>
    <xf numFmtId="49" fontId="19" fillId="7" borderId="0" xfId="0" applyNumberFormat="1" applyFont="1" applyFill="1" applyAlignment="1">
      <alignment wrapText="1"/>
    </xf>
    <xf numFmtId="49" fontId="20" fillId="7" borderId="0" xfId="0" applyNumberFormat="1" applyFont="1" applyFill="1" applyAlignment="1">
      <alignment wrapText="1"/>
    </xf>
    <xf numFmtId="0" fontId="21" fillId="0" borderId="0" xfId="0" applyNumberFormat="1" applyFont="1" applyAlignment="1"/>
    <xf numFmtId="49" fontId="22" fillId="7" borderId="0" xfId="0" applyNumberFormat="1" applyFont="1" applyFill="1" applyAlignment="1">
      <alignment wrapText="1"/>
    </xf>
    <xf numFmtId="49" fontId="23" fillId="7" borderId="0" xfId="0" applyNumberFormat="1" applyFont="1" applyFill="1" applyAlignment="1">
      <alignment wrapText="1"/>
    </xf>
    <xf numFmtId="49" fontId="18" fillId="8" borderId="0" xfId="0" applyNumberFormat="1" applyFont="1" applyFill="1" applyAlignment="1">
      <alignment wrapText="1"/>
    </xf>
    <xf numFmtId="49" fontId="19" fillId="7" borderId="0" xfId="0" quotePrefix="1" applyNumberFormat="1" applyFont="1" applyFill="1" applyAlignment="1">
      <alignment wrapText="1"/>
    </xf>
    <xf numFmtId="0" fontId="18" fillId="0" borderId="0" xfId="0" applyFont="1" applyAlignment="1"/>
    <xf numFmtId="0" fontId="18" fillId="0" borderId="0" xfId="0" applyFont="1" applyAlignment="1">
      <alignment wrapText="1"/>
    </xf>
    <xf numFmtId="0" fontId="18" fillId="8" borderId="0" xfId="0" applyFont="1" applyFill="1" applyAlignment="1">
      <alignment wrapText="1"/>
    </xf>
    <xf numFmtId="0" fontId="24" fillId="7" borderId="0" xfId="0" applyFont="1" applyFill="1" applyAlignment="1">
      <alignment wrapText="1"/>
    </xf>
    <xf numFmtId="49" fontId="18" fillId="7" borderId="0" xfId="0" applyNumberFormat="1" applyFont="1" applyFill="1" applyAlignment="1">
      <alignment wrapText="1"/>
    </xf>
    <xf numFmtId="49" fontId="24" fillId="0" borderId="0" xfId="0" applyNumberFormat="1" applyFont="1" applyAlignment="1"/>
    <xf numFmtId="49" fontId="25" fillId="0" borderId="0" xfId="0" applyNumberFormat="1" applyFont="1" applyAlignment="1"/>
    <xf numFmtId="49" fontId="21" fillId="0" borderId="0" xfId="0" applyNumberFormat="1" applyFont="1" applyAlignment="1"/>
    <xf numFmtId="0" fontId="24" fillId="0" borderId="0" xfId="0" applyFont="1" applyAlignment="1"/>
    <xf numFmtId="49" fontId="27" fillId="7" borderId="0" xfId="0" applyNumberFormat="1" applyFont="1" applyFill="1" applyAlignment="1"/>
    <xf numFmtId="49" fontId="18" fillId="7" borderId="0" xfId="0" applyNumberFormat="1" applyFont="1" applyFill="1" applyAlignment="1"/>
    <xf numFmtId="49" fontId="19" fillId="7" borderId="0" xfId="0" applyNumberFormat="1" applyFont="1" applyFill="1" applyAlignment="1"/>
    <xf numFmtId="49" fontId="28" fillId="7" borderId="0" xfId="0" applyNumberFormat="1" applyFont="1" applyFill="1" applyAlignment="1"/>
    <xf numFmtId="0" fontId="18" fillId="7" borderId="0" xfId="0" applyFont="1" applyFill="1" applyAlignment="1">
      <alignment wrapText="1"/>
    </xf>
    <xf numFmtId="0" fontId="18" fillId="7" borderId="0" xfId="0" applyFont="1" applyFill="1" applyAlignment="1"/>
    <xf numFmtId="49" fontId="26" fillId="7" borderId="0" xfId="0" applyNumberFormat="1" applyFont="1" applyFill="1" applyAlignment="1"/>
    <xf numFmtId="49" fontId="29" fillId="7" borderId="0" xfId="0" applyNumberFormat="1" applyFont="1" applyFill="1" applyAlignment="1">
      <alignment wrapText="1"/>
    </xf>
    <xf numFmtId="49" fontId="30" fillId="0" borderId="0" xfId="0" applyNumberFormat="1" applyFont="1" applyAlignment="1">
      <alignment wrapText="1"/>
    </xf>
    <xf numFmtId="0" fontId="30" fillId="0" borderId="0" xfId="0" applyFont="1" applyAlignment="1">
      <alignment wrapText="1"/>
    </xf>
    <xf numFmtId="49" fontId="31" fillId="0" borderId="0" xfId="0" applyNumberFormat="1" applyFont="1" applyAlignment="1">
      <alignment wrapText="1"/>
    </xf>
    <xf numFmtId="49" fontId="26" fillId="0" borderId="0" xfId="0" applyNumberFormat="1" applyFont="1" applyAlignment="1">
      <alignment wrapText="1"/>
    </xf>
    <xf numFmtId="49" fontId="27" fillId="7" borderId="0" xfId="0" applyNumberFormat="1" applyFont="1" applyFill="1" applyAlignment="1">
      <alignment wrapText="1"/>
    </xf>
    <xf numFmtId="49" fontId="28" fillId="7" borderId="0" xfId="0" applyNumberFormat="1" applyFont="1" applyFill="1" applyAlignment="1">
      <alignment wrapText="1"/>
    </xf>
    <xf numFmtId="0" fontId="18" fillId="0" borderId="0" xfId="0" applyFont="1" applyAlignment="1">
      <alignment vertical="center" wrapText="1"/>
    </xf>
    <xf numFmtId="0" fontId="18" fillId="0" borderId="0" xfId="0" applyFont="1" applyAlignment="1">
      <alignment horizontal="center" vertical="center" wrapText="1"/>
    </xf>
    <xf numFmtId="49" fontId="18" fillId="0" borderId="0" xfId="0" applyNumberFormat="1" applyFont="1" applyAlignment="1">
      <alignment vertical="center"/>
    </xf>
    <xf numFmtId="0" fontId="24" fillId="0" borderId="0" xfId="0" applyFont="1" applyAlignment="1">
      <alignment vertical="center" wrapText="1"/>
    </xf>
    <xf numFmtId="0" fontId="24" fillId="0" borderId="0" xfId="0" applyFont="1" applyAlignment="1">
      <alignment horizontal="center" vertical="center" wrapText="1"/>
    </xf>
    <xf numFmtId="0" fontId="26" fillId="0" borderId="0" xfId="0" applyFont="1" applyAlignment="1">
      <alignment vertical="center" wrapText="1"/>
    </xf>
    <xf numFmtId="49" fontId="25" fillId="0" borderId="0" xfId="0" applyNumberFormat="1" applyFont="1" applyAlignment="1">
      <alignment vertical="center"/>
    </xf>
    <xf numFmtId="0" fontId="18" fillId="3" borderId="0" xfId="0" applyFont="1" applyFill="1" applyAlignment="1">
      <alignment vertical="center" wrapText="1"/>
    </xf>
    <xf numFmtId="0" fontId="30" fillId="0" borderId="0" xfId="0" applyFont="1" applyAlignment="1">
      <alignment vertical="center" wrapText="1"/>
    </xf>
    <xf numFmtId="0" fontId="31" fillId="0" borderId="0" xfId="0" applyFont="1" applyAlignment="1">
      <alignment vertical="center" wrapText="1"/>
    </xf>
    <xf numFmtId="49" fontId="32" fillId="0" borderId="0" xfId="0" applyNumberFormat="1" applyFont="1" applyAlignment="1">
      <alignment vertical="center"/>
    </xf>
    <xf numFmtId="49" fontId="28" fillId="0" borderId="0" xfId="0" applyNumberFormat="1" applyFont="1" applyAlignment="1">
      <alignment vertical="center"/>
    </xf>
    <xf numFmtId="0" fontId="30" fillId="9" borderId="0" xfId="0" applyFont="1" applyFill="1" applyAlignment="1">
      <alignment vertical="center" wrapText="1"/>
    </xf>
    <xf numFmtId="0" fontId="31" fillId="9" borderId="0" xfId="0" applyFont="1" applyFill="1" applyAlignment="1">
      <alignment vertical="center" wrapText="1"/>
    </xf>
    <xf numFmtId="0" fontId="26" fillId="9" borderId="0" xfId="0" applyFont="1" applyFill="1" applyAlignment="1">
      <alignment vertical="center" wrapText="1"/>
    </xf>
    <xf numFmtId="0" fontId="26" fillId="0" borderId="0" xfId="0" applyFont="1" applyFill="1" applyAlignment="1">
      <alignment vertical="center" wrapText="1"/>
    </xf>
    <xf numFmtId="0" fontId="18" fillId="0" borderId="0" xfId="0" applyFont="1" applyAlignment="1"/>
    <xf numFmtId="0" fontId="33" fillId="0" borderId="0" xfId="0" applyFont="1" applyAlignment="1"/>
    <xf numFmtId="0" fontId="31" fillId="0" borderId="0" xfId="0" applyFont="1" applyAlignment="1"/>
    <xf numFmtId="0" fontId="30" fillId="0" borderId="0" xfId="0" applyFont="1" applyAlignment="1"/>
    <xf numFmtId="0" fontId="18" fillId="2" borderId="0" xfId="0" applyFont="1" applyFill="1" applyAlignment="1"/>
    <xf numFmtId="0" fontId="26" fillId="0" borderId="0" xfId="0" applyFont="1" applyAlignment="1"/>
  </cellXfs>
  <cellStyles count="2">
    <cellStyle name="Good" xfId="1" builtinId="26"/>
    <cellStyle name="Normal" xfId="0" builtinId="0"/>
  </cellStyles>
  <dxfs count="1">
    <dxf>
      <fill>
        <patternFill patternType="solid">
          <fgColor rgb="FFEAD1DC"/>
          <bgColor rgb="FFEAD1DC"/>
        </patternFill>
      </fill>
      <alignment wrapText="1"/>
      <border>
        <left/>
        <right/>
        <top/>
        <bottom/>
      </border>
    </dxf>
  </dxfs>
  <tableStyles count="0" defaultTableStyle="TableStyleMedium2" defaultPivotStyle="PivotStyleLight16"/>
  <colors>
    <mruColors>
      <color rgb="FF8B66FF"/>
      <color rgb="FFFF8C00"/>
      <color rgb="FF999999"/>
      <color rgb="FF11FF11"/>
      <color rgb="FF33FF33"/>
      <color rgb="FFFFDEAD"/>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4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4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4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4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4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4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4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4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4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4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4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4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4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4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4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4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4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4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4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4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4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4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4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4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4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4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4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4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4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4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4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4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4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4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4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4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4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4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4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4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4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4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4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4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4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4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4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4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4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E30" sqref="E30"/>
    </sheetView>
  </sheetViews>
  <sheetFormatPr defaultRowHeight="15" x14ac:dyDescent="0.25"/>
  <cols>
    <col min="1" max="1" width="3" style="25" bestFit="1" customWidth="1"/>
    <col min="2" max="2" width="6.28515625" style="25" bestFit="1" customWidth="1"/>
    <col min="3" max="3" width="15.5703125" style="25" bestFit="1" customWidth="1"/>
    <col min="4" max="4" width="9.5703125" style="25" bestFit="1" customWidth="1"/>
    <col min="5" max="7" width="8" style="25" bestFit="1" customWidth="1"/>
    <col min="8" max="8" width="10.42578125" style="25" bestFit="1" customWidth="1"/>
    <col min="9" max="9" width="11.5703125" style="25" bestFit="1" customWidth="1"/>
    <col min="10" max="10" width="13.28515625" style="25" bestFit="1" customWidth="1"/>
    <col min="11" max="13" width="9.5703125" style="25" bestFit="1" customWidth="1"/>
    <col min="14" max="14" width="13.28515625" style="25" bestFit="1" customWidth="1"/>
    <col min="15" max="15" width="19.42578125" style="25" bestFit="1" customWidth="1"/>
    <col min="16" max="16" width="19.42578125" style="25" customWidth="1"/>
    <col min="17" max="17" width="13.28515625" style="25" bestFit="1" customWidth="1"/>
    <col min="18" max="18" width="9.5703125" style="26" bestFit="1" customWidth="1"/>
    <col min="19" max="16384" width="9.140625" style="25"/>
  </cols>
  <sheetData>
    <row r="1" spans="1:18" s="27" customFormat="1" x14ac:dyDescent="0.25">
      <c r="C1" s="28"/>
      <c r="D1" s="28"/>
      <c r="E1" s="29" t="s">
        <v>494</v>
      </c>
      <c r="F1" s="29" t="s">
        <v>495</v>
      </c>
      <c r="G1" s="29" t="s">
        <v>496</v>
      </c>
      <c r="H1" s="29" t="s">
        <v>497</v>
      </c>
      <c r="I1" s="29" t="s">
        <v>498</v>
      </c>
      <c r="J1" s="28" t="s">
        <v>499</v>
      </c>
      <c r="K1" s="28" t="s">
        <v>500</v>
      </c>
      <c r="L1" s="29" t="s">
        <v>501</v>
      </c>
      <c r="M1" s="28" t="s">
        <v>502</v>
      </c>
      <c r="N1" s="28" t="s">
        <v>503</v>
      </c>
      <c r="O1" s="29" t="s">
        <v>504</v>
      </c>
      <c r="P1" s="29" t="s">
        <v>607</v>
      </c>
      <c r="Q1" s="28" t="s">
        <v>505</v>
      </c>
      <c r="R1" s="28" t="s">
        <v>563</v>
      </c>
    </row>
    <row r="2" spans="1:18" x14ac:dyDescent="0.25">
      <c r="A2" s="25" t="s">
        <v>605</v>
      </c>
      <c r="B2" s="25" t="s">
        <v>564</v>
      </c>
      <c r="C2" s="26" t="s">
        <v>642</v>
      </c>
      <c r="D2" s="26" t="s">
        <v>641</v>
      </c>
      <c r="E2" s="26"/>
      <c r="F2" s="26"/>
      <c r="G2" s="26"/>
      <c r="H2" s="26"/>
      <c r="I2" s="26"/>
      <c r="J2" s="26" t="s">
        <v>604</v>
      </c>
      <c r="K2" s="26"/>
      <c r="L2" s="26"/>
      <c r="M2" s="26"/>
      <c r="N2" s="26"/>
      <c r="O2" s="26"/>
      <c r="P2" s="26"/>
      <c r="Q2" s="26"/>
    </row>
    <row r="3" spans="1:18" x14ac:dyDescent="0.25">
      <c r="A3" s="25" t="s">
        <v>645</v>
      </c>
      <c r="B3" s="25" t="s">
        <v>564</v>
      </c>
      <c r="C3" s="26" t="s">
        <v>616</v>
      </c>
      <c r="D3" s="26" t="s">
        <v>617</v>
      </c>
      <c r="E3" s="26"/>
      <c r="F3" s="26"/>
      <c r="G3" s="26"/>
      <c r="H3" s="26"/>
      <c r="I3" s="26"/>
      <c r="J3" s="26"/>
      <c r="K3" s="26"/>
      <c r="L3" s="26"/>
      <c r="M3" s="26" t="s">
        <v>604</v>
      </c>
      <c r="N3" s="26"/>
      <c r="O3" s="26"/>
      <c r="P3" s="26"/>
      <c r="Q3" s="26"/>
    </row>
    <row r="4" spans="1:18" x14ac:dyDescent="0.25">
      <c r="A4" s="25" t="s">
        <v>646</v>
      </c>
      <c r="B4" s="25" t="s">
        <v>564</v>
      </c>
      <c r="C4" s="26" t="s">
        <v>640</v>
      </c>
      <c r="D4" s="26" t="s">
        <v>643</v>
      </c>
      <c r="E4" s="26"/>
      <c r="F4" s="26"/>
      <c r="G4" s="26"/>
      <c r="H4" s="26"/>
      <c r="I4" s="26"/>
      <c r="J4" s="26"/>
      <c r="K4" s="26" t="s">
        <v>618</v>
      </c>
      <c r="L4" s="26"/>
      <c r="M4" s="26"/>
      <c r="N4" s="26"/>
      <c r="O4" s="26"/>
      <c r="P4" s="26"/>
      <c r="Q4" s="26"/>
    </row>
    <row r="5" spans="1:18" x14ac:dyDescent="0.25">
      <c r="A5" s="25" t="s">
        <v>647</v>
      </c>
      <c r="B5" s="25" t="s">
        <v>564</v>
      </c>
      <c r="C5" s="26" t="s">
        <v>614</v>
      </c>
      <c r="D5" s="26" t="s">
        <v>615</v>
      </c>
      <c r="E5" s="26"/>
      <c r="F5" s="26"/>
      <c r="G5" s="26"/>
      <c r="H5" s="26"/>
      <c r="I5" s="26"/>
      <c r="J5" s="26"/>
      <c r="K5" s="26"/>
      <c r="L5" s="26"/>
      <c r="M5" s="26"/>
      <c r="N5" s="26" t="s">
        <v>619</v>
      </c>
      <c r="O5" s="26"/>
      <c r="P5" s="26"/>
      <c r="Q5" s="26"/>
    </row>
    <row r="6" spans="1:18" x14ac:dyDescent="0.25">
      <c r="A6" s="25" t="s">
        <v>648</v>
      </c>
      <c r="B6" s="25" t="s">
        <v>564</v>
      </c>
      <c r="C6" s="26" t="s">
        <v>506</v>
      </c>
      <c r="D6" s="26" t="s">
        <v>507</v>
      </c>
      <c r="E6" s="26" t="s">
        <v>620</v>
      </c>
      <c r="F6" s="26"/>
      <c r="G6" s="26"/>
      <c r="H6" s="26"/>
      <c r="I6" s="26"/>
      <c r="J6" s="26"/>
      <c r="K6" s="26"/>
      <c r="L6" s="26"/>
      <c r="M6" s="26"/>
      <c r="N6" s="26"/>
      <c r="O6" s="26"/>
      <c r="P6" s="26"/>
      <c r="Q6" s="26"/>
    </row>
    <row r="7" spans="1:18" x14ac:dyDescent="0.25">
      <c r="A7" s="25" t="s">
        <v>649</v>
      </c>
      <c r="B7" s="25" t="s">
        <v>564</v>
      </c>
      <c r="C7" s="26" t="s">
        <v>508</v>
      </c>
      <c r="D7" s="26" t="s">
        <v>509</v>
      </c>
      <c r="E7" s="26"/>
      <c r="F7" s="26" t="s">
        <v>620</v>
      </c>
      <c r="G7" s="26"/>
      <c r="H7" s="26"/>
      <c r="I7" s="26"/>
      <c r="J7" s="26"/>
      <c r="K7" s="26"/>
      <c r="L7" s="26"/>
      <c r="M7" s="26"/>
      <c r="N7" s="26"/>
      <c r="O7" s="26"/>
      <c r="P7" s="26"/>
      <c r="Q7" s="26"/>
    </row>
    <row r="8" spans="1:18" x14ac:dyDescent="0.25">
      <c r="A8" s="25" t="s">
        <v>650</v>
      </c>
      <c r="B8" s="25" t="s">
        <v>564</v>
      </c>
      <c r="C8" s="26" t="s">
        <v>510</v>
      </c>
      <c r="D8" s="26" t="s">
        <v>511</v>
      </c>
      <c r="E8" s="26"/>
      <c r="F8" s="26"/>
      <c r="G8" s="26" t="s">
        <v>620</v>
      </c>
      <c r="H8" s="26"/>
      <c r="I8" s="26"/>
      <c r="J8" s="26"/>
      <c r="K8" s="26"/>
      <c r="L8" s="26"/>
      <c r="M8" s="26"/>
      <c r="N8" s="26"/>
      <c r="O8" s="26"/>
      <c r="P8" s="26"/>
      <c r="Q8" s="26"/>
    </row>
    <row r="9" spans="1:18" x14ac:dyDescent="0.25">
      <c r="A9" s="25" t="s">
        <v>651</v>
      </c>
      <c r="B9" s="25" t="s">
        <v>564</v>
      </c>
      <c r="C9" s="26" t="s">
        <v>622</v>
      </c>
      <c r="D9" s="26" t="s">
        <v>621</v>
      </c>
      <c r="E9" s="26"/>
      <c r="F9" s="26"/>
      <c r="G9" s="26"/>
      <c r="H9" s="26" t="s">
        <v>623</v>
      </c>
      <c r="I9" s="26"/>
      <c r="J9" s="26"/>
      <c r="K9" s="26"/>
      <c r="L9" s="26"/>
      <c r="M9" s="26"/>
      <c r="N9" s="26"/>
      <c r="O9" s="26"/>
      <c r="P9" s="26"/>
      <c r="Q9" s="26"/>
    </row>
    <row r="10" spans="1:18" s="30" customFormat="1" x14ac:dyDescent="0.25">
      <c r="A10" s="30" t="s">
        <v>652</v>
      </c>
      <c r="B10" s="30" t="s">
        <v>564</v>
      </c>
      <c r="C10" s="31" t="s">
        <v>512</v>
      </c>
      <c r="D10" s="31" t="s">
        <v>513</v>
      </c>
      <c r="E10" s="31" t="s">
        <v>606</v>
      </c>
      <c r="F10" s="31"/>
      <c r="G10" s="31"/>
      <c r="H10" s="31"/>
      <c r="I10" s="31" t="s">
        <v>624</v>
      </c>
      <c r="J10" s="31"/>
      <c r="K10" s="31"/>
      <c r="L10" s="31"/>
      <c r="M10" s="31"/>
      <c r="N10" s="31"/>
      <c r="O10" s="31"/>
      <c r="P10" s="31"/>
      <c r="Q10" s="31"/>
      <c r="R10" s="31"/>
    </row>
    <row r="11" spans="1:18" s="30" customFormat="1" x14ac:dyDescent="0.25">
      <c r="A11" s="25" t="s">
        <v>653</v>
      </c>
      <c r="B11" s="30" t="s">
        <v>564</v>
      </c>
      <c r="C11" s="31" t="s">
        <v>514</v>
      </c>
      <c r="D11" s="31" t="s">
        <v>515</v>
      </c>
      <c r="E11" s="31" t="s">
        <v>606</v>
      </c>
      <c r="F11" s="31"/>
      <c r="G11" s="31"/>
      <c r="H11" s="31"/>
      <c r="I11" s="31"/>
      <c r="J11" s="31" t="s">
        <v>603</v>
      </c>
      <c r="K11" s="31"/>
      <c r="L11" s="31"/>
      <c r="M11" s="31"/>
      <c r="N11" s="31"/>
      <c r="O11" s="31"/>
      <c r="P11" s="31"/>
      <c r="Q11" s="31"/>
      <c r="R11" s="31"/>
    </row>
    <row r="12" spans="1:18" s="30" customFormat="1" x14ac:dyDescent="0.25">
      <c r="A12" s="25" t="s">
        <v>654</v>
      </c>
      <c r="B12" s="30" t="s">
        <v>564</v>
      </c>
      <c r="C12" s="31" t="s">
        <v>516</v>
      </c>
      <c r="D12" s="31" t="s">
        <v>517</v>
      </c>
      <c r="E12" s="31"/>
      <c r="F12" s="31" t="s">
        <v>606</v>
      </c>
      <c r="G12" s="31"/>
      <c r="H12" s="31"/>
      <c r="I12" s="31"/>
      <c r="J12" s="31" t="s">
        <v>603</v>
      </c>
      <c r="K12" s="31"/>
      <c r="L12" s="31"/>
      <c r="M12" s="31"/>
      <c r="N12" s="31"/>
      <c r="O12" s="31"/>
      <c r="P12" s="31"/>
      <c r="Q12" s="31"/>
      <c r="R12" s="31"/>
    </row>
    <row r="13" spans="1:18" s="30" customFormat="1" x14ac:dyDescent="0.25">
      <c r="A13" s="25" t="s">
        <v>655</v>
      </c>
      <c r="B13" s="30" t="s">
        <v>564</v>
      </c>
      <c r="C13" s="31" t="s">
        <v>518</v>
      </c>
      <c r="D13" s="31" t="s">
        <v>625</v>
      </c>
      <c r="E13" s="31"/>
      <c r="F13" s="31" t="s">
        <v>606</v>
      </c>
      <c r="G13" s="31"/>
      <c r="H13" s="31"/>
      <c r="I13" s="31" t="s">
        <v>624</v>
      </c>
      <c r="J13" s="31"/>
      <c r="K13" s="31"/>
      <c r="L13" s="31"/>
      <c r="M13" s="31"/>
      <c r="N13" s="31"/>
      <c r="O13" s="31"/>
      <c r="P13" s="31"/>
      <c r="Q13" s="31"/>
      <c r="R13" s="31"/>
    </row>
    <row r="14" spans="1:18" s="30" customFormat="1" x14ac:dyDescent="0.25">
      <c r="A14" s="25" t="s">
        <v>656</v>
      </c>
      <c r="B14" s="30" t="s">
        <v>564</v>
      </c>
      <c r="C14" s="31" t="s">
        <v>519</v>
      </c>
      <c r="D14" s="31" t="s">
        <v>520</v>
      </c>
      <c r="E14" s="31"/>
      <c r="F14" s="31"/>
      <c r="G14" s="31" t="s">
        <v>606</v>
      </c>
      <c r="H14" s="31"/>
      <c r="I14" s="31"/>
      <c r="J14" s="31"/>
      <c r="K14" s="31"/>
      <c r="L14" s="31"/>
      <c r="M14" s="31"/>
      <c r="N14" s="31" t="s">
        <v>626</v>
      </c>
      <c r="O14" s="31"/>
      <c r="P14" s="31"/>
      <c r="Q14" s="31"/>
      <c r="R14" s="31"/>
    </row>
    <row r="15" spans="1:18" s="30" customFormat="1" x14ac:dyDescent="0.25">
      <c r="A15" s="25" t="s">
        <v>657</v>
      </c>
      <c r="B15" s="30" t="s">
        <v>564</v>
      </c>
      <c r="C15" s="31" t="s">
        <v>521</v>
      </c>
      <c r="D15" s="31" t="s">
        <v>522</v>
      </c>
      <c r="E15" s="31"/>
      <c r="F15" s="31"/>
      <c r="G15" s="31" t="s">
        <v>606</v>
      </c>
      <c r="H15" s="31"/>
      <c r="I15" s="31"/>
      <c r="J15" s="31"/>
      <c r="K15" s="31"/>
      <c r="L15" s="31"/>
      <c r="M15" s="31"/>
      <c r="N15" s="31"/>
      <c r="O15" s="31" t="s">
        <v>601</v>
      </c>
      <c r="P15" s="31"/>
      <c r="Q15" s="31"/>
      <c r="R15" s="31"/>
    </row>
    <row r="16" spans="1:18" s="30" customFormat="1" x14ac:dyDescent="0.25">
      <c r="A16" s="25" t="s">
        <v>658</v>
      </c>
      <c r="B16" s="30" t="s">
        <v>564</v>
      </c>
      <c r="C16" s="31" t="s">
        <v>523</v>
      </c>
      <c r="D16" s="31" t="s">
        <v>524</v>
      </c>
      <c r="E16" s="31"/>
      <c r="F16" s="31"/>
      <c r="G16" s="31"/>
      <c r="H16" s="31" t="s">
        <v>627</v>
      </c>
      <c r="I16" s="31"/>
      <c r="J16" s="31"/>
      <c r="K16" s="31"/>
      <c r="L16" s="31"/>
      <c r="M16" s="31"/>
      <c r="N16" s="31"/>
      <c r="O16" s="31"/>
      <c r="P16" s="31"/>
      <c r="Q16" s="31" t="s">
        <v>603</v>
      </c>
      <c r="R16" s="31"/>
    </row>
    <row r="17" spans="1:18" x14ac:dyDescent="0.25">
      <c r="A17" s="25" t="s">
        <v>659</v>
      </c>
      <c r="B17" s="25" t="s">
        <v>564</v>
      </c>
      <c r="C17" s="26" t="s">
        <v>629</v>
      </c>
      <c r="D17" s="26" t="s">
        <v>628</v>
      </c>
      <c r="E17" s="26"/>
      <c r="F17" s="26"/>
      <c r="G17" s="26"/>
      <c r="H17" s="26"/>
      <c r="I17" s="26"/>
      <c r="J17" s="26"/>
      <c r="K17" s="26"/>
      <c r="L17" s="26"/>
      <c r="M17" s="26"/>
      <c r="N17" s="26"/>
      <c r="O17" s="26"/>
      <c r="P17" s="26"/>
      <c r="Q17" s="26"/>
      <c r="R17" s="26" t="s">
        <v>604</v>
      </c>
    </row>
    <row r="18" spans="1:18" x14ac:dyDescent="0.25">
      <c r="A18" s="25" t="s">
        <v>660</v>
      </c>
      <c r="B18" s="25" t="s">
        <v>564</v>
      </c>
      <c r="C18" s="26" t="s">
        <v>631</v>
      </c>
      <c r="D18" s="26" t="s">
        <v>630</v>
      </c>
      <c r="E18" s="26"/>
      <c r="F18" s="26"/>
      <c r="G18" s="26"/>
      <c r="H18" s="26"/>
      <c r="I18" s="26"/>
      <c r="J18" s="26"/>
      <c r="K18" s="26"/>
      <c r="L18" s="26"/>
      <c r="M18" s="26"/>
      <c r="N18" s="26"/>
      <c r="O18" s="26"/>
      <c r="P18" s="26"/>
      <c r="Q18" s="26" t="s">
        <v>604</v>
      </c>
    </row>
    <row r="19" spans="1:18" x14ac:dyDescent="0.25">
      <c r="A19" s="25" t="s">
        <v>661</v>
      </c>
      <c r="B19" s="25" t="s">
        <v>564</v>
      </c>
      <c r="C19" s="26" t="s">
        <v>633</v>
      </c>
      <c r="D19" s="26" t="s">
        <v>632</v>
      </c>
      <c r="E19" s="26"/>
      <c r="F19" s="26"/>
      <c r="G19" s="26"/>
      <c r="H19" s="26"/>
      <c r="I19" s="26"/>
      <c r="J19" s="26"/>
      <c r="K19" s="26"/>
      <c r="L19" s="26"/>
      <c r="M19" s="26"/>
      <c r="N19" s="26"/>
      <c r="O19" s="26"/>
      <c r="P19" s="26" t="s">
        <v>618</v>
      </c>
      <c r="Q19" s="26"/>
    </row>
    <row r="20" spans="1:18" x14ac:dyDescent="0.25">
      <c r="A20" s="25" t="s">
        <v>662</v>
      </c>
      <c r="B20" s="25" t="s">
        <v>564</v>
      </c>
      <c r="C20" s="26" t="s">
        <v>635</v>
      </c>
      <c r="D20" s="26" t="s">
        <v>634</v>
      </c>
      <c r="E20" s="26"/>
      <c r="F20" s="26"/>
      <c r="G20" s="26"/>
      <c r="H20" s="26"/>
      <c r="I20" s="26"/>
      <c r="J20" s="26"/>
      <c r="K20" s="26"/>
      <c r="L20" s="26"/>
      <c r="M20" s="26"/>
      <c r="N20" s="26"/>
      <c r="O20" s="26" t="s">
        <v>636</v>
      </c>
      <c r="P20" s="26"/>
      <c r="Q20" s="26"/>
    </row>
    <row r="21" spans="1:18" x14ac:dyDescent="0.25">
      <c r="A21" s="25" t="s">
        <v>663</v>
      </c>
      <c r="B21" s="25" t="s">
        <v>564</v>
      </c>
      <c r="C21" s="26" t="s">
        <v>638</v>
      </c>
      <c r="D21" s="26" t="s">
        <v>637</v>
      </c>
      <c r="E21" s="26"/>
      <c r="F21" s="26"/>
      <c r="G21" s="26"/>
      <c r="H21" s="26"/>
      <c r="I21" s="26"/>
      <c r="J21" s="26"/>
      <c r="K21" s="26"/>
      <c r="L21" s="26" t="s">
        <v>639</v>
      </c>
      <c r="M21" s="26"/>
      <c r="N21" s="26"/>
      <c r="O21" s="26"/>
      <c r="P21" s="26"/>
      <c r="Q21" s="26"/>
    </row>
    <row r="22" spans="1:18" x14ac:dyDescent="0.25">
      <c r="A22" s="25" t="s">
        <v>664</v>
      </c>
      <c r="B22" s="25" t="s">
        <v>565</v>
      </c>
      <c r="C22" s="25" t="s">
        <v>567</v>
      </c>
      <c r="D22" s="25" t="s">
        <v>566</v>
      </c>
      <c r="E22" s="25" t="s">
        <v>568</v>
      </c>
    </row>
    <row r="23" spans="1:18" x14ac:dyDescent="0.25">
      <c r="A23" s="25" t="s">
        <v>665</v>
      </c>
      <c r="B23" s="25" t="s">
        <v>565</v>
      </c>
      <c r="C23" s="25" t="s">
        <v>570</v>
      </c>
      <c r="D23" s="25" t="s">
        <v>569</v>
      </c>
      <c r="E23" s="25" t="s">
        <v>571</v>
      </c>
    </row>
    <row r="24" spans="1:18" x14ac:dyDescent="0.25">
      <c r="A24" s="25" t="s">
        <v>666</v>
      </c>
      <c r="B24" s="25" t="s">
        <v>565</v>
      </c>
      <c r="C24" s="25" t="s">
        <v>579</v>
      </c>
      <c r="D24" s="25" t="s">
        <v>572</v>
      </c>
      <c r="F24" s="25" t="s">
        <v>568</v>
      </c>
    </row>
    <row r="25" spans="1:18" x14ac:dyDescent="0.25">
      <c r="A25" s="25" t="s">
        <v>667</v>
      </c>
      <c r="B25" s="25" t="s">
        <v>565</v>
      </c>
      <c r="C25" s="25" t="s">
        <v>574</v>
      </c>
      <c r="D25" s="25" t="s">
        <v>573</v>
      </c>
      <c r="F25" s="25" t="s">
        <v>571</v>
      </c>
    </row>
    <row r="26" spans="1:18" x14ac:dyDescent="0.25">
      <c r="A26" s="25" t="s">
        <v>668</v>
      </c>
      <c r="B26" s="25" t="s">
        <v>565</v>
      </c>
      <c r="C26" s="25" t="s">
        <v>576</v>
      </c>
      <c r="D26" s="25" t="s">
        <v>575</v>
      </c>
      <c r="G26" s="25" t="s">
        <v>568</v>
      </c>
    </row>
    <row r="27" spans="1:18" x14ac:dyDescent="0.25">
      <c r="A27" s="25" t="s">
        <v>669</v>
      </c>
      <c r="B27" s="25" t="s">
        <v>565</v>
      </c>
      <c r="C27" s="25" t="s">
        <v>578</v>
      </c>
      <c r="D27" s="25" t="s">
        <v>577</v>
      </c>
      <c r="G27" s="25" t="s">
        <v>571</v>
      </c>
    </row>
    <row r="28" spans="1:18" x14ac:dyDescent="0.25">
      <c r="A28" s="25" t="s">
        <v>670</v>
      </c>
      <c r="B28" s="25" t="s">
        <v>565</v>
      </c>
      <c r="C28" s="25" t="s">
        <v>583</v>
      </c>
      <c r="D28" s="25" t="s">
        <v>580</v>
      </c>
      <c r="H28" s="25" t="s">
        <v>584</v>
      </c>
    </row>
    <row r="29" spans="1:18" x14ac:dyDescent="0.25">
      <c r="A29" s="25" t="s">
        <v>671</v>
      </c>
      <c r="B29" s="25" t="s">
        <v>565</v>
      </c>
      <c r="C29" s="25" t="s">
        <v>582</v>
      </c>
      <c r="D29" s="25" t="s">
        <v>581</v>
      </c>
      <c r="H29" s="25" t="s">
        <v>593</v>
      </c>
    </row>
    <row r="30" spans="1:18" x14ac:dyDescent="0.25">
      <c r="A30" s="25" t="s">
        <v>672</v>
      </c>
      <c r="B30" s="25" t="s">
        <v>565</v>
      </c>
      <c r="C30" s="25" t="s">
        <v>586</v>
      </c>
      <c r="D30" s="25" t="s">
        <v>585</v>
      </c>
      <c r="I30" s="25" t="s">
        <v>587</v>
      </c>
    </row>
    <row r="31" spans="1:18" x14ac:dyDescent="0.25">
      <c r="A31" s="25" t="s">
        <v>673</v>
      </c>
      <c r="B31" s="25" t="s">
        <v>565</v>
      </c>
      <c r="C31" s="25" t="s">
        <v>598</v>
      </c>
      <c r="D31" s="25" t="s">
        <v>644</v>
      </c>
      <c r="I31" s="25" t="s">
        <v>594</v>
      </c>
    </row>
    <row r="32" spans="1:18" x14ac:dyDescent="0.25">
      <c r="A32" s="25" t="s">
        <v>674</v>
      </c>
      <c r="B32" s="25" t="s">
        <v>565</v>
      </c>
      <c r="C32" s="25" t="s">
        <v>589</v>
      </c>
      <c r="D32" s="25" t="s">
        <v>588</v>
      </c>
      <c r="L32" s="25" t="s">
        <v>592</v>
      </c>
    </row>
    <row r="33" spans="1:16" x14ac:dyDescent="0.25">
      <c r="A33" s="25" t="s">
        <v>675</v>
      </c>
      <c r="B33" s="25" t="s">
        <v>565</v>
      </c>
      <c r="C33" s="25" t="s">
        <v>591</v>
      </c>
      <c r="D33" s="25" t="s">
        <v>590</v>
      </c>
      <c r="L33" s="25" t="s">
        <v>595</v>
      </c>
    </row>
    <row r="34" spans="1:16" x14ac:dyDescent="0.25">
      <c r="A34" s="25" t="s">
        <v>676</v>
      </c>
      <c r="B34" s="25" t="s">
        <v>565</v>
      </c>
      <c r="C34" s="25" t="s">
        <v>597</v>
      </c>
      <c r="D34" s="25" t="s">
        <v>596</v>
      </c>
      <c r="O34" s="25" t="s">
        <v>601</v>
      </c>
    </row>
    <row r="35" spans="1:16" x14ac:dyDescent="0.25">
      <c r="A35" s="25" t="s">
        <v>677</v>
      </c>
      <c r="B35" s="25" t="s">
        <v>565</v>
      </c>
      <c r="C35" s="25" t="s">
        <v>600</v>
      </c>
      <c r="D35" s="25" t="s">
        <v>599</v>
      </c>
      <c r="O35" s="25" t="s">
        <v>602</v>
      </c>
    </row>
    <row r="36" spans="1:16" x14ac:dyDescent="0.25">
      <c r="A36" s="25" t="s">
        <v>678</v>
      </c>
      <c r="B36" s="25" t="s">
        <v>565</v>
      </c>
      <c r="C36" s="25" t="s">
        <v>609</v>
      </c>
      <c r="D36" s="25" t="s">
        <v>608</v>
      </c>
      <c r="P36" s="25" t="s">
        <v>612</v>
      </c>
    </row>
    <row r="37" spans="1:16" x14ac:dyDescent="0.25">
      <c r="A37" s="25" t="s">
        <v>679</v>
      </c>
      <c r="B37" s="25" t="s">
        <v>565</v>
      </c>
      <c r="C37" s="25" t="s">
        <v>611</v>
      </c>
      <c r="D37" s="25" t="s">
        <v>610</v>
      </c>
      <c r="P37" s="25" t="s">
        <v>613</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E82"/>
  <sheetViews>
    <sheetView topLeftCell="A55" workbookViewId="0">
      <selection activeCell="A23" sqref="A23"/>
    </sheetView>
  </sheetViews>
  <sheetFormatPr defaultRowHeight="14.25" x14ac:dyDescent="0.25"/>
  <cols>
    <col min="1" max="2" width="72.7109375" style="56" customWidth="1"/>
    <col min="3" max="4" width="30.7109375" style="44" customWidth="1"/>
    <col min="5" max="5" width="4.140625" style="44" bestFit="1" customWidth="1"/>
    <col min="6" max="16384" width="9.140625" style="44"/>
  </cols>
  <sheetData>
    <row r="1" spans="1:5" x14ac:dyDescent="0.25">
      <c r="A1" s="52" t="s">
        <v>526</v>
      </c>
      <c r="B1" s="52" t="s">
        <v>749</v>
      </c>
      <c r="C1" s="33" t="str">
        <f>FormatItemName(A1)</f>
        <v>|CFF11FF11贵族圆环|R</v>
      </c>
      <c r="D1" s="33" t="str">
        <f>FormatItemName(B1)</f>
        <v>|CFF11FF11Circlet of Nobility|R</v>
      </c>
      <c r="E1" s="44" t="s">
        <v>805</v>
      </c>
    </row>
    <row r="2" spans="1:5" x14ac:dyDescent="0.25">
      <c r="A2" s="54" t="s">
        <v>478</v>
      </c>
      <c r="B2" s="54" t="s">
        <v>750</v>
      </c>
      <c r="C2" s="33" t="str">
        <f>FormatItemDescription(A1:A2)</f>
        <v>+3所有属性</v>
      </c>
      <c r="D2" s="33" t="str">
        <f>FormatItemDescription(B1:B2)</f>
        <v>+3 All stats</v>
      </c>
      <c r="E2" s="44" t="s">
        <v>805</v>
      </c>
    </row>
    <row r="3" spans="1:5" x14ac:dyDescent="0.25">
      <c r="A3" s="53"/>
      <c r="B3" s="53"/>
      <c r="C3" s="33" t="str">
        <f>FormatItemUbertip(A2)</f>
        <v>+3所有属性</v>
      </c>
      <c r="D3" s="33" t="str">
        <f>FormatItemUbertip(B2)</f>
        <v>+3 All stats</v>
      </c>
      <c r="E3" s="44" t="s">
        <v>805</v>
      </c>
    </row>
    <row r="4" spans="1:5" x14ac:dyDescent="0.25">
      <c r="A4" s="53"/>
      <c r="B4" s="53"/>
      <c r="C4" s="33"/>
      <c r="D4" s="33"/>
      <c r="E4" s="44" t="s">
        <v>805</v>
      </c>
    </row>
    <row r="5" spans="1:5" x14ac:dyDescent="0.25">
      <c r="A5" s="52" t="s">
        <v>527</v>
      </c>
      <c r="B5" s="52" t="s">
        <v>751</v>
      </c>
      <c r="C5" s="33" t="str">
        <f>FormatItemName(A5)</f>
        <v>|CFF11FF11减速之靴|R</v>
      </c>
      <c r="D5" s="33" t="str">
        <f>FormatItemName(B5)</f>
        <v>|CFF11FF11Heavy Boots|R</v>
      </c>
      <c r="E5" s="44" t="s">
        <v>805</v>
      </c>
    </row>
    <row r="6" spans="1:5" x14ac:dyDescent="0.25">
      <c r="A6" s="54" t="s">
        <v>472</v>
      </c>
      <c r="B6" s="54" t="s">
        <v>752</v>
      </c>
      <c r="C6" s="33" t="str">
        <f>FormatItemDescription(A5:A7)</f>
        <v>+1物理免伤|N|N|CFF999999这双靴子除了很重以外，没有什么特点了。|R</v>
      </c>
      <c r="D6" s="33" t="str">
        <f>FormatItemDescription(B5:B7)</f>
        <v>+1 Armor|N|N|CFF999999It's just heavy, nothing special.|R</v>
      </c>
      <c r="E6" s="44" t="s">
        <v>805</v>
      </c>
    </row>
    <row r="7" spans="1:5" x14ac:dyDescent="0.25">
      <c r="A7" s="55" t="s">
        <v>528</v>
      </c>
      <c r="B7" s="55" t="s">
        <v>753</v>
      </c>
      <c r="C7" s="33" t="str">
        <f>FormatItemUbertip(A6:A7)</f>
        <v>+1物理免伤|N|N|CFF999999这双靴子除了很重以外，没有什么特点了。|R</v>
      </c>
      <c r="D7" s="33" t="str">
        <f>FormatItemUbertip(B6:B7)</f>
        <v>+1 Armor|N|N|CFF999999It's just heavy, nothing special.|R</v>
      </c>
      <c r="E7" s="44" t="s">
        <v>805</v>
      </c>
    </row>
    <row r="8" spans="1:5" x14ac:dyDescent="0.25">
      <c r="A8" s="53"/>
      <c r="B8" s="53"/>
      <c r="C8" s="35"/>
      <c r="D8" s="35"/>
      <c r="E8" s="44" t="s">
        <v>805</v>
      </c>
    </row>
    <row r="9" spans="1:5" x14ac:dyDescent="0.25">
      <c r="A9" s="52" t="s">
        <v>529</v>
      </c>
      <c r="B9" s="52" t="s">
        <v>754</v>
      </c>
      <c r="C9" s="33" t="str">
        <f>FormatItemName(A9)</f>
        <v>|CFF11FF11英勇面具|R</v>
      </c>
      <c r="D9" s="33" t="str">
        <f>FormatItemName(B9)</f>
        <v>|CFF11FF11Helm of Valor|R</v>
      </c>
      <c r="E9" s="44" t="s">
        <v>805</v>
      </c>
    </row>
    <row r="10" spans="1:5" x14ac:dyDescent="0.25">
      <c r="A10" s="54" t="s">
        <v>470</v>
      </c>
      <c r="B10" s="54" t="s">
        <v>755</v>
      </c>
      <c r="C10" s="33" t="str">
        <f>FormatItemDescription(A9:A11)</f>
        <v>+4力量|N+4敏捷</v>
      </c>
      <c r="D10" s="33" t="str">
        <f>FormatItemDescription(B9:B11)</f>
        <v>+4 Strength|N+4 Agility</v>
      </c>
      <c r="E10" s="44" t="s">
        <v>805</v>
      </c>
    </row>
    <row r="11" spans="1:5" x14ac:dyDescent="0.25">
      <c r="A11" s="54" t="s">
        <v>471</v>
      </c>
      <c r="B11" s="54" t="s">
        <v>756</v>
      </c>
      <c r="C11" s="33" t="str">
        <f>FormatItemUbertip(A10:A11)</f>
        <v>+4力量|N+4敏捷</v>
      </c>
      <c r="D11" s="33" t="str">
        <f>FormatItemUbertip(B10:B11)</f>
        <v>+4 Strength|N+4 Agility</v>
      </c>
      <c r="E11" s="44" t="s">
        <v>805</v>
      </c>
    </row>
    <row r="12" spans="1:5" x14ac:dyDescent="0.25">
      <c r="A12" s="53"/>
      <c r="B12" s="53"/>
      <c r="C12" s="35"/>
      <c r="D12" s="35"/>
      <c r="E12" s="44" t="s">
        <v>805</v>
      </c>
    </row>
    <row r="13" spans="1:5" x14ac:dyDescent="0.25">
      <c r="A13" s="52" t="s">
        <v>530</v>
      </c>
      <c r="B13" s="52" t="s">
        <v>757</v>
      </c>
      <c r="C13" s="33" t="str">
        <f>FormatItemName(A13)</f>
        <v>|CFF11FF11勇气勋章|R</v>
      </c>
      <c r="D13" s="33" t="str">
        <f>FormatItemName(B13)</f>
        <v>|CFF11FF11Medalion of Courage|R</v>
      </c>
      <c r="E13" s="44" t="s">
        <v>805</v>
      </c>
    </row>
    <row r="14" spans="1:5" x14ac:dyDescent="0.25">
      <c r="A14" s="54" t="s">
        <v>470</v>
      </c>
      <c r="B14" s="54" t="s">
        <v>755</v>
      </c>
      <c r="C14" s="33" t="str">
        <f>FormatItemDescription(A13:A15)</f>
        <v>+4力量|N+4智力</v>
      </c>
      <c r="D14" s="33" t="str">
        <f>FormatItemDescription(B13:B15)</f>
        <v>+4 Strength|N+4 Intelligence</v>
      </c>
      <c r="E14" s="44" t="s">
        <v>805</v>
      </c>
    </row>
    <row r="15" spans="1:5" x14ac:dyDescent="0.25">
      <c r="A15" s="54" t="s">
        <v>474</v>
      </c>
      <c r="B15" s="54" t="s">
        <v>758</v>
      </c>
      <c r="C15" s="33" t="str">
        <f>FormatItemUbertip(A14:A15)</f>
        <v>+4力量|N+4智力</v>
      </c>
      <c r="D15" s="33" t="str">
        <f>FormatItemUbertip(B14:B15)</f>
        <v>+4 Strength|N+4 Intelligence</v>
      </c>
      <c r="E15" s="44" t="s">
        <v>805</v>
      </c>
    </row>
    <row r="16" spans="1:5" x14ac:dyDescent="0.25">
      <c r="A16" s="53"/>
      <c r="B16" s="53"/>
      <c r="C16" s="35"/>
      <c r="D16" s="35"/>
      <c r="E16" s="44" t="s">
        <v>805</v>
      </c>
    </row>
    <row r="17" spans="1:5" x14ac:dyDescent="0.25">
      <c r="A17" s="52" t="s">
        <v>531</v>
      </c>
      <c r="B17" s="52" t="s">
        <v>759</v>
      </c>
      <c r="C17" s="33" t="str">
        <f>FormatItemName(A17)</f>
        <v>|CFF11FF11灵巧头巾|R</v>
      </c>
      <c r="D17" s="33" t="str">
        <f>FormatItemName(B17)</f>
        <v>|CFF11FF11Hood of Cunning|R</v>
      </c>
      <c r="E17" s="44" t="s">
        <v>805</v>
      </c>
    </row>
    <row r="18" spans="1:5" x14ac:dyDescent="0.25">
      <c r="A18" s="54" t="s">
        <v>471</v>
      </c>
      <c r="B18" s="54" t="s">
        <v>756</v>
      </c>
      <c r="C18" s="33" t="str">
        <f>FormatItemDescription(A17:A19)</f>
        <v>+4敏捷|N+4智力</v>
      </c>
      <c r="D18" s="33" t="str">
        <f>FormatItemDescription(B17:B19)</f>
        <v>+4 Agility|N+4 Intelligence</v>
      </c>
      <c r="E18" s="44" t="s">
        <v>805</v>
      </c>
    </row>
    <row r="19" spans="1:5" x14ac:dyDescent="0.25">
      <c r="A19" s="54" t="s">
        <v>474</v>
      </c>
      <c r="B19" s="54" t="s">
        <v>758</v>
      </c>
      <c r="C19" s="33" t="str">
        <f>FormatItemUbertip(A18:A19)</f>
        <v>+4敏捷|N+4智力</v>
      </c>
      <c r="D19" s="33" t="str">
        <f>FormatItemUbertip(B18:B19)</f>
        <v>+4 Agility|N+4 Intelligence</v>
      </c>
      <c r="E19" s="44" t="s">
        <v>805</v>
      </c>
    </row>
    <row r="20" spans="1:5" x14ac:dyDescent="0.25">
      <c r="E20" s="44" t="s">
        <v>805</v>
      </c>
    </row>
    <row r="21" spans="1:5" x14ac:dyDescent="0.25">
      <c r="A21" s="52" t="s">
        <v>532</v>
      </c>
      <c r="B21" s="52" t="s">
        <v>760</v>
      </c>
      <c r="C21" s="33" t="str">
        <f>FormatItemName(A21)</f>
        <v>|CFF11FF11攻击之爪|R</v>
      </c>
      <c r="D21" s="33" t="str">
        <f>FormatItemName(B21)</f>
        <v>|CFF11FF11Claws of Attack|R</v>
      </c>
      <c r="E21" s="44" t="s">
        <v>805</v>
      </c>
    </row>
    <row r="22" spans="1:5" x14ac:dyDescent="0.25">
      <c r="A22" s="54" t="s">
        <v>533</v>
      </c>
      <c r="B22" s="54" t="s">
        <v>761</v>
      </c>
      <c r="C22" s="33" t="str">
        <f>FormatItemDescription(A21:A22)</f>
        <v>+5攻击强度</v>
      </c>
      <c r="D22" s="33" t="str">
        <f>FormatItemDescription(B21:B22)</f>
        <v>+5 Attack power</v>
      </c>
      <c r="E22" s="44" t="s">
        <v>805</v>
      </c>
    </row>
    <row r="23" spans="1:5" x14ac:dyDescent="0.25">
      <c r="A23" s="57"/>
      <c r="B23" s="57"/>
      <c r="C23" s="33" t="str">
        <f>FormatItemUbertip(A22)</f>
        <v>+5攻击强度</v>
      </c>
      <c r="D23" s="33" t="str">
        <f>FormatItemUbertip(B22)</f>
        <v>+5 Attack power</v>
      </c>
      <c r="E23" s="44" t="s">
        <v>805</v>
      </c>
    </row>
    <row r="24" spans="1:5" x14ac:dyDescent="0.25">
      <c r="A24" s="57"/>
      <c r="B24" s="57"/>
      <c r="C24" s="33"/>
      <c r="D24" s="33"/>
      <c r="E24" s="44" t="s">
        <v>805</v>
      </c>
    </row>
    <row r="25" spans="1:5" x14ac:dyDescent="0.25">
      <c r="A25" s="52" t="s">
        <v>534</v>
      </c>
      <c r="B25" s="52" t="s">
        <v>762</v>
      </c>
      <c r="C25" s="33" t="str">
        <f>FormatItemName(A25)</f>
        <v>|CFF11FF11加速手套|R</v>
      </c>
      <c r="D25" s="33" t="str">
        <f>FormatItemName(B25)</f>
        <v>|CFF11FF11Gloves of Haste|R</v>
      </c>
      <c r="E25" s="44" t="s">
        <v>805</v>
      </c>
    </row>
    <row r="26" spans="1:5" x14ac:dyDescent="0.25">
      <c r="A26" s="54" t="s">
        <v>535</v>
      </c>
      <c r="B26" s="54" t="s">
        <v>763</v>
      </c>
      <c r="C26" s="33" t="str">
        <f>FormatItemDescription(A25:A26)</f>
        <v>+5%攻击速度</v>
      </c>
      <c r="D26" s="33" t="str">
        <f>FormatItemDescription(B25:B26)</f>
        <v>+5% Attack speed</v>
      </c>
      <c r="E26" s="44" t="s">
        <v>805</v>
      </c>
    </row>
    <row r="27" spans="1:5" x14ac:dyDescent="0.25">
      <c r="A27" s="57"/>
      <c r="B27" s="57"/>
      <c r="C27" s="33" t="str">
        <f>FormatItemUbertip(A26)</f>
        <v>+5%攻击速度</v>
      </c>
      <c r="D27" s="33" t="str">
        <f>FormatItemUbertip(B26)</f>
        <v>+5% Attack speed</v>
      </c>
      <c r="E27" s="44" t="s">
        <v>805</v>
      </c>
    </row>
    <row r="28" spans="1:5" x14ac:dyDescent="0.25">
      <c r="A28" s="57"/>
      <c r="B28" s="57"/>
      <c r="C28" s="33"/>
      <c r="D28" s="33"/>
      <c r="E28" s="44" t="s">
        <v>805</v>
      </c>
    </row>
    <row r="29" spans="1:5" x14ac:dyDescent="0.25">
      <c r="A29" s="52" t="s">
        <v>536</v>
      </c>
      <c r="B29" s="52" t="s">
        <v>764</v>
      </c>
      <c r="C29" s="33" t="str">
        <f>FormatItemName(A29)</f>
        <v>|CFF11FF11刺杀剑|R</v>
      </c>
      <c r="D29" s="33" t="str">
        <f>FormatItemName(B29)</f>
        <v>|CFF11FF11Sword of Assassination|R</v>
      </c>
      <c r="E29" s="44" t="s">
        <v>805</v>
      </c>
    </row>
    <row r="30" spans="1:5" x14ac:dyDescent="0.25">
      <c r="A30" s="54" t="s">
        <v>479</v>
      </c>
      <c r="B30" s="54" t="s">
        <v>765</v>
      </c>
      <c r="C30" s="33" t="str">
        <f>FormatItemDescription(A29:A30)</f>
        <v>+3%暴击几率</v>
      </c>
      <c r="D30" s="33" t="str">
        <f>FormatItemDescription(B29:B30)</f>
        <v>+3% Attack critical hit chance</v>
      </c>
      <c r="E30" s="44" t="s">
        <v>805</v>
      </c>
    </row>
    <row r="31" spans="1:5" x14ac:dyDescent="0.25">
      <c r="C31" s="33" t="str">
        <f>FormatItemUbertip(A30)</f>
        <v>+3%暴击几率</v>
      </c>
      <c r="D31" s="33" t="str">
        <f>FormatItemUbertip(B30)</f>
        <v>+3% Attack critical hit chance</v>
      </c>
      <c r="E31" s="44" t="s">
        <v>805</v>
      </c>
    </row>
    <row r="32" spans="1:5" x14ac:dyDescent="0.25">
      <c r="C32" s="33"/>
      <c r="D32" s="33"/>
      <c r="E32" s="44" t="s">
        <v>805</v>
      </c>
    </row>
    <row r="33" spans="1:5" x14ac:dyDescent="0.25">
      <c r="A33" s="52" t="s">
        <v>537</v>
      </c>
      <c r="B33" s="52" t="s">
        <v>766</v>
      </c>
      <c r="C33" s="33" t="str">
        <f>FormatItemName(A33)</f>
        <v>|CFF11FF11生命护符|R</v>
      </c>
      <c r="D33" s="33" t="str">
        <f>FormatItemName(B33)</f>
        <v>|CFF11FF11Vitality Periapt|R</v>
      </c>
      <c r="E33" s="44" t="s">
        <v>805</v>
      </c>
    </row>
    <row r="34" spans="1:5" x14ac:dyDescent="0.25">
      <c r="A34" s="54" t="s">
        <v>538</v>
      </c>
      <c r="B34" s="54" t="s">
        <v>773</v>
      </c>
      <c r="C34" s="33" t="str">
        <f>FormatItemDescription(A33:A34)</f>
        <v>+80生命值</v>
      </c>
      <c r="D34" s="33" t="str">
        <f>FormatItemDescription(B33:B34)</f>
        <v>+80 Max hit points</v>
      </c>
      <c r="E34" s="44" t="s">
        <v>805</v>
      </c>
    </row>
    <row r="35" spans="1:5" x14ac:dyDescent="0.25">
      <c r="A35" s="53"/>
      <c r="B35" s="53"/>
      <c r="C35" s="33" t="str">
        <f>FormatItemUbertip(A34)</f>
        <v>+80生命值</v>
      </c>
      <c r="D35" s="33" t="str">
        <f>FormatItemUbertip(B34)</f>
        <v>+80 Max hit points</v>
      </c>
      <c r="E35" s="44" t="s">
        <v>805</v>
      </c>
    </row>
    <row r="36" spans="1:5" x14ac:dyDescent="0.25">
      <c r="A36" s="53"/>
      <c r="B36" s="53"/>
      <c r="C36" s="33"/>
      <c r="D36" s="33"/>
      <c r="E36" s="44" t="s">
        <v>805</v>
      </c>
    </row>
    <row r="37" spans="1:5" x14ac:dyDescent="0.25">
      <c r="A37" s="52" t="s">
        <v>539</v>
      </c>
      <c r="B37" s="52" t="s">
        <v>774</v>
      </c>
      <c r="C37" s="33" t="str">
        <f>FormatItemName(A37)</f>
        <v>|CFF11FF11守护指环|R</v>
      </c>
      <c r="D37" s="33" t="str">
        <f>FormatItemName(B37)</f>
        <v>|CFF11FF11Ring of Protection|R</v>
      </c>
      <c r="E37" s="44" t="s">
        <v>805</v>
      </c>
    </row>
    <row r="38" spans="1:5" x14ac:dyDescent="0.25">
      <c r="A38" s="54" t="s">
        <v>473</v>
      </c>
      <c r="B38" s="54" t="s">
        <v>775</v>
      </c>
      <c r="C38" s="33" t="str">
        <f>FormatItemDescription(A37:A38)</f>
        <v>+2物理免伤</v>
      </c>
      <c r="D38" s="33" t="str">
        <f>FormatItemDescription(B37:B38)</f>
        <v>+2 Armor</v>
      </c>
      <c r="E38" s="44" t="s">
        <v>805</v>
      </c>
    </row>
    <row r="39" spans="1:5" x14ac:dyDescent="0.25">
      <c r="A39" s="53"/>
      <c r="B39" s="53"/>
      <c r="C39" s="33" t="str">
        <f>FormatItemUbertip(A38)</f>
        <v>+2物理免伤</v>
      </c>
      <c r="D39" s="33" t="str">
        <f>FormatItemUbertip(B38)</f>
        <v>+2 Armor</v>
      </c>
      <c r="E39" s="44" t="s">
        <v>805</v>
      </c>
    </row>
    <row r="40" spans="1:5" x14ac:dyDescent="0.25">
      <c r="A40" s="53"/>
      <c r="B40" s="53"/>
      <c r="C40" s="33"/>
      <c r="D40" s="33"/>
      <c r="E40" s="44" t="s">
        <v>805</v>
      </c>
    </row>
    <row r="41" spans="1:5" x14ac:dyDescent="0.25">
      <c r="A41" s="52" t="s">
        <v>540</v>
      </c>
      <c r="B41" s="52" t="s">
        <v>776</v>
      </c>
      <c r="C41" s="33" t="str">
        <f>FormatItemName(A41)</f>
        <v>|CFF11FF11闪避护符|R</v>
      </c>
      <c r="D41" s="33" t="str">
        <f>FormatItemName(B41)</f>
        <v>|CFF11FF11Talisman of Evasion|R</v>
      </c>
      <c r="E41" s="44" t="s">
        <v>805</v>
      </c>
    </row>
    <row r="42" spans="1:5" x14ac:dyDescent="0.25">
      <c r="A42" s="54" t="s">
        <v>525</v>
      </c>
      <c r="B42" s="54" t="s">
        <v>777</v>
      </c>
      <c r="C42" s="33" t="str">
        <f>FormatItemDescription(A41:A42)</f>
        <v>+1%躲闪几率</v>
      </c>
      <c r="D42" s="33" t="str">
        <f>FormatItemDescription(B41:B42)</f>
        <v>+1% Dodge chance</v>
      </c>
      <c r="E42" s="44" t="s">
        <v>805</v>
      </c>
    </row>
    <row r="43" spans="1:5" x14ac:dyDescent="0.25">
      <c r="C43" s="33" t="str">
        <f>FormatItemUbertip(A42)</f>
        <v>+1%躲闪几率</v>
      </c>
      <c r="D43" s="33" t="str">
        <f>FormatItemUbertip(B42)</f>
        <v>+1% Dodge chance</v>
      </c>
      <c r="E43" s="44" t="s">
        <v>805</v>
      </c>
    </row>
    <row r="44" spans="1:5" x14ac:dyDescent="0.25">
      <c r="C44" s="33"/>
      <c r="D44" s="33"/>
      <c r="E44" s="44" t="s">
        <v>805</v>
      </c>
    </row>
    <row r="45" spans="1:5" x14ac:dyDescent="0.25">
      <c r="A45" s="52" t="s">
        <v>541</v>
      </c>
      <c r="B45" s="52" t="s">
        <v>778</v>
      </c>
      <c r="C45" s="33" t="str">
        <f>FormatItemName(A45)</f>
        <v>|CFF11FF11能量垂饰|R</v>
      </c>
      <c r="D45" s="33" t="str">
        <f>FormatItemName(B45)</f>
        <v>|CFF11FF11Mana Periapt|R</v>
      </c>
      <c r="E45" s="44" t="s">
        <v>805</v>
      </c>
    </row>
    <row r="46" spans="1:5" x14ac:dyDescent="0.25">
      <c r="A46" s="54" t="s">
        <v>542</v>
      </c>
      <c r="B46" s="54" t="s">
        <v>779</v>
      </c>
      <c r="C46" s="33" t="str">
        <f>FormatItemDescription(A45:A46)</f>
        <v>+100法力值</v>
      </c>
      <c r="D46" s="33" t="str">
        <f>FormatItemDescription(B45:B46)</f>
        <v>+100 Max mana points</v>
      </c>
      <c r="E46" s="44" t="s">
        <v>805</v>
      </c>
    </row>
    <row r="47" spans="1:5" x14ac:dyDescent="0.25">
      <c r="C47" s="33" t="str">
        <f>FormatItemUbertip(A46)</f>
        <v>+100法力值</v>
      </c>
      <c r="D47" s="33" t="str">
        <f>FormatItemUbertip(B46)</f>
        <v>+100 Max mana points</v>
      </c>
      <c r="E47" s="44" t="s">
        <v>805</v>
      </c>
    </row>
    <row r="48" spans="1:5" x14ac:dyDescent="0.25">
      <c r="C48" s="33"/>
      <c r="D48" s="33"/>
      <c r="E48" s="44" t="s">
        <v>805</v>
      </c>
    </row>
    <row r="49" spans="1:5" x14ac:dyDescent="0.25">
      <c r="A49" s="52" t="s">
        <v>543</v>
      </c>
      <c r="B49" s="52" t="s">
        <v>780</v>
      </c>
      <c r="C49" s="33" t="str">
        <f>FormatItemName(A49)</f>
        <v>|CFF11FF11艺人面罩|R</v>
      </c>
      <c r="D49" s="33" t="str">
        <f>FormatItemName(B49)</f>
        <v>|CFF11FF11Sobi Mask|R</v>
      </c>
      <c r="E49" s="44" t="s">
        <v>805</v>
      </c>
    </row>
    <row r="50" spans="1:5" x14ac:dyDescent="0.25">
      <c r="A50" s="54" t="s">
        <v>477</v>
      </c>
      <c r="B50" s="54" t="s">
        <v>781</v>
      </c>
      <c r="C50" s="33" t="str">
        <f>FormatItemDescription(A49:A50)</f>
        <v>每秒回复4点法力值</v>
      </c>
      <c r="D50" s="33" t="str">
        <f>FormatItemDescription(B49:B50)</f>
        <v>Replenishes 4 mana points per second</v>
      </c>
      <c r="E50" s="44" t="s">
        <v>805</v>
      </c>
    </row>
    <row r="51" spans="1:5" x14ac:dyDescent="0.25">
      <c r="C51" s="33" t="str">
        <f>FormatItemUbertip(A50)</f>
        <v>每秒回复4点法力值</v>
      </c>
      <c r="D51" s="33" t="str">
        <f>FormatItemUbertip(B50)</f>
        <v>Replenishes 4 mana points per second</v>
      </c>
      <c r="E51" s="44" t="s">
        <v>805</v>
      </c>
    </row>
    <row r="52" spans="1:5" x14ac:dyDescent="0.25">
      <c r="C52" s="33"/>
      <c r="D52" s="33"/>
      <c r="E52" s="44" t="s">
        <v>805</v>
      </c>
    </row>
    <row r="53" spans="1:5" x14ac:dyDescent="0.25">
      <c r="A53" s="52" t="s">
        <v>544</v>
      </c>
      <c r="B53" s="52" t="s">
        <v>782</v>
      </c>
      <c r="C53" s="33" t="str">
        <f>FormatItemName(A53)</f>
        <v>|CFF11FF11巫医法杖|R</v>
      </c>
      <c r="D53" s="33" t="str">
        <f>FormatItemName(B53)</f>
        <v>|CFF11FF11Staff of the Witch Doctor|R</v>
      </c>
      <c r="E53" s="44" t="s">
        <v>805</v>
      </c>
    </row>
    <row r="54" spans="1:5" x14ac:dyDescent="0.25">
      <c r="A54" s="54" t="s">
        <v>78</v>
      </c>
      <c r="B54" s="54" t="s">
        <v>783</v>
      </c>
      <c r="C54" s="33" t="str">
        <f>FormatItemDescription(A53:A54)</f>
        <v>+10法术强度</v>
      </c>
      <c r="D54" s="33" t="str">
        <f>FormatItemDescription(B53:B54)</f>
        <v>+10 Spell power</v>
      </c>
      <c r="E54" s="44" t="s">
        <v>805</v>
      </c>
    </row>
    <row r="55" spans="1:5" x14ac:dyDescent="0.25">
      <c r="C55" s="33" t="str">
        <f>FormatItemUbertip(A54)</f>
        <v>+10法术强度</v>
      </c>
      <c r="D55" s="33" t="str">
        <f>FormatItemUbertip(B54)</f>
        <v>+10 Spell power</v>
      </c>
      <c r="E55" s="44" t="s">
        <v>805</v>
      </c>
    </row>
    <row r="56" spans="1:5" x14ac:dyDescent="0.25">
      <c r="C56" s="33"/>
      <c r="D56" s="33"/>
      <c r="E56" s="44" t="s">
        <v>805</v>
      </c>
    </row>
    <row r="57" spans="1:5" x14ac:dyDescent="0.25">
      <c r="A57" s="52" t="s">
        <v>545</v>
      </c>
      <c r="B57" s="52" t="s">
        <v>784</v>
      </c>
      <c r="C57" s="33" t="str">
        <f>FormatItemName(A57)</f>
        <v>|CFF11FF11医疗石|R</v>
      </c>
      <c r="D57" s="33" t="str">
        <f>FormatItemName(B57)</f>
        <v>|CFF11FF11Health Stone|R</v>
      </c>
      <c r="E57" s="44" t="s">
        <v>805</v>
      </c>
    </row>
    <row r="58" spans="1:5" x14ac:dyDescent="0.25">
      <c r="A58" s="54" t="s">
        <v>546</v>
      </c>
      <c r="B58" s="54" t="s">
        <v>785</v>
      </c>
      <c r="C58" s="33" t="str">
        <f>FormatItemDescription(A57:A59)</f>
        <v>每秒回复5点生命值|N|CFF33FF33使用:回复300-600点生命值|R</v>
      </c>
      <c r="D58" s="33" t="str">
        <f>FormatItemDescription(B57:B59)</f>
        <v>Replenishes 5 hit points per second|N|CFF33FF33Use: Replenishes 300 - 600 hit points|R</v>
      </c>
      <c r="E58" s="44" t="s">
        <v>805</v>
      </c>
    </row>
    <row r="59" spans="1:5" x14ac:dyDescent="0.25">
      <c r="A59" s="37" t="s">
        <v>547</v>
      </c>
      <c r="B59" s="37" t="s">
        <v>786</v>
      </c>
      <c r="C59" s="33" t="str">
        <f>FormatItemUbertip(A58:A59)</f>
        <v>每秒回复5点生命值|N|CFF33FF33使用:回复300-600点生命值|R</v>
      </c>
      <c r="D59" s="33" t="str">
        <f>FormatItemUbertip(B58:B59)</f>
        <v>Replenishes 5 hit points per second|N|CFF33FF33Use: Replenishes 300 - 600 hit points|R</v>
      </c>
      <c r="E59" s="44" t="s">
        <v>805</v>
      </c>
    </row>
    <row r="60" spans="1:5" x14ac:dyDescent="0.25">
      <c r="A60" s="58"/>
      <c r="B60" s="58"/>
      <c r="C60" s="50"/>
      <c r="D60" s="50"/>
      <c r="E60" s="44" t="s">
        <v>805</v>
      </c>
    </row>
    <row r="61" spans="1:5" x14ac:dyDescent="0.25">
      <c r="A61" s="52" t="s">
        <v>548</v>
      </c>
      <c r="B61" s="52" t="s">
        <v>787</v>
      </c>
      <c r="C61" s="33" t="str">
        <f>FormatItemName(A61)</f>
        <v>|CFF11FF11魔法石|R</v>
      </c>
      <c r="D61" s="33" t="str">
        <f>FormatItemName(B61)</f>
        <v>|CFF11FF11Mana Stone|R</v>
      </c>
      <c r="E61" s="44" t="s">
        <v>805</v>
      </c>
    </row>
    <row r="62" spans="1:5" x14ac:dyDescent="0.25">
      <c r="A62" s="54" t="s">
        <v>477</v>
      </c>
      <c r="B62" s="54" t="s">
        <v>781</v>
      </c>
      <c r="C62" s="33" t="str">
        <f>FormatItemDescription(A61:A63)</f>
        <v>每秒回复4点法力值|N|CFF33FF33使用:回复200-400点法力值|R</v>
      </c>
      <c r="D62" s="33" t="str">
        <f>FormatItemDescription(B61:B63)</f>
        <v>Replenishes 4 mana points per second|N|CFF33FF33Use: Replenishes 200 - 400 mana points|R</v>
      </c>
      <c r="E62" s="44" t="s">
        <v>805</v>
      </c>
    </row>
    <row r="63" spans="1:5" x14ac:dyDescent="0.25">
      <c r="A63" s="37" t="s">
        <v>549</v>
      </c>
      <c r="B63" s="37" t="s">
        <v>788</v>
      </c>
      <c r="C63" s="33" t="str">
        <f>FormatItemUbertip(A62:A63)</f>
        <v>每秒回复4点法力值|N|CFF33FF33使用:回复200-400点法力值|R</v>
      </c>
      <c r="D63" s="33" t="str">
        <f>FormatItemUbertip(B62:B63)</f>
        <v>Replenishes 4 mana points per second|N|CFF33FF33Use: Replenishes 200 - 400 mana points|R</v>
      </c>
      <c r="E63" s="44" t="s">
        <v>805</v>
      </c>
    </row>
    <row r="64" spans="1:5" x14ac:dyDescent="0.25">
      <c r="E64" s="44" t="s">
        <v>805</v>
      </c>
    </row>
    <row r="65" spans="1:5" x14ac:dyDescent="0.25">
      <c r="A65" s="52" t="s">
        <v>550</v>
      </c>
      <c r="B65" s="52" t="s">
        <v>789</v>
      </c>
      <c r="C65" s="33" t="str">
        <f>FormatItemName(A65)</f>
        <v>|CFF11FF11罗密欧的过期毒药|R</v>
      </c>
      <c r="D65" s="33" t="str">
        <f>FormatItemName(B65)</f>
        <v>|CFF11FF11Romulo's Expired Poison|R</v>
      </c>
      <c r="E65" s="44" t="s">
        <v>805</v>
      </c>
    </row>
    <row r="66" spans="1:5" x14ac:dyDescent="0.25">
      <c r="A66" s="37" t="s">
        <v>551</v>
      </c>
      <c r="B66" s="37" t="s">
        <v>855</v>
      </c>
      <c r="C66" s="33" t="str">
        <f>FormatItemDescription(A65:A67)</f>
        <v>|CFF33FF33命中：有25%的几率对目标造成80-115点法术伤害。|R|N|N|CFF999999还能用。|R</v>
      </c>
      <c r="D66" s="33" t="str">
        <f>FormatItemDescription(B65:B67)</f>
        <v>|CFF33FF33Hit Target: 25% chance to deal 80 - 115 magical damage to target|R|N|N|CFF999999Still usable.|R</v>
      </c>
      <c r="E66" s="44" t="s">
        <v>805</v>
      </c>
    </row>
    <row r="67" spans="1:5" x14ac:dyDescent="0.25">
      <c r="A67" s="55" t="s">
        <v>552</v>
      </c>
      <c r="B67" s="55" t="s">
        <v>790</v>
      </c>
      <c r="C67" s="33" t="str">
        <f>FormatItemUbertip(A66:A67)</f>
        <v>|CFF33FF33命中：有25%的几率对目标造成80-115点法术伤害。|R|N|N|CFF999999还能用。|R</v>
      </c>
      <c r="D67" s="33" t="str">
        <f>FormatItemUbertip(B66:B67)</f>
        <v>|CFF33FF33Hit Target: 25% chance to deal 80 - 115 magical damage to target|R|N|N|CFF999999Still usable.|R</v>
      </c>
      <c r="E67" s="44" t="s">
        <v>805</v>
      </c>
    </row>
    <row r="68" spans="1:5" x14ac:dyDescent="0.25">
      <c r="A68" s="57"/>
      <c r="B68" s="57"/>
      <c r="C68" s="35"/>
      <c r="D68" s="35"/>
      <c r="E68" s="44" t="s">
        <v>805</v>
      </c>
    </row>
    <row r="69" spans="1:5" x14ac:dyDescent="0.25">
      <c r="A69" s="52" t="s">
        <v>553</v>
      </c>
      <c r="B69" s="52" t="s">
        <v>791</v>
      </c>
      <c r="C69" s="33" t="str">
        <f>FormatItemName(A69)</f>
        <v>|CFF11FF11莫罗斯的幸运齿轮|R</v>
      </c>
      <c r="D69" s="33" t="str">
        <f>FormatItemName(B69)</f>
        <v>|CFF11FF11Moroes' Lucky Gear|R</v>
      </c>
      <c r="E69" s="44" t="s">
        <v>805</v>
      </c>
    </row>
    <row r="70" spans="1:5" x14ac:dyDescent="0.25">
      <c r="A70" s="54" t="s">
        <v>554</v>
      </c>
      <c r="B70" s="54" t="s">
        <v>792</v>
      </c>
      <c r="C70" s="33" t="str">
        <f>FormatItemDescription(A69:A72)</f>
        <v>+3%躲闪几率|N|CFF33FF33使用：提高30%的躲闪几率，持续10秒。|R|N|N|CFF999999从莫罗斯的幸运怀表上面卸下来的。|R</v>
      </c>
      <c r="D70" s="33" t="str">
        <f>FormatItemDescription(B69:B72)</f>
        <v>+3% Dodge chance|N|CFF33FF33Use: Increase dodge chance by 30%, lasts for 10 seconds|R|N|N|CFF999999Disassembled from Moroes' Lucky Pocket Watch|R</v>
      </c>
      <c r="E70" s="44" t="s">
        <v>805</v>
      </c>
    </row>
    <row r="71" spans="1:5" x14ac:dyDescent="0.25">
      <c r="A71" s="37" t="s">
        <v>555</v>
      </c>
      <c r="B71" s="37" t="s">
        <v>793</v>
      </c>
      <c r="C71" s="33" t="str">
        <f>FormatItemUbertip(A70:A72)</f>
        <v>+3%躲闪几率|N|CFF33FF33使用：提高30%的躲闪几率，持续10秒。|R|N|N|CFF999999从莫罗斯的幸运怀表上面卸下来的。|R</v>
      </c>
      <c r="D71" s="33" t="str">
        <f>FormatItemUbertip(B70:B72)</f>
        <v>+3% Dodge chance|N|CFF33FF33Use: Increase dodge chance by 30%, lasts for 10 seconds|R|N|N|CFF999999Disassembled from Moroes' Lucky Pocket Watch|R</v>
      </c>
      <c r="E71" s="44" t="s">
        <v>805</v>
      </c>
    </row>
    <row r="72" spans="1:5" x14ac:dyDescent="0.25">
      <c r="A72" s="55" t="s">
        <v>556</v>
      </c>
      <c r="B72" s="55" t="s">
        <v>794</v>
      </c>
      <c r="C72" s="49"/>
      <c r="D72" s="49"/>
      <c r="E72" s="44" t="s">
        <v>805</v>
      </c>
    </row>
    <row r="73" spans="1:5" x14ac:dyDescent="0.25">
      <c r="A73" s="53"/>
      <c r="B73" s="53"/>
      <c r="C73" s="35"/>
      <c r="D73" s="35"/>
      <c r="E73" s="44" t="s">
        <v>805</v>
      </c>
    </row>
    <row r="74" spans="1:5" x14ac:dyDescent="0.25">
      <c r="A74" s="52" t="s">
        <v>557</v>
      </c>
      <c r="B74" s="52" t="s">
        <v>795</v>
      </c>
      <c r="C74" s="33" t="str">
        <f>FormatItemName(A74)</f>
        <v>|CFF11FF11神秘腰带|R</v>
      </c>
      <c r="D74" s="33" t="str">
        <f>FormatItemName(B74)</f>
        <v>|CFF11FF11Runed Belt|R</v>
      </c>
      <c r="E74" s="44" t="s">
        <v>805</v>
      </c>
    </row>
    <row r="75" spans="1:5" x14ac:dyDescent="0.25">
      <c r="A75" s="54" t="s">
        <v>364</v>
      </c>
      <c r="B75" s="54" t="s">
        <v>797</v>
      </c>
      <c r="C75" s="33" t="str">
        <f>FormatItemDescription(A74:A77)</f>
        <v>+75生命上限|N-10%受到的法术伤害|N|N|CFF999999所谓护腕，是对食人魔而言。|R</v>
      </c>
      <c r="D75" s="33" t="str">
        <f>FormatItemDescription(B74:B77)</f>
        <v>+75 Max hit points|N-10% Magical damage taken|N|N|CFF999999Was a bracelet of an ogre.|R</v>
      </c>
      <c r="E75" s="44" t="s">
        <v>805</v>
      </c>
    </row>
    <row r="76" spans="1:5" x14ac:dyDescent="0.25">
      <c r="A76" s="54" t="s">
        <v>558</v>
      </c>
      <c r="B76" s="54" t="s">
        <v>798</v>
      </c>
      <c r="C76" s="33" t="str">
        <f>FormatItemUbertip(A75:A77)</f>
        <v>+75生命上限|N-10%受到的法术伤害|N|N|CFF999999所谓护腕，是对食人魔而言。|R</v>
      </c>
      <c r="D76" s="33" t="str">
        <f>FormatItemUbertip(B75:B77)</f>
        <v>+75 Max hit points|N-10% Magical damage taken|N|N|CFF999999Was a bracelet of an ogre.|R</v>
      </c>
      <c r="E76" s="44" t="s">
        <v>805</v>
      </c>
    </row>
    <row r="77" spans="1:5" x14ac:dyDescent="0.25">
      <c r="A77" s="55" t="s">
        <v>796</v>
      </c>
      <c r="B77" s="55" t="s">
        <v>800</v>
      </c>
      <c r="C77" s="33"/>
      <c r="D77" s="33"/>
      <c r="E77" s="44" t="s">
        <v>805</v>
      </c>
    </row>
    <row r="78" spans="1:5" x14ac:dyDescent="0.25">
      <c r="E78" s="44" t="s">
        <v>805</v>
      </c>
    </row>
    <row r="79" spans="1:5" x14ac:dyDescent="0.25">
      <c r="A79" s="52" t="s">
        <v>559</v>
      </c>
      <c r="B79" s="52" t="s">
        <v>801</v>
      </c>
      <c r="C79" s="33" t="str">
        <f>FormatItemName(A79)</f>
        <v>|CFF11FF11无光的新月徽记|R</v>
      </c>
      <c r="D79" s="33" t="str">
        <f>FormatItemName(B79)</f>
        <v>|CFF11FF11Unglazed Icon of the Crescent|R</v>
      </c>
      <c r="E79" s="44" t="s">
        <v>805</v>
      </c>
    </row>
    <row r="80" spans="1:5" x14ac:dyDescent="0.25">
      <c r="A80" s="54" t="s">
        <v>560</v>
      </c>
      <c r="B80" s="54" t="s">
        <v>802</v>
      </c>
      <c r="C80" s="33" t="str">
        <f>FormatItemDescription(A79:A82)</f>
        <v>+7智力|N|CFF33FF33使用：提高15点智力，持续20秒。|R|N|N|CFF999999依稀可以看出这个徽记曾经是漂亮的银色。|R</v>
      </c>
      <c r="D80" s="33" t="str">
        <f>FormatItemDescription(B79:B82)</f>
        <v>+7 Intelligence|N|CFF33FF33Use: Increase intelligence by 15, lasts for 20 seconds|R|N|N|CFF999999It can be seen vaguely that this icon was once beautiful silver.|R</v>
      </c>
      <c r="E80" s="44" t="s">
        <v>805</v>
      </c>
    </row>
    <row r="81" spans="1:5" x14ac:dyDescent="0.25">
      <c r="A81" s="37" t="s">
        <v>561</v>
      </c>
      <c r="B81" s="37" t="s">
        <v>803</v>
      </c>
      <c r="C81" s="33" t="str">
        <f>FormatItemUbertip(A80:A82)</f>
        <v>+7智力|N|CFF33FF33使用：提高15点智力，持续20秒。|R|N|N|CFF999999依稀可以看出这个徽记曾经是漂亮的银色。|R</v>
      </c>
      <c r="D81" s="33" t="str">
        <f>FormatItemUbertip(B80:B82)</f>
        <v>+7 Intelligence|N|CFF33FF33Use: Increase intelligence by 15, lasts for 20 seconds|R|N|N|CFF999999It can be seen vaguely that this icon was once beautiful silver.|R</v>
      </c>
      <c r="E81" s="44" t="s">
        <v>805</v>
      </c>
    </row>
    <row r="82" spans="1:5" x14ac:dyDescent="0.25">
      <c r="A82" s="55" t="s">
        <v>562</v>
      </c>
      <c r="B82" s="55" t="s">
        <v>804</v>
      </c>
      <c r="E82" s="44"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E196"/>
  <sheetViews>
    <sheetView topLeftCell="A28" workbookViewId="0">
      <selection activeCell="C56" sqref="C56"/>
    </sheetView>
  </sheetViews>
  <sheetFormatPr defaultColWidth="14.42578125" defaultRowHeight="14.25" x14ac:dyDescent="0.25"/>
  <cols>
    <col min="1" max="2" width="72.7109375" style="44" customWidth="1"/>
    <col min="3" max="4" width="30.7109375" style="43" customWidth="1"/>
    <col min="5" max="5" width="4.140625" style="43" bestFit="1" customWidth="1"/>
    <col min="6" max="16384" width="14.42578125" style="43"/>
  </cols>
  <sheetData>
    <row r="1" spans="1:5" x14ac:dyDescent="0.25">
      <c r="A1" s="64" t="s">
        <v>747</v>
      </c>
      <c r="B1" s="64" t="s">
        <v>748</v>
      </c>
      <c r="C1" s="33" t="str">
        <f>FormatItemName(A1)</f>
        <v>|CFF11FF11巨神之刃|R</v>
      </c>
      <c r="D1" s="33" t="str">
        <f>FormatItemName(B1)</f>
        <v>|CFF11FF11Colossus Blade|R</v>
      </c>
      <c r="E1" s="43" t="s">
        <v>805</v>
      </c>
    </row>
    <row r="2" spans="1:5" x14ac:dyDescent="0.25">
      <c r="A2" s="36" t="s">
        <v>377</v>
      </c>
      <c r="B2" s="36" t="s">
        <v>806</v>
      </c>
      <c r="C2" s="33" t="str">
        <f>FormatItemDescription(A1:A4)</f>
        <v>+50攻击强度|N+30%攻击速度|N|N|CFF999999一把粗犷的巨剑，做工不是很精良，在哈洛加斯这是最受欢迎的量产武器。|R</v>
      </c>
      <c r="D2" s="33" t="str">
        <f>FormatItemDescription(B1:B4)</f>
        <v>+50 Attack power|N+30% Attack speed|N|N|CFF999999A rough sword, the workmanship is not very good. But it's the most popular production weapons in Harrogath.|R</v>
      </c>
      <c r="E2" s="43" t="s">
        <v>805</v>
      </c>
    </row>
    <row r="3" spans="1:5" x14ac:dyDescent="0.25">
      <c r="A3" s="36" t="s">
        <v>378</v>
      </c>
      <c r="B3" s="36" t="s">
        <v>807</v>
      </c>
      <c r="C3" s="33" t="str">
        <f>FormatItemUbertip(A2:A4)</f>
        <v>+50攻击强度|N+30%攻击速度|N|N|CFF999999一把粗犷的巨剑，做工不是很精良，在哈洛加斯这是最受欢迎的量产武器。|R</v>
      </c>
      <c r="D3" s="33" t="str">
        <f>FormatItemUbertip(B2:B4)</f>
        <v>+50 Attack power|N+30% Attack speed|N|N|CFF999999A rough sword, the workmanship is not very good. But it's the most popular production weapons in Harrogath.|R</v>
      </c>
      <c r="E3" s="43" t="s">
        <v>805</v>
      </c>
    </row>
    <row r="4" spans="1:5" ht="28.5" x14ac:dyDescent="0.25">
      <c r="A4" s="65" t="s">
        <v>77</v>
      </c>
      <c r="B4" s="65" t="s">
        <v>808</v>
      </c>
      <c r="E4" s="43" t="s">
        <v>805</v>
      </c>
    </row>
    <row r="5" spans="1:5" x14ac:dyDescent="0.25">
      <c r="E5" s="43" t="s">
        <v>805</v>
      </c>
    </row>
    <row r="6" spans="1:5" s="35" customFormat="1" x14ac:dyDescent="0.25">
      <c r="A6" s="59" t="s">
        <v>22</v>
      </c>
      <c r="B6" s="59" t="s">
        <v>463</v>
      </c>
      <c r="C6" s="33" t="str">
        <f>FormatItemName(A6)</f>
        <v>|CFF8B66FF至尊二十一戒|R</v>
      </c>
      <c r="D6" s="33" t="str">
        <f>FormatItemName(B6)</f>
        <v>|CFF8B66FFThe 21 Ring|R</v>
      </c>
      <c r="E6" s="43" t="s">
        <v>805</v>
      </c>
    </row>
    <row r="7" spans="1:5" s="35" customFormat="1" x14ac:dyDescent="0.25">
      <c r="A7" s="36" t="s">
        <v>385</v>
      </c>
      <c r="B7" s="36" t="s">
        <v>809</v>
      </c>
      <c r="C7" s="33" t="str">
        <f>FormatItemDescription(A6:A8)</f>
        <v>|CFF8B66FFRare|R|N+21所有属性|N|N|CFF999999前面二十个都是渣.|R</v>
      </c>
      <c r="D7" s="33" t="str">
        <f>FormatItemDescription(B6:B8)</f>
        <v>|CFF8B66FFRare|R|N+21 All stats|N|N|CFF999999All the former 20 are trash!|R</v>
      </c>
      <c r="E7" s="43" t="s">
        <v>805</v>
      </c>
    </row>
    <row r="8" spans="1:5" s="35" customFormat="1" x14ac:dyDescent="0.25">
      <c r="A8" s="65" t="s">
        <v>59</v>
      </c>
      <c r="B8" s="65" t="s">
        <v>810</v>
      </c>
      <c r="C8" s="33" t="str">
        <f>FormatItemUbertip(A7:A8)</f>
        <v>+21所有属性|N|N|CFF999999前面二十个都是渣.|R</v>
      </c>
      <c r="D8" s="33" t="str">
        <f>FormatItemUbertip(B7:B8)</f>
        <v>+21 All stats|N|N|CFF999999All the former 20 are trash!|R</v>
      </c>
      <c r="E8" s="43" t="s">
        <v>805</v>
      </c>
    </row>
    <row r="9" spans="1:5" s="35" customFormat="1" x14ac:dyDescent="0.25">
      <c r="A9" s="34"/>
      <c r="B9" s="34"/>
      <c r="E9" s="43" t="s">
        <v>805</v>
      </c>
    </row>
    <row r="10" spans="1:5" s="35" customFormat="1" x14ac:dyDescent="0.25">
      <c r="A10" s="59" t="s">
        <v>60</v>
      </c>
      <c r="B10" s="59" t="s">
        <v>61</v>
      </c>
      <c r="C10" s="33" t="str">
        <f>FormatItemName(A10)</f>
        <v>|CFF8B66FF限量版地精火箭靴|R</v>
      </c>
      <c r="D10" s="33" t="str">
        <f>FormatItemName(B10)</f>
        <v>|CFF8B66FFGoblin Rocket Boots Limited Edition|R</v>
      </c>
      <c r="E10" s="43" t="s">
        <v>805</v>
      </c>
    </row>
    <row r="11" spans="1:5" s="35" customFormat="1" x14ac:dyDescent="0.25">
      <c r="A11" s="36" t="s">
        <v>402</v>
      </c>
      <c r="B11" s="36" t="s">
        <v>811</v>
      </c>
      <c r="C11" s="33" t="str">
        <f>FormatItemDescription(A10:A16)</f>
        <v>|CFF8B66FFRare|R|N+125生命上限|N+175法力上限|N+1%躲闪|N+20移动速度|N|CFF33FF33使用:提高300点移动速度,持续10秒.可能故障.|R|N|N|CFF999999限量发售,可是毕竟是地精产品|R</v>
      </c>
      <c r="D11" s="33" t="str">
        <f>FormatItemDescription(B10:B16)</f>
        <v>|CFF8B66FFRare|R|N+125 Max hit points|N+175 Max mana points|N+1% Dodge chance|N+25 Movement speed|N|CFF33FF33Use: Increase movement speed by 300, lasts for 10 seconds. Failure possible.|R|N|N|CFF999999Limited edition, but it's a goblin product after all. So use it with caution.|R</v>
      </c>
      <c r="E11" s="43" t="s">
        <v>805</v>
      </c>
    </row>
    <row r="12" spans="1:5" s="35" customFormat="1" x14ac:dyDescent="0.25">
      <c r="A12" s="36" t="s">
        <v>386</v>
      </c>
      <c r="B12" s="36" t="s">
        <v>812</v>
      </c>
      <c r="C12" s="33" t="str">
        <f>FormatItemUbertip(A11:A16)</f>
        <v>+125生命上限|N+175法力上限|N+1%躲闪|N+20移动速度|N|CFF33FF33使用:提高300点移动速度,持续10秒.可能故障.|R|N|N|CFF999999限量发售,可是毕竟是地精产品|R</v>
      </c>
      <c r="D12" s="33" t="str">
        <f>FormatItemUbertip(B11:B16)</f>
        <v>+125 Max hit points|N+175 Max mana points|N+1% Dodge chance|N+25 Movement speed|N|CFF33FF33Use: Increase movement speed by 300, lasts for 10 seconds. Failure possible.|R|N|N|CFF999999Limited edition, but it's a goblin product after all. So use it with caution.|R</v>
      </c>
      <c r="E12" s="43" t="s">
        <v>805</v>
      </c>
    </row>
    <row r="13" spans="1:5" s="35" customFormat="1" x14ac:dyDescent="0.25">
      <c r="A13" s="36" t="s">
        <v>387</v>
      </c>
      <c r="B13" s="36" t="s">
        <v>777</v>
      </c>
      <c r="E13" s="43" t="s">
        <v>805</v>
      </c>
    </row>
    <row r="14" spans="1:5" s="35" customFormat="1" x14ac:dyDescent="0.25">
      <c r="A14" s="36" t="s">
        <v>388</v>
      </c>
      <c r="B14" s="36" t="s">
        <v>813</v>
      </c>
      <c r="E14" s="43" t="s">
        <v>805</v>
      </c>
    </row>
    <row r="15" spans="1:5" s="35" customFormat="1" x14ac:dyDescent="0.25">
      <c r="A15" s="37" t="s">
        <v>62</v>
      </c>
      <c r="B15" s="37" t="s">
        <v>814</v>
      </c>
      <c r="C15" s="48"/>
      <c r="D15" s="48"/>
      <c r="E15" s="43" t="s">
        <v>805</v>
      </c>
    </row>
    <row r="16" spans="1:5" s="35" customFormat="1" x14ac:dyDescent="0.25">
      <c r="A16" s="65" t="s">
        <v>64</v>
      </c>
      <c r="B16" s="65" t="s">
        <v>815</v>
      </c>
      <c r="C16" s="48"/>
      <c r="D16" s="48"/>
      <c r="E16" s="43" t="s">
        <v>805</v>
      </c>
    </row>
    <row r="17" spans="1:5" s="35" customFormat="1" x14ac:dyDescent="0.25">
      <c r="A17" s="34"/>
      <c r="B17" s="34"/>
      <c r="C17" s="48"/>
      <c r="D17" s="48"/>
      <c r="E17" s="43" t="s">
        <v>805</v>
      </c>
    </row>
    <row r="18" spans="1:5" s="35" customFormat="1" x14ac:dyDescent="0.25">
      <c r="A18" s="59" t="s">
        <v>65</v>
      </c>
      <c r="B18" s="59" t="s">
        <v>816</v>
      </c>
      <c r="C18" s="33" t="str">
        <f>FormatItemName(A18)</f>
        <v>|CFF8B66FF战歌之鼓|R</v>
      </c>
      <c r="D18" s="33" t="str">
        <f>FormatItemName(B18)</f>
        <v>|CFF8B66FFWarsong Battle Drums|R</v>
      </c>
      <c r="E18" s="43" t="s">
        <v>805</v>
      </c>
    </row>
    <row r="19" spans="1:5" s="35" customFormat="1" x14ac:dyDescent="0.25">
      <c r="A19" s="36" t="s">
        <v>464</v>
      </c>
      <c r="B19" s="36" t="s">
        <v>817</v>
      </c>
      <c r="C19" s="33" t="str">
        <f>FormatItemDescription(A18:A22)</f>
        <v>|CFF8B66FFRare|R|N+2%攻击速度|N|CFF33FF33命中:标记目标,使其受到的伤害增加2%,持续3秒.|R|N|CFF33FF33赋予战歌光环:提升附近所有友军造成的伤害2%和受到的治疗效果10%.|R|N|N|CFF999999士气高涨,牛头人的秘密武器|R</v>
      </c>
      <c r="D19" s="33" t="str">
        <f>FormatItemDescription(B18:B22)</f>
        <v>|CFF8B66FFRare|R|N+2% Attack speed|N|CFF33FF33Hit Target: Target takes 2% more damage, lasts for 3 seconds|R|N|CFF33FF33Grant Aura of Warsong: All allies deal 2% more damage and healing, take 10% more healing within 600 yards|R|N|N|CFF999999High morale.|R</v>
      </c>
      <c r="E19" s="43" t="s">
        <v>805</v>
      </c>
    </row>
    <row r="20" spans="1:5" s="35" customFormat="1" x14ac:dyDescent="0.25">
      <c r="A20" s="37" t="s">
        <v>66</v>
      </c>
      <c r="B20" s="37" t="s">
        <v>856</v>
      </c>
      <c r="C20" s="33" t="str">
        <f>FormatItemUbertip(A19:A22)</f>
        <v>+2%攻击速度|N|CFF33FF33命中:标记目标,使其受到的伤害增加2%,持续3秒.|R|N|CFF33FF33赋予战歌光环:提升附近所有友军造成的伤害2%和受到的治疗效果10%.|R|N|N|CFF999999士气高涨,牛头人的秘密武器|R</v>
      </c>
      <c r="D20" s="33" t="str">
        <f>FormatItemUbertip(B19:B22)</f>
        <v>+2% Attack speed|N|CFF33FF33Hit Target: Target takes 2% more damage, lasts for 3 seconds|R|N|CFF33FF33Grant Aura of Warsong: All allies deal 2% more damage and healing, take 10% more healing within 600 yards|R|N|N|CFF999999High morale.|R</v>
      </c>
      <c r="E20" s="43" t="s">
        <v>805</v>
      </c>
    </row>
    <row r="21" spans="1:5" s="35" customFormat="1" ht="28.5" x14ac:dyDescent="0.25">
      <c r="A21" s="37" t="s">
        <v>67</v>
      </c>
      <c r="B21" s="37" t="s">
        <v>818</v>
      </c>
      <c r="C21" s="48"/>
      <c r="D21" s="48"/>
      <c r="E21" s="43" t="s">
        <v>805</v>
      </c>
    </row>
    <row r="22" spans="1:5" s="35" customFormat="1" x14ac:dyDescent="0.25">
      <c r="A22" s="65" t="s">
        <v>68</v>
      </c>
      <c r="B22" s="65" t="s">
        <v>819</v>
      </c>
      <c r="C22" s="48"/>
      <c r="D22" s="48"/>
      <c r="E22" s="43" t="s">
        <v>805</v>
      </c>
    </row>
    <row r="23" spans="1:5" x14ac:dyDescent="0.25">
      <c r="E23" s="43" t="s">
        <v>805</v>
      </c>
    </row>
    <row r="24" spans="1:5" x14ac:dyDescent="0.25">
      <c r="A24" s="59" t="s">
        <v>79</v>
      </c>
      <c r="B24" s="59" t="s">
        <v>820</v>
      </c>
      <c r="C24" s="33" t="str">
        <f>FormatItemName(A24)</f>
        <v>|CFF8B66FF托尔贝恩|R</v>
      </c>
      <c r="D24" s="33" t="str">
        <f>FormatItemName(B24)</f>
        <v>|CFF8B66FFTroll Bane|R</v>
      </c>
      <c r="E24" s="43" t="s">
        <v>805</v>
      </c>
    </row>
    <row r="25" spans="1:5" x14ac:dyDescent="0.25">
      <c r="A25" s="36" t="s">
        <v>340</v>
      </c>
      <c r="B25" s="36" t="s">
        <v>821</v>
      </c>
      <c r="C25" s="33" t="str">
        <f>FormatItemDescription(A24:A28)</f>
        <v>|CFF8B66FFRare|R|N+10力量|N+15敏捷|N+10攻击强度|N|N|CFFFFDEAD“你认得这把斧头……”|R</v>
      </c>
      <c r="D25" s="33" t="str">
        <f>FormatItemDescription(B24:B28)</f>
        <v>|CFF8B66FFRare|R|N+10 Strength|N+15 Agility|N+10 Attack power|N|N|CFFFFDEAD"You know this blade..."|R</v>
      </c>
      <c r="E25" s="43" t="s">
        <v>805</v>
      </c>
    </row>
    <row r="26" spans="1:5" x14ac:dyDescent="0.25">
      <c r="A26" s="36" t="s">
        <v>365</v>
      </c>
      <c r="B26" s="36" t="s">
        <v>705</v>
      </c>
      <c r="C26" s="33" t="str">
        <f>FormatItemUbertip(A25:A28)</f>
        <v>+10力量|N+15敏捷|N+10攻击强度|N|N|CFFFFDEAD“你认得这把斧头……”|R</v>
      </c>
      <c r="D26" s="33" t="str">
        <f>FormatItemUbertip(B25:B28)</f>
        <v>+10 Strength|N+15 Agility|N+10 Attack power|N|N|CFFFFDEAD"You know this blade..."|R</v>
      </c>
      <c r="E26" s="43" t="s">
        <v>805</v>
      </c>
    </row>
    <row r="27" spans="1:5" x14ac:dyDescent="0.25">
      <c r="A27" s="36" t="s">
        <v>83</v>
      </c>
      <c r="B27" s="36" t="s">
        <v>822</v>
      </c>
      <c r="C27" s="51"/>
      <c r="D27" s="51"/>
      <c r="E27" s="43" t="s">
        <v>805</v>
      </c>
    </row>
    <row r="28" spans="1:5" x14ac:dyDescent="0.25">
      <c r="A28" s="40" t="s">
        <v>85</v>
      </c>
      <c r="B28" s="40" t="s">
        <v>823</v>
      </c>
      <c r="E28" s="43" t="s">
        <v>805</v>
      </c>
    </row>
    <row r="29" spans="1:5" x14ac:dyDescent="0.25">
      <c r="E29" s="43" t="s">
        <v>805</v>
      </c>
    </row>
    <row r="30" spans="1:5" x14ac:dyDescent="0.25">
      <c r="A30" s="59" t="s">
        <v>87</v>
      </c>
      <c r="B30" s="59" t="s">
        <v>824</v>
      </c>
      <c r="C30" s="33" t="str">
        <f>FormatItemName(A30)</f>
        <v>|CFF8B66FF血吼|R</v>
      </c>
      <c r="D30" s="33" t="str">
        <f>FormatItemName(B30)</f>
        <v>|CFF8B66FFGorehowl|R</v>
      </c>
      <c r="E30" s="43" t="s">
        <v>805</v>
      </c>
    </row>
    <row r="31" spans="1:5" x14ac:dyDescent="0.25">
      <c r="A31" s="36" t="s">
        <v>359</v>
      </c>
      <c r="B31" s="36" t="s">
        <v>710</v>
      </c>
      <c r="C31" s="33" t="str">
        <f>FormatItemDescription(A30:A34)</f>
        <v>|CFF8B66FFRare|R|N+20力量|N+20攻击强度|N+7%暴击几率|N|N|CFFFFDEAD“这把格罗姆地狱咆哮的战斧曾在无数的战场上令敌人闻风丧胆。”|R</v>
      </c>
      <c r="D31" s="33" t="str">
        <f>FormatItemDescription(B30:B34)</f>
        <v>|CFF8B66FFRare|R|N+20 Strength|N+20 Attack power|N+7% Attack critical hit chance|N|N|CFFFFDEAD"The axe of Grom Hellscream has sown terror across hundreds of battlefields."|R</v>
      </c>
      <c r="E31" s="43" t="s">
        <v>805</v>
      </c>
    </row>
    <row r="32" spans="1:5" x14ac:dyDescent="0.25">
      <c r="A32" s="36" t="s">
        <v>366</v>
      </c>
      <c r="B32" s="36" t="s">
        <v>697</v>
      </c>
      <c r="C32" s="33" t="str">
        <f>FormatItemUbertip(A31:A34)</f>
        <v>+20力量|N+20攻击强度|N+7%暴击几率|N|N|CFFFFDEAD“这把格罗姆地狱咆哮的战斧曾在无数的战场上令敌人闻风丧胆。”|R</v>
      </c>
      <c r="D32" s="33" t="str">
        <f>FormatItemUbertip(B31:B34)</f>
        <v>+20 Strength|N+20 Attack power|N+7% Attack critical hit chance|N|N|CFFFFDEAD"The axe of Grom Hellscream has sown terror across hundreds of battlefields."|R</v>
      </c>
      <c r="E32" s="43" t="s">
        <v>805</v>
      </c>
    </row>
    <row r="33" spans="1:5" x14ac:dyDescent="0.25">
      <c r="A33" s="36" t="s">
        <v>367</v>
      </c>
      <c r="B33" s="36" t="s">
        <v>825</v>
      </c>
      <c r="C33" s="51"/>
      <c r="D33" s="51"/>
      <c r="E33" s="43" t="s">
        <v>805</v>
      </c>
    </row>
    <row r="34" spans="1:5" x14ac:dyDescent="0.25">
      <c r="A34" s="40" t="s">
        <v>379</v>
      </c>
      <c r="B34" s="40" t="s">
        <v>826</v>
      </c>
      <c r="E34" s="43" t="s">
        <v>805</v>
      </c>
    </row>
    <row r="35" spans="1:5" x14ac:dyDescent="0.25">
      <c r="E35" s="43" t="s">
        <v>805</v>
      </c>
    </row>
    <row r="36" spans="1:5" x14ac:dyDescent="0.25">
      <c r="A36" s="59" t="s">
        <v>93</v>
      </c>
      <c r="B36" s="59" t="s">
        <v>106</v>
      </c>
      <c r="C36" s="33" t="str">
        <f>FormatItemName(A36)</f>
        <v>|CFF8B66FF熔火犬牙|R</v>
      </c>
      <c r="D36" s="33" t="str">
        <f>FormatItemName(B36)</f>
        <v>|CFF8B66FFCore Hound Tooth|R</v>
      </c>
      <c r="E36" s="43" t="s">
        <v>805</v>
      </c>
    </row>
    <row r="37" spans="1:5" x14ac:dyDescent="0.25">
      <c r="A37" s="36" t="s">
        <v>368</v>
      </c>
      <c r="B37" s="36" t="s">
        <v>827</v>
      </c>
      <c r="C37" s="33" t="str">
        <f>FormatItemDescription(A36:A40)</f>
        <v>|CFF8B66FFRare|R|N+100生命值|N+30攻击强度|N+10%攻击速度|N+5%暴击几率</v>
      </c>
      <c r="D37" s="33" t="str">
        <f>FormatItemDescription(B36:B40)</f>
        <v>|CFF8B66FFRare|R|N+100 Max hit points|N+30 Attack power|N+10% Attack speed|N+5% Attack critical hit chance</v>
      </c>
      <c r="E37" s="43" t="s">
        <v>805</v>
      </c>
    </row>
    <row r="38" spans="1:5" x14ac:dyDescent="0.25">
      <c r="A38" s="36" t="s">
        <v>369</v>
      </c>
      <c r="B38" s="36" t="s">
        <v>828</v>
      </c>
      <c r="C38" s="33" t="str">
        <f>FormatItemUbertip(A37:A40)</f>
        <v>+100生命值|N+30攻击强度|N+10%攻击速度|N+5%暴击几率</v>
      </c>
      <c r="D38" s="33" t="str">
        <f>FormatItemUbertip(B37:B40)</f>
        <v>+100 Max hit points|N+30 Attack power|N+10% Attack speed|N+5% Attack critical hit chance</v>
      </c>
      <c r="E38" s="43" t="s">
        <v>805</v>
      </c>
    </row>
    <row r="39" spans="1:5" x14ac:dyDescent="0.25">
      <c r="A39" s="36" t="s">
        <v>370</v>
      </c>
      <c r="B39" s="36" t="s">
        <v>829</v>
      </c>
      <c r="E39" s="43" t="s">
        <v>805</v>
      </c>
    </row>
    <row r="40" spans="1:5" x14ac:dyDescent="0.25">
      <c r="A40" s="36" t="s">
        <v>371</v>
      </c>
      <c r="B40" s="36" t="s">
        <v>707</v>
      </c>
      <c r="E40" s="43" t="s">
        <v>805</v>
      </c>
    </row>
    <row r="41" spans="1:5" x14ac:dyDescent="0.25">
      <c r="E41" s="43" t="s">
        <v>805</v>
      </c>
    </row>
    <row r="42" spans="1:5" x14ac:dyDescent="0.25">
      <c r="A42" s="59" t="s">
        <v>110</v>
      </c>
      <c r="B42" s="59" t="s">
        <v>116</v>
      </c>
      <c r="C42" s="33" t="str">
        <f>FormatItemName(A42)</f>
        <v>|CFF8B66FF维斯卡格|R</v>
      </c>
      <c r="D42" s="33" t="str">
        <f>FormatItemName(B42)</f>
        <v>|CFF8B66FFVis'kag|R</v>
      </c>
      <c r="E42" s="43" t="s">
        <v>805</v>
      </c>
    </row>
    <row r="43" spans="1:5" x14ac:dyDescent="0.25">
      <c r="A43" s="36" t="s">
        <v>365</v>
      </c>
      <c r="B43" s="36" t="s">
        <v>705</v>
      </c>
      <c r="C43" s="33" t="str">
        <f>FormatItemDescription(A42:A47)</f>
        <v>|CFF8B66FFRare|R|N+15敏捷|N+20攻击强度|N+14%攻击速度|N|CFF33FF33命中:吸取造成伤害8%的生命值.|R|N|N|CFFFFDEAD"血书."|R</v>
      </c>
      <c r="D43" s="33" t="str">
        <f>FormatItemDescription(B42:B47)</f>
        <v>|CFF8B66FFRare|R|N+15 Agility|N+20 Attack power|N+14% Attack speed|N|CFF33FF33Hit Target: 8% life steal|R|N|N|CFFFFDEAD"The blood letter"|R</v>
      </c>
      <c r="E43" s="43" t="s">
        <v>805</v>
      </c>
    </row>
    <row r="44" spans="1:5" x14ac:dyDescent="0.25">
      <c r="A44" s="36" t="s">
        <v>366</v>
      </c>
      <c r="B44" s="36" t="s">
        <v>697</v>
      </c>
      <c r="C44" s="33" t="str">
        <f>FormatItemUbertip(A43:A47)</f>
        <v>+15敏捷|N+20攻击强度|N+14%攻击速度|N|CFF33FF33命中:吸取造成伤害8%的生命值.|R|N|N|CFFFFDEAD"血书."|R</v>
      </c>
      <c r="D44" s="33" t="str">
        <f>FormatItemUbertip(B43:B47)</f>
        <v>+15 Agility|N+20 Attack power|N+14% Attack speed|N|CFF33FF33Hit Target: 8% life steal|R|N|N|CFFFFDEAD"The blood letter"|R</v>
      </c>
      <c r="E44" s="43" t="s">
        <v>805</v>
      </c>
    </row>
    <row r="45" spans="1:5" x14ac:dyDescent="0.25">
      <c r="A45" s="36" t="s">
        <v>372</v>
      </c>
      <c r="B45" s="36" t="s">
        <v>830</v>
      </c>
      <c r="C45" s="51"/>
      <c r="D45" s="51"/>
      <c r="E45" s="43" t="s">
        <v>805</v>
      </c>
    </row>
    <row r="46" spans="1:5" x14ac:dyDescent="0.25">
      <c r="A46" s="37" t="s">
        <v>119</v>
      </c>
      <c r="B46" s="37" t="s">
        <v>857</v>
      </c>
      <c r="E46" s="43" t="s">
        <v>805</v>
      </c>
    </row>
    <row r="47" spans="1:5" x14ac:dyDescent="0.25">
      <c r="A47" s="40" t="s">
        <v>122</v>
      </c>
      <c r="B47" s="40" t="s">
        <v>831</v>
      </c>
      <c r="E47" s="43" t="s">
        <v>805</v>
      </c>
    </row>
    <row r="48" spans="1:5" x14ac:dyDescent="0.25">
      <c r="E48" s="43" t="s">
        <v>805</v>
      </c>
    </row>
    <row r="49" spans="1:5" x14ac:dyDescent="0.25">
      <c r="A49" s="59" t="s">
        <v>125</v>
      </c>
      <c r="B49" s="59" t="s">
        <v>129</v>
      </c>
      <c r="C49" s="33" t="str">
        <f>FormatItemName(A49)</f>
        <v>|CFF8B66FF风暴狮角|R</v>
      </c>
      <c r="D49" s="33" t="str">
        <f>FormatItemName(B49)</f>
        <v>|CFF8B66FFLion Horn|R</v>
      </c>
      <c r="E49" s="43" t="s">
        <v>805</v>
      </c>
    </row>
    <row r="50" spans="1:5" x14ac:dyDescent="0.25">
      <c r="A50" s="36" t="s">
        <v>373</v>
      </c>
      <c r="B50" s="36" t="s">
        <v>832</v>
      </c>
      <c r="C50" s="33" t="str">
        <f>FormatItemDescription(A49:A53)</f>
        <v>|CFF8B66FFRare|R|N+25攻击强度|N+3%造成的伤害|N|CFF33FF33命中:有10%的概率提高攻击速度30%,持续5秒.|R|N|N|CFF999999比龙脊奖章好多了.|R</v>
      </c>
      <c r="D50" s="33" t="str">
        <f>FormatItemDescription(B49:B53)</f>
        <v>|CFF8B66FFRare|R|N+25 Attack power|N+3% Damage and healing dealt|N|CFF33FF33Hit Target: 10% chance to increase 30% attack speed, lasts for 5 seconds|R|N|N|CFF999999Much better than Dragonspine Trophy.|R</v>
      </c>
      <c r="E50" s="43" t="s">
        <v>805</v>
      </c>
    </row>
    <row r="51" spans="1:5" x14ac:dyDescent="0.25">
      <c r="A51" s="36" t="s">
        <v>374</v>
      </c>
      <c r="B51" s="36" t="s">
        <v>833</v>
      </c>
      <c r="C51" s="33" t="str">
        <f>FormatItemUbertip(A50:A53)</f>
        <v>+25攻击强度|N+3%造成的伤害|N|CFF33FF33命中:有10%的概率提高攻击速度30%,持续5秒.|R|N|N|CFF999999比龙脊奖章好多了.|R</v>
      </c>
      <c r="D51" s="33" t="str">
        <f>FormatItemUbertip(B50:B53)</f>
        <v>+25 Attack power|N+3% Damage and healing dealt|N|CFF33FF33Hit Target: 10% chance to increase 30% attack speed, lasts for 5 seconds|R|N|N|CFF999999Much better than Dragonspine Trophy.|R</v>
      </c>
      <c r="E51" s="43" t="s">
        <v>805</v>
      </c>
    </row>
    <row r="52" spans="1:5" x14ac:dyDescent="0.25">
      <c r="A52" s="37" t="s">
        <v>132</v>
      </c>
      <c r="B52" s="37" t="s">
        <v>858</v>
      </c>
      <c r="E52" s="43" t="s">
        <v>805</v>
      </c>
    </row>
    <row r="53" spans="1:5" x14ac:dyDescent="0.25">
      <c r="A53" s="65" t="s">
        <v>134</v>
      </c>
      <c r="B53" s="65" t="s">
        <v>834</v>
      </c>
      <c r="E53" s="43" t="s">
        <v>805</v>
      </c>
    </row>
    <row r="54" spans="1:5" x14ac:dyDescent="0.25">
      <c r="E54" s="43" t="s">
        <v>805</v>
      </c>
    </row>
    <row r="55" spans="1:5" s="35" customFormat="1" x14ac:dyDescent="0.25">
      <c r="A55" s="59" t="s">
        <v>72</v>
      </c>
      <c r="B55" s="59" t="s">
        <v>835</v>
      </c>
      <c r="C55" s="33" t="str">
        <f>FormatItemName(A55)</f>
        <v>|CFF8B66FF诅咒铠甲|R</v>
      </c>
      <c r="D55" s="33" t="str">
        <f>FormatItemName(B55)</f>
        <v>|CFF8B66FFArmor of the Damned|R</v>
      </c>
      <c r="E55" s="43" t="s">
        <v>805</v>
      </c>
    </row>
    <row r="56" spans="1:5" s="35" customFormat="1" x14ac:dyDescent="0.25">
      <c r="A56" s="36" t="s">
        <v>351</v>
      </c>
      <c r="B56" s="36" t="s">
        <v>836</v>
      </c>
      <c r="C56" s="33" t="str">
        <f>FormatItemDescription(A55:A61)</f>
        <v>|CFF8B66FFRare|R|N+4物理免伤|N+15力量|N+35招架值|N每秒流失5点生命值|N|CFF33FF33被击中以后会导致目标的攻击强度降低|R|N|N|CFFFFDEAD"迟缓大法,恶咒附身,虚弱无力,大难临头"|R</v>
      </c>
      <c r="D56" s="33" t="str">
        <f>FormatItemDescription(B55:B61)</f>
        <v>|CFF8B66FFRare|R|N+4 Armor|N+15 Strength|N+35 Block points|NLost 5 hit points per second during combat|N|CFF33FF33On Hit: Decreases attacker's attack power by 30|R|N|N|CFFFFDEAD"Slow, Curse, Weakness, Misfortune"|R</v>
      </c>
      <c r="E56" s="43" t="s">
        <v>805</v>
      </c>
    </row>
    <row r="57" spans="1:5" s="35" customFormat="1" x14ac:dyDescent="0.25">
      <c r="A57" s="36" t="s">
        <v>352</v>
      </c>
      <c r="B57" s="36" t="s">
        <v>744</v>
      </c>
      <c r="C57" s="33" t="str">
        <f>FormatItemUbertip(A56:A61)</f>
        <v>+4物理免伤|N+15力量|N+35招架值|N每秒流失5点生命值|N|CFF33FF33被击中以后会导致目标的攻击强度降低|R|N|N|CFFFFDEAD"迟缓大法,恶咒附身,虚弱无力,大难临头"|R</v>
      </c>
      <c r="D57" s="33" t="str">
        <f>FormatItemUbertip(B56:B61)</f>
        <v>+4 Armor|N+15 Strength|N+35 Block points|NLost 5 hit points per second during combat|N|CFF33FF33On Hit: Decreases attacker's attack power by 30|R|N|N|CFFFFDEAD"Slow, Curse, Weakness, Misfortune"|R</v>
      </c>
      <c r="E57" s="43" t="s">
        <v>805</v>
      </c>
    </row>
    <row r="58" spans="1:5" s="35" customFormat="1" x14ac:dyDescent="0.25">
      <c r="A58" s="36" t="s">
        <v>353</v>
      </c>
      <c r="B58" s="36" t="s">
        <v>838</v>
      </c>
      <c r="E58" s="43" t="s">
        <v>805</v>
      </c>
    </row>
    <row r="59" spans="1:5" s="35" customFormat="1" x14ac:dyDescent="0.25">
      <c r="A59" s="36" t="s">
        <v>80</v>
      </c>
      <c r="B59" s="36" t="s">
        <v>839</v>
      </c>
      <c r="C59" s="48"/>
      <c r="D59" s="48"/>
      <c r="E59" s="43" t="s">
        <v>805</v>
      </c>
    </row>
    <row r="60" spans="1:5" s="35" customFormat="1" x14ac:dyDescent="0.25">
      <c r="A60" s="37" t="s">
        <v>82</v>
      </c>
      <c r="B60" s="37" t="s">
        <v>859</v>
      </c>
      <c r="C60" s="48"/>
      <c r="D60" s="48"/>
      <c r="E60" s="43" t="s">
        <v>805</v>
      </c>
    </row>
    <row r="61" spans="1:5" s="35" customFormat="1" x14ac:dyDescent="0.25">
      <c r="A61" s="40" t="s">
        <v>86</v>
      </c>
      <c r="B61" s="40" t="s">
        <v>860</v>
      </c>
      <c r="E61" s="43" t="s">
        <v>805</v>
      </c>
    </row>
    <row r="62" spans="1:5" s="35" customFormat="1" x14ac:dyDescent="0.25">
      <c r="A62" s="34"/>
      <c r="B62" s="34"/>
      <c r="E62" s="43" t="s">
        <v>805</v>
      </c>
    </row>
    <row r="63" spans="1:5" s="35" customFormat="1" x14ac:dyDescent="0.25">
      <c r="A63" s="59" t="s">
        <v>91</v>
      </c>
      <c r="B63" s="59" t="s">
        <v>861</v>
      </c>
      <c r="C63" s="33" t="str">
        <f>FormatItemName(A63)</f>
        <v>|CFF8B66FF阿曼尼帝国壁垒|R</v>
      </c>
      <c r="D63" s="33" t="str">
        <f>FormatItemName(B63)</f>
        <v>|CFF8B66FFBulwark of the Amani Empire|R</v>
      </c>
      <c r="E63" s="43" t="s">
        <v>805</v>
      </c>
    </row>
    <row r="64" spans="1:5" s="35" customFormat="1" x14ac:dyDescent="0.25">
      <c r="A64" s="36" t="s">
        <v>354</v>
      </c>
      <c r="B64" s="36" t="s">
        <v>862</v>
      </c>
      <c r="C64" s="33" t="str">
        <f>FormatItemDescription(A63:A68)</f>
        <v>|CFF8B66FFRare|R|N+3物理免伤|N+10力量|N+170生命值|N+28招架值|N|N|CFF999999似乎仍然缭绕着兄弟公会的第一任防护战士和守护骑士的怨念。|R</v>
      </c>
      <c r="D64" s="33" t="str">
        <f>FormatItemDescription(B63:B68)</f>
        <v>|CFF8B66FFRare|R|N+3 Armor|N+10 Strength|N+170 Max hit points|N+28 Block points|N|N|CFF999999It still seems to linger with the resentment of the first guardian warrior of the Brothers’ Guild.|R</v>
      </c>
      <c r="E64" s="43" t="s">
        <v>805</v>
      </c>
    </row>
    <row r="65" spans="1:5" s="35" customFormat="1" x14ac:dyDescent="0.25">
      <c r="A65" s="36" t="s">
        <v>340</v>
      </c>
      <c r="B65" s="36" t="s">
        <v>821</v>
      </c>
      <c r="C65" s="33" t="str">
        <f>FormatItemUbertip(A64:A68)</f>
        <v>+3物理免伤|N+10力量|N+170生命值|N+28招架值|N|N|CFF999999似乎仍然缭绕着兄弟公会的第一任防护战士和守护骑士的怨念。|R</v>
      </c>
      <c r="D65" s="33" t="str">
        <f>FormatItemUbertip(B64:B68)</f>
        <v>+3 Armor|N+10 Strength|N+170 Max hit points|N+28 Block points|N|N|CFF999999It still seems to linger with the resentment of the first guardian warrior of the Brothers’ Guild.|R</v>
      </c>
      <c r="E65" s="43" t="s">
        <v>805</v>
      </c>
    </row>
    <row r="66" spans="1:5" s="35" customFormat="1" x14ac:dyDescent="0.25">
      <c r="A66" s="36" t="s">
        <v>355</v>
      </c>
      <c r="B66" s="36" t="s">
        <v>863</v>
      </c>
      <c r="E66" s="43" t="s">
        <v>805</v>
      </c>
    </row>
    <row r="67" spans="1:5" s="35" customFormat="1" x14ac:dyDescent="0.25">
      <c r="A67" s="36" t="s">
        <v>356</v>
      </c>
      <c r="B67" s="36" t="s">
        <v>864</v>
      </c>
      <c r="C67" s="48"/>
      <c r="D67" s="48"/>
      <c r="E67" s="43" t="s">
        <v>805</v>
      </c>
    </row>
    <row r="68" spans="1:5" s="35" customFormat="1" ht="28.5" x14ac:dyDescent="0.25">
      <c r="A68" s="65" t="s">
        <v>98</v>
      </c>
      <c r="B68" s="65" t="s">
        <v>865</v>
      </c>
      <c r="C68" s="48"/>
      <c r="D68" s="48"/>
      <c r="E68" s="43" t="s">
        <v>805</v>
      </c>
    </row>
    <row r="69" spans="1:5" s="35" customFormat="1" x14ac:dyDescent="0.25">
      <c r="A69" s="34"/>
      <c r="B69" s="34"/>
      <c r="C69" s="48"/>
      <c r="D69" s="48"/>
      <c r="E69" s="43" t="s">
        <v>805</v>
      </c>
    </row>
    <row r="70" spans="1:5" s="35" customFormat="1" x14ac:dyDescent="0.25">
      <c r="A70" s="59" t="s">
        <v>107</v>
      </c>
      <c r="B70" s="59" t="s">
        <v>108</v>
      </c>
      <c r="C70" s="33" t="str">
        <f>FormatItemName(A70)</f>
        <v>|CFF8B66FF末日防御者徽记|R</v>
      </c>
      <c r="D70" s="33" t="str">
        <f>FormatItemName(B70)</f>
        <v>|CFF8B66FFSignet of the Last Defender|R</v>
      </c>
      <c r="E70" s="43" t="s">
        <v>805</v>
      </c>
    </row>
    <row r="71" spans="1:5" s="35" customFormat="1" x14ac:dyDescent="0.25">
      <c r="A71" s="36" t="s">
        <v>357</v>
      </c>
      <c r="B71" s="36" t="s">
        <v>866</v>
      </c>
      <c r="C71" s="33" t="str">
        <f>FormatItemDescription(A70:A75)</f>
        <v>|CFF8B66FFRare|R|N+1物理免伤每英雄等级|N+15力量|N+4%躲闪|N受到的治疗效果提升10%|N|N|CFF999999这个戒指本属于一个恶魔领主,后来被一个兽人盗贼盗走.|R</v>
      </c>
      <c r="D71" s="33" t="str">
        <f>FormatItemDescription(B70:B75)</f>
        <v>|CFF8B66FFRare|R|N+1 Armor per hero level|N+15 Strength|N+4% Dodge chance|NHealing taken increased by 10%|N|N|CFF999999The signet originally belongs to a demon lord and was later stolen by an orc thief.|R</v>
      </c>
      <c r="E71" s="43" t="s">
        <v>805</v>
      </c>
    </row>
    <row r="72" spans="1:5" s="35" customFormat="1" x14ac:dyDescent="0.25">
      <c r="A72" s="36" t="s">
        <v>352</v>
      </c>
      <c r="B72" s="36" t="s">
        <v>744</v>
      </c>
      <c r="C72" s="33" t="str">
        <f>FormatItemUbertip(A71:A75)</f>
        <v>+1物理免伤每英雄等级|N+15力量|N+4%躲闪|N受到的治疗效果提升10%|N|N|CFF999999这个戒指本属于一个恶魔领主,后来被一个兽人盗贼盗走.|R</v>
      </c>
      <c r="D72" s="33" t="str">
        <f>FormatItemUbertip(B71:B75)</f>
        <v>+1 Armor per hero level|N+15 Strength|N+4% Dodge chance|NHealing taken increased by 10%|N|N|CFF999999The signet originally belongs to a demon lord and was later stolen by an orc thief.|R</v>
      </c>
      <c r="E72" s="43" t="s">
        <v>805</v>
      </c>
    </row>
    <row r="73" spans="1:5" s="35" customFormat="1" x14ac:dyDescent="0.25">
      <c r="A73" s="36" t="s">
        <v>358</v>
      </c>
      <c r="B73" s="36" t="s">
        <v>867</v>
      </c>
      <c r="C73" s="48"/>
      <c r="D73" s="48"/>
      <c r="E73" s="43" t="s">
        <v>805</v>
      </c>
    </row>
    <row r="74" spans="1:5" s="35" customFormat="1" x14ac:dyDescent="0.25">
      <c r="A74" s="36" t="s">
        <v>112</v>
      </c>
      <c r="B74" s="36" t="s">
        <v>868</v>
      </c>
      <c r="C74" s="48"/>
      <c r="D74" s="48"/>
      <c r="E74" s="43" t="s">
        <v>805</v>
      </c>
    </row>
    <row r="75" spans="1:5" s="35" customFormat="1" x14ac:dyDescent="0.25">
      <c r="A75" s="65" t="s">
        <v>113</v>
      </c>
      <c r="B75" s="65" t="s">
        <v>869</v>
      </c>
      <c r="C75" s="48"/>
      <c r="D75" s="48"/>
      <c r="E75" s="43" t="s">
        <v>805</v>
      </c>
    </row>
    <row r="76" spans="1:5" s="35" customFormat="1" x14ac:dyDescent="0.25">
      <c r="A76" s="34"/>
      <c r="B76" s="34"/>
      <c r="E76" s="43" t="s">
        <v>805</v>
      </c>
    </row>
    <row r="77" spans="1:5" x14ac:dyDescent="0.25">
      <c r="A77" s="59" t="s">
        <v>75</v>
      </c>
      <c r="B77" s="59" t="s">
        <v>870</v>
      </c>
      <c r="C77" s="33" t="str">
        <f>FormatItemName(A77)</f>
        <v>|CFF8B66FF埃兰的镇定宝石|R</v>
      </c>
      <c r="D77" s="33" t="str">
        <f>FormatItemName(B77)</f>
        <v>|CFF8B66FFAran's Soothing Emerald|R</v>
      </c>
      <c r="E77" s="43" t="s">
        <v>805</v>
      </c>
    </row>
    <row r="78" spans="1:5" x14ac:dyDescent="0.25">
      <c r="A78" s="36" t="s">
        <v>76</v>
      </c>
      <c r="B78" s="36" t="s">
        <v>871</v>
      </c>
      <c r="C78" s="33" t="str">
        <f>FormatItemDescription(A77:A82)</f>
        <v>|CFF8B66FFRare|R|N+8智力|N+10法术强度|N+5%法术急速|N每秒回复3点法力值|N|N|CFF999999埃兰将所有不同种类的宝石都制成过镇定宝石，冒险者们比较熟悉的应该是一颗蓝宝石。|R</v>
      </c>
      <c r="D78" s="33" t="str">
        <f>FormatItemDescription(B77:B82)</f>
        <v>|CFF8B66FFRare|R|N+8 Intelligence|N+10 Spell power|N+5% Spell haste|NReplenishes 3 mana points per second|N|N|CFF999999Aran had made all kinds of precious stones into soothing gems. It should be a sapphire that adventurers are most familiar with.|R</v>
      </c>
      <c r="E78" s="43" t="s">
        <v>805</v>
      </c>
    </row>
    <row r="79" spans="1:5" x14ac:dyDescent="0.25">
      <c r="A79" s="36" t="s">
        <v>78</v>
      </c>
      <c r="B79" s="36" t="s">
        <v>783</v>
      </c>
      <c r="C79" s="33" t="str">
        <f>FormatItemUbertip(A78:A82)</f>
        <v>+8智力|N+10法术强度|N+5%法术急速|N每秒回复3点法力值|N|N|CFF999999埃兰将所有不同种类的宝石都制成过镇定宝石，冒险者们比较熟悉的应该是一颗蓝宝石。|R</v>
      </c>
      <c r="D79" s="33" t="str">
        <f>FormatItemUbertip(B78:B82)</f>
        <v>+8 Intelligence|N+10 Spell power|N+5% Spell haste|NReplenishes 3 mana points per second|N|N|CFF999999Aran had made all kinds of precious stones into soothing gems. It should be a sapphire that adventurers are most familiar with.|R</v>
      </c>
      <c r="E79" s="43" t="s">
        <v>805</v>
      </c>
    </row>
    <row r="80" spans="1:5" x14ac:dyDescent="0.25">
      <c r="A80" s="36" t="s">
        <v>81</v>
      </c>
      <c r="B80" s="36" t="s">
        <v>873</v>
      </c>
      <c r="E80" s="43" t="s">
        <v>805</v>
      </c>
    </row>
    <row r="81" spans="1:5" x14ac:dyDescent="0.25">
      <c r="A81" s="36" t="s">
        <v>0</v>
      </c>
      <c r="B81" s="36" t="s">
        <v>874</v>
      </c>
      <c r="C81" s="51"/>
      <c r="D81" s="51"/>
      <c r="E81" s="43" t="s">
        <v>805</v>
      </c>
    </row>
    <row r="82" spans="1:5" ht="28.5" x14ac:dyDescent="0.25">
      <c r="A82" s="65" t="s">
        <v>84</v>
      </c>
      <c r="B82" s="65" t="s">
        <v>875</v>
      </c>
      <c r="E82" s="43" t="s">
        <v>805</v>
      </c>
    </row>
    <row r="83" spans="1:5" x14ac:dyDescent="0.25">
      <c r="E83" s="43" t="s">
        <v>805</v>
      </c>
    </row>
    <row r="84" spans="1:5" x14ac:dyDescent="0.25">
      <c r="A84" s="59" t="s">
        <v>88</v>
      </c>
      <c r="B84" s="59" t="s">
        <v>876</v>
      </c>
      <c r="C84" s="33" t="str">
        <f>FormatItemName(A84)</f>
        <v>|CFF8B66FF纯净秘法|R</v>
      </c>
      <c r="D84" s="33" t="str">
        <f>FormatItemName(B84)</f>
        <v>|CFF8B66FFPure Arcane|R</v>
      </c>
      <c r="E84" s="43" t="s">
        <v>805</v>
      </c>
    </row>
    <row r="85" spans="1:5" ht="28.5" x14ac:dyDescent="0.25">
      <c r="A85" s="37" t="s">
        <v>89</v>
      </c>
      <c r="B85" s="37" t="s">
        <v>877</v>
      </c>
      <c r="C85" s="33" t="str">
        <f>FormatItemDescription(A84:A86)</f>
        <v>|CFF8B66FFRare|R|N|CFF33FF33法术伤害造成暴击以后会积累一层秘法能量，在积累到三层以后会自动释放，对目标造成300点法术伤害。|R|N|N|CFF999999“梅卡托克对此不屑一顾，他认为一个简单的电容器就能达到这个效果。”|R</v>
      </c>
      <c r="D85" s="33" t="str">
        <f>FormatItemDescription(B84:B86)</f>
        <v>|CFF8B66FFRare|R|N|CFF33FF33On Spell Critical Hit: Charges with arcane power. All arcane power will be released automatically after 3 stacks, dealing 300 magical damage to target|R|N|N|CFF999999Megatorque despises this, he thinks "One simple capacitor can achieve this effect".|R</v>
      </c>
      <c r="E85" s="43" t="s">
        <v>805</v>
      </c>
    </row>
    <row r="86" spans="1:5" x14ac:dyDescent="0.25">
      <c r="A86" s="65" t="s">
        <v>90</v>
      </c>
      <c r="B86" s="65" t="s">
        <v>878</v>
      </c>
      <c r="C86" s="33" t="str">
        <f>FormatItemUbertip(A85:A86)</f>
        <v>|CFF33FF33法术伤害造成暴击以后会积累一层秘法能量，在积累到三层以后会自动释放，对目标造成300点法术伤害。|R|N|N|CFF999999“梅卡托克对此不屑一顾，他认为一个简单的电容器就能达到这个效果。”|R</v>
      </c>
      <c r="D86" s="33" t="str">
        <f>FormatItemUbertip(B85:B86)</f>
        <v>|CFF33FF33On Spell Critical Hit: Charges with arcane power. All arcane power will be released automatically after 3 stacks, dealing 300 magical damage to target|R|N|N|CFF999999Megatorque despises this, he thinks "One simple capacitor can achieve this effect".|R</v>
      </c>
      <c r="E86" s="43" t="s">
        <v>805</v>
      </c>
    </row>
    <row r="87" spans="1:5" x14ac:dyDescent="0.25">
      <c r="E87" s="43" t="s">
        <v>805</v>
      </c>
    </row>
    <row r="88" spans="1:5" x14ac:dyDescent="0.25">
      <c r="A88" s="59" t="s">
        <v>92</v>
      </c>
      <c r="B88" s="59" t="s">
        <v>95</v>
      </c>
      <c r="C88" s="33" t="str">
        <f>FormatItemName(A88)</f>
        <v>|CFF8B66FF妖术之颅|R</v>
      </c>
      <c r="D88" s="33" t="str">
        <f>FormatItemName(B88)</f>
        <v>|CFF8B66FFHex Shrunken Head|R</v>
      </c>
      <c r="E88" s="43" t="s">
        <v>805</v>
      </c>
    </row>
    <row r="89" spans="1:5" x14ac:dyDescent="0.25">
      <c r="A89" s="36" t="s">
        <v>94</v>
      </c>
      <c r="B89" s="36" t="s">
        <v>879</v>
      </c>
      <c r="C89" s="33" t="str">
        <f>FormatItemDescription(A88:A92)</f>
        <v>|CFF8B66FFRare|R|N+17智力|N+17法术强度|N|CFF33FF33使用：提高法术强度35点，持续15秒。|R|N|N|CFF999999妖术领主现在已经足够强大，不再需要这样的小玩意了。|R</v>
      </c>
      <c r="D89" s="33" t="str">
        <f>FormatItemDescription(B88:B92)</f>
        <v>|CFF8B66FFRare|R|N+17 Intelligence|N+17 Spell power|N|CFF33FF33Use: Increase spell power by 35, lasts for 15 seconds|R|N|N|CFF999999The Hex Lord is now strong enough to no longer need such trinkets.|R</v>
      </c>
      <c r="E89" s="43" t="s">
        <v>805</v>
      </c>
    </row>
    <row r="90" spans="1:5" x14ac:dyDescent="0.25">
      <c r="A90" s="36" t="s">
        <v>96</v>
      </c>
      <c r="B90" s="36" t="s">
        <v>880</v>
      </c>
      <c r="C90" s="33" t="str">
        <f>FormatItemUbertip(A89:A92)</f>
        <v>+17智力|N+17法术强度|N|CFF33FF33使用：提高法术强度35点，持续15秒。|R|N|N|CFF999999妖术领主现在已经足够强大，不再需要这样的小玩意了。|R</v>
      </c>
      <c r="D90" s="33" t="str">
        <f>FormatItemUbertip(B89:B92)</f>
        <v>+17 Intelligence|N+17 Spell power|N|CFF33FF33Use: Increase spell power by 35, lasts for 15 seconds|R|N|N|CFF999999The Hex Lord is now strong enough to no longer need such trinkets.|R</v>
      </c>
      <c r="E90" s="43" t="s">
        <v>805</v>
      </c>
    </row>
    <row r="91" spans="1:5" x14ac:dyDescent="0.25">
      <c r="A91" s="37" t="s">
        <v>97</v>
      </c>
      <c r="B91" s="37" t="s">
        <v>881</v>
      </c>
      <c r="C91" s="51"/>
      <c r="D91" s="51"/>
      <c r="E91" s="43" t="s">
        <v>805</v>
      </c>
    </row>
    <row r="92" spans="1:5" x14ac:dyDescent="0.25">
      <c r="A92" s="65" t="s">
        <v>99</v>
      </c>
      <c r="B92" s="65" t="s">
        <v>882</v>
      </c>
      <c r="C92" s="51"/>
      <c r="D92" s="51"/>
      <c r="E92" s="43" t="s">
        <v>805</v>
      </c>
    </row>
    <row r="93" spans="1:5" x14ac:dyDescent="0.25">
      <c r="A93" s="61"/>
      <c r="B93" s="61"/>
      <c r="C93" s="51"/>
      <c r="D93" s="51"/>
      <c r="E93" s="43" t="s">
        <v>805</v>
      </c>
    </row>
    <row r="94" spans="1:5" x14ac:dyDescent="0.25">
      <c r="A94" s="59" t="s">
        <v>101</v>
      </c>
      <c r="B94" s="59" t="s">
        <v>103</v>
      </c>
      <c r="C94" s="33" t="str">
        <f>FormatItemName(A94)</f>
        <v>|CFF8B66FF暗影烈焰法杖|R</v>
      </c>
      <c r="D94" s="33" t="str">
        <f>FormatItemName(B94)</f>
        <v>|CFF8B66FFStaff of the Shadow Flame|R</v>
      </c>
      <c r="E94" s="43" t="s">
        <v>805</v>
      </c>
    </row>
    <row r="95" spans="1:5" x14ac:dyDescent="0.25">
      <c r="A95" s="36" t="s">
        <v>337</v>
      </c>
      <c r="B95" s="36" t="s">
        <v>872</v>
      </c>
      <c r="C95" s="33" t="str">
        <f>FormatItemDescription(A94:A98)</f>
        <v>|CFF8B66FFRare|R|N+10智力|N+15法术强度|N+7%法术暴击|N|N|CFFFFDEAD法杖末端的暗影烈焰是如此之纯净,蕴含着巨大的能量.|R</v>
      </c>
      <c r="D95" s="33" t="str">
        <f>FormatItemDescription(B94:B98)</f>
        <v>|CFF8B66FFRare|R|N+10 Intelligence|N+15 Spell power|N+7% Spell critical hit chance|N|N|CFFFFDEADThe dark flame at the end of the staff is so pure and contains tremendous energy.|R</v>
      </c>
      <c r="E95" s="43" t="s">
        <v>805</v>
      </c>
    </row>
    <row r="96" spans="1:5" x14ac:dyDescent="0.25">
      <c r="A96" s="36" t="s">
        <v>338</v>
      </c>
      <c r="B96" s="36" t="s">
        <v>724</v>
      </c>
      <c r="C96" s="33" t="str">
        <f>FormatItemUbertip(A95:A98)</f>
        <v>+10智力|N+15法术强度|N+7%法术暴击|N|N|CFFFFDEAD法杖末端的暗影烈焰是如此之纯净,蕴含着巨大的能量.|R</v>
      </c>
      <c r="D96" s="33" t="str">
        <f>FormatItemUbertip(B95:B98)</f>
        <v>+10 Intelligence|N+15 Spell power|N+7% Spell critical hit chance|N|N|CFFFFDEADThe dark flame at the end of the staff is so pure and contains tremendous energy.|R</v>
      </c>
      <c r="E96" s="43" t="s">
        <v>805</v>
      </c>
    </row>
    <row r="97" spans="1:5" x14ac:dyDescent="0.25">
      <c r="A97" s="36" t="s">
        <v>339</v>
      </c>
      <c r="B97" s="36" t="s">
        <v>883</v>
      </c>
      <c r="E97" s="43" t="s">
        <v>805</v>
      </c>
    </row>
    <row r="98" spans="1:5" x14ac:dyDescent="0.25">
      <c r="A98" s="40" t="s">
        <v>114</v>
      </c>
      <c r="B98" s="40" t="s">
        <v>884</v>
      </c>
      <c r="E98" s="43" t="s">
        <v>805</v>
      </c>
    </row>
    <row r="99" spans="1:5" x14ac:dyDescent="0.25">
      <c r="E99" s="43" t="s">
        <v>805</v>
      </c>
    </row>
    <row r="100" spans="1:5" x14ac:dyDescent="0.25">
      <c r="A100" s="59" t="s">
        <v>115</v>
      </c>
      <c r="B100" s="59" t="s">
        <v>118</v>
      </c>
      <c r="C100" s="33" t="str">
        <f>FormatItemName(A100)</f>
        <v>|CFF8B66FF潮汐指环|R</v>
      </c>
      <c r="D100" s="33" t="str">
        <f>FormatItemName(B100)</f>
        <v>|CFF8B66FFTidal Loop|R</v>
      </c>
      <c r="E100" s="43" t="s">
        <v>805</v>
      </c>
    </row>
    <row r="101" spans="1:5" x14ac:dyDescent="0.25">
      <c r="A101" s="36" t="s">
        <v>340</v>
      </c>
      <c r="B101" s="36" t="s">
        <v>821</v>
      </c>
      <c r="C101" s="33" t="str">
        <f>FormatItemDescription(A100:A105)</f>
        <v>|CFF8B66FFRare|R|N+10力量|N+15智力|N每秒回复6点法力值|N|CFF33FF33造成法术伤害时,有1%的概率立即回复100点法力值.|R|N|N|CFF999999这枚戒指当年是为了对抗火焰之王的军团而打造的,现在已经找不到其火焰抵抗能力了.|R</v>
      </c>
      <c r="D101" s="33" t="str">
        <f>FormatItemDescription(B100:B105)</f>
        <v>|CFF8B66FFRare|R|N+10 Strength|N+15 Intelligence|NReplenishes 6 mana points per second|N|CFF33FF33On Dealing Magical Damage: 1% chance to replenish 100 mana points|R|N|N|CFF999999The ring was crafted to fight against the Lord of Fire's legion. But now its ability of fire resistance has lost.|R</v>
      </c>
      <c r="E101" s="43" t="s">
        <v>805</v>
      </c>
    </row>
    <row r="102" spans="1:5" x14ac:dyDescent="0.25">
      <c r="A102" s="36" t="s">
        <v>341</v>
      </c>
      <c r="B102" s="36" t="s">
        <v>723</v>
      </c>
      <c r="C102" s="33" t="str">
        <f>FormatItemUbertip(A101:A105)</f>
        <v>+10力量|N+15智力|N每秒回复6点法力值|N|CFF33FF33造成法术伤害时,有1%的概率立即回复100点法力值.|R|N|N|CFF999999这枚戒指当年是为了对抗火焰之王的军团而打造的,现在已经找不到其火焰抵抗能力了.|R</v>
      </c>
      <c r="D102" s="33" t="str">
        <f>FormatItemUbertip(B101:B105)</f>
        <v>+10 Strength|N+15 Intelligence|NReplenishes 6 mana points per second|N|CFF33FF33On Dealing Magical Damage: 1% chance to replenish 100 mana points|R|N|N|CFF999999The ring was crafted to fight against the Lord of Fire's legion. But now its ability of fire resistance has lost.|R</v>
      </c>
      <c r="E102" s="43" t="s">
        <v>805</v>
      </c>
    </row>
    <row r="103" spans="1:5" x14ac:dyDescent="0.25">
      <c r="A103" s="36" t="s">
        <v>121</v>
      </c>
      <c r="B103" s="36" t="s">
        <v>885</v>
      </c>
      <c r="C103" s="51"/>
      <c r="D103" s="51"/>
      <c r="E103" s="43" t="s">
        <v>805</v>
      </c>
    </row>
    <row r="104" spans="1:5" x14ac:dyDescent="0.25">
      <c r="A104" s="37" t="s">
        <v>124</v>
      </c>
      <c r="B104" s="37" t="s">
        <v>886</v>
      </c>
      <c r="E104" s="43" t="s">
        <v>805</v>
      </c>
    </row>
    <row r="105" spans="1:5" ht="28.5" x14ac:dyDescent="0.25">
      <c r="A105" s="65" t="s">
        <v>126</v>
      </c>
      <c r="B105" s="65" t="s">
        <v>887</v>
      </c>
      <c r="E105" s="43" t="s">
        <v>805</v>
      </c>
    </row>
    <row r="106" spans="1:5" x14ac:dyDescent="0.25">
      <c r="E106" s="43" t="s">
        <v>805</v>
      </c>
    </row>
    <row r="107" spans="1:5" x14ac:dyDescent="0.25">
      <c r="A107" s="59" t="s">
        <v>25</v>
      </c>
      <c r="B107" s="59" t="s">
        <v>888</v>
      </c>
      <c r="C107" s="33" t="str">
        <f>FormatItemName(A107)</f>
        <v>|CFF8B66FF辛多雷宝珠|R</v>
      </c>
      <c r="D107" s="33" t="str">
        <f>FormatItemName(B107)</f>
        <v>|CFF8B66FFOrb of the Sin'dorei|R</v>
      </c>
      <c r="E107" s="43" t="s">
        <v>805</v>
      </c>
    </row>
    <row r="108" spans="1:5" x14ac:dyDescent="0.25">
      <c r="A108" s="36" t="s">
        <v>340</v>
      </c>
      <c r="B108" s="36" t="s">
        <v>821</v>
      </c>
      <c r="C108" s="33" t="str">
        <f>FormatItemDescription(A107:A113)</f>
        <v>|CFF8B66FFRare|R|N+10力量|N+125生命上限|N+25法术强度|N+7%格挡几率|N|CFF33FF33使你的辛多雷之盾能提供35%额外的伤害减免，并且在开启时可以强迫附近所有敌人攻击你。|R|N|N|CFFFFDEAD杰出血精灵卫士的荣耀象征。|R</v>
      </c>
      <c r="D108" s="33" t="str">
        <f>FormatItemDescription(B107:B113)</f>
        <v>|CFF8B66FFRare|R|N+10 Strength|N+125 Max hit points|N+25 Spell power|N+7% Block chance|N|CFF33FF33Shield of Sin'dorei provides 35% extra damage reduction, and forces all nearby enemies to attack you|R|N|N|CFFFFDEADThe glory sign of remarkable bloodelf defenders.|R</v>
      </c>
      <c r="E108" s="43" t="s">
        <v>805</v>
      </c>
    </row>
    <row r="109" spans="1:5" x14ac:dyDescent="0.25">
      <c r="A109" s="36" t="s">
        <v>402</v>
      </c>
      <c r="B109" s="36" t="s">
        <v>811</v>
      </c>
      <c r="C109" s="33" t="str">
        <f>FormatItemUbertip(A108:A113)</f>
        <v>+10力量|N+125生命上限|N+25法术强度|N+7%格挡几率|N|CFF33FF33使你的辛多雷之盾能提供35%额外的伤害减免，并且在开启时可以强迫附近所有敌人攻击你。|R|N|N|CFFFFDEAD杰出血精灵卫士的荣耀象征。|R</v>
      </c>
      <c r="D109" s="33" t="str">
        <f>FormatItemUbertip(B108:B113)</f>
        <v>+10 Strength|N+125 Max hit points|N+25 Spell power|N+7% Block chance|N|CFF33FF33Shield of Sin'dorei provides 35% extra damage reduction, and forces all nearby enemies to attack you|R|N|N|CFFFFDEADThe glory sign of remarkable bloodelf defenders.|R</v>
      </c>
      <c r="E109" s="43" t="s">
        <v>805</v>
      </c>
    </row>
    <row r="110" spans="1:5" x14ac:dyDescent="0.25">
      <c r="A110" s="36" t="s">
        <v>350</v>
      </c>
      <c r="B110" s="36" t="s">
        <v>698</v>
      </c>
      <c r="C110" s="34"/>
      <c r="D110" s="34"/>
      <c r="E110" s="43" t="s">
        <v>805</v>
      </c>
    </row>
    <row r="111" spans="1:5" x14ac:dyDescent="0.25">
      <c r="A111" s="36" t="s">
        <v>403</v>
      </c>
      <c r="B111" s="36" t="s">
        <v>889</v>
      </c>
      <c r="C111" s="34"/>
      <c r="D111" s="34"/>
      <c r="E111" s="43" t="s">
        <v>805</v>
      </c>
    </row>
    <row r="112" spans="1:5" ht="28.5" x14ac:dyDescent="0.25">
      <c r="A112" s="37" t="s">
        <v>469</v>
      </c>
      <c r="B112" s="37" t="s">
        <v>890</v>
      </c>
      <c r="C112" s="34"/>
      <c r="D112" s="34"/>
      <c r="E112" s="43" t="s">
        <v>805</v>
      </c>
    </row>
    <row r="113" spans="1:5" x14ac:dyDescent="0.25">
      <c r="A113" s="40" t="s">
        <v>27</v>
      </c>
      <c r="B113" s="40" t="s">
        <v>891</v>
      </c>
      <c r="C113" s="34"/>
      <c r="D113" s="34"/>
      <c r="E113" s="43" t="s">
        <v>805</v>
      </c>
    </row>
    <row r="114" spans="1:5" x14ac:dyDescent="0.25">
      <c r="A114" s="62"/>
      <c r="B114" s="62"/>
      <c r="C114" s="34"/>
      <c r="D114" s="34"/>
      <c r="E114" s="43" t="s">
        <v>805</v>
      </c>
    </row>
    <row r="115" spans="1:5" x14ac:dyDescent="0.25">
      <c r="A115" s="59" t="s">
        <v>28</v>
      </c>
      <c r="B115" s="59" t="s">
        <v>892</v>
      </c>
      <c r="C115" s="33" t="str">
        <f>FormatItemName(A115)</f>
        <v>|CFF8B66FF重铸的坚韧徽章|R</v>
      </c>
      <c r="D115" s="33" t="str">
        <f>FormatItemName(B115)</f>
        <v>|CFF8B66FFReforged Badge of Tenacity|R</v>
      </c>
      <c r="E115" s="43" t="s">
        <v>805</v>
      </c>
    </row>
    <row r="116" spans="1:5" x14ac:dyDescent="0.25">
      <c r="A116" s="36" t="s">
        <v>400</v>
      </c>
      <c r="B116" s="36" t="s">
        <v>893</v>
      </c>
      <c r="C116" s="33" t="str">
        <f>FormatItemDescription(A115:A122)</f>
        <v>|CFF8B66FFRare|R|N+10敏捷|N+5物理免伤|N+150生命上限|N+3%躲闪|N|CFF33FF33使你的生存本能可以提供15%额外的生命值和生命上限。|R|N|CFF33FF33使用：立即冷却生存本能。|R|N|N|CFFFFDEAD据说这枚徽章最早是由恶魔沙图尔打造的。|R</v>
      </c>
      <c r="D116" s="33" t="str">
        <f>FormatItemDescription(B115:B122)</f>
        <v>|CFF8B66FFRare|R|N+10 Agility|N+5 Armor|N+150 Max hit points|N+3% Dodge chance|N|CFF33FF33Survival Instincts provides 15% extra healing and max hit points|R|N|CFF33FF33Reduce cooldown of Survival Instincts by 20 seconds|R|N|N|CFFFFDEADOriginally forged by a demon overseer named Shartuul.|R</v>
      </c>
      <c r="E116" s="43" t="s">
        <v>805</v>
      </c>
    </row>
    <row r="117" spans="1:5" x14ac:dyDescent="0.25">
      <c r="A117" s="36" t="s">
        <v>404</v>
      </c>
      <c r="B117" s="36" t="s">
        <v>837</v>
      </c>
      <c r="C117" s="33" t="str">
        <f>FormatItemUbertip(A116:A122)</f>
        <v>+10敏捷|N+5物理免伤|N+150生命上限|N+3%躲闪|N|CFF33FF33使你的生存本能可以提供15%额外的生命值和生命上限。|R|N|CFF33FF33使用：立即冷却生存本能。|R|N|N|CFFFFDEAD据说这枚徽章最早是由恶魔沙图尔打造的。|R</v>
      </c>
      <c r="D117" s="33" t="str">
        <f>FormatItemUbertip(B116:B122)</f>
        <v>+10 Agility|N+5 Armor|N+150 Max hit points|N+3% Dodge chance|N|CFF33FF33Survival Instincts provides 15% extra healing and max hit points|R|N|CFF33FF33Reduce cooldown of Survival Instincts by 20 seconds|R|N|N|CFFFFDEADOriginally forged by a demon overseer named Shartuul.|R</v>
      </c>
      <c r="E117" s="43" t="s">
        <v>805</v>
      </c>
    </row>
    <row r="118" spans="1:5" x14ac:dyDescent="0.25">
      <c r="A118" s="36" t="s">
        <v>401</v>
      </c>
      <c r="B118" s="36" t="s">
        <v>894</v>
      </c>
      <c r="C118" s="34"/>
      <c r="D118" s="34"/>
      <c r="E118" s="43" t="s">
        <v>805</v>
      </c>
    </row>
    <row r="119" spans="1:5" x14ac:dyDescent="0.25">
      <c r="A119" s="36" t="s">
        <v>483</v>
      </c>
      <c r="B119" s="36" t="s">
        <v>792</v>
      </c>
      <c r="C119" s="34"/>
      <c r="D119" s="34"/>
      <c r="E119" s="43" t="s">
        <v>805</v>
      </c>
    </row>
    <row r="120" spans="1:5" x14ac:dyDescent="0.25">
      <c r="A120" s="37" t="s">
        <v>29</v>
      </c>
      <c r="B120" s="37" t="s">
        <v>895</v>
      </c>
      <c r="C120" s="34"/>
      <c r="D120" s="34"/>
      <c r="E120" s="43" t="s">
        <v>805</v>
      </c>
    </row>
    <row r="121" spans="1:5" x14ac:dyDescent="0.25">
      <c r="A121" s="37" t="s">
        <v>30</v>
      </c>
      <c r="B121" s="37" t="s">
        <v>896</v>
      </c>
      <c r="C121" s="34"/>
      <c r="D121" s="34"/>
      <c r="E121" s="43" t="s">
        <v>805</v>
      </c>
    </row>
    <row r="122" spans="1:5" x14ac:dyDescent="0.25">
      <c r="A122" s="40" t="s">
        <v>31</v>
      </c>
      <c r="B122" s="40" t="s">
        <v>897</v>
      </c>
      <c r="C122" s="34"/>
      <c r="D122" s="34"/>
      <c r="E122" s="43" t="s">
        <v>805</v>
      </c>
    </row>
    <row r="123" spans="1:5" x14ac:dyDescent="0.25">
      <c r="A123" s="60"/>
      <c r="B123" s="60"/>
      <c r="C123" s="34"/>
      <c r="D123" s="34"/>
      <c r="E123" s="43" t="s">
        <v>805</v>
      </c>
    </row>
    <row r="124" spans="1:5" x14ac:dyDescent="0.25">
      <c r="A124" s="59" t="s">
        <v>32</v>
      </c>
      <c r="B124" s="59" t="s">
        <v>898</v>
      </c>
      <c r="C124" s="33" t="str">
        <f>FormatItemName(A124)</f>
        <v>|CFF8B66FF圣光的正义|R</v>
      </c>
      <c r="D124" s="33" t="str">
        <f>FormatItemName(B124)</f>
        <v>|CFF8B66FFLight's Justice|R</v>
      </c>
      <c r="E124" s="43" t="s">
        <v>805</v>
      </c>
    </row>
    <row r="125" spans="1:5" x14ac:dyDescent="0.25">
      <c r="A125" s="36" t="s">
        <v>337</v>
      </c>
      <c r="B125" s="36" t="s">
        <v>872</v>
      </c>
      <c r="C125" s="33" t="str">
        <f>FormatItemDescription(A124:A130)</f>
        <v>|CFF8B66FFRare|R|N+10智力|N+20法术强度|N+5%法术暴击|N|CFF33FF33使你的神圣震击一定能造成极效治疗。|R|N|CFF33FF33使用：驱散友军/敌军目标身上的一个有害/有益的魔法效果，并且在接下来的12秒内每3秒造成一次驱散效果。|R|N|N|CFFFFDEAD向圣光打开你的心扉。|R</v>
      </c>
      <c r="D125" s="33" t="str">
        <f>FormatItemDescription(B124:B130)</f>
        <v>|CFF8B66FFRare|R|N+10 Intelligence|N+20 Spell power|N+5% Spell critical hit chance|N|CFF33FF33Holy Shock always deals critical healing|R|N|CFF33FF33Flash Light dispels one debuff from target|R|N|N|CFFFFDEADOpen your heart to the light.|R</v>
      </c>
      <c r="E125" s="43" t="s">
        <v>805</v>
      </c>
    </row>
    <row r="126" spans="1:5" x14ac:dyDescent="0.25">
      <c r="A126" s="36" t="s">
        <v>396</v>
      </c>
      <c r="B126" s="36" t="s">
        <v>899</v>
      </c>
      <c r="C126" s="33" t="str">
        <f>FormatItemUbertip(A125:A130)</f>
        <v>+10智力|N+20法术强度|N+5%法术暴击|N|CFF33FF33使你的神圣震击一定能造成极效治疗。|R|N|CFF33FF33使用：驱散友军/敌军目标身上的一个有害/有益的魔法效果，并且在接下来的12秒内每3秒造成一次驱散效果。|R|N|N|CFFFFDEAD向圣光打开你的心扉。|R</v>
      </c>
      <c r="D126" s="33" t="str">
        <f>FormatItemUbertip(B125:B130)</f>
        <v>+10 Intelligence|N+20 Spell power|N+5% Spell critical hit chance|N|CFF33FF33Holy Shock always deals critical healing|R|N|CFF33FF33Flash Light dispels one debuff from target|R|N|N|CFFFFDEADOpen your heart to the light.|R</v>
      </c>
      <c r="E126" s="43" t="s">
        <v>805</v>
      </c>
    </row>
    <row r="127" spans="1:5" x14ac:dyDescent="0.25">
      <c r="A127" s="36" t="s">
        <v>394</v>
      </c>
      <c r="B127" s="36" t="s">
        <v>900</v>
      </c>
      <c r="C127" s="34"/>
      <c r="D127" s="34"/>
      <c r="E127" s="43" t="s">
        <v>805</v>
      </c>
    </row>
    <row r="128" spans="1:5" x14ac:dyDescent="0.25">
      <c r="A128" s="37" t="s">
        <v>33</v>
      </c>
      <c r="B128" s="37" t="s">
        <v>901</v>
      </c>
      <c r="C128" s="34"/>
      <c r="D128" s="34"/>
      <c r="E128" s="43" t="s">
        <v>805</v>
      </c>
    </row>
    <row r="129" spans="1:5" ht="28.5" x14ac:dyDescent="0.25">
      <c r="A129" s="37" t="s">
        <v>34</v>
      </c>
      <c r="B129" s="37" t="s">
        <v>902</v>
      </c>
      <c r="C129" s="63"/>
      <c r="D129" s="63"/>
      <c r="E129" s="43" t="s">
        <v>805</v>
      </c>
    </row>
    <row r="130" spans="1:5" x14ac:dyDescent="0.25">
      <c r="A130" s="40" t="s">
        <v>35</v>
      </c>
      <c r="B130" s="40" t="s">
        <v>903</v>
      </c>
      <c r="C130" s="34"/>
      <c r="D130" s="34"/>
      <c r="E130" s="43" t="s">
        <v>805</v>
      </c>
    </row>
    <row r="131" spans="1:5" x14ac:dyDescent="0.25">
      <c r="A131" s="60"/>
      <c r="B131" s="60"/>
      <c r="C131" s="34"/>
      <c r="D131" s="34"/>
      <c r="E131" s="43" t="s">
        <v>805</v>
      </c>
    </row>
    <row r="132" spans="1:5" x14ac:dyDescent="0.25">
      <c r="A132" s="59" t="s">
        <v>36</v>
      </c>
      <c r="B132" s="59" t="s">
        <v>904</v>
      </c>
      <c r="C132" s="33" t="str">
        <f>FormatItemName(A132)</f>
        <v>|CFF8B66FF祈福|R</v>
      </c>
      <c r="D132" s="33" t="str">
        <f>FormatItemName(B132)</f>
        <v>|CFF8B66FFBenediction|R</v>
      </c>
      <c r="E132" s="43" t="s">
        <v>805</v>
      </c>
    </row>
    <row r="133" spans="1:5" x14ac:dyDescent="0.25">
      <c r="A133" s="36" t="s">
        <v>337</v>
      </c>
      <c r="B133" s="36" t="s">
        <v>872</v>
      </c>
      <c r="C133" s="33" t="str">
        <f>FormatItemDescription(A132:A139)</f>
        <v>|CFF8B66FFRare|R|N+10智力|N+100生命上限|N+20法术强度|N每秒回复5点法力值|N|CFF33FF33医疗术使目标受到治疗增幅的效果翻倍。|R|N|CFF33FF33移除护盾术造成的虚弱效果。|R|N|N|CFFFFDEAD在光的背后，是阴影。|R</v>
      </c>
      <c r="D133" s="33" t="str">
        <f>FormatItemDescription(B132:B139)</f>
        <v>|CFF8B66FFRare|R|N+10 Intelligence|N+100 Max hit points|N+20 Spell power|NReplenishes 5 mana points per second|N|CFF33FF33Prayer of healing increases armor of target by 10|R|N|CFF33FF33Removes weakness effect of Shield|R|N|N|CFFFFDEADBehind the light, it's shadow.|R</v>
      </c>
      <c r="E133" s="43" t="s">
        <v>805</v>
      </c>
    </row>
    <row r="134" spans="1:5" x14ac:dyDescent="0.25">
      <c r="A134" s="36" t="s">
        <v>395</v>
      </c>
      <c r="B134" s="36" t="s">
        <v>827</v>
      </c>
      <c r="C134" s="33" t="str">
        <f>FormatItemUbertip(A133:A139)</f>
        <v>+10智力|N+100生命上限|N+20法术强度|N每秒回复5点法力值|N|CFF33FF33医疗术使目标受到治疗增幅的效果翻倍。|R|N|CFF33FF33移除护盾术造成的虚弱效果。|R|N|N|CFFFFDEAD在光的背后，是阴影。|R</v>
      </c>
      <c r="D134" s="33" t="str">
        <f>FormatItemUbertip(B133:B139)</f>
        <v>+10 Intelligence|N+100 Max hit points|N+20 Spell power|NReplenishes 5 mana points per second|N|CFF33FF33Prayer of healing increases armor of target by 10|R|N|CFF33FF33Removes weakness effect of Shield|R|N|N|CFFFFDEADBehind the light, it's shadow.|R</v>
      </c>
      <c r="E134" s="43" t="s">
        <v>805</v>
      </c>
    </row>
    <row r="135" spans="1:5" x14ac:dyDescent="0.25">
      <c r="A135" s="36" t="s">
        <v>396</v>
      </c>
      <c r="B135" s="36" t="s">
        <v>899</v>
      </c>
      <c r="C135" s="34"/>
      <c r="D135" s="34"/>
      <c r="E135" s="43" t="s">
        <v>805</v>
      </c>
    </row>
    <row r="136" spans="1:5" x14ac:dyDescent="0.25">
      <c r="A136" s="36" t="s">
        <v>397</v>
      </c>
      <c r="B136" s="36" t="s">
        <v>905</v>
      </c>
      <c r="C136" s="34"/>
      <c r="D136" s="34"/>
      <c r="E136" s="43" t="s">
        <v>805</v>
      </c>
    </row>
    <row r="137" spans="1:5" x14ac:dyDescent="0.25">
      <c r="A137" s="37" t="s">
        <v>476</v>
      </c>
      <c r="B137" s="37" t="s">
        <v>906</v>
      </c>
      <c r="C137" s="34"/>
      <c r="D137" s="34"/>
      <c r="E137" s="43" t="s">
        <v>805</v>
      </c>
    </row>
    <row r="138" spans="1:5" x14ac:dyDescent="0.25">
      <c r="A138" s="37" t="s">
        <v>475</v>
      </c>
      <c r="B138" s="37" t="s">
        <v>907</v>
      </c>
      <c r="C138" s="63"/>
      <c r="D138" s="63"/>
      <c r="E138" s="43" t="s">
        <v>805</v>
      </c>
    </row>
    <row r="139" spans="1:5" x14ac:dyDescent="0.25">
      <c r="A139" s="40" t="s">
        <v>37</v>
      </c>
      <c r="B139" s="40" t="s">
        <v>908</v>
      </c>
      <c r="C139" s="34"/>
      <c r="D139" s="34"/>
      <c r="E139" s="43" t="s">
        <v>805</v>
      </c>
    </row>
    <row r="140" spans="1:5" x14ac:dyDescent="0.25">
      <c r="A140" s="60"/>
      <c r="B140" s="60"/>
      <c r="C140" s="34"/>
      <c r="D140" s="34"/>
      <c r="E140" s="43" t="s">
        <v>805</v>
      </c>
    </row>
    <row r="141" spans="1:5" x14ac:dyDescent="0.25">
      <c r="A141" s="59" t="s">
        <v>38</v>
      </c>
      <c r="B141" s="59" t="s">
        <v>909</v>
      </c>
      <c r="C141" s="33" t="str">
        <f>FormatItemName(A141)</f>
        <v>|CFF8B66FF塞纳留斯的号角|R</v>
      </c>
      <c r="D141" s="33" t="str">
        <f>FormatItemName(B141)</f>
        <v>|CFF8B66FFHorn of Cenarius|R</v>
      </c>
      <c r="E141" s="43" t="s">
        <v>805</v>
      </c>
    </row>
    <row r="142" spans="1:5" x14ac:dyDescent="0.25">
      <c r="A142" s="36" t="s">
        <v>398</v>
      </c>
      <c r="B142" s="36" t="s">
        <v>910</v>
      </c>
      <c r="C142" s="33" t="str">
        <f>FormatItemDescription(A141:A147)</f>
        <v>|CFF8B66FFRare|R|N+8所有属性|N+75生命上限|N+100法力上限|N+25法术强度|N|CFF33FF33使愈合的瞬发效果的间隔时间缩短10秒。|R|N|N|CFFFFDEAD这个暗夜精灵族的神器据说能召唤来所有暗夜精灵的灵魂。|R</v>
      </c>
      <c r="D142" s="33" t="str">
        <f>FormatItemDescription(B141:B147)</f>
        <v>|CFF8B66FFRare|R|N+8 All stats|N+75 Max hit points|N+100 Max mana points|N+25 Spell power|N|CFF33FF33Reduce cooldown of Instant Regrowth by 10 seconds|R|N|N|CFFFFDEADThis Night Elf artifact is said to be able to summon the souls of all night elves.|R</v>
      </c>
      <c r="E142" s="43" t="s">
        <v>805</v>
      </c>
    </row>
    <row r="143" spans="1:5" x14ac:dyDescent="0.25">
      <c r="A143" s="36" t="s">
        <v>364</v>
      </c>
      <c r="B143" s="36" t="s">
        <v>797</v>
      </c>
      <c r="C143" s="33" t="str">
        <f>FormatItemUbertip(A142:A147)</f>
        <v>+8所有属性|N+75生命上限|N+100法力上限|N+25法术强度|N|CFF33FF33使愈合的瞬发效果的间隔时间缩短10秒。|R|N|N|CFFFFDEAD这个暗夜精灵族的神器据说能召唤来所有暗夜精灵的灵魂。|R</v>
      </c>
      <c r="D143" s="33" t="str">
        <f>FormatItemUbertip(B142:B147)</f>
        <v>+8 All stats|N+75 Max hit points|N+100 Max mana points|N+25 Spell power|N|CFF33FF33Reduce cooldown of Instant Regrowth by 10 seconds|R|N|N|CFFFFDEADThis Night Elf artifact is said to be able to summon the souls of all night elves.|R</v>
      </c>
      <c r="E143" s="43" t="s">
        <v>805</v>
      </c>
    </row>
    <row r="144" spans="1:5" x14ac:dyDescent="0.25">
      <c r="A144" s="36" t="s">
        <v>399</v>
      </c>
      <c r="B144" s="36" t="s">
        <v>779</v>
      </c>
      <c r="C144" s="34"/>
      <c r="D144" s="34"/>
      <c r="E144" s="43" t="s">
        <v>805</v>
      </c>
    </row>
    <row r="145" spans="1:5" x14ac:dyDescent="0.25">
      <c r="A145" s="36" t="s">
        <v>350</v>
      </c>
      <c r="B145" s="36" t="s">
        <v>698</v>
      </c>
      <c r="C145" s="34"/>
      <c r="D145" s="34"/>
      <c r="E145" s="43" t="s">
        <v>805</v>
      </c>
    </row>
    <row r="146" spans="1:5" x14ac:dyDescent="0.25">
      <c r="A146" s="37" t="s">
        <v>39</v>
      </c>
      <c r="B146" s="37" t="s">
        <v>911</v>
      </c>
      <c r="C146" s="34"/>
      <c r="D146" s="34"/>
      <c r="E146" s="43" t="s">
        <v>805</v>
      </c>
    </row>
    <row r="147" spans="1:5" x14ac:dyDescent="0.25">
      <c r="A147" s="40" t="s">
        <v>40</v>
      </c>
      <c r="B147" s="40" t="s">
        <v>912</v>
      </c>
      <c r="C147" s="35"/>
      <c r="D147" s="35"/>
      <c r="E147" s="43" t="s">
        <v>805</v>
      </c>
    </row>
    <row r="148" spans="1:5" x14ac:dyDescent="0.25">
      <c r="A148" s="60"/>
      <c r="B148" s="60"/>
      <c r="C148" s="34"/>
      <c r="D148" s="34"/>
      <c r="E148" s="43" t="s">
        <v>805</v>
      </c>
    </row>
    <row r="149" spans="1:5" x14ac:dyDescent="0.25">
      <c r="A149" s="59" t="s">
        <v>41</v>
      </c>
      <c r="B149" s="59" t="s">
        <v>913</v>
      </c>
      <c r="C149" s="33" t="str">
        <f>FormatItemName(A149)</f>
        <v>|CFF8B66FF部落旗帜|R</v>
      </c>
      <c r="D149" s="33" t="str">
        <f>FormatItemName(B149)</f>
        <v>|CFF8B66FFBanner of the Horde|R</v>
      </c>
      <c r="E149" s="43" t="s">
        <v>805</v>
      </c>
    </row>
    <row r="150" spans="1:5" x14ac:dyDescent="0.25">
      <c r="A150" s="36" t="s">
        <v>340</v>
      </c>
      <c r="B150" s="36" t="s">
        <v>821</v>
      </c>
      <c r="C150" s="33" t="str">
        <f>FormatItemDescription(A149:A155)</f>
        <v>|CFF8B66FFRare|R|N+10力量|N+10敏捷|N+15攻击强度|N+5%暴击几率|N|CFF33FF33使英勇打击消耗的法力值减少5点。|R|N|N|CFFFFDEAD带着部落的荣耀，斩下入侵者的头颅。|R</v>
      </c>
      <c r="D150" s="33" t="str">
        <f>FormatItemDescription(B149:B155)</f>
        <v>|CFF8B66FFRare|R|N+10 Strength|N+10 Agility|N+15 Attack power|N+5% Attack critical hit chance|N|CFF33FF33Regenerates 100% more valor points|R|N|N|CFFFFDEADWith the tribal glory, the head of the enemies were left behind.|R</v>
      </c>
      <c r="E150" s="43" t="s">
        <v>805</v>
      </c>
    </row>
    <row r="151" spans="1:5" x14ac:dyDescent="0.25">
      <c r="A151" s="36" t="s">
        <v>400</v>
      </c>
      <c r="B151" s="36" t="s">
        <v>893</v>
      </c>
      <c r="C151" s="33" t="str">
        <f>FormatItemUbertip(A150:A155)</f>
        <v>+10力量|N+10敏捷|N+15攻击强度|N+5%暴击几率|N|CFF33FF33使英勇打击消耗的法力值减少5点。|R|N|N|CFFFFDEAD带着部落的荣耀，斩下入侵者的头颅。|R</v>
      </c>
      <c r="D151" s="33" t="str">
        <f>FormatItemUbertip(B150:B155)</f>
        <v>+10 Strength|N+10 Agility|N+15 Attack power|N+5% Attack critical hit chance|N|CFF33FF33Regenerates 100% more valor points|R|N|N|CFFFFDEADWith the tribal glory, the head of the enemies were left behind.|R</v>
      </c>
      <c r="E151" s="43" t="s">
        <v>805</v>
      </c>
    </row>
    <row r="152" spans="1:5" x14ac:dyDescent="0.25">
      <c r="A152" s="36" t="s">
        <v>349</v>
      </c>
      <c r="B152" s="36" t="s">
        <v>729</v>
      </c>
      <c r="C152" s="34"/>
      <c r="D152" s="34"/>
      <c r="E152" s="43" t="s">
        <v>805</v>
      </c>
    </row>
    <row r="153" spans="1:5" x14ac:dyDescent="0.25">
      <c r="A153" s="36" t="s">
        <v>371</v>
      </c>
      <c r="B153" s="36" t="s">
        <v>707</v>
      </c>
      <c r="C153" s="34"/>
      <c r="D153" s="34"/>
      <c r="E153" s="43" t="s">
        <v>805</v>
      </c>
    </row>
    <row r="154" spans="1:5" x14ac:dyDescent="0.25">
      <c r="A154" s="37" t="s">
        <v>42</v>
      </c>
      <c r="B154" s="37" t="s">
        <v>914</v>
      </c>
      <c r="C154" s="34"/>
      <c r="D154" s="34"/>
      <c r="E154" s="43" t="s">
        <v>805</v>
      </c>
    </row>
    <row r="155" spans="1:5" x14ac:dyDescent="0.25">
      <c r="A155" s="40" t="s">
        <v>43</v>
      </c>
      <c r="B155" s="40" t="s">
        <v>915</v>
      </c>
      <c r="C155" s="34"/>
      <c r="D155" s="34"/>
      <c r="E155" s="43" t="s">
        <v>805</v>
      </c>
    </row>
    <row r="156" spans="1:5" x14ac:dyDescent="0.25">
      <c r="A156" s="60"/>
      <c r="B156" s="60"/>
      <c r="C156" s="34"/>
      <c r="D156" s="34"/>
      <c r="E156" s="43" t="s">
        <v>805</v>
      </c>
    </row>
    <row r="157" spans="1:5" x14ac:dyDescent="0.25">
      <c r="A157" s="59" t="s">
        <v>44</v>
      </c>
      <c r="B157" s="59" t="s">
        <v>916</v>
      </c>
      <c r="C157" s="33" t="str">
        <f>FormatItemName(A157)</f>
        <v>|CFF8B66FF科勒恩的刺杀匕首|R</v>
      </c>
      <c r="D157" s="33" t="str">
        <f>FormatItemName(B157)</f>
        <v>|CFF8B66FFKelen's Dagger of Assassination|R</v>
      </c>
      <c r="E157" s="43" t="s">
        <v>805</v>
      </c>
    </row>
    <row r="158" spans="1:5" x14ac:dyDescent="0.25">
      <c r="A158" s="36" t="s">
        <v>400</v>
      </c>
      <c r="B158" s="36" t="s">
        <v>893</v>
      </c>
      <c r="C158" s="33" t="str">
        <f>FormatItemDescription(A157:A164)</f>
        <v>|CFF8B66FFRare|R|N+10敏捷|N+20攻击强度|N+15%攻击速度|N|CFF33FF33对生命值少于自己的目标造成一击必杀。|R|N|CFF33FF33对生命值少于30%的目标造成15%额外伤害。|R|N|CFF33FF33使你的邪恶攻击有15%概率造成麻痹效果，降低目标施法速度20%，并获得一个额外的连击点。|R|N|N|CFFFFDEAD科勒恩不仅仅是逃脱大师而已。|R</v>
      </c>
      <c r="D158" s="33" t="str">
        <f>FormatItemDescription(B157:B164)</f>
        <v>|CFF8B66FFRare|R|N+10 Agility|N+20 Attack power|N+15% Attack speed|N|CFF33FF33One-shot target when it's hit points are less than yours|R|N|CFF33FF33Deals 15% extra damage to target below 30% max hit points|R|N|CFF33FF33Sinister Strike has a 15% chance to palsy target, reduce spell haste by 20% and gain an extra combo point|R|N|N|CFFFFDEADKelen is not just a master escaper.|R</v>
      </c>
      <c r="E158" s="43" t="s">
        <v>805</v>
      </c>
    </row>
    <row r="159" spans="1:5" x14ac:dyDescent="0.25">
      <c r="A159" s="36" t="s">
        <v>366</v>
      </c>
      <c r="B159" s="36" t="s">
        <v>697</v>
      </c>
      <c r="C159" s="33" t="str">
        <f>FormatItemUbertip(A158:A164)</f>
        <v>+10敏捷|N+20攻击强度|N+15%攻击速度|N|CFF33FF33对生命值少于自己的目标造成一击必杀。|R|N|CFF33FF33对生命值少于30%的目标造成15%额外伤害。|R|N|CFF33FF33使你的邪恶攻击有15%概率造成麻痹效果，降低目标施法速度20%，并获得一个额外的连击点。|R|N|N|CFFFFDEAD科勒恩不仅仅是逃脱大师而已。|R</v>
      </c>
      <c r="D159" s="33" t="str">
        <f>FormatItemUbertip(B158:B164)</f>
        <v>+10 Agility|N+20 Attack power|N+15% Attack speed|N|CFF33FF33One-shot target when it's hit points are less than yours|R|N|CFF33FF33Deals 15% extra damage to target below 30% max hit points|R|N|CFF33FF33Sinister Strike has a 15% chance to palsy target, reduce spell haste by 20% and gain an extra combo point|R|N|N|CFFFFDEADKelen is not just a master escaper.|R</v>
      </c>
      <c r="E159" s="43" t="s">
        <v>805</v>
      </c>
    </row>
    <row r="160" spans="1:5" x14ac:dyDescent="0.25">
      <c r="A160" s="36" t="s">
        <v>384</v>
      </c>
      <c r="B160" s="36" t="s">
        <v>706</v>
      </c>
      <c r="C160" s="34"/>
      <c r="D160" s="34"/>
      <c r="E160" s="43" t="s">
        <v>805</v>
      </c>
    </row>
    <row r="161" spans="1:5" x14ac:dyDescent="0.25">
      <c r="A161" s="37" t="s">
        <v>45</v>
      </c>
      <c r="B161" s="37" t="s">
        <v>917</v>
      </c>
      <c r="C161" s="34"/>
      <c r="D161" s="34"/>
      <c r="E161" s="43" t="s">
        <v>805</v>
      </c>
    </row>
    <row r="162" spans="1:5" x14ac:dyDescent="0.25">
      <c r="A162" s="37" t="s">
        <v>480</v>
      </c>
      <c r="B162" s="37" t="s">
        <v>918</v>
      </c>
      <c r="C162" s="63"/>
      <c r="D162" s="63"/>
      <c r="E162" s="43" t="s">
        <v>805</v>
      </c>
    </row>
    <row r="163" spans="1:5" ht="28.5" x14ac:dyDescent="0.25">
      <c r="A163" s="37" t="s">
        <v>46</v>
      </c>
      <c r="B163" s="37" t="s">
        <v>919</v>
      </c>
      <c r="C163" s="63"/>
      <c r="D163" s="63"/>
      <c r="E163" s="43" t="s">
        <v>805</v>
      </c>
    </row>
    <row r="164" spans="1:5" x14ac:dyDescent="0.25">
      <c r="A164" s="40" t="s">
        <v>47</v>
      </c>
      <c r="B164" s="40" t="s">
        <v>920</v>
      </c>
      <c r="C164" s="34"/>
      <c r="D164" s="34"/>
      <c r="E164" s="43" t="s">
        <v>805</v>
      </c>
    </row>
    <row r="165" spans="1:5" x14ac:dyDescent="0.25">
      <c r="A165" s="60"/>
      <c r="B165" s="60"/>
      <c r="C165" s="34"/>
      <c r="D165" s="34"/>
      <c r="E165" s="43" t="s">
        <v>805</v>
      </c>
    </row>
    <row r="166" spans="1:5" x14ac:dyDescent="0.25">
      <c r="A166" s="59" t="s">
        <v>48</v>
      </c>
      <c r="B166" s="59" t="s">
        <v>921</v>
      </c>
      <c r="C166" s="33" t="str">
        <f>FormatItemName(A166)</f>
        <v>|CFF8B66FF上古守护者的长弓|R</v>
      </c>
      <c r="D166" s="33" t="str">
        <f>FormatItemName(B166)</f>
        <v>|CFF8B66FFRhokdelar|R</v>
      </c>
      <c r="E166" s="43" t="s">
        <v>805</v>
      </c>
    </row>
    <row r="167" spans="1:5" x14ac:dyDescent="0.25">
      <c r="A167" s="36" t="s">
        <v>400</v>
      </c>
      <c r="B167" s="36" t="s">
        <v>893</v>
      </c>
      <c r="C167" s="33" t="str">
        <f>FormatItemDescription(A166:A172)</f>
        <v>|CFF8B66FFRare|R|N+10敏捷|N+20攻击强度|N+8%暴击几率|N+30移动速度|N|CFF33FF33使你的黑箭数量增加一枝。|R|N|N|CFFFFDEAD“Rhok'delar”|R</v>
      </c>
      <c r="D167" s="33" t="str">
        <f>FormatItemDescription(B166:B172)</f>
        <v>|CFF8B66FFRare|R|N+10 Agility|N+20 Attack power|N+8% Attack critical hit chance|N+30 Movement speed|N|CFF33FF33Increase your Dark Arrow by one|R|N|N|CFFFFDEADLongbow of the Ancient Keepers|R</v>
      </c>
      <c r="E167" s="43" t="s">
        <v>805</v>
      </c>
    </row>
    <row r="168" spans="1:5" x14ac:dyDescent="0.25">
      <c r="A168" s="36" t="s">
        <v>366</v>
      </c>
      <c r="B168" s="36" t="s">
        <v>697</v>
      </c>
      <c r="C168" s="33" t="str">
        <f>FormatItemUbertip(A167:A172)</f>
        <v>+10敏捷|N+20攻击强度|N+8%暴击几率|N+30移动速度|N|CFF33FF33使你的黑箭数量增加一枝。|R|N|N|CFFFFDEAD“Rhok'delar”|R</v>
      </c>
      <c r="D168" s="33" t="str">
        <f>FormatItemUbertip(B167:B172)</f>
        <v>+10 Agility|N+20 Attack power|N+8% Attack critical hit chance|N+30 Movement speed|N|CFF33FF33Increase your Dark Arrow by one|R|N|N|CFFFFDEADLongbow of the Ancient Keepers|R</v>
      </c>
      <c r="E168" s="43" t="s">
        <v>805</v>
      </c>
    </row>
    <row r="169" spans="1:5" x14ac:dyDescent="0.25">
      <c r="A169" s="36" t="s">
        <v>405</v>
      </c>
      <c r="B169" s="36" t="s">
        <v>922</v>
      </c>
      <c r="C169" s="34"/>
      <c r="D169" s="34"/>
      <c r="E169" s="43" t="s">
        <v>805</v>
      </c>
    </row>
    <row r="170" spans="1:5" x14ac:dyDescent="0.25">
      <c r="A170" s="36" t="s">
        <v>363</v>
      </c>
      <c r="B170" s="36" t="s">
        <v>718</v>
      </c>
      <c r="C170" s="34"/>
      <c r="D170" s="34"/>
      <c r="E170" s="43" t="s">
        <v>805</v>
      </c>
    </row>
    <row r="171" spans="1:5" x14ac:dyDescent="0.25">
      <c r="A171" s="37" t="s">
        <v>49</v>
      </c>
      <c r="B171" s="37" t="s">
        <v>923</v>
      </c>
      <c r="C171" s="34"/>
      <c r="D171" s="34"/>
      <c r="E171" s="43" t="s">
        <v>805</v>
      </c>
    </row>
    <row r="172" spans="1:5" x14ac:dyDescent="0.25">
      <c r="A172" s="40" t="s">
        <v>50</v>
      </c>
      <c r="B172" s="40" t="s">
        <v>924</v>
      </c>
      <c r="C172" s="34"/>
      <c r="D172" s="34"/>
      <c r="E172" s="43" t="s">
        <v>805</v>
      </c>
    </row>
    <row r="173" spans="1:5" x14ac:dyDescent="0.25">
      <c r="A173" s="60"/>
      <c r="B173" s="60"/>
      <c r="C173" s="34"/>
      <c r="D173" s="34"/>
      <c r="E173" s="43" t="s">
        <v>805</v>
      </c>
    </row>
    <row r="174" spans="1:5" x14ac:dyDescent="0.25">
      <c r="A174" s="59" t="s">
        <v>51</v>
      </c>
      <c r="B174" s="59" t="s">
        <v>925</v>
      </c>
      <c r="C174" s="33" t="str">
        <f>FormatItemName(A174)</f>
        <v>|CFF8B66FF雷基·冬寒的护命匣|R</v>
      </c>
      <c r="D174" s="33" t="str">
        <f>FormatItemName(B174)</f>
        <v>|CFF8B66FFRage Winterchill's Phylactery|R</v>
      </c>
      <c r="E174" s="43" t="s">
        <v>805</v>
      </c>
    </row>
    <row r="175" spans="1:5" x14ac:dyDescent="0.25">
      <c r="A175" s="36" t="s">
        <v>337</v>
      </c>
      <c r="B175" s="36" t="s">
        <v>872</v>
      </c>
      <c r="C175" s="33" t="str">
        <f>FormatItemDescription(A174:A180)</f>
        <v>|CFF8B66FFRare|R|N+10智力|N+100生命上限|N+5%法术暴击|N+5%冰冷法术伤害|N|CFF33FF33使你的寒冰箭能冻结敌人1秒。|R|N|N|CFFFFDEAD对于某些人来说，他的护命匣的价值要大于黑暗秘密编年史。|R</v>
      </c>
      <c r="D175" s="33" t="str">
        <f>FormatItemDescription(B174:B180)</f>
        <v>|CFF8B66FFRare|R|N+10 Intelligence|N+100 Max hit points|N+5% Spell critical hit chance|N+5% Ice spell damage|N|CFF33FF333% chance to cast an instant Frost Bolt to targets damaged by Blizzard|R|N|N|CFFFFDEADFor some people, the value of his phylactery is greater than the Chronicle of Dark Secrets.|R</v>
      </c>
      <c r="E175" s="43" t="s">
        <v>805</v>
      </c>
    </row>
    <row r="176" spans="1:5" x14ac:dyDescent="0.25">
      <c r="A176" s="36" t="s">
        <v>395</v>
      </c>
      <c r="B176" s="36" t="s">
        <v>827</v>
      </c>
      <c r="C176" s="33" t="str">
        <f>FormatItemUbertip(A175:A180)</f>
        <v>+10智力|N+100生命上限|N+5%法术暴击|N+5%冰冷法术伤害|N|CFF33FF33使你的寒冰箭能冻结敌人1秒。|R|N|N|CFFFFDEAD对于某些人来说，他的护命匣的价值要大于黑暗秘密编年史。|R</v>
      </c>
      <c r="D176" s="33" t="str">
        <f>FormatItemUbertip(B175:B180)</f>
        <v>+10 Intelligence|N+100 Max hit points|N+5% Spell critical hit chance|N+5% Ice spell damage|N|CFF33FF333% chance to cast an instant Frost Bolt to targets damaged by Blizzard|R|N|N|CFFFFDEADFor some people, the value of his phylactery is greater than the Chronicle of Dark Secrets.|R</v>
      </c>
      <c r="E176" s="43" t="s">
        <v>805</v>
      </c>
    </row>
    <row r="177" spans="1:5" x14ac:dyDescent="0.25">
      <c r="A177" s="36" t="s">
        <v>394</v>
      </c>
      <c r="B177" s="36" t="s">
        <v>900</v>
      </c>
      <c r="C177" s="34"/>
      <c r="D177" s="34"/>
      <c r="E177" s="43" t="s">
        <v>805</v>
      </c>
    </row>
    <row r="178" spans="1:5" x14ac:dyDescent="0.25">
      <c r="A178" s="36" t="s">
        <v>406</v>
      </c>
      <c r="B178" s="36" t="s">
        <v>926</v>
      </c>
      <c r="C178" s="34"/>
      <c r="D178" s="34"/>
      <c r="E178" s="43" t="s">
        <v>805</v>
      </c>
    </row>
    <row r="179" spans="1:5" x14ac:dyDescent="0.25">
      <c r="A179" s="37" t="s">
        <v>52</v>
      </c>
      <c r="B179" s="37" t="s">
        <v>928</v>
      </c>
      <c r="C179" s="34"/>
      <c r="D179" s="34"/>
      <c r="E179" s="43" t="s">
        <v>805</v>
      </c>
    </row>
    <row r="180" spans="1:5" ht="28.5" x14ac:dyDescent="0.25">
      <c r="A180" s="40" t="s">
        <v>53</v>
      </c>
      <c r="B180" s="40" t="s">
        <v>927</v>
      </c>
      <c r="C180" s="35"/>
      <c r="D180" s="35"/>
      <c r="E180" s="43" t="s">
        <v>805</v>
      </c>
    </row>
    <row r="181" spans="1:5" x14ac:dyDescent="0.25">
      <c r="A181" s="60"/>
      <c r="B181" s="60"/>
      <c r="C181" s="34"/>
      <c r="D181" s="34"/>
      <c r="E181" s="43" t="s">
        <v>805</v>
      </c>
    </row>
    <row r="182" spans="1:5" x14ac:dyDescent="0.25">
      <c r="A182" s="59" t="s">
        <v>54</v>
      </c>
      <c r="B182" s="59" t="s">
        <v>929</v>
      </c>
      <c r="C182" s="33" t="str">
        <f>FormatItemName(A182)</f>
        <v>|CFF8B66FF咒逐|R</v>
      </c>
      <c r="D182" s="33" t="str">
        <f>FormatItemName(B182)</f>
        <v>|CFF8B66FFAnathema|R</v>
      </c>
      <c r="E182" s="43" t="s">
        <v>805</v>
      </c>
    </row>
    <row r="183" spans="1:5" x14ac:dyDescent="0.25">
      <c r="A183" s="36" t="s">
        <v>401</v>
      </c>
      <c r="B183" s="36" t="s">
        <v>894</v>
      </c>
      <c r="C183" s="33" t="str">
        <f>FormatItemDescription(A182:A188)</f>
        <v>|CFF8B66FFRare|R|N+150生命上限|N+25法术强度|N+5%法术急速|N+5%法术暴击|N|CFF33FF33使你的精髓榨取能让目标身上的暗言字：痛额外地生效一次。|R|N|N|CFFFFDEAD在阴影前面，那是光。|R</v>
      </c>
      <c r="D183" s="33" t="str">
        <f>FormatItemDescription(B182:B188)</f>
        <v>|CFF8B66FFRare|R|N+150 Max hit points|N+25 Spell power|N+5% Spell haste|N+5% Spell critical hit chance|N|CFF33FF33Marrow Squeeze extends the Pain on target by 3 seconds|R|N|N|CFFFFDEADBefore the shadows, it's light.|R</v>
      </c>
      <c r="E183" s="43" t="s">
        <v>805</v>
      </c>
    </row>
    <row r="184" spans="1:5" x14ac:dyDescent="0.25">
      <c r="A184" s="36" t="s">
        <v>350</v>
      </c>
      <c r="B184" s="36" t="s">
        <v>698</v>
      </c>
      <c r="C184" s="33" t="str">
        <f>FormatItemUbertip(A183:A188)</f>
        <v>+150生命上限|N+25法术强度|N+5%法术急速|N+5%法术暴击|N|CFF33FF33使你的精髓榨取能让目标身上的暗言字：痛额外地生效一次。|R|N|N|CFFFFDEAD在阴影前面，那是光。|R</v>
      </c>
      <c r="D184" s="33" t="str">
        <f>FormatItemUbertip(B183:B188)</f>
        <v>+150 Max hit points|N+25 Spell power|N+5% Spell haste|N+5% Spell critical hit chance|N|CFF33FF33Marrow Squeeze extends the Pain on target by 3 seconds|R|N|N|CFFFFDEADBefore the shadows, it's light.|R</v>
      </c>
      <c r="E184" s="43" t="s">
        <v>805</v>
      </c>
    </row>
    <row r="185" spans="1:5" x14ac:dyDescent="0.25">
      <c r="A185" s="36" t="s">
        <v>81</v>
      </c>
      <c r="B185" s="36" t="s">
        <v>873</v>
      </c>
      <c r="C185" s="34"/>
      <c r="D185" s="34"/>
      <c r="E185" s="43" t="s">
        <v>805</v>
      </c>
    </row>
    <row r="186" spans="1:5" x14ac:dyDescent="0.25">
      <c r="A186" s="36" t="s">
        <v>394</v>
      </c>
      <c r="B186" s="36" t="s">
        <v>900</v>
      </c>
      <c r="C186" s="34"/>
      <c r="D186" s="34"/>
      <c r="E186" s="43" t="s">
        <v>805</v>
      </c>
    </row>
    <row r="187" spans="1:5" x14ac:dyDescent="0.25">
      <c r="A187" s="37" t="s">
        <v>55</v>
      </c>
      <c r="B187" s="37" t="s">
        <v>930</v>
      </c>
      <c r="C187" s="34"/>
      <c r="D187" s="34"/>
      <c r="E187" s="43" t="s">
        <v>805</v>
      </c>
    </row>
    <row r="188" spans="1:5" x14ac:dyDescent="0.25">
      <c r="A188" s="40" t="s">
        <v>56</v>
      </c>
      <c r="B188" s="40" t="s">
        <v>931</v>
      </c>
      <c r="C188" s="34"/>
      <c r="D188" s="34"/>
      <c r="E188" s="43" t="s">
        <v>805</v>
      </c>
    </row>
    <row r="189" spans="1:5" x14ac:dyDescent="0.25">
      <c r="A189" s="60"/>
      <c r="B189" s="60"/>
      <c r="C189" s="34"/>
      <c r="D189" s="34"/>
      <c r="E189" s="43" t="s">
        <v>805</v>
      </c>
    </row>
    <row r="190" spans="1:5" x14ac:dyDescent="0.25">
      <c r="A190" s="59" t="s">
        <v>57</v>
      </c>
      <c r="B190" s="59" t="s">
        <v>932</v>
      </c>
      <c r="C190" s="33" t="str">
        <f>FormatItemName(A190)</f>
        <v>|CFF8B66FF罕见的雷电花芯|R</v>
      </c>
      <c r="D190" s="33" t="str">
        <f>FormatItemName(B190)</f>
        <v>|CFF8B66FFRare Shimmer Weed|R</v>
      </c>
      <c r="E190" s="43" t="s">
        <v>805</v>
      </c>
    </row>
    <row r="191" spans="1:5" x14ac:dyDescent="0.25">
      <c r="A191" s="36" t="s">
        <v>482</v>
      </c>
      <c r="B191" s="36" t="s">
        <v>933</v>
      </c>
      <c r="C191" s="33" t="str">
        <f>FormatItemDescription(A190:A196)</f>
        <v>|CFF8B66FFRare|R|N+5所有属性|N+25法术强度|N+10%攻击速度|N+5%法术急速|N|CFF33FF33使你的风暴打击有25%额外概率冷却大地震击。|R|N|N|CFFFFDEAD采自雷霆山，这颗雷电花芯似乎拥有真正的雷电能量。|R</v>
      </c>
      <c r="D191" s="33" t="str">
        <f>FormatItemDescription(B190:B196)</f>
        <v>|CFF8B66FFRare|R|N+5 All stats|N+25 Spell power|N+10% Attack speed|N+5% Spell haste|N|CFF33FF33Storm Lash now has 25% chance to cooldown Earth Shock|R|N|N|CFFFFDEADGathered from Thunder Mountain, this shimmer weed seems to have real thunder energy.|R</v>
      </c>
      <c r="E191" s="43" t="s">
        <v>805</v>
      </c>
    </row>
    <row r="192" spans="1:5" x14ac:dyDescent="0.25">
      <c r="A192" s="36" t="s">
        <v>350</v>
      </c>
      <c r="B192" s="36" t="s">
        <v>698</v>
      </c>
      <c r="C192" s="33" t="str">
        <f>FormatItemUbertip(A191:A196)</f>
        <v>+5所有属性|N+25法术强度|N+10%攻击速度|N+5%法术急速|N|CFF33FF33使你的风暴打击有25%额外概率冷却大地震击。|R|N|N|CFFFFDEAD采自雷霆山，这颗雷电花芯似乎拥有真正的雷电能量。|R</v>
      </c>
      <c r="D192" s="33" t="str">
        <f>FormatItemUbertip(B191:B196)</f>
        <v>+5 All stats|N+25 Spell power|N+10% Attack speed|N+5% Spell haste|N|CFF33FF33Storm Lash now has 25% chance to cooldown Earth Shock|R|N|N|CFFFFDEADGathered from Thunder Mountain, this shimmer weed seems to have real thunder energy.|R</v>
      </c>
      <c r="E192" s="43" t="s">
        <v>805</v>
      </c>
    </row>
    <row r="193" spans="1:5" x14ac:dyDescent="0.25">
      <c r="A193" s="36" t="s">
        <v>370</v>
      </c>
      <c r="B193" s="36" t="s">
        <v>829</v>
      </c>
      <c r="C193" s="34"/>
      <c r="D193" s="34"/>
      <c r="E193" s="43" t="s">
        <v>805</v>
      </c>
    </row>
    <row r="194" spans="1:5" x14ac:dyDescent="0.25">
      <c r="A194" s="36" t="s">
        <v>81</v>
      </c>
      <c r="B194" s="36" t="s">
        <v>873</v>
      </c>
      <c r="C194" s="34"/>
      <c r="D194" s="34"/>
      <c r="E194" s="43" t="s">
        <v>805</v>
      </c>
    </row>
    <row r="195" spans="1:5" x14ac:dyDescent="0.25">
      <c r="A195" s="37" t="s">
        <v>481</v>
      </c>
      <c r="B195" s="37" t="s">
        <v>934</v>
      </c>
      <c r="C195" s="34"/>
      <c r="D195" s="34"/>
      <c r="E195" s="43" t="s">
        <v>805</v>
      </c>
    </row>
    <row r="196" spans="1:5" ht="28.5" x14ac:dyDescent="0.25">
      <c r="A196" s="40" t="s">
        <v>58</v>
      </c>
      <c r="B196" s="40" t="s">
        <v>935</v>
      </c>
      <c r="C196" s="35"/>
      <c r="D196" s="35"/>
      <c r="E196" s="43" t="s">
        <v>805</v>
      </c>
    </row>
  </sheetData>
  <phoneticPr fontId="1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196"/>
  <sheetViews>
    <sheetView workbookViewId="0">
      <selection activeCell="B30" sqref="B30"/>
    </sheetView>
  </sheetViews>
  <sheetFormatPr defaultColWidth="14.42578125" defaultRowHeight="14.25" x14ac:dyDescent="0.25"/>
  <cols>
    <col min="1" max="1" width="72.7109375" style="41" customWidth="1"/>
    <col min="2" max="2" width="72.7109375" style="47" customWidth="1"/>
    <col min="3" max="4" width="30.7109375" style="33" customWidth="1"/>
    <col min="5" max="5" width="4.140625" style="43" bestFit="1" customWidth="1"/>
    <col min="6" max="6" width="17.28515625" style="35" customWidth="1"/>
    <col min="7" max="16384" width="14.42578125" style="35"/>
  </cols>
  <sheetData>
    <row r="1" spans="1:5" x14ac:dyDescent="0.25">
      <c r="A1" s="32" t="s">
        <v>69</v>
      </c>
      <c r="B1" s="32" t="s">
        <v>696</v>
      </c>
      <c r="C1" s="33" t="str">
        <f>FormatItemName(A1)</f>
        <v>|CFFFF8C00战斗召唤|R</v>
      </c>
      <c r="D1" s="33" t="str">
        <f>FormatItemName(B1)</f>
        <v>|CFFFF8C00Call To Arms|R</v>
      </c>
      <c r="E1" s="43" t="s">
        <v>805</v>
      </c>
    </row>
    <row r="2" spans="1:5" x14ac:dyDescent="0.25">
      <c r="A2" s="36" t="s">
        <v>389</v>
      </c>
      <c r="B2" s="36" t="s">
        <v>697</v>
      </c>
      <c r="C2" s="33" t="str">
        <f>FormatItemDescription(A1:A9)</f>
        <v>|CFFFF8C00Legendary|R|N|CFFFFDEAD撒卡兰姆在被流放的时候，曾领导一支佣兵队伍，他正是靠着这把战斗召唤和圣盾带领着兄弟们踏过无数敌人的尸体。|R</v>
      </c>
      <c r="D2" s="33" t="str">
        <f>FormatItemDescription(B1:B9)</f>
        <v>|CFFFF8C00Legendary|R|N|CFFFFDEADWhen Zakarum was exiled, he led a mercenary team. It is this very battle axe and his Holy Shield that lead his brothers through the bodies of countless enemies.|R</v>
      </c>
      <c r="E2" s="43" t="s">
        <v>805</v>
      </c>
    </row>
    <row r="3" spans="1:5" x14ac:dyDescent="0.25">
      <c r="A3" s="36" t="s">
        <v>465</v>
      </c>
      <c r="B3" s="36" t="s">
        <v>698</v>
      </c>
      <c r="C3" s="33" t="str">
        <f>FormatItemUbertip(A2:A9)</f>
        <v>+20点攻击强度|N+25点法术强度|N每秒回复15点生命值|N|CFF33FF33在命中目标以后，造成30点法术伤害，受攻击强度和法术强度的影响。|R|N|CFF33FF33在命中目标以后，吸取造成伤害7%的生命值和法力值。|R|N|CFF33FF33使用：命令怒吼，提升附近900码范围内所有友军的最大生命值300点，持续75秒。|R|N|N|CFFFFCC00历史|R|N|CFFFFDEAD撒卡兰姆在被流放的时候，曾领导一支佣兵队伍，他正是靠着这把战斗召唤和圣盾带领着兄弟们踏过无数敌人的尸体。|R</v>
      </c>
      <c r="D3" s="33" t="str">
        <f>FormatItemUbertip(B2:B9)</f>
        <v>+20 Attack power|N+25 Spell power|NReplenishes 15 hit points per second|N|CFF33FF33Hit Target: Deals 30 magic damage, scaled up by your attack power and spell power|R|N|CFF33FF33Hit Target: 7% life and mana steal|R|N|CFF33FF33Use: Battle Orders, increases 300 max hit points to all allies within 900 yards, lasts for 75 seconds|R|N|N|CFFFFCC00Lore|R|N|CFFFFDEADWhen Zakarum was exiled, he led a mercenary team. It is this very battle axe and his Holy Shield that lead his brothers through the bodies of countless enemies.|R</v>
      </c>
      <c r="E3" s="43" t="s">
        <v>805</v>
      </c>
    </row>
    <row r="4" spans="1:5" x14ac:dyDescent="0.25">
      <c r="A4" s="36" t="s">
        <v>467</v>
      </c>
      <c r="B4" s="36" t="s">
        <v>769</v>
      </c>
      <c r="E4" s="43" t="s">
        <v>805</v>
      </c>
    </row>
    <row r="5" spans="1:5" x14ac:dyDescent="0.25">
      <c r="A5" s="37" t="s">
        <v>70</v>
      </c>
      <c r="B5" s="37" t="s">
        <v>840</v>
      </c>
      <c r="C5" s="38"/>
      <c r="D5" s="38"/>
      <c r="E5" s="43" t="s">
        <v>805</v>
      </c>
    </row>
    <row r="6" spans="1:5" x14ac:dyDescent="0.25">
      <c r="A6" s="37" t="s">
        <v>71</v>
      </c>
      <c r="B6" s="37" t="s">
        <v>841</v>
      </c>
      <c r="C6" s="38"/>
      <c r="D6" s="38"/>
      <c r="E6" s="43" t="s">
        <v>805</v>
      </c>
    </row>
    <row r="7" spans="1:5" ht="28.5" x14ac:dyDescent="0.25">
      <c r="A7" s="37" t="s">
        <v>466</v>
      </c>
      <c r="B7" s="37" t="s">
        <v>770</v>
      </c>
      <c r="C7" s="38"/>
      <c r="D7" s="38"/>
      <c r="E7" s="43" t="s">
        <v>805</v>
      </c>
    </row>
    <row r="8" spans="1:5" x14ac:dyDescent="0.25">
      <c r="A8" s="39" t="s">
        <v>73</v>
      </c>
      <c r="B8" s="39" t="s">
        <v>685</v>
      </c>
      <c r="E8" s="43" t="s">
        <v>805</v>
      </c>
    </row>
    <row r="9" spans="1:5" ht="28.5" x14ac:dyDescent="0.25">
      <c r="A9" s="40" t="s">
        <v>74</v>
      </c>
      <c r="B9" s="40" t="s">
        <v>699</v>
      </c>
      <c r="E9" s="43" t="s">
        <v>805</v>
      </c>
    </row>
    <row r="10" spans="1:5" x14ac:dyDescent="0.25">
      <c r="B10" s="41"/>
      <c r="E10" s="43" t="s">
        <v>805</v>
      </c>
    </row>
    <row r="11" spans="1:5" x14ac:dyDescent="0.25">
      <c r="A11" s="32" t="s">
        <v>100</v>
      </c>
      <c r="B11" s="32" t="s">
        <v>700</v>
      </c>
      <c r="C11" s="33" t="str">
        <f>FormatItemName(A11)</f>
        <v>|CFFFF8C00烦恼诗集|R</v>
      </c>
      <c r="D11" s="33" t="str">
        <f>FormatItemName(B11)</f>
        <v>|CFFFF8C00Woestave|R</v>
      </c>
      <c r="E11" s="43" t="s">
        <v>805</v>
      </c>
    </row>
    <row r="12" spans="1:5" x14ac:dyDescent="0.25">
      <c r="A12" s="36" t="s">
        <v>468</v>
      </c>
      <c r="B12" s="36" t="s">
        <v>701</v>
      </c>
      <c r="C12" s="33" t="str">
        <f>FormatItemDescription(A11:A19)</f>
        <v>|CFFFF8C00Legendary|R|N|CFFFFDEAD"似青苔悄然蔓延毫不经意,又如困兽走投无路歇斯底里"|R</v>
      </c>
      <c r="D12" s="33" t="str">
        <f>FormatItemDescription(B11:B19)</f>
        <v>|CFFFF8C00Legendary|R|N|CFFFFDEAD"Cause of the great plague."|R</v>
      </c>
      <c r="E12" s="43" t="s">
        <v>805</v>
      </c>
    </row>
    <row r="13" spans="1:5" x14ac:dyDescent="0.25">
      <c r="A13" s="37" t="s">
        <v>102</v>
      </c>
      <c r="B13" s="37" t="s">
        <v>842</v>
      </c>
      <c r="C13" s="33" t="str">
        <f>FormatItemUbertip(A12:A19)</f>
        <v>+45攻击强度|N|CFF33FF33命中：降低目标移动速度100点。|R|N|CFF33FF33命中：降低目标攻击速度30%。|R|N|CFF33FF33命中：降低目标物理免伤3点。|R|N|CFF33FF33命中：降低目标命中率10%。|R|N|CFF33FF33命中：降低目标造成的伤害4%。|R|N|CFF33FF33命中：降低目标受到的治疗效果35%。|R|N|N|CFFFFDEAD"似青苔悄然蔓延毫不经意,又如困兽走投无路歇斯底里"|R</v>
      </c>
      <c r="D13" s="33" t="str">
        <f>FormatItemUbertip(B12:B19)</f>
        <v>+45 Attack power|N|CFF33FF33Hit Target: Decrease target movement speed by 100|R|N|CFF33FF33Hit Target: Decrease target attack speed by 30%|R|N|CFF33FF33Hit Target: Decrease target armor by 3|R|N|CFF33FF33Hit Target: Decrease target attack rate by 10%|R|N|CFF33FF33Hit Target: Decrease target damage dealt by 4%|R|N|CFF33FF33Hit Target: Decrease target healing taken by 35%|R|N|N|CFFFFDEAD"Cause of the great plague."|R</v>
      </c>
      <c r="E13" s="43" t="s">
        <v>805</v>
      </c>
    </row>
    <row r="14" spans="1:5" x14ac:dyDescent="0.25">
      <c r="A14" s="37" t="s">
        <v>104</v>
      </c>
      <c r="B14" s="37" t="s">
        <v>843</v>
      </c>
      <c r="C14" s="38"/>
      <c r="D14" s="38"/>
      <c r="E14" s="43" t="s">
        <v>805</v>
      </c>
    </row>
    <row r="15" spans="1:5" x14ac:dyDescent="0.25">
      <c r="A15" s="37" t="s">
        <v>105</v>
      </c>
      <c r="B15" s="37" t="s">
        <v>844</v>
      </c>
      <c r="C15" s="38"/>
      <c r="D15" s="38"/>
      <c r="E15" s="43" t="s">
        <v>805</v>
      </c>
    </row>
    <row r="16" spans="1:5" x14ac:dyDescent="0.25">
      <c r="A16" s="37" t="s">
        <v>109</v>
      </c>
      <c r="B16" s="37" t="s">
        <v>845</v>
      </c>
      <c r="C16" s="38"/>
      <c r="D16" s="38"/>
      <c r="E16" s="43" t="s">
        <v>805</v>
      </c>
    </row>
    <row r="17" spans="1:5" x14ac:dyDescent="0.25">
      <c r="A17" s="37" t="s">
        <v>111</v>
      </c>
      <c r="B17" s="37" t="s">
        <v>846</v>
      </c>
      <c r="C17" s="38"/>
      <c r="D17" s="38"/>
      <c r="E17" s="43" t="s">
        <v>805</v>
      </c>
    </row>
    <row r="18" spans="1:5" x14ac:dyDescent="0.25">
      <c r="A18" s="37" t="s">
        <v>120</v>
      </c>
      <c r="B18" s="37" t="s">
        <v>847</v>
      </c>
      <c r="C18" s="38"/>
      <c r="D18" s="38"/>
      <c r="E18" s="43" t="s">
        <v>805</v>
      </c>
    </row>
    <row r="19" spans="1:5" x14ac:dyDescent="0.25">
      <c r="A19" s="40" t="s">
        <v>123</v>
      </c>
      <c r="B19" s="40" t="s">
        <v>703</v>
      </c>
      <c r="E19" s="43" t="s">
        <v>805</v>
      </c>
    </row>
    <row r="20" spans="1:5" x14ac:dyDescent="0.25">
      <c r="B20" s="41"/>
      <c r="E20" s="43" t="s">
        <v>805</v>
      </c>
    </row>
    <row r="21" spans="1:5" x14ac:dyDescent="0.25">
      <c r="A21" s="32" t="s">
        <v>130</v>
      </c>
      <c r="B21" s="32" t="s">
        <v>687</v>
      </c>
      <c r="C21" s="33" t="str">
        <f>FormatItemName(A21)</f>
        <v>|CFFFF8C00谜团|R</v>
      </c>
      <c r="D21" s="33" t="str">
        <f>FormatItemName(B21)</f>
        <v>|CFFFF8C00Enigma|R</v>
      </c>
      <c r="E21" s="43" t="s">
        <v>805</v>
      </c>
    </row>
    <row r="22" spans="1:5" x14ac:dyDescent="0.25">
      <c r="A22" s="36" t="s">
        <v>390</v>
      </c>
      <c r="B22" s="36" t="s">
        <v>689</v>
      </c>
      <c r="C22" s="33" t="str">
        <f>FormatItemDescription(A21:A30)</f>
        <v>|CFFFF8C00Legendary|R|N|CFFFFDEAD不详。|R</v>
      </c>
      <c r="D22" s="33" t="str">
        <f>FormatItemDescription(B21:B30)</f>
        <v>|CFFFF8C00Legendary|R|N|CFFFFDEADNot recorded.|R</v>
      </c>
      <c r="E22" s="43" t="s">
        <v>805</v>
      </c>
    </row>
    <row r="23" spans="1:5" x14ac:dyDescent="0.25">
      <c r="A23" s="36" t="s">
        <v>391</v>
      </c>
      <c r="B23" s="36" t="s">
        <v>688</v>
      </c>
      <c r="C23" s="33" t="str">
        <f>FormatItemUbertip(A22:A30)</f>
        <v>-5%受到的伤害|N+5%造成的伤害|N+45点移动速度|N+5力量每英雄等级|N+5%生命上限|N|CFF33FF33从受到的伤害中获取5%的法力值。|R|N|CFF33FF33使用：传送到一个友军身后。|R|N|N|CFFFFCC00历史|R|N|CFFFFDEAD不详。|R</v>
      </c>
      <c r="D23" s="33" t="str">
        <f>FormatItemUbertip(B22:B30)</f>
        <v>-5% Damage taken|N+5% Damage and healing dealt|N+45 Movement speed|N+5 Strength per hero level|N+5% Max hit points|N|CFF33FF33On Hit: Replenishes mana from 5% of the damage taken|R|N|CFF33FF33Use: Teleports to an ally|R|N|N|CFFFFCC00Lore|R|N|CFFFFDEADNot recorded.|R</v>
      </c>
      <c r="E23" s="43" t="s">
        <v>805</v>
      </c>
    </row>
    <row r="24" spans="1:5" x14ac:dyDescent="0.25">
      <c r="A24" s="36" t="s">
        <v>392</v>
      </c>
      <c r="B24" s="36" t="s">
        <v>690</v>
      </c>
      <c r="E24" s="43" t="s">
        <v>805</v>
      </c>
    </row>
    <row r="25" spans="1:5" x14ac:dyDescent="0.25">
      <c r="A25" s="36" t="s">
        <v>484</v>
      </c>
      <c r="B25" s="36" t="s">
        <v>691</v>
      </c>
      <c r="E25" s="43" t="s">
        <v>805</v>
      </c>
    </row>
    <row r="26" spans="1:5" x14ac:dyDescent="0.25">
      <c r="A26" s="36" t="s">
        <v>393</v>
      </c>
      <c r="B26" s="36" t="s">
        <v>767</v>
      </c>
      <c r="E26" s="43" t="s">
        <v>805</v>
      </c>
    </row>
    <row r="27" spans="1:5" x14ac:dyDescent="0.25">
      <c r="A27" s="37" t="s">
        <v>485</v>
      </c>
      <c r="B27" s="37" t="s">
        <v>693</v>
      </c>
      <c r="E27" s="43" t="s">
        <v>805</v>
      </c>
    </row>
    <row r="28" spans="1:5" x14ac:dyDescent="0.25">
      <c r="A28" s="37" t="s">
        <v>133</v>
      </c>
      <c r="B28" s="37" t="s">
        <v>694</v>
      </c>
      <c r="C28" s="38"/>
      <c r="D28" s="38"/>
      <c r="E28" s="43" t="s">
        <v>805</v>
      </c>
    </row>
    <row r="29" spans="1:5" x14ac:dyDescent="0.25">
      <c r="A29" s="39" t="s">
        <v>73</v>
      </c>
      <c r="B29" s="39" t="s">
        <v>685</v>
      </c>
      <c r="E29" s="43" t="s">
        <v>805</v>
      </c>
    </row>
    <row r="30" spans="1:5" x14ac:dyDescent="0.25">
      <c r="A30" s="40" t="s">
        <v>139</v>
      </c>
      <c r="B30" s="40" t="s">
        <v>695</v>
      </c>
      <c r="E30" s="43" t="s">
        <v>805</v>
      </c>
    </row>
    <row r="31" spans="1:5" x14ac:dyDescent="0.25">
      <c r="B31" s="41"/>
      <c r="E31" s="43" t="s">
        <v>805</v>
      </c>
    </row>
    <row r="32" spans="1:5" x14ac:dyDescent="0.25">
      <c r="A32" s="32" t="s">
        <v>137</v>
      </c>
      <c r="B32" s="32" t="s">
        <v>680</v>
      </c>
      <c r="C32" s="33" t="str">
        <f>FormatItemName(A32)</f>
        <v>|CFFFF8C00死亡呼吸|R</v>
      </c>
      <c r="D32" s="33" t="str">
        <f>FormatItemName(B32)</f>
        <v>|CFFFF8C00Breath of the Dying|R</v>
      </c>
      <c r="E32" s="43" t="s">
        <v>805</v>
      </c>
    </row>
    <row r="33" spans="1:5" x14ac:dyDescent="0.25">
      <c r="A33" s="42" t="s">
        <v>380</v>
      </c>
      <c r="B33" s="42" t="s">
        <v>681</v>
      </c>
      <c r="C33" s="33" t="str">
        <f>FormatItemDescription(A32:A39)</f>
        <v>|CFFFF8C00Legendary|R|N|CFFFFDEAD格里斯华尔德变为不死生物以后的巅峰之作，在暗淡无光的矛柄上隐隐闪动着六个晦涩难懂的神符：Vex-Hel-El-Eld-Zod-Eth。|R</v>
      </c>
      <c r="D33" s="33" t="str">
        <f>FormatItemDescription(B32:B39)</f>
        <v>|CFFFF8C00Legendary|R|N|CFFFFDEADThe master piece by Griswold the Undead. On the unglazed handle six obscure runes glow: Vex-Hel-El-Eld-Zod-Eth.|R</v>
      </c>
      <c r="E33" s="43" t="s">
        <v>805</v>
      </c>
    </row>
    <row r="34" spans="1:5" x14ac:dyDescent="0.25">
      <c r="A34" s="42" t="s">
        <v>381</v>
      </c>
      <c r="B34" s="42" t="s">
        <v>682</v>
      </c>
      <c r="C34" s="33" t="str">
        <f>FormatItemUbertip(A33:A39)</f>
        <v>+10点所有属性|N+40攻击强度|N+20%攻击速度|N|CFF33FF33在命中目标以后，吸取造成伤害10%的生命值和法力值。|R|N|CFF33FF33在命中目标以后，有15%的概率施展剧毒新星，对600码范围内的敌人造成持续性的法术伤害。|R|N|N|CFFFFCC00历史|R|N|CFFFFDEAD格里斯华尔德变为不死生物以后的巅峰之作，在暗淡无光的矛柄上隐隐闪动着六个晦涩难懂的神符：Vex-Hel-El-Eld-Zod-Eth。|R</v>
      </c>
      <c r="D34" s="33" t="str">
        <f>FormatItemUbertip(B33:B39)</f>
        <v>+10 All stats|N+40 Attack power|N+20% Attack speed|N|CFF33FF33Hit Target: 10% life and mana steal|R|N|CFF33FF33Hit Target: 15% chance to cast poison nova, dealing magic damage to all enemies within 600 yards|R|N|N|CFFFFCC00Lore|R|N|CFFFFDEADThe master piece by Griswold the Undead. On the unglazed handle six obscure runes glow: Vex-Hel-El-Eld-Zod-Eth.|R</v>
      </c>
      <c r="E34" s="43" t="s">
        <v>805</v>
      </c>
    </row>
    <row r="35" spans="1:5" x14ac:dyDescent="0.25">
      <c r="A35" s="36" t="s">
        <v>382</v>
      </c>
      <c r="B35" s="36" t="s">
        <v>683</v>
      </c>
      <c r="E35" s="43" t="s">
        <v>805</v>
      </c>
    </row>
    <row r="36" spans="1:5" s="43" customFormat="1" x14ac:dyDescent="0.25">
      <c r="A36" s="37" t="s">
        <v>141</v>
      </c>
      <c r="B36" s="37" t="s">
        <v>684</v>
      </c>
      <c r="C36" s="38"/>
      <c r="D36" s="38"/>
      <c r="E36" s="43" t="s">
        <v>805</v>
      </c>
    </row>
    <row r="37" spans="1:5" s="43" customFormat="1" ht="28.5" x14ac:dyDescent="0.25">
      <c r="A37" s="37" t="s">
        <v>142</v>
      </c>
      <c r="B37" s="37" t="s">
        <v>692</v>
      </c>
      <c r="C37" s="38"/>
      <c r="D37" s="38"/>
      <c r="E37" s="43" t="s">
        <v>805</v>
      </c>
    </row>
    <row r="38" spans="1:5" s="43" customFormat="1" x14ac:dyDescent="0.25">
      <c r="A38" s="39" t="s">
        <v>73</v>
      </c>
      <c r="B38" s="39" t="s">
        <v>685</v>
      </c>
      <c r="C38" s="33"/>
      <c r="D38" s="33"/>
      <c r="E38" s="43" t="s">
        <v>805</v>
      </c>
    </row>
    <row r="39" spans="1:5" s="43" customFormat="1" ht="28.5" x14ac:dyDescent="0.25">
      <c r="A39" s="40" t="s">
        <v>144</v>
      </c>
      <c r="B39" s="40" t="s">
        <v>686</v>
      </c>
      <c r="C39" s="33"/>
      <c r="D39" s="33"/>
      <c r="E39" s="43" t="s">
        <v>805</v>
      </c>
    </row>
    <row r="40" spans="1:5" s="43" customFormat="1" x14ac:dyDescent="0.25">
      <c r="A40" s="45"/>
      <c r="B40" s="45"/>
      <c r="C40" s="33"/>
      <c r="D40" s="33"/>
      <c r="E40" s="43" t="s">
        <v>805</v>
      </c>
    </row>
    <row r="41" spans="1:5" s="43" customFormat="1" x14ac:dyDescent="0.25">
      <c r="A41" s="32" t="s">
        <v>146</v>
      </c>
      <c r="B41" s="32" t="s">
        <v>704</v>
      </c>
      <c r="C41" s="33" t="str">
        <f>FormatItemName(A41)</f>
        <v>|CFFFF8C00风之力|R</v>
      </c>
      <c r="D41" s="33" t="str">
        <f>FormatItemName(B41)</f>
        <v>|CFFFF8C00Windforce|R</v>
      </c>
      <c r="E41" s="43" t="s">
        <v>805</v>
      </c>
    </row>
    <row r="42" spans="1:5" s="43" customFormat="1" x14ac:dyDescent="0.25">
      <c r="A42" s="42" t="s">
        <v>365</v>
      </c>
      <c r="B42" s="42" t="s">
        <v>705</v>
      </c>
      <c r="C42" s="33" t="str">
        <f>FormatItemDescription(A41:A47)</f>
        <v>|CFFFF8C00Legendary|R|N|CFFFFDEAD“逆风者亡！”|R</v>
      </c>
      <c r="D42" s="33" t="str">
        <f>FormatItemDescription(B41:B47)</f>
        <v>|CFFFF8C00Legendary|R|N|CFFFFDEAD"The wind carries life for those enveloped in its flow, and death for those arrayed against it."|R</v>
      </c>
      <c r="E42" s="43" t="s">
        <v>805</v>
      </c>
    </row>
    <row r="43" spans="1:5" s="43" customFormat="1" x14ac:dyDescent="0.25">
      <c r="A43" s="42" t="s">
        <v>383</v>
      </c>
      <c r="B43" s="42" t="s">
        <v>702</v>
      </c>
      <c r="C43" s="33" t="str">
        <f>FormatItemUbertip(A42:A47)</f>
        <v>+15敏捷|N+35攻击强度|N+15%攻击速度|N+5%暴击几率|N|CFF33FF33命中：有30%的几率击退敌人。|R|N|N|CFFFFDEAD“逆风者亡！”|R</v>
      </c>
      <c r="D43" s="33" t="str">
        <f>FormatItemUbertip(B42:B47)</f>
        <v>+15 Agility|N+35 Attack power|N+15% Attack speed|N+5% Attack critical hit chance|N|CFF33FF33Hit Target: 30% chance to knock back target|R|N|N|CFFFFDEAD"The wind carries life for those enveloped in its flow, and death for those arrayed against it."|R</v>
      </c>
      <c r="E43" s="43" t="s">
        <v>805</v>
      </c>
    </row>
    <row r="44" spans="1:5" s="43" customFormat="1" x14ac:dyDescent="0.25">
      <c r="A44" s="42" t="s">
        <v>384</v>
      </c>
      <c r="B44" s="42" t="s">
        <v>706</v>
      </c>
      <c r="C44" s="33"/>
      <c r="D44" s="33"/>
      <c r="E44" s="43" t="s">
        <v>805</v>
      </c>
    </row>
    <row r="45" spans="1:5" s="43" customFormat="1" x14ac:dyDescent="0.25">
      <c r="A45" s="42" t="s">
        <v>371</v>
      </c>
      <c r="B45" s="42" t="s">
        <v>707</v>
      </c>
      <c r="C45" s="33"/>
      <c r="D45" s="33"/>
      <c r="E45" s="43" t="s">
        <v>805</v>
      </c>
    </row>
    <row r="46" spans="1:5" s="43" customFormat="1" x14ac:dyDescent="0.25">
      <c r="A46" s="37" t="s">
        <v>151</v>
      </c>
      <c r="B46" s="37" t="s">
        <v>848</v>
      </c>
      <c r="C46" s="33"/>
      <c r="D46" s="33"/>
      <c r="E46" s="43" t="s">
        <v>805</v>
      </c>
    </row>
    <row r="47" spans="1:5" s="43" customFormat="1" ht="28.5" x14ac:dyDescent="0.25">
      <c r="A47" s="40" t="s">
        <v>153</v>
      </c>
      <c r="B47" s="40" t="s">
        <v>708</v>
      </c>
      <c r="C47" s="33"/>
      <c r="D47" s="33"/>
      <c r="E47" s="43" t="s">
        <v>805</v>
      </c>
    </row>
    <row r="48" spans="1:5" s="43" customFormat="1" x14ac:dyDescent="0.25">
      <c r="A48" s="45"/>
      <c r="B48" s="45"/>
      <c r="C48" s="33"/>
      <c r="D48" s="33"/>
      <c r="E48" s="43" t="s">
        <v>805</v>
      </c>
    </row>
    <row r="49" spans="1:5" s="43" customFormat="1" x14ac:dyDescent="0.25">
      <c r="A49" s="32" t="s">
        <v>155</v>
      </c>
      <c r="B49" s="32" t="s">
        <v>709</v>
      </c>
      <c r="C49" s="33" t="str">
        <f>FormatItemName(A49)</f>
        <v>|CFFFF8C00克苏恩的疯狂|R</v>
      </c>
      <c r="D49" s="33" t="str">
        <f>FormatItemName(B49)</f>
        <v>|CFFFF8C00Derangement of C'Thun|R</v>
      </c>
      <c r="E49" s="43" t="s">
        <v>805</v>
      </c>
    </row>
    <row r="50" spans="1:5" s="43" customFormat="1" x14ac:dyDescent="0.25">
      <c r="A50" s="42" t="s">
        <v>359</v>
      </c>
      <c r="B50" s="42" t="s">
        <v>710</v>
      </c>
      <c r="C50" s="33" t="str">
        <f>FormatItemDescription(A49:A58)</f>
        <v>|CFFFF8C00Legendary|R|N|CFFFFDEAD上古之神克苏恩的本体虽然被消灭，可是他的堕落触须形成的无面者在地之深渊无处不在。|R</v>
      </c>
      <c r="D50" s="33" t="str">
        <f>FormatItemDescription(B49:B58)</f>
        <v>|CFFFF8C00Legendary|R|N|CFFFFDEADAlthough the main body of the Old God C'Thun was eliminated, the faceless one formed by his degraded tentacles was everywhere in the abyss of the earth.|R</v>
      </c>
      <c r="E50" s="43" t="s">
        <v>805</v>
      </c>
    </row>
    <row r="51" spans="1:5" s="43" customFormat="1" x14ac:dyDescent="0.25">
      <c r="A51" s="42" t="s">
        <v>375</v>
      </c>
      <c r="B51" s="42" t="s">
        <v>711</v>
      </c>
      <c r="C51" s="33" t="str">
        <f>FormatItemUbertip(A50:A58)</f>
        <v>+20力量|N+5攻击强度每英雄等级|N+4%暴击几率|N战斗中每秒流失40点生命值|N|CFF33FF33在命中目标以后，吸取造成伤害14%的生命值。|R|N|CFF33FF33每次命中获得1%额外的攻击速度，持续3秒，最多10%。|R|N|CFF33FF33使用：获得上古狂乱的效果，提升40%攻击速度，受到的伤害提高100%。|R|N|N|CFFFFCC00历史|R|N|CFFFFDEAD上古之神克苏恩的本体虽然被消灭，可是他的堕落触须形成的无面者在地之深渊无处不在。|R</v>
      </c>
      <c r="D51" s="33" t="str">
        <f>FormatItemUbertip(B50:B58)</f>
        <v>+20 Strength|N+5 Attack power per hero level|N+4% Attack critical hit chance|NLost 40 hit points per second during combat|N|CFF33FF33Hit Target: 14% life steal|R|N|CFF33FF33Hit Target: Increase attack speed by 1% per hit, stacks up to 10%, lasts for 3 seconds|R|N|CFF33FF33Use: Gain Derangement of the Old One, increase attack speed by 40%, take 100% extra damage|R|N|N|CFFFFCC00Lore|R|N|CFFFFDEADAlthough the main body of the Old God C'Thun was eliminated, the faceless one formed by his degraded tentacles was everywhere in the abyss of the earth.|R</v>
      </c>
      <c r="E51" s="43" t="s">
        <v>805</v>
      </c>
    </row>
    <row r="52" spans="1:5" s="43" customFormat="1" x14ac:dyDescent="0.25">
      <c r="A52" s="42" t="s">
        <v>376</v>
      </c>
      <c r="B52" s="42" t="s">
        <v>712</v>
      </c>
      <c r="C52" s="33"/>
      <c r="D52" s="33"/>
      <c r="E52" s="43" t="s">
        <v>805</v>
      </c>
    </row>
    <row r="53" spans="1:5" s="43" customFormat="1" x14ac:dyDescent="0.25">
      <c r="A53" s="42" t="s">
        <v>156</v>
      </c>
      <c r="B53" s="42" t="s">
        <v>768</v>
      </c>
      <c r="C53" s="33"/>
      <c r="D53" s="33"/>
      <c r="E53" s="43" t="s">
        <v>805</v>
      </c>
    </row>
    <row r="54" spans="1:5" s="43" customFormat="1" x14ac:dyDescent="0.25">
      <c r="A54" s="37" t="s">
        <v>157</v>
      </c>
      <c r="B54" s="37" t="s">
        <v>849</v>
      </c>
      <c r="C54" s="33"/>
      <c r="D54" s="33"/>
      <c r="E54" s="43" t="s">
        <v>805</v>
      </c>
    </row>
    <row r="55" spans="1:5" s="43" customFormat="1" x14ac:dyDescent="0.25">
      <c r="A55" s="37" t="s">
        <v>158</v>
      </c>
      <c r="B55" s="37" t="s">
        <v>850</v>
      </c>
      <c r="C55" s="33"/>
      <c r="D55" s="33"/>
      <c r="E55" s="43" t="s">
        <v>805</v>
      </c>
    </row>
    <row r="56" spans="1:5" s="43" customFormat="1" ht="28.5" x14ac:dyDescent="0.25">
      <c r="A56" s="37" t="s">
        <v>159</v>
      </c>
      <c r="B56" s="37" t="s">
        <v>713</v>
      </c>
      <c r="C56" s="33"/>
      <c r="D56" s="33"/>
      <c r="E56" s="43" t="s">
        <v>805</v>
      </c>
    </row>
    <row r="57" spans="1:5" s="43" customFormat="1" x14ac:dyDescent="0.25">
      <c r="A57" s="39" t="s">
        <v>73</v>
      </c>
      <c r="B57" s="39" t="s">
        <v>685</v>
      </c>
      <c r="C57" s="33"/>
      <c r="D57" s="33"/>
      <c r="E57" s="43" t="s">
        <v>805</v>
      </c>
    </row>
    <row r="58" spans="1:5" s="43" customFormat="1" ht="28.5" x14ac:dyDescent="0.25">
      <c r="A58" s="40" t="s">
        <v>160</v>
      </c>
      <c r="B58" s="40" t="s">
        <v>714</v>
      </c>
      <c r="C58" s="33"/>
      <c r="D58" s="33"/>
      <c r="E58" s="43" t="s">
        <v>805</v>
      </c>
    </row>
    <row r="59" spans="1:5" s="43" customFormat="1" x14ac:dyDescent="0.25">
      <c r="A59" s="45"/>
      <c r="B59" s="45"/>
      <c r="C59" s="33"/>
      <c r="D59" s="33"/>
      <c r="E59" s="43" t="s">
        <v>805</v>
      </c>
    </row>
    <row r="60" spans="1:5" x14ac:dyDescent="0.25">
      <c r="A60" s="32" t="s">
        <v>117</v>
      </c>
      <c r="B60" s="32" t="s">
        <v>715</v>
      </c>
      <c r="C60" s="33" t="str">
        <f>FormatItemName(A60)</f>
        <v>|CFFFF8C00正义天使之力|R</v>
      </c>
      <c r="D60" s="33" t="str">
        <f>FormatItemName(B60)</f>
        <v>|CFFFF8C00Might of the Angel of Justice|R</v>
      </c>
      <c r="E60" s="43" t="s">
        <v>805</v>
      </c>
    </row>
    <row r="61" spans="1:5" x14ac:dyDescent="0.25">
      <c r="A61" s="42" t="s">
        <v>359</v>
      </c>
      <c r="B61" s="42" t="s">
        <v>710</v>
      </c>
      <c r="C61" s="33" t="str">
        <f>FormatItemDescription(A60:A69)</f>
        <v>|CFFFF8C00Legendary|R|N|CFFFFDEAD伟大的智慧天使秦端雨曾经作为正义的化身之时所使用的护甲.|R</v>
      </c>
      <c r="D61" s="33" t="str">
        <f>FormatItemDescription(B60:B69)</f>
        <v>|CFFFF8C00Legendary|R|N|CFFFFDEADThe armor used by Tyrael, the Archangel of Wisdom when he was once the incarnation of justice.|R</v>
      </c>
      <c r="E61" s="43" t="s">
        <v>805</v>
      </c>
    </row>
    <row r="62" spans="1:5" x14ac:dyDescent="0.25">
      <c r="A62" s="42" t="s">
        <v>360</v>
      </c>
      <c r="B62" s="42" t="s">
        <v>716</v>
      </c>
      <c r="C62" s="33" t="str">
        <f>FormatItemUbertip(A61:A69)</f>
        <v>+20力量|N+8物理免伤|N-8%受到的伤害|N-12%受到的法术伤害|N+30移动速度|N|CFF33FF33受到治疗以后,可以积累神圣能量。|R|N|CFF33FF33使用:释放所有神圣能量以治疗自己.|R|N|N|CFFFFCC00历史|R|N|CFFFFDEAD伟大的智慧天使秦端雨曾经作为正义的化身之时所使用的护甲.|R</v>
      </c>
      <c r="D62" s="33" t="str">
        <f>FormatItemUbertip(B61:B69)</f>
        <v>+20 Strength|N+8 Armor|N-8% Damage taken|N-12% Magical damage taken|N+30 Movement speed|N|CFF33FF33On Healed: Charges holy power|R|N|CFF33FF33Use: Release all holy power to heal yourself|R|N|N|CFFFFCC00Lore|R|N|CFFFFDEADThe armor used by Tyrael, the Archangel of Wisdom when he was once the incarnation of justice.|R</v>
      </c>
      <c r="E62" s="43" t="s">
        <v>805</v>
      </c>
    </row>
    <row r="63" spans="1:5" x14ac:dyDescent="0.25">
      <c r="A63" s="42" t="s">
        <v>361</v>
      </c>
      <c r="B63" s="42" t="s">
        <v>717</v>
      </c>
      <c r="E63" s="43" t="s">
        <v>805</v>
      </c>
    </row>
    <row r="64" spans="1:5" x14ac:dyDescent="0.25">
      <c r="A64" s="42" t="s">
        <v>362</v>
      </c>
      <c r="B64" s="42" t="s">
        <v>799</v>
      </c>
      <c r="E64" s="43" t="s">
        <v>805</v>
      </c>
    </row>
    <row r="65" spans="1:5" x14ac:dyDescent="0.25">
      <c r="A65" s="42" t="s">
        <v>363</v>
      </c>
      <c r="B65" s="42" t="s">
        <v>718</v>
      </c>
      <c r="E65" s="43" t="s">
        <v>805</v>
      </c>
    </row>
    <row r="66" spans="1:5" x14ac:dyDescent="0.25">
      <c r="A66" s="37" t="s">
        <v>127</v>
      </c>
      <c r="B66" s="37" t="s">
        <v>719</v>
      </c>
      <c r="E66" s="43" t="s">
        <v>805</v>
      </c>
    </row>
    <row r="67" spans="1:5" x14ac:dyDescent="0.25">
      <c r="A67" s="37" t="s">
        <v>128</v>
      </c>
      <c r="B67" s="37" t="s">
        <v>720</v>
      </c>
      <c r="E67" s="43" t="s">
        <v>805</v>
      </c>
    </row>
    <row r="68" spans="1:5" x14ac:dyDescent="0.25">
      <c r="A68" s="39" t="s">
        <v>73</v>
      </c>
      <c r="B68" s="39" t="s">
        <v>685</v>
      </c>
      <c r="E68" s="43" t="s">
        <v>805</v>
      </c>
    </row>
    <row r="69" spans="1:5" ht="28.5" x14ac:dyDescent="0.25">
      <c r="A69" s="40" t="s">
        <v>131</v>
      </c>
      <c r="B69" s="40" t="s">
        <v>721</v>
      </c>
      <c r="E69" s="43" t="s">
        <v>805</v>
      </c>
    </row>
    <row r="70" spans="1:5" x14ac:dyDescent="0.25">
      <c r="B70" s="41"/>
      <c r="E70" s="43" t="s">
        <v>805</v>
      </c>
    </row>
    <row r="71" spans="1:5" x14ac:dyDescent="0.25">
      <c r="A71" s="32" t="s">
        <v>63</v>
      </c>
      <c r="B71" s="32" t="s">
        <v>722</v>
      </c>
      <c r="C71" s="33" t="str">
        <f>FormatItemName(A71)</f>
        <v>|CFFFF8C00无限|R</v>
      </c>
      <c r="D71" s="33" t="str">
        <f>FormatItemName(B71)</f>
        <v>|CFFFF8C00Infinity|R</v>
      </c>
      <c r="E71" s="43" t="s">
        <v>805</v>
      </c>
    </row>
    <row r="72" spans="1:5" x14ac:dyDescent="0.25">
      <c r="A72" s="42" t="s">
        <v>341</v>
      </c>
      <c r="B72" s="42" t="s">
        <v>723</v>
      </c>
      <c r="C72" s="33" t="str">
        <f>FormatItemDescription(A71:A78)</f>
        <v>|CFFFF8C00Legendary|R|N|CFFFFDEAD无限是薄暮之魂的灵魂精华，它所蕴含的闪电能量让先知德雷克萨尔都感到惊叹，传说带有绿色云状光环的薄暮之魂是所有探险者的噩梦。|R</v>
      </c>
      <c r="D72" s="33" t="str">
        <f>FormatItemDescription(B71:B78)</f>
        <v>|CFFFF8C00Legendary|R|N|CFFFFDEADInfinity is the essence of the Will o'wisps. The energy of lightning contained in it excites the prophet Drexel. It is said that the soul of the bleak soul with a green cloud-like halo is a nightmare for all adventurers.|R</v>
      </c>
      <c r="E72" s="43" t="s">
        <v>805</v>
      </c>
    </row>
    <row r="73" spans="1:5" x14ac:dyDescent="0.25">
      <c r="A73" s="42" t="s">
        <v>347</v>
      </c>
      <c r="B73" s="42" t="s">
        <v>772</v>
      </c>
      <c r="C73" s="33" t="str">
        <f>FormatItemUbertip(A72:A78)</f>
        <v>+15智力|N+35点生命值每英雄等级|N+15法术强度|N|CFF33FF33赋予无限光环，使附近600码范围内所有敌人受到的法术伤害提高5%。|R|N|CFF33FF33在造成任何法术伤害的时候，有10%的概率对目标敌人施展闪电链，造成150点法术伤害。|R|N|N|CFFFFCC00历史|R|N|CFFFFDEAD无限是薄暮之魂的灵魂精华，它所蕴含的闪电能量让先知德雷克萨尔都感到惊叹，传说带有绿色云状光环的薄暮之魂是所有探险者的噩梦。|R</v>
      </c>
      <c r="D73" s="33" t="str">
        <f>FormatItemUbertip(B72:B78)</f>
        <v>+15 Intelligence|N+35 Max hit points per hero level|N+15 Spell power|N|CFF33FF33Grant Aura of Conviction: All enemies within 600 yards take 5% more magical damage|R|N|CFF33FF33On Dealing Magical Damage: 10% chance to cast Chain Lightning to target, dealing 150 magical damage|R|N|N|CFFFFCC00Lore|R|N|CFFFFDEADInfinity is the essence of the Will o'wisps. The energy of lightning contained in it excites the prophet Drexel. It is said that the soul of the bleak soul with a green cloud-like halo is a nightmare for all adventurers.|R</v>
      </c>
      <c r="E73" s="43" t="s">
        <v>805</v>
      </c>
    </row>
    <row r="74" spans="1:5" x14ac:dyDescent="0.25">
      <c r="A74" s="42" t="s">
        <v>338</v>
      </c>
      <c r="B74" s="42" t="s">
        <v>724</v>
      </c>
      <c r="E74" s="43" t="s">
        <v>805</v>
      </c>
    </row>
    <row r="75" spans="1:5" x14ac:dyDescent="0.25">
      <c r="A75" s="37" t="s">
        <v>135</v>
      </c>
      <c r="B75" s="37" t="s">
        <v>725</v>
      </c>
      <c r="E75" s="43" t="s">
        <v>805</v>
      </c>
    </row>
    <row r="76" spans="1:5" ht="28.5" x14ac:dyDescent="0.25">
      <c r="A76" s="37" t="s">
        <v>136</v>
      </c>
      <c r="B76" s="37" t="s">
        <v>738</v>
      </c>
      <c r="E76" s="43" t="s">
        <v>805</v>
      </c>
    </row>
    <row r="77" spans="1:5" x14ac:dyDescent="0.25">
      <c r="A77" s="39" t="s">
        <v>73</v>
      </c>
      <c r="B77" s="39" t="s">
        <v>685</v>
      </c>
      <c r="E77" s="43" t="s">
        <v>805</v>
      </c>
    </row>
    <row r="78" spans="1:5" ht="42.75" x14ac:dyDescent="0.25">
      <c r="A78" s="40" t="s">
        <v>138</v>
      </c>
      <c r="B78" s="40" t="s">
        <v>726</v>
      </c>
      <c r="E78" s="43" t="s">
        <v>805</v>
      </c>
    </row>
    <row r="79" spans="1:5" x14ac:dyDescent="0.25">
      <c r="B79" s="41"/>
      <c r="E79" s="43" t="s">
        <v>805</v>
      </c>
    </row>
    <row r="80" spans="1:5" s="43" customFormat="1" x14ac:dyDescent="0.25">
      <c r="A80" s="32" t="s">
        <v>140</v>
      </c>
      <c r="B80" s="32" t="s">
        <v>727</v>
      </c>
      <c r="C80" s="33" t="str">
        <f>FormatItemName(A80)</f>
        <v>|CFFFF8C00洞察|R</v>
      </c>
      <c r="D80" s="33" t="str">
        <f>FormatItemName(B80)</f>
        <v>|CFFFF8C00Insight|R</v>
      </c>
      <c r="E80" s="43" t="s">
        <v>805</v>
      </c>
    </row>
    <row r="81" spans="1:5" s="43" customFormat="1" x14ac:dyDescent="0.25">
      <c r="A81" s="42" t="s">
        <v>348</v>
      </c>
      <c r="B81" s="42" t="s">
        <v>728</v>
      </c>
      <c r="C81" s="33" t="str">
        <f>FormatItemDescription(A80:A89)</f>
        <v>|CFFFF8C00Legendary|R|N|CFFFFDEAD在抵抗森林巨魔的战斗中，血精灵游侠们挥舞着受到这颗来自肯瑞托的法珠附魔的武器所向披靡，最终成功地建立了奎尔萨拉斯。|R</v>
      </c>
      <c r="D81" s="33" t="str">
        <f>FormatItemDescription(B80:B89)</f>
        <v>|CFFFF8C00Legendary|R|N|CFFFFDEADIn the fight against the forest trolls, the Blood Elf Rangers used this enchanted orb from Kirin Tor and eventually succeeded in establishing Quel'Thalas.|R</v>
      </c>
      <c r="E81" s="43" t="s">
        <v>805</v>
      </c>
    </row>
    <row r="82" spans="1:5" s="43" customFormat="1" x14ac:dyDescent="0.25">
      <c r="A82" s="42" t="s">
        <v>349</v>
      </c>
      <c r="B82" s="42" t="s">
        <v>729</v>
      </c>
      <c r="C82" s="33" t="str">
        <f>FormatItemUbertip(A81:A89)</f>
        <v>+12智力|N+15攻击强度|N+25法术强度|N+10%法术急速|N|CFF33FF33命中：造成45点法术伤害。|R|N|CFF33FF33将普通攻击转化为法术伤害。|R|N|CFF33FF33赋予洞察光环，使附近600码范围内的所有友军每秒额外回复6点法力值。|R|N|N|CFFFFCC00历史|R|N|CFFFFDEAD在抵抗森林巨魔的战斗中，血精灵游侠们挥舞着受到这颗来自肯瑞托的法珠附魔的武器所向披靡，最终成功地建立了奎尔萨拉斯。|R</v>
      </c>
      <c r="D82" s="33" t="str">
        <f>FormatItemUbertip(B81:B89)</f>
        <v>+12 Intelligence|N+15 Attack power|N+25 Spell power|N+10% Spell haste|N|CFF33FF33Hit Target: Deals 45 magical damage|R|N|CFF33FF33Converts your normal attacks into magical damage|R|N|CFF33FF33Grant Aura of Meditation: All allies within 600 yards replenish 6 mana per second|R|N|N|CFFFFCC00Lore|R|N|CFFFFDEADIn the fight against the forest trolls, the Blood Elf Rangers used this enchanted orb from Kirin Tor and eventually succeeded in establishing Quel'Thalas.|R</v>
      </c>
      <c r="E82" s="43" t="s">
        <v>805</v>
      </c>
    </row>
    <row r="83" spans="1:5" s="43" customFormat="1" x14ac:dyDescent="0.25">
      <c r="A83" s="42" t="s">
        <v>350</v>
      </c>
      <c r="B83" s="42" t="s">
        <v>698</v>
      </c>
      <c r="C83" s="33"/>
      <c r="D83" s="33"/>
      <c r="E83" s="43" t="s">
        <v>805</v>
      </c>
    </row>
    <row r="84" spans="1:5" s="43" customFormat="1" x14ac:dyDescent="0.25">
      <c r="A84" s="42" t="s">
        <v>342</v>
      </c>
      <c r="B84" s="42" t="s">
        <v>730</v>
      </c>
      <c r="C84" s="33"/>
      <c r="D84" s="33"/>
      <c r="E84" s="43" t="s">
        <v>805</v>
      </c>
    </row>
    <row r="85" spans="1:5" s="43" customFormat="1" x14ac:dyDescent="0.25">
      <c r="A85" s="37" t="s">
        <v>143</v>
      </c>
      <c r="B85" s="37" t="s">
        <v>851</v>
      </c>
      <c r="C85" s="33"/>
      <c r="D85" s="33"/>
      <c r="E85" s="43" t="s">
        <v>805</v>
      </c>
    </row>
    <row r="86" spans="1:5" s="43" customFormat="1" x14ac:dyDescent="0.25">
      <c r="A86" s="37" t="s">
        <v>145</v>
      </c>
      <c r="B86" s="37" t="s">
        <v>731</v>
      </c>
      <c r="C86" s="33"/>
      <c r="D86" s="33"/>
      <c r="E86" s="43" t="s">
        <v>805</v>
      </c>
    </row>
    <row r="87" spans="1:5" s="43" customFormat="1" x14ac:dyDescent="0.25">
      <c r="A87" s="37" t="s">
        <v>147</v>
      </c>
      <c r="B87" s="37" t="s">
        <v>732</v>
      </c>
      <c r="C87" s="33"/>
      <c r="D87" s="33"/>
      <c r="E87" s="43" t="s">
        <v>805</v>
      </c>
    </row>
    <row r="88" spans="1:5" s="43" customFormat="1" x14ac:dyDescent="0.25">
      <c r="A88" s="39" t="s">
        <v>73</v>
      </c>
      <c r="B88" s="39" t="s">
        <v>685</v>
      </c>
      <c r="C88" s="33"/>
      <c r="D88" s="33"/>
      <c r="E88" s="43" t="s">
        <v>805</v>
      </c>
    </row>
    <row r="89" spans="1:5" s="43" customFormat="1" ht="28.5" x14ac:dyDescent="0.25">
      <c r="A89" s="40" t="s">
        <v>148</v>
      </c>
      <c r="B89" s="40" t="s">
        <v>733</v>
      </c>
      <c r="C89" s="33"/>
      <c r="D89" s="33"/>
      <c r="E89" s="43" t="s">
        <v>805</v>
      </c>
    </row>
    <row r="90" spans="1:5" s="43" customFormat="1" x14ac:dyDescent="0.25">
      <c r="A90" s="45"/>
      <c r="B90" s="45"/>
      <c r="C90" s="33"/>
      <c r="D90" s="33"/>
      <c r="E90" s="43" t="s">
        <v>805</v>
      </c>
    </row>
    <row r="91" spans="1:5" s="43" customFormat="1" x14ac:dyDescent="0.25">
      <c r="A91" s="32" t="s">
        <v>149</v>
      </c>
      <c r="B91" s="32" t="s">
        <v>740</v>
      </c>
      <c r="C91" s="33" t="str">
        <f>FormatItemName(A91)</f>
        <v>|CFFFF8C00巫毒瓶|R</v>
      </c>
      <c r="D91" s="33" t="str">
        <f>FormatItemName(B91)</f>
        <v>|CFFFF8C00Voodoo Vials|R</v>
      </c>
      <c r="E91" s="43" t="s">
        <v>805</v>
      </c>
    </row>
    <row r="92" spans="1:5" s="43" customFormat="1" x14ac:dyDescent="0.25">
      <c r="A92" s="42" t="s">
        <v>343</v>
      </c>
      <c r="B92" s="42" t="s">
        <v>734</v>
      </c>
      <c r="C92" s="33" t="str">
        <f>FormatItemDescription(A91:A99)</f>
        <v>|CFFFF8C00Legendary|R|N|CFFFFDEAD知道这个不起眼的小瓶是赞吉尔发明的人都变成了他的“朋友”。|R</v>
      </c>
      <c r="D92" s="33" t="str">
        <f>FormatItemDescription(B91:B99)</f>
        <v>|CFFFF8C00Legendary|R|N|CFFFFDEADZanzil "makes" friends by these small vials.|R</v>
      </c>
      <c r="E92" s="43" t="s">
        <v>805</v>
      </c>
    </row>
    <row r="93" spans="1:5" s="43" customFormat="1" x14ac:dyDescent="0.25">
      <c r="A93" s="42" t="s">
        <v>344</v>
      </c>
      <c r="B93" s="42" t="s">
        <v>735</v>
      </c>
      <c r="C93" s="33" t="str">
        <f>FormatItemUbertip(A92:A99)</f>
        <v>+14智力|N+250法力上限|N+3%法术暴击|N+7%法术急速|N|CFF33FF33在造成任何法术伤害的时候，有10%的概率使敌人中毒，受到持续性的法术伤害，受瓶中能量影响。|R|N|CFF33FF33使用：召唤一个魔法瓶投掷到目标区域，释放出里面的邪恶生物对区域内的敌人造成持续的法术伤害。|R|N|N|CFFFFCC00历史|R|N|CFFFFDEAD知道这个不起眼的小瓶是赞吉尔发明的人都变成了他的“朋友”。|R</v>
      </c>
      <c r="D93" s="33" t="str">
        <f>FormatItemUbertip(B92:B99)</f>
        <v>+14 Intelligence|N+250 Max mana points|N+3% Spell critical hit chance|N+7% Spell Haste|N|CFF33FF33On Dealing Magical Damage: 10% chance to poison target, dealing magical damage over time. The damage is affected by the charges of Voodoo Vials|R|N|CFF33FF33Use: Throw a Voodoo Vial towards target area and release the evil creatures inside to deal magical damage to all enemies within range over time|R|N|N|CFFFFCC00Lore|R|N|CFFFFDEADZanzil "makes" friends by these small vials.|R</v>
      </c>
      <c r="E93" s="43" t="s">
        <v>805</v>
      </c>
    </row>
    <row r="94" spans="1:5" s="43" customFormat="1" x14ac:dyDescent="0.25">
      <c r="A94" s="42" t="s">
        <v>345</v>
      </c>
      <c r="B94" s="42" t="s">
        <v>736</v>
      </c>
      <c r="C94" s="33"/>
      <c r="D94" s="33"/>
      <c r="E94" s="43" t="s">
        <v>805</v>
      </c>
    </row>
    <row r="95" spans="1:5" s="43" customFormat="1" x14ac:dyDescent="0.25">
      <c r="A95" s="42" t="s">
        <v>346</v>
      </c>
      <c r="B95" s="42" t="s">
        <v>737</v>
      </c>
      <c r="C95" s="33"/>
      <c r="D95" s="33"/>
      <c r="E95" s="43" t="s">
        <v>805</v>
      </c>
    </row>
    <row r="96" spans="1:5" s="43" customFormat="1" ht="28.5" x14ac:dyDescent="0.25">
      <c r="A96" s="37" t="s">
        <v>150</v>
      </c>
      <c r="B96" s="37" t="s">
        <v>739</v>
      </c>
      <c r="C96" s="33"/>
      <c r="D96" s="33"/>
      <c r="E96" s="43" t="s">
        <v>805</v>
      </c>
    </row>
    <row r="97" spans="1:5" s="43" customFormat="1" ht="28.5" x14ac:dyDescent="0.25">
      <c r="A97" s="37" t="s">
        <v>152</v>
      </c>
      <c r="B97" s="37" t="s">
        <v>741</v>
      </c>
      <c r="C97" s="33"/>
      <c r="D97" s="33"/>
      <c r="E97" s="43" t="s">
        <v>805</v>
      </c>
    </row>
    <row r="98" spans="1:5" s="43" customFormat="1" x14ac:dyDescent="0.25">
      <c r="A98" s="39" t="s">
        <v>73</v>
      </c>
      <c r="B98" s="39" t="s">
        <v>685</v>
      </c>
      <c r="C98" s="33"/>
      <c r="D98" s="33"/>
      <c r="E98" s="43" t="s">
        <v>805</v>
      </c>
    </row>
    <row r="99" spans="1:5" s="43" customFormat="1" x14ac:dyDescent="0.25">
      <c r="A99" s="40" t="s">
        <v>154</v>
      </c>
      <c r="B99" s="40" t="s">
        <v>742</v>
      </c>
      <c r="C99" s="33"/>
      <c r="D99" s="33"/>
      <c r="E99" s="43" t="s">
        <v>805</v>
      </c>
    </row>
    <row r="100" spans="1:5" s="43" customFormat="1" x14ac:dyDescent="0.25">
      <c r="A100" s="45"/>
      <c r="B100" s="45"/>
      <c r="C100" s="33"/>
      <c r="D100" s="33"/>
      <c r="E100" s="43" t="s">
        <v>805</v>
      </c>
    </row>
    <row r="101" spans="1:5" s="43" customFormat="1" x14ac:dyDescent="0.25">
      <c r="A101" s="32" t="s">
        <v>486</v>
      </c>
      <c r="B101" s="32" t="s">
        <v>743</v>
      </c>
      <c r="C101" s="33" t="str">
        <f>FormatItemName(A101)</f>
        <v>|CFFFF8C00神圣月光之剑|R</v>
      </c>
      <c r="D101" s="33" t="str">
        <f>FormatItemName(B101)</f>
        <v>|CFFFF8C00Holy Moonlight Sword|R</v>
      </c>
      <c r="E101" s="43" t="s">
        <v>805</v>
      </c>
    </row>
    <row r="102" spans="1:5" s="43" customFormat="1" x14ac:dyDescent="0.25">
      <c r="A102" s="42" t="s">
        <v>352</v>
      </c>
      <c r="B102" s="42" t="s">
        <v>744</v>
      </c>
      <c r="C102" s="33" t="str">
        <f>FormatItemDescription(A101:A108)</f>
        <v>|CFFFF8C00Legendary|R|N|CFFFFDEAD“圣剑路德维希”|R</v>
      </c>
      <c r="D102" s="33" t="str">
        <f>FormatItemDescription(B101:B108)</f>
        <v>|CFFFF8C00Legendary|R|N|CFFFFDEAD"Ludwig the Holy Blade"|R</v>
      </c>
      <c r="E102" s="43" t="s">
        <v>805</v>
      </c>
    </row>
    <row r="103" spans="1:5" s="43" customFormat="1" x14ac:dyDescent="0.25">
      <c r="A103" s="42" t="s">
        <v>491</v>
      </c>
      <c r="B103" s="42" t="s">
        <v>771</v>
      </c>
      <c r="C103" s="33" t="str">
        <f>FormatItemUbertip(A102:A108)</f>
        <v>+15力量|N+200生命上限|N|CFF33FF33命中：造成法术伤害。|R|N|CFF33FF33命中：吸取造成伤害10%的法力值。|R|N|CFF33FF33每第三次普通攻击：消耗5%的法力值，引爆月光，对范围内的目标造成法术伤害。|R|N|CFF33FF33命中：有一定几率消耗5%的法力值，向前方释放一道月光波，对直线上的敌人造成法术伤害伤害。|R|N|N|CFFFFDEAD“圣剑路德维希”|R</v>
      </c>
      <c r="D103" s="33" t="str">
        <f>FormatItemUbertip(B102:B108)</f>
        <v>+15 Strength|N+200 Max hit points|N|CFF33FF33Hit Target: Deals 50 magical damage|R|N|CFF33FF33Hit Target: 10% mana steal|R|N|CFF33FF33Every Third Attack: Consumes 5% of max mana, detonates the moonlight, deals magical damage to all enemies within 300 yards|R|N|CFF33FF33Hit Target: 10% chance to consume 5% of max mana, release a moonlight wave, deals magical damage to all enemies in front of you|R|N|N|CFFFFDEAD"Ludwig the Holy Blade"|R</v>
      </c>
      <c r="E103" s="43" t="s">
        <v>805</v>
      </c>
    </row>
    <row r="104" spans="1:5" s="43" customFormat="1" x14ac:dyDescent="0.25">
      <c r="A104" s="37" t="s">
        <v>489</v>
      </c>
      <c r="B104" s="37" t="s">
        <v>852</v>
      </c>
      <c r="C104" s="33"/>
      <c r="D104" s="33"/>
      <c r="E104" s="43" t="s">
        <v>805</v>
      </c>
    </row>
    <row r="105" spans="1:5" s="43" customFormat="1" x14ac:dyDescent="0.25">
      <c r="A105" s="37" t="s">
        <v>487</v>
      </c>
      <c r="B105" s="37" t="s">
        <v>853</v>
      </c>
      <c r="C105" s="33"/>
      <c r="D105" s="33"/>
      <c r="E105" s="43" t="s">
        <v>805</v>
      </c>
    </row>
    <row r="106" spans="1:5" s="43" customFormat="1" ht="28.5" x14ac:dyDescent="0.25">
      <c r="A106" s="37" t="s">
        <v>490</v>
      </c>
      <c r="B106" s="37" t="s">
        <v>745</v>
      </c>
      <c r="C106" s="33"/>
      <c r="D106" s="33"/>
      <c r="E106" s="43" t="s">
        <v>805</v>
      </c>
    </row>
    <row r="107" spans="1:5" s="43" customFormat="1" ht="28.5" x14ac:dyDescent="0.25">
      <c r="A107" s="37" t="s">
        <v>488</v>
      </c>
      <c r="B107" s="37" t="s">
        <v>854</v>
      </c>
      <c r="C107" s="33"/>
      <c r="D107" s="33"/>
      <c r="E107" s="43" t="s">
        <v>805</v>
      </c>
    </row>
    <row r="108" spans="1:5" s="43" customFormat="1" x14ac:dyDescent="0.25">
      <c r="A108" s="40" t="s">
        <v>492</v>
      </c>
      <c r="B108" s="40" t="s">
        <v>746</v>
      </c>
      <c r="C108" s="33"/>
      <c r="D108" s="33"/>
      <c r="E108" s="43" t="s">
        <v>805</v>
      </c>
    </row>
    <row r="109" spans="1:5" s="43" customFormat="1" x14ac:dyDescent="0.25">
      <c r="A109" s="45"/>
      <c r="B109" s="45"/>
      <c r="C109" s="33"/>
      <c r="D109" s="33"/>
      <c r="E109" s="43" t="s">
        <v>805</v>
      </c>
    </row>
    <row r="110" spans="1:5" s="43" customFormat="1" x14ac:dyDescent="0.25">
      <c r="A110" s="45"/>
      <c r="B110" s="46"/>
      <c r="C110" s="33"/>
      <c r="D110" s="33"/>
      <c r="E110" s="43" t="s">
        <v>805</v>
      </c>
    </row>
    <row r="111" spans="1:5" s="43" customFormat="1" x14ac:dyDescent="0.25">
      <c r="A111" s="45"/>
      <c r="B111" s="46"/>
      <c r="C111" s="33"/>
      <c r="D111" s="33"/>
      <c r="E111" s="43" t="s">
        <v>805</v>
      </c>
    </row>
    <row r="112" spans="1:5" x14ac:dyDescent="0.25">
      <c r="E112" s="43" t="s">
        <v>805</v>
      </c>
    </row>
    <row r="113" spans="5:5" x14ac:dyDescent="0.25">
      <c r="E113" s="43" t="s">
        <v>805</v>
      </c>
    </row>
    <row r="114" spans="5:5" x14ac:dyDescent="0.25">
      <c r="E114" s="43" t="s">
        <v>805</v>
      </c>
    </row>
    <row r="115" spans="5:5" x14ac:dyDescent="0.25">
      <c r="E115" s="43" t="s">
        <v>805</v>
      </c>
    </row>
    <row r="116" spans="5:5" x14ac:dyDescent="0.25">
      <c r="E116" s="43" t="s">
        <v>805</v>
      </c>
    </row>
    <row r="117" spans="5:5" x14ac:dyDescent="0.25">
      <c r="E117" s="43" t="s">
        <v>805</v>
      </c>
    </row>
    <row r="118" spans="5:5" x14ac:dyDescent="0.25">
      <c r="E118" s="43" t="s">
        <v>805</v>
      </c>
    </row>
    <row r="119" spans="5:5" x14ac:dyDescent="0.25">
      <c r="E119" s="43" t="s">
        <v>805</v>
      </c>
    </row>
    <row r="120" spans="5:5" x14ac:dyDescent="0.25">
      <c r="E120" s="43" t="s">
        <v>805</v>
      </c>
    </row>
    <row r="121" spans="5:5" x14ac:dyDescent="0.25">
      <c r="E121" s="43" t="s">
        <v>805</v>
      </c>
    </row>
    <row r="122" spans="5:5" x14ac:dyDescent="0.25">
      <c r="E122" s="43" t="s">
        <v>805</v>
      </c>
    </row>
    <row r="123" spans="5:5" x14ac:dyDescent="0.25">
      <c r="E123" s="43" t="s">
        <v>805</v>
      </c>
    </row>
    <row r="124" spans="5:5" x14ac:dyDescent="0.25">
      <c r="E124" s="43" t="s">
        <v>805</v>
      </c>
    </row>
    <row r="125" spans="5:5" x14ac:dyDescent="0.25">
      <c r="E125" s="43" t="s">
        <v>805</v>
      </c>
    </row>
    <row r="126" spans="5:5" x14ac:dyDescent="0.25">
      <c r="E126" s="43" t="s">
        <v>805</v>
      </c>
    </row>
    <row r="127" spans="5:5" x14ac:dyDescent="0.25">
      <c r="E127" s="43" t="s">
        <v>805</v>
      </c>
    </row>
    <row r="128" spans="5:5" x14ac:dyDescent="0.25">
      <c r="E128" s="43" t="s">
        <v>805</v>
      </c>
    </row>
    <row r="129" spans="5:5" x14ac:dyDescent="0.25">
      <c r="E129" s="43" t="s">
        <v>805</v>
      </c>
    </row>
    <row r="130" spans="5:5" x14ac:dyDescent="0.25">
      <c r="E130" s="43" t="s">
        <v>805</v>
      </c>
    </row>
    <row r="131" spans="5:5" x14ac:dyDescent="0.25">
      <c r="E131" s="43" t="s">
        <v>805</v>
      </c>
    </row>
    <row r="132" spans="5:5" x14ac:dyDescent="0.25">
      <c r="E132" s="43" t="s">
        <v>805</v>
      </c>
    </row>
    <row r="133" spans="5:5" x14ac:dyDescent="0.25">
      <c r="E133" s="43" t="s">
        <v>805</v>
      </c>
    </row>
    <row r="134" spans="5:5" x14ac:dyDescent="0.25">
      <c r="E134" s="43" t="s">
        <v>805</v>
      </c>
    </row>
    <row r="135" spans="5:5" x14ac:dyDescent="0.25">
      <c r="E135" s="43" t="s">
        <v>805</v>
      </c>
    </row>
    <row r="136" spans="5:5" x14ac:dyDescent="0.25">
      <c r="E136" s="43" t="s">
        <v>805</v>
      </c>
    </row>
    <row r="137" spans="5:5" x14ac:dyDescent="0.25">
      <c r="E137" s="43" t="s">
        <v>805</v>
      </c>
    </row>
    <row r="138" spans="5:5" x14ac:dyDescent="0.25">
      <c r="E138" s="43" t="s">
        <v>805</v>
      </c>
    </row>
    <row r="139" spans="5:5" x14ac:dyDescent="0.25">
      <c r="E139" s="43" t="s">
        <v>805</v>
      </c>
    </row>
    <row r="140" spans="5:5" x14ac:dyDescent="0.25">
      <c r="E140" s="43" t="s">
        <v>805</v>
      </c>
    </row>
    <row r="141" spans="5:5" x14ac:dyDescent="0.25">
      <c r="E141" s="43" t="s">
        <v>805</v>
      </c>
    </row>
    <row r="142" spans="5:5" x14ac:dyDescent="0.25">
      <c r="E142" s="43" t="s">
        <v>805</v>
      </c>
    </row>
    <row r="143" spans="5:5" x14ac:dyDescent="0.25">
      <c r="E143" s="43" t="s">
        <v>805</v>
      </c>
    </row>
    <row r="144" spans="5:5" x14ac:dyDescent="0.25">
      <c r="E144" s="43" t="s">
        <v>805</v>
      </c>
    </row>
    <row r="145" spans="5:5" x14ac:dyDescent="0.25">
      <c r="E145" s="43" t="s">
        <v>805</v>
      </c>
    </row>
    <row r="146" spans="5:5" x14ac:dyDescent="0.25">
      <c r="E146" s="43" t="s">
        <v>805</v>
      </c>
    </row>
    <row r="147" spans="5:5" x14ac:dyDescent="0.25">
      <c r="E147" s="43" t="s">
        <v>805</v>
      </c>
    </row>
    <row r="148" spans="5:5" x14ac:dyDescent="0.25">
      <c r="E148" s="43" t="s">
        <v>805</v>
      </c>
    </row>
    <row r="149" spans="5:5" x14ac:dyDescent="0.25">
      <c r="E149" s="43" t="s">
        <v>805</v>
      </c>
    </row>
    <row r="150" spans="5:5" x14ac:dyDescent="0.25">
      <c r="E150" s="43" t="s">
        <v>805</v>
      </c>
    </row>
    <row r="151" spans="5:5" x14ac:dyDescent="0.25">
      <c r="E151" s="43" t="s">
        <v>805</v>
      </c>
    </row>
    <row r="152" spans="5:5" x14ac:dyDescent="0.25">
      <c r="E152" s="43" t="s">
        <v>805</v>
      </c>
    </row>
    <row r="153" spans="5:5" x14ac:dyDescent="0.25">
      <c r="E153" s="43" t="s">
        <v>805</v>
      </c>
    </row>
    <row r="154" spans="5:5" x14ac:dyDescent="0.25">
      <c r="E154" s="43" t="s">
        <v>805</v>
      </c>
    </row>
    <row r="155" spans="5:5" x14ac:dyDescent="0.25">
      <c r="E155" s="43" t="s">
        <v>805</v>
      </c>
    </row>
    <row r="156" spans="5:5" x14ac:dyDescent="0.25">
      <c r="E156" s="43" t="s">
        <v>805</v>
      </c>
    </row>
    <row r="157" spans="5:5" x14ac:dyDescent="0.25">
      <c r="E157" s="43" t="s">
        <v>805</v>
      </c>
    </row>
    <row r="158" spans="5:5" x14ac:dyDescent="0.25">
      <c r="E158" s="43" t="s">
        <v>805</v>
      </c>
    </row>
    <row r="159" spans="5:5" x14ac:dyDescent="0.25">
      <c r="E159" s="43" t="s">
        <v>805</v>
      </c>
    </row>
    <row r="160" spans="5:5" x14ac:dyDescent="0.25">
      <c r="E160" s="43" t="s">
        <v>805</v>
      </c>
    </row>
    <row r="161" spans="5:5" x14ac:dyDescent="0.25">
      <c r="E161" s="43" t="s">
        <v>805</v>
      </c>
    </row>
    <row r="162" spans="5:5" x14ac:dyDescent="0.25">
      <c r="E162" s="43" t="s">
        <v>805</v>
      </c>
    </row>
    <row r="163" spans="5:5" x14ac:dyDescent="0.25">
      <c r="E163" s="43" t="s">
        <v>805</v>
      </c>
    </row>
    <row r="164" spans="5:5" x14ac:dyDescent="0.25">
      <c r="E164" s="43" t="s">
        <v>805</v>
      </c>
    </row>
    <row r="165" spans="5:5" x14ac:dyDescent="0.25">
      <c r="E165" s="43" t="s">
        <v>805</v>
      </c>
    </row>
    <row r="166" spans="5:5" x14ac:dyDescent="0.25">
      <c r="E166" s="43" t="s">
        <v>805</v>
      </c>
    </row>
    <row r="167" spans="5:5" x14ac:dyDescent="0.25">
      <c r="E167" s="43" t="s">
        <v>805</v>
      </c>
    </row>
    <row r="168" spans="5:5" x14ac:dyDescent="0.25">
      <c r="E168" s="43" t="s">
        <v>805</v>
      </c>
    </row>
    <row r="169" spans="5:5" x14ac:dyDescent="0.25">
      <c r="E169" s="43" t="s">
        <v>805</v>
      </c>
    </row>
    <row r="170" spans="5:5" x14ac:dyDescent="0.25">
      <c r="E170" s="43" t="s">
        <v>805</v>
      </c>
    </row>
    <row r="171" spans="5:5" x14ac:dyDescent="0.25">
      <c r="E171" s="43" t="s">
        <v>805</v>
      </c>
    </row>
    <row r="172" spans="5:5" x14ac:dyDescent="0.25">
      <c r="E172" s="43" t="s">
        <v>805</v>
      </c>
    </row>
    <row r="173" spans="5:5" x14ac:dyDescent="0.25">
      <c r="E173" s="43" t="s">
        <v>805</v>
      </c>
    </row>
    <row r="174" spans="5:5" x14ac:dyDescent="0.25">
      <c r="E174" s="43" t="s">
        <v>805</v>
      </c>
    </row>
    <row r="175" spans="5:5" x14ac:dyDescent="0.25">
      <c r="E175" s="43" t="s">
        <v>805</v>
      </c>
    </row>
    <row r="176" spans="5:5" x14ac:dyDescent="0.25">
      <c r="E176" s="43" t="s">
        <v>805</v>
      </c>
    </row>
    <row r="177" spans="5:5" x14ac:dyDescent="0.25">
      <c r="E177" s="43" t="s">
        <v>805</v>
      </c>
    </row>
    <row r="178" spans="5:5" x14ac:dyDescent="0.25">
      <c r="E178" s="43" t="s">
        <v>805</v>
      </c>
    </row>
    <row r="179" spans="5:5" x14ac:dyDescent="0.25">
      <c r="E179" s="43" t="s">
        <v>805</v>
      </c>
    </row>
    <row r="180" spans="5:5" x14ac:dyDescent="0.25">
      <c r="E180" s="43" t="s">
        <v>805</v>
      </c>
    </row>
    <row r="181" spans="5:5" x14ac:dyDescent="0.25">
      <c r="E181" s="43" t="s">
        <v>805</v>
      </c>
    </row>
    <row r="182" spans="5:5" x14ac:dyDescent="0.25">
      <c r="E182" s="43" t="s">
        <v>805</v>
      </c>
    </row>
    <row r="183" spans="5:5" x14ac:dyDescent="0.25">
      <c r="E183" s="43" t="s">
        <v>805</v>
      </c>
    </row>
    <row r="184" spans="5:5" x14ac:dyDescent="0.25">
      <c r="E184" s="43" t="s">
        <v>805</v>
      </c>
    </row>
    <row r="185" spans="5:5" x14ac:dyDescent="0.25">
      <c r="E185" s="43" t="s">
        <v>805</v>
      </c>
    </row>
    <row r="186" spans="5:5" x14ac:dyDescent="0.25">
      <c r="E186" s="43" t="s">
        <v>805</v>
      </c>
    </row>
    <row r="187" spans="5:5" x14ac:dyDescent="0.25">
      <c r="E187" s="43" t="s">
        <v>805</v>
      </c>
    </row>
    <row r="188" spans="5:5" x14ac:dyDescent="0.25">
      <c r="E188" s="43" t="s">
        <v>805</v>
      </c>
    </row>
    <row r="189" spans="5:5" x14ac:dyDescent="0.25">
      <c r="E189" s="43" t="s">
        <v>805</v>
      </c>
    </row>
    <row r="190" spans="5:5" x14ac:dyDescent="0.25">
      <c r="E190" s="43" t="s">
        <v>805</v>
      </c>
    </row>
    <row r="191" spans="5:5" x14ac:dyDescent="0.25">
      <c r="E191" s="43" t="s">
        <v>805</v>
      </c>
    </row>
    <row r="192" spans="5:5" x14ac:dyDescent="0.25">
      <c r="E192" s="43" t="s">
        <v>805</v>
      </c>
    </row>
    <row r="193" spans="5:5" x14ac:dyDescent="0.25">
      <c r="E193" s="43" t="s">
        <v>805</v>
      </c>
    </row>
    <row r="194" spans="5:5" x14ac:dyDescent="0.25">
      <c r="E194" s="43" t="s">
        <v>805</v>
      </c>
    </row>
    <row r="195" spans="5:5" x14ac:dyDescent="0.25">
      <c r="E195" s="43" t="s">
        <v>805</v>
      </c>
    </row>
    <row r="196" spans="5:5" x14ac:dyDescent="0.25">
      <c r="E196" s="43" t="s">
        <v>805</v>
      </c>
    </row>
  </sheetData>
  <phoneticPr fontId="14"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C102"/>
  <sheetViews>
    <sheetView workbookViewId="0">
      <selection activeCell="B24" sqref="B24"/>
    </sheetView>
  </sheetViews>
  <sheetFormatPr defaultColWidth="14.42578125" defaultRowHeight="16.5" x14ac:dyDescent="0.35"/>
  <cols>
    <col min="1" max="1" width="22.28515625" style="1" customWidth="1"/>
    <col min="2" max="2" width="125.85546875" style="1" customWidth="1"/>
    <col min="3" max="20" width="17.28515625" style="1" customWidth="1"/>
    <col min="21" max="16384" width="14.42578125" style="1"/>
  </cols>
  <sheetData>
    <row r="1" spans="1:3" x14ac:dyDescent="0.35">
      <c r="A1" s="5"/>
      <c r="B1" s="6" t="s">
        <v>1</v>
      </c>
    </row>
    <row r="2" spans="1:3" x14ac:dyDescent="0.35">
      <c r="A2" s="5"/>
      <c r="B2" s="7" t="s">
        <v>2</v>
      </c>
      <c r="C2" s="4" t="s">
        <v>3</v>
      </c>
    </row>
    <row r="3" spans="1:3" x14ac:dyDescent="0.35">
      <c r="A3" s="5"/>
      <c r="B3" s="7" t="s">
        <v>408</v>
      </c>
      <c r="C3" s="4" t="s">
        <v>4</v>
      </c>
    </row>
    <row r="4" spans="1:3" x14ac:dyDescent="0.35">
      <c r="A4" s="5"/>
      <c r="B4" s="7" t="s">
        <v>5</v>
      </c>
      <c r="C4" s="4" t="s">
        <v>4</v>
      </c>
    </row>
    <row r="5" spans="1:3" x14ac:dyDescent="0.35">
      <c r="A5" s="5"/>
    </row>
    <row r="6" spans="1:3" x14ac:dyDescent="0.35">
      <c r="A6" s="5" t="s">
        <v>6</v>
      </c>
      <c r="B6" s="5" t="s">
        <v>7</v>
      </c>
    </row>
    <row r="7" spans="1:3" x14ac:dyDescent="0.35">
      <c r="A7" s="5"/>
      <c r="B7" s="5" t="s">
        <v>8</v>
      </c>
    </row>
    <row r="8" spans="1:3" x14ac:dyDescent="0.35">
      <c r="A8" s="5"/>
      <c r="B8" s="4" t="s">
        <v>365</v>
      </c>
    </row>
    <row r="9" spans="1:3" x14ac:dyDescent="0.35">
      <c r="A9" s="5"/>
      <c r="B9" s="1" t="s">
        <v>395</v>
      </c>
    </row>
    <row r="10" spans="1:3" x14ac:dyDescent="0.35">
      <c r="A10" s="5"/>
      <c r="B10" s="1" t="s">
        <v>407</v>
      </c>
    </row>
    <row r="11" spans="1:3" x14ac:dyDescent="0.35">
      <c r="A11" s="5"/>
      <c r="B11" s="8" t="s">
        <v>409</v>
      </c>
      <c r="C11" s="4" t="s">
        <v>9</v>
      </c>
    </row>
    <row r="12" spans="1:3" x14ac:dyDescent="0.35">
      <c r="A12" s="5"/>
      <c r="B12" s="3" t="s">
        <v>10</v>
      </c>
    </row>
    <row r="13" spans="1:3" x14ac:dyDescent="0.35">
      <c r="A13" s="5"/>
    </row>
    <row r="14" spans="1:3" x14ac:dyDescent="0.35">
      <c r="A14" s="5" t="s">
        <v>11</v>
      </c>
      <c r="B14" s="5" t="s">
        <v>7</v>
      </c>
    </row>
    <row r="15" spans="1:3" x14ac:dyDescent="0.35">
      <c r="A15" s="5"/>
      <c r="B15" s="5" t="s">
        <v>8</v>
      </c>
    </row>
    <row r="16" spans="1:3" x14ac:dyDescent="0.35">
      <c r="A16" s="5"/>
      <c r="B16" s="4" t="s">
        <v>384</v>
      </c>
    </row>
    <row r="17" spans="1:3" x14ac:dyDescent="0.35">
      <c r="A17" s="5"/>
      <c r="B17" s="4" t="s">
        <v>388</v>
      </c>
    </row>
    <row r="18" spans="1:3" x14ac:dyDescent="0.35">
      <c r="A18" s="5"/>
      <c r="B18" s="2" t="s">
        <v>12</v>
      </c>
    </row>
    <row r="19" spans="1:3" x14ac:dyDescent="0.35">
      <c r="A19" s="5"/>
      <c r="B19" s="8" t="s">
        <v>410</v>
      </c>
      <c r="C19" s="4" t="s">
        <v>3</v>
      </c>
    </row>
    <row r="20" spans="1:3" x14ac:dyDescent="0.35">
      <c r="A20" s="5"/>
      <c r="B20" s="3" t="s">
        <v>13</v>
      </c>
    </row>
    <row r="21" spans="1:3" x14ac:dyDescent="0.35">
      <c r="A21" s="5"/>
    </row>
    <row r="22" spans="1:3" x14ac:dyDescent="0.35">
      <c r="A22" s="5" t="s">
        <v>14</v>
      </c>
      <c r="B22" s="5" t="s">
        <v>7</v>
      </c>
    </row>
    <row r="23" spans="1:3" x14ac:dyDescent="0.35">
      <c r="A23" s="5"/>
      <c r="B23" s="5" t="s">
        <v>8</v>
      </c>
    </row>
    <row r="24" spans="1:3" x14ac:dyDescent="0.35">
      <c r="A24" s="5"/>
      <c r="B24" s="4" t="s">
        <v>369</v>
      </c>
    </row>
    <row r="25" spans="1:3" x14ac:dyDescent="0.35">
      <c r="A25" s="5"/>
      <c r="B25" s="2" t="s">
        <v>15</v>
      </c>
    </row>
    <row r="26" spans="1:3" x14ac:dyDescent="0.35">
      <c r="A26" s="5"/>
      <c r="B26" s="2" t="s">
        <v>16</v>
      </c>
    </row>
    <row r="27" spans="1:3" x14ac:dyDescent="0.35">
      <c r="A27" s="5"/>
      <c r="B27" s="8" t="s">
        <v>370</v>
      </c>
      <c r="C27" s="4" t="s">
        <v>9</v>
      </c>
    </row>
    <row r="28" spans="1:3" x14ac:dyDescent="0.35">
      <c r="A28" s="5"/>
      <c r="B28" s="8" t="s">
        <v>17</v>
      </c>
      <c r="C28" s="4" t="s">
        <v>4</v>
      </c>
    </row>
    <row r="29" spans="1:3" x14ac:dyDescent="0.35">
      <c r="A29" s="5"/>
      <c r="B29" s="3" t="s">
        <v>18</v>
      </c>
    </row>
    <row r="30" spans="1:3" x14ac:dyDescent="0.35">
      <c r="A30" s="5"/>
    </row>
    <row r="31" spans="1:3" x14ac:dyDescent="0.35">
      <c r="A31" s="5" t="s">
        <v>19</v>
      </c>
      <c r="B31" s="5" t="s">
        <v>7</v>
      </c>
    </row>
    <row r="32" spans="1:3" x14ac:dyDescent="0.35">
      <c r="A32" s="5"/>
      <c r="B32" s="5" t="s">
        <v>8</v>
      </c>
    </row>
    <row r="33" spans="1:3" x14ac:dyDescent="0.35">
      <c r="A33" s="5"/>
      <c r="B33" s="4" t="s">
        <v>352</v>
      </c>
    </row>
    <row r="34" spans="1:3" x14ac:dyDescent="0.35">
      <c r="A34" s="5"/>
      <c r="B34" s="2" t="s">
        <v>20</v>
      </c>
    </row>
    <row r="35" spans="1:3" x14ac:dyDescent="0.35">
      <c r="A35" s="5"/>
      <c r="B35" s="2" t="s">
        <v>21</v>
      </c>
    </row>
    <row r="36" spans="1:3" x14ac:dyDescent="0.35">
      <c r="A36" s="5"/>
      <c r="B36" s="8" t="s">
        <v>23</v>
      </c>
      <c r="C36" s="4" t="s">
        <v>3</v>
      </c>
    </row>
    <row r="37" spans="1:3" x14ac:dyDescent="0.35">
      <c r="A37" s="5"/>
      <c r="B37" s="8" t="s">
        <v>24</v>
      </c>
      <c r="C37" s="4" t="s">
        <v>4</v>
      </c>
    </row>
    <row r="38" spans="1:3" x14ac:dyDescent="0.35">
      <c r="A38" s="5"/>
      <c r="B38" s="3" t="s">
        <v>26</v>
      </c>
    </row>
    <row r="39" spans="1:3" x14ac:dyDescent="0.35">
      <c r="A39" s="5"/>
    </row>
    <row r="40" spans="1:3" x14ac:dyDescent="0.35">
      <c r="A40" s="5"/>
    </row>
    <row r="41" spans="1:3" x14ac:dyDescent="0.35">
      <c r="A41" s="5"/>
    </row>
    <row r="42" spans="1:3" x14ac:dyDescent="0.35">
      <c r="A42" s="5"/>
    </row>
    <row r="43" spans="1:3" x14ac:dyDescent="0.35">
      <c r="A43" s="5"/>
    </row>
    <row r="44" spans="1:3" x14ac:dyDescent="0.35">
      <c r="A44" s="5"/>
    </row>
    <row r="45" spans="1:3" x14ac:dyDescent="0.35">
      <c r="A45" s="5"/>
    </row>
    <row r="46" spans="1:3" x14ac:dyDescent="0.35">
      <c r="A46" s="5"/>
    </row>
    <row r="47" spans="1:3" x14ac:dyDescent="0.35">
      <c r="A47" s="5"/>
    </row>
    <row r="48" spans="1:3" x14ac:dyDescent="0.35">
      <c r="A48" s="5"/>
    </row>
    <row r="49" spans="1:1" x14ac:dyDescent="0.35">
      <c r="A49" s="5"/>
    </row>
    <row r="50" spans="1:1" x14ac:dyDescent="0.35">
      <c r="A50" s="5"/>
    </row>
    <row r="51" spans="1:1" x14ac:dyDescent="0.35">
      <c r="A51" s="5"/>
    </row>
    <row r="52" spans="1:1" x14ac:dyDescent="0.35">
      <c r="A52" s="5"/>
    </row>
    <row r="53" spans="1:1" x14ac:dyDescent="0.35">
      <c r="A53" s="5"/>
    </row>
    <row r="54" spans="1:1" x14ac:dyDescent="0.35">
      <c r="A54" s="5"/>
    </row>
    <row r="55" spans="1:1" x14ac:dyDescent="0.35">
      <c r="A55" s="5"/>
    </row>
    <row r="56" spans="1:1" x14ac:dyDescent="0.35">
      <c r="A56" s="5"/>
    </row>
    <row r="57" spans="1:1" x14ac:dyDescent="0.35">
      <c r="A57" s="5"/>
    </row>
    <row r="58" spans="1:1" x14ac:dyDescent="0.35">
      <c r="A58" s="5"/>
    </row>
    <row r="59" spans="1:1" x14ac:dyDescent="0.35">
      <c r="A59" s="5"/>
    </row>
    <row r="60" spans="1:1" x14ac:dyDescent="0.35">
      <c r="A60" s="5"/>
    </row>
    <row r="61" spans="1:1" x14ac:dyDescent="0.35">
      <c r="A61" s="5"/>
    </row>
    <row r="62" spans="1:1" x14ac:dyDescent="0.35">
      <c r="A62" s="5"/>
    </row>
    <row r="63" spans="1:1" x14ac:dyDescent="0.35">
      <c r="A63" s="5"/>
    </row>
    <row r="64" spans="1:1" x14ac:dyDescent="0.35">
      <c r="A64" s="5"/>
    </row>
    <row r="65" spans="1:1" x14ac:dyDescent="0.35">
      <c r="A65" s="5"/>
    </row>
    <row r="66" spans="1:1" x14ac:dyDescent="0.35">
      <c r="A66" s="5"/>
    </row>
    <row r="67" spans="1:1" x14ac:dyDescent="0.35">
      <c r="A67" s="5"/>
    </row>
    <row r="68" spans="1:1" x14ac:dyDescent="0.35">
      <c r="A68" s="5"/>
    </row>
    <row r="69" spans="1:1" x14ac:dyDescent="0.35">
      <c r="A69" s="5"/>
    </row>
    <row r="70" spans="1:1" x14ac:dyDescent="0.35">
      <c r="A70" s="5"/>
    </row>
    <row r="71" spans="1:1" x14ac:dyDescent="0.35">
      <c r="A71" s="5"/>
    </row>
    <row r="72" spans="1:1" x14ac:dyDescent="0.35">
      <c r="A72" s="5"/>
    </row>
    <row r="73" spans="1:1" x14ac:dyDescent="0.35">
      <c r="A73" s="5"/>
    </row>
    <row r="74" spans="1:1" x14ac:dyDescent="0.35">
      <c r="A74" s="5"/>
    </row>
    <row r="75" spans="1:1" x14ac:dyDescent="0.35">
      <c r="A75" s="5"/>
    </row>
    <row r="76" spans="1:1" x14ac:dyDescent="0.35">
      <c r="A76" s="5"/>
    </row>
    <row r="77" spans="1:1" x14ac:dyDescent="0.35">
      <c r="A77" s="5"/>
    </row>
    <row r="78" spans="1:1" x14ac:dyDescent="0.35">
      <c r="A78" s="5"/>
    </row>
    <row r="79" spans="1:1" x14ac:dyDescent="0.35">
      <c r="A79" s="5"/>
    </row>
    <row r="80" spans="1:1" x14ac:dyDescent="0.35">
      <c r="A80" s="5"/>
    </row>
    <row r="81" spans="1:1" x14ac:dyDescent="0.35">
      <c r="A81" s="5"/>
    </row>
    <row r="82" spans="1:1" x14ac:dyDescent="0.35">
      <c r="A82" s="5"/>
    </row>
    <row r="83" spans="1:1" x14ac:dyDescent="0.35">
      <c r="A83" s="5"/>
    </row>
    <row r="84" spans="1:1" x14ac:dyDescent="0.35">
      <c r="A84" s="5"/>
    </row>
    <row r="85" spans="1:1" x14ac:dyDescent="0.35">
      <c r="A85" s="5"/>
    </row>
    <row r="86" spans="1:1" x14ac:dyDescent="0.35">
      <c r="A86" s="5"/>
    </row>
    <row r="87" spans="1:1" x14ac:dyDescent="0.35">
      <c r="A87" s="5"/>
    </row>
    <row r="88" spans="1:1" x14ac:dyDescent="0.35">
      <c r="A88" s="5"/>
    </row>
    <row r="89" spans="1:1" x14ac:dyDescent="0.35">
      <c r="A89" s="5"/>
    </row>
    <row r="90" spans="1:1" x14ac:dyDescent="0.35">
      <c r="A90" s="5"/>
    </row>
    <row r="91" spans="1:1" x14ac:dyDescent="0.35">
      <c r="A91" s="5"/>
    </row>
    <row r="92" spans="1:1" x14ac:dyDescent="0.35">
      <c r="A92" s="5"/>
    </row>
    <row r="93" spans="1:1" x14ac:dyDescent="0.35">
      <c r="A93" s="5"/>
    </row>
    <row r="94" spans="1:1" x14ac:dyDescent="0.35">
      <c r="A94" s="5"/>
    </row>
    <row r="95" spans="1:1" x14ac:dyDescent="0.35">
      <c r="A95" s="5"/>
    </row>
    <row r="96" spans="1:1" x14ac:dyDescent="0.35">
      <c r="A96" s="5"/>
    </row>
    <row r="97" spans="1:1" x14ac:dyDescent="0.35">
      <c r="A97" s="5"/>
    </row>
    <row r="98" spans="1:1" x14ac:dyDescent="0.35">
      <c r="A98" s="5"/>
    </row>
    <row r="99" spans="1:1" x14ac:dyDescent="0.35">
      <c r="A99" s="5"/>
    </row>
    <row r="100" spans="1:1" x14ac:dyDescent="0.35">
      <c r="A100" s="5"/>
    </row>
    <row r="101" spans="1:1" x14ac:dyDescent="0.35">
      <c r="A101" s="5"/>
    </row>
    <row r="102" spans="1:1" x14ac:dyDescent="0.35">
      <c r="A102" s="5"/>
    </row>
  </sheetData>
  <phoneticPr fontId="14"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2" activePane="bottomLeft" state="frozen"/>
      <selection pane="bottomLeft" activeCell="H4" sqref="H4"/>
    </sheetView>
  </sheetViews>
  <sheetFormatPr defaultColWidth="14.42578125" defaultRowHeight="24.95" customHeight="1" x14ac:dyDescent="0.25"/>
  <cols>
    <col min="1" max="1" width="6.85546875" style="44" customWidth="1"/>
    <col min="2" max="2" width="5" style="44" customWidth="1"/>
    <col min="3" max="3" width="2" style="44" customWidth="1"/>
    <col min="4" max="4" width="23" style="44" bestFit="1" customWidth="1"/>
    <col min="5" max="5" width="14.140625" style="44" bestFit="1" customWidth="1"/>
    <col min="6" max="6" width="3" style="44" customWidth="1"/>
    <col min="7" max="7" width="2" style="44" customWidth="1"/>
    <col min="8" max="8" width="78.42578125" style="35" bestFit="1" customWidth="1"/>
    <col min="9" max="9" width="116" style="35" customWidth="1"/>
    <col min="10" max="10" width="5.5703125" style="44" customWidth="1"/>
    <col min="11" max="11" width="6.7109375" style="44" customWidth="1"/>
    <col min="12" max="12" width="49.28515625" style="44" customWidth="1"/>
    <col min="13" max="16384" width="14.42578125" style="44"/>
  </cols>
  <sheetData>
    <row r="1" spans="1:12" ht="24.95" customHeight="1" x14ac:dyDescent="0.25">
      <c r="A1" s="66" t="s">
        <v>493</v>
      </c>
      <c r="B1" s="66"/>
      <c r="C1" s="67"/>
      <c r="D1" s="66"/>
      <c r="E1" s="66"/>
      <c r="F1" s="67"/>
      <c r="G1" s="67"/>
      <c r="H1" s="68"/>
      <c r="I1" s="68"/>
      <c r="J1" s="66" t="s">
        <v>162</v>
      </c>
      <c r="K1" s="66"/>
      <c r="L1" s="66"/>
    </row>
    <row r="2" spans="1:12" ht="24.95" customHeight="1" x14ac:dyDescent="0.25">
      <c r="A2" s="66"/>
      <c r="B2" s="69" t="s">
        <v>163</v>
      </c>
      <c r="C2" s="70">
        <v>2</v>
      </c>
      <c r="D2" s="69"/>
      <c r="E2" s="71" t="s">
        <v>164</v>
      </c>
      <c r="F2" s="70">
        <v>1</v>
      </c>
      <c r="G2" s="70">
        <v>1</v>
      </c>
      <c r="H2" s="68" t="s">
        <v>165</v>
      </c>
      <c r="I2" s="72" t="s">
        <v>166</v>
      </c>
      <c r="J2" s="73"/>
      <c r="K2" s="66"/>
      <c r="L2" s="66" t="str">
        <f t="shared" ref="L2:L69" si="0">IF(F2, CONCATENATE("thistype.create('",B2, "', ", C2, ", true, false, ",F2,", ",G2,");"), "")</f>
        <v>thistype.create('Ial0', 2, true, false, 1, 1);</v>
      </c>
    </row>
    <row r="3" spans="1:12" ht="24.95" customHeight="1" x14ac:dyDescent="0.25">
      <c r="A3" s="66"/>
      <c r="B3" s="69" t="s">
        <v>167</v>
      </c>
      <c r="C3" s="70">
        <v>2</v>
      </c>
      <c r="D3" s="69"/>
      <c r="E3" s="71" t="s">
        <v>168</v>
      </c>
      <c r="F3" s="70">
        <v>1</v>
      </c>
      <c r="G3" s="70">
        <v>1</v>
      </c>
      <c r="H3" s="68" t="s">
        <v>169</v>
      </c>
      <c r="I3" s="68"/>
      <c r="J3" s="73"/>
      <c r="K3" s="66"/>
      <c r="L3" s="66" t="str">
        <f t="shared" si="0"/>
        <v>thistype.create('shas', 2, true, false, 1, 1);</v>
      </c>
    </row>
    <row r="4" spans="1:12" ht="24.95" customHeight="1" x14ac:dyDescent="0.25">
      <c r="A4" s="66"/>
      <c r="B4" s="69" t="s">
        <v>170</v>
      </c>
      <c r="C4" s="70">
        <v>2</v>
      </c>
      <c r="D4" s="69"/>
      <c r="E4" s="80" t="s">
        <v>171</v>
      </c>
      <c r="F4" s="70">
        <v>1</v>
      </c>
      <c r="G4" s="70">
        <v>1</v>
      </c>
      <c r="H4" s="68" t="s">
        <v>172</v>
      </c>
      <c r="I4" s="68"/>
      <c r="J4" s="73"/>
      <c r="K4" s="66"/>
      <c r="L4" s="66" t="str">
        <f t="shared" si="0"/>
        <v>thistype.create('Ifz0', 2, true, false, 1, 1);</v>
      </c>
    </row>
    <row r="5" spans="1:12" ht="24.95" customHeight="1" x14ac:dyDescent="0.25">
      <c r="A5" s="66"/>
      <c r="B5" s="69" t="s">
        <v>173</v>
      </c>
      <c r="C5" s="70">
        <v>2</v>
      </c>
      <c r="D5" s="69"/>
      <c r="E5" s="71" t="s">
        <v>174</v>
      </c>
      <c r="F5" s="70">
        <v>1</v>
      </c>
      <c r="G5" s="70">
        <v>2</v>
      </c>
      <c r="H5" s="68" t="s">
        <v>175</v>
      </c>
      <c r="I5" s="68"/>
      <c r="J5" s="73"/>
      <c r="K5" s="66"/>
      <c r="L5" s="66" t="str">
        <f t="shared" si="0"/>
        <v>thistype.create('spro', 2, true, false, 1, 2);</v>
      </c>
    </row>
    <row r="6" spans="1:12" ht="24.95" customHeight="1" x14ac:dyDescent="0.25">
      <c r="A6" s="66"/>
      <c r="B6" s="69" t="s">
        <v>176</v>
      </c>
      <c r="C6" s="70">
        <v>2</v>
      </c>
      <c r="D6" s="69"/>
      <c r="E6" s="80" t="s">
        <v>177</v>
      </c>
      <c r="F6" s="70">
        <v>1</v>
      </c>
      <c r="G6" s="70">
        <v>1</v>
      </c>
      <c r="H6" s="68" t="s">
        <v>178</v>
      </c>
      <c r="I6" s="68"/>
      <c r="J6" s="73"/>
      <c r="K6" s="66"/>
      <c r="L6" s="66" t="str">
        <f t="shared" si="0"/>
        <v>thistype.create('sman', 2, true, false, 1, 1);</v>
      </c>
    </row>
    <row r="7" spans="1:12" ht="24.95" customHeight="1" x14ac:dyDescent="0.25">
      <c r="A7" s="66"/>
      <c r="B7" s="69" t="s">
        <v>179</v>
      </c>
      <c r="C7" s="70">
        <v>3</v>
      </c>
      <c r="D7" s="69"/>
      <c r="E7" s="78" t="s">
        <v>180</v>
      </c>
      <c r="F7" s="70">
        <v>1</v>
      </c>
      <c r="G7" s="70">
        <v>0</v>
      </c>
      <c r="H7" s="68" t="s">
        <v>181</v>
      </c>
      <c r="I7" s="68"/>
      <c r="J7" s="73"/>
      <c r="K7" s="66"/>
      <c r="L7" s="66" t="str">
        <f t="shared" si="0"/>
        <v>thistype.create('shea', 3, true, false, 1, 0);</v>
      </c>
    </row>
    <row r="8" spans="1:12" ht="24.95" customHeight="1" x14ac:dyDescent="0.25">
      <c r="A8" s="66"/>
      <c r="B8" s="69" t="s">
        <v>182</v>
      </c>
      <c r="C8" s="70">
        <v>4</v>
      </c>
      <c r="D8" s="69"/>
      <c r="E8" s="79" t="s">
        <v>183</v>
      </c>
      <c r="F8" s="70">
        <v>1</v>
      </c>
      <c r="G8" s="70">
        <v>0</v>
      </c>
      <c r="H8" s="68" t="s">
        <v>184</v>
      </c>
      <c r="I8" s="76" t="s">
        <v>185</v>
      </c>
      <c r="J8" s="73"/>
      <c r="K8" s="66"/>
      <c r="L8" s="66" t="str">
        <f t="shared" si="0"/>
        <v>thistype.create('I003', 4, true, false, 1, 0);</v>
      </c>
    </row>
    <row r="9" spans="1:12" ht="24.95" customHeight="1" x14ac:dyDescent="0.25">
      <c r="A9" s="66"/>
      <c r="B9" s="69" t="s">
        <v>186</v>
      </c>
      <c r="C9" s="70">
        <v>2</v>
      </c>
      <c r="D9" s="69"/>
      <c r="E9" s="71" t="s">
        <v>187</v>
      </c>
      <c r="F9" s="70">
        <v>1</v>
      </c>
      <c r="G9" s="70">
        <v>1</v>
      </c>
      <c r="H9" s="68" t="s">
        <v>188</v>
      </c>
      <c r="I9" s="68"/>
      <c r="J9" s="73"/>
      <c r="K9" s="66"/>
      <c r="L9" s="66" t="str">
        <f t="shared" si="0"/>
        <v>thistype.create('sror', 2, true, false, 1, 1);</v>
      </c>
    </row>
    <row r="10" spans="1:12" ht="24.95" customHeight="1" x14ac:dyDescent="0.25">
      <c r="A10" s="66"/>
      <c r="B10" s="69" t="s">
        <v>189</v>
      </c>
      <c r="C10" s="70">
        <v>3</v>
      </c>
      <c r="D10" s="69"/>
      <c r="E10" s="74" t="s">
        <v>190</v>
      </c>
      <c r="F10" s="70">
        <v>1</v>
      </c>
      <c r="G10" s="70">
        <v>0</v>
      </c>
      <c r="H10" s="68" t="s">
        <v>191</v>
      </c>
      <c r="I10" s="68"/>
      <c r="J10" s="73"/>
      <c r="K10" s="66"/>
      <c r="L10" s="66" t="str">
        <f t="shared" si="0"/>
        <v>thistype.create('srrc', 3, true, false, 1, 0);</v>
      </c>
    </row>
    <row r="11" spans="1:12" ht="24.95" customHeight="1" x14ac:dyDescent="0.25">
      <c r="A11" s="66"/>
      <c r="B11" s="69" t="s">
        <v>192</v>
      </c>
      <c r="C11" s="70">
        <v>3</v>
      </c>
      <c r="D11" s="69"/>
      <c r="E11" s="74" t="s">
        <v>193</v>
      </c>
      <c r="F11" s="70">
        <v>1</v>
      </c>
      <c r="G11" s="70">
        <v>0</v>
      </c>
      <c r="H11" s="68" t="s">
        <v>194</v>
      </c>
      <c r="I11" s="77" t="s">
        <v>195</v>
      </c>
      <c r="J11" s="73"/>
      <c r="K11" s="66"/>
      <c r="L11" s="66" t="str">
        <f t="shared" si="0"/>
        <v>thistype.create('I006', 3, true, false, 1, 0);</v>
      </c>
    </row>
    <row r="12" spans="1:12" ht="24.95" customHeight="1" x14ac:dyDescent="0.25">
      <c r="A12" s="66"/>
      <c r="B12" s="69" t="s">
        <v>196</v>
      </c>
      <c r="C12" s="70">
        <v>2</v>
      </c>
      <c r="D12" s="69"/>
      <c r="E12" s="80" t="s">
        <v>197</v>
      </c>
      <c r="F12" s="70">
        <v>1</v>
      </c>
      <c r="G12" s="70">
        <v>1</v>
      </c>
      <c r="H12" s="68" t="s">
        <v>198</v>
      </c>
      <c r="I12" s="77" t="s">
        <v>199</v>
      </c>
      <c r="J12" s="73"/>
      <c r="K12" s="66"/>
      <c r="L12" s="66" t="str">
        <f t="shared" si="0"/>
        <v>thistype.create('I00M', 2, true, false, 1, 1);</v>
      </c>
    </row>
    <row r="13" spans="1:12" ht="24.95" customHeight="1" x14ac:dyDescent="0.25">
      <c r="A13" s="66"/>
      <c r="B13" s="69" t="s">
        <v>200</v>
      </c>
      <c r="C13" s="70">
        <v>2</v>
      </c>
      <c r="D13" s="69"/>
      <c r="E13" s="80" t="s">
        <v>201</v>
      </c>
      <c r="F13" s="70">
        <v>1</v>
      </c>
      <c r="G13" s="70">
        <v>3</v>
      </c>
      <c r="H13" s="68" t="s">
        <v>202</v>
      </c>
      <c r="I13" s="72"/>
      <c r="J13" s="73"/>
      <c r="K13" s="66"/>
      <c r="L13" s="66" t="str">
        <f t="shared" si="0"/>
        <v>thistype.create('I017', 2, true, false, 1, 3);</v>
      </c>
    </row>
    <row r="14" spans="1:12" ht="24.95" customHeight="1" x14ac:dyDescent="0.25">
      <c r="A14" s="66"/>
      <c r="B14" s="69" t="s">
        <v>203</v>
      </c>
      <c r="C14" s="70">
        <v>2</v>
      </c>
      <c r="D14" s="69"/>
      <c r="E14" s="71" t="s">
        <v>204</v>
      </c>
      <c r="F14" s="70">
        <v>1</v>
      </c>
      <c r="G14" s="70">
        <v>1</v>
      </c>
      <c r="H14" s="68" t="s">
        <v>205</v>
      </c>
      <c r="I14" s="72" t="s">
        <v>206</v>
      </c>
      <c r="J14" s="73"/>
      <c r="K14" s="66"/>
      <c r="L14" s="66" t="str">
        <f t="shared" si="0"/>
        <v>thistype.create('I002', 2, true, false, 1, 1);</v>
      </c>
    </row>
    <row r="15" spans="1:12" ht="24.95" customHeight="1" x14ac:dyDescent="0.25">
      <c r="A15" s="66"/>
      <c r="B15" s="69" t="s">
        <v>207</v>
      </c>
      <c r="C15" s="70">
        <v>2</v>
      </c>
      <c r="D15" s="69"/>
      <c r="E15" s="71" t="s">
        <v>208</v>
      </c>
      <c r="F15" s="70">
        <v>1</v>
      </c>
      <c r="G15" s="70">
        <v>2</v>
      </c>
      <c r="H15" s="68" t="s">
        <v>209</v>
      </c>
      <c r="I15" s="72"/>
      <c r="J15" s="73"/>
      <c r="K15" s="66"/>
      <c r="L15" s="66" t="str">
        <f t="shared" si="0"/>
        <v>thistype.create('I004', 2, true, false, 1, 2);</v>
      </c>
    </row>
    <row r="16" spans="1:12" ht="24.95" customHeight="1" x14ac:dyDescent="0.25">
      <c r="A16" s="66"/>
      <c r="B16" s="69" t="s">
        <v>210</v>
      </c>
      <c r="C16" s="70">
        <v>3</v>
      </c>
      <c r="D16" s="69"/>
      <c r="E16" s="74" t="s">
        <v>211</v>
      </c>
      <c r="F16" s="70">
        <v>1</v>
      </c>
      <c r="G16" s="70">
        <v>0</v>
      </c>
      <c r="H16" s="68" t="s">
        <v>212</v>
      </c>
      <c r="I16" s="72" t="s">
        <v>213</v>
      </c>
      <c r="J16" s="73"/>
      <c r="K16" s="66"/>
      <c r="L16" s="66" t="str">
        <f t="shared" si="0"/>
        <v>thistype.create('I00C', 3, true, false, 1, 0);</v>
      </c>
    </row>
    <row r="17" spans="1:12" ht="24.95" customHeight="1" x14ac:dyDescent="0.25">
      <c r="A17" s="66"/>
      <c r="B17" s="69" t="s">
        <v>214</v>
      </c>
      <c r="C17" s="70">
        <v>4</v>
      </c>
      <c r="D17" s="69"/>
      <c r="E17" s="75" t="s">
        <v>215</v>
      </c>
      <c r="F17" s="70">
        <v>1</v>
      </c>
      <c r="G17" s="70">
        <v>0</v>
      </c>
      <c r="H17" s="68" t="s">
        <v>216</v>
      </c>
      <c r="I17" s="76" t="s">
        <v>217</v>
      </c>
      <c r="J17" s="73"/>
      <c r="K17" s="66"/>
      <c r="L17" s="66" t="str">
        <f t="shared" si="0"/>
        <v>thistype.create('I00D', 4, true, false, 1, 0);</v>
      </c>
    </row>
    <row r="18" spans="1:12" ht="24.95" customHeight="1" x14ac:dyDescent="0.25">
      <c r="A18" s="66"/>
      <c r="B18" s="66"/>
      <c r="C18" s="67"/>
      <c r="D18" s="66"/>
      <c r="E18" s="66"/>
      <c r="F18" s="67"/>
      <c r="G18" s="67"/>
      <c r="H18" s="68"/>
      <c r="I18" s="68"/>
      <c r="J18" s="66"/>
      <c r="K18" s="66"/>
      <c r="L18" s="66" t="str">
        <f t="shared" si="0"/>
        <v/>
      </c>
    </row>
    <row r="19" spans="1:12" ht="24.95" customHeight="1" x14ac:dyDescent="0.25">
      <c r="A19" s="66"/>
      <c r="B19" s="66" t="s">
        <v>218</v>
      </c>
      <c r="C19" s="67">
        <v>1</v>
      </c>
      <c r="D19" s="66"/>
      <c r="E19" s="66" t="s">
        <v>219</v>
      </c>
      <c r="F19" s="67">
        <v>2</v>
      </c>
      <c r="G19" s="67">
        <v>2</v>
      </c>
      <c r="H19" s="68" t="s">
        <v>313</v>
      </c>
      <c r="I19" s="68"/>
      <c r="J19" s="73"/>
      <c r="K19" s="66"/>
      <c r="L19" s="66" t="str">
        <f t="shared" si="0"/>
        <v>thistype.create('phea', 1, true, false, 2, 2);</v>
      </c>
    </row>
    <row r="20" spans="1:12" ht="24.95" customHeight="1" x14ac:dyDescent="0.25">
      <c r="A20" s="66"/>
      <c r="B20" s="66" t="s">
        <v>220</v>
      </c>
      <c r="C20" s="67">
        <v>1</v>
      </c>
      <c r="D20" s="66"/>
      <c r="E20" s="66" t="s">
        <v>221</v>
      </c>
      <c r="F20" s="67">
        <v>2</v>
      </c>
      <c r="G20" s="67">
        <v>2</v>
      </c>
      <c r="H20" s="68" t="s">
        <v>314</v>
      </c>
      <c r="I20" s="68"/>
      <c r="J20" s="73"/>
      <c r="K20" s="66"/>
      <c r="L20" s="66" t="str">
        <f t="shared" si="0"/>
        <v>thistype.create('pman', 1, true, false, 2, 2);</v>
      </c>
    </row>
    <row r="21" spans="1:12" ht="24.95" customHeight="1" x14ac:dyDescent="0.25">
      <c r="A21" s="66"/>
      <c r="B21" s="69" t="s">
        <v>222</v>
      </c>
      <c r="C21" s="70">
        <v>2</v>
      </c>
      <c r="D21" s="69"/>
      <c r="E21" s="71" t="s">
        <v>223</v>
      </c>
      <c r="F21" s="70">
        <v>1</v>
      </c>
      <c r="G21" s="70">
        <v>1</v>
      </c>
      <c r="H21" s="68" t="s">
        <v>308</v>
      </c>
      <c r="I21" s="68"/>
      <c r="J21" s="73"/>
      <c r="K21" s="66"/>
      <c r="L21" s="66" t="str">
        <f t="shared" si="0"/>
        <v>thistype.create('I00A', 2, true, false, 1, 1);</v>
      </c>
    </row>
    <row r="22" spans="1:12" ht="24.95" customHeight="1" x14ac:dyDescent="0.25">
      <c r="A22" s="66"/>
      <c r="B22" s="69" t="s">
        <v>224</v>
      </c>
      <c r="C22" s="70">
        <v>2</v>
      </c>
      <c r="D22" s="69"/>
      <c r="E22" s="71" t="s">
        <v>225</v>
      </c>
      <c r="F22" s="70">
        <v>1</v>
      </c>
      <c r="G22" s="70">
        <v>1</v>
      </c>
      <c r="H22" s="68" t="s">
        <v>309</v>
      </c>
      <c r="I22" s="68"/>
      <c r="J22" s="73"/>
      <c r="K22" s="66"/>
      <c r="L22" s="66" t="str">
        <f t="shared" si="0"/>
        <v>thistype.create('I00Q', 2, true, false, 1, 1);</v>
      </c>
    </row>
    <row r="23" spans="1:12" ht="24.95" customHeight="1" x14ac:dyDescent="0.25">
      <c r="A23" s="66"/>
      <c r="B23" s="69" t="s">
        <v>226</v>
      </c>
      <c r="C23" s="70">
        <v>2</v>
      </c>
      <c r="D23" s="69"/>
      <c r="E23" s="71" t="s">
        <v>227</v>
      </c>
      <c r="F23" s="70">
        <v>1</v>
      </c>
      <c r="G23" s="70">
        <v>1</v>
      </c>
      <c r="H23" s="68" t="s">
        <v>310</v>
      </c>
      <c r="I23" s="68"/>
      <c r="J23" s="73"/>
      <c r="K23" s="66"/>
      <c r="L23" s="66" t="str">
        <f t="shared" si="0"/>
        <v>thistype.create('I00R', 2, true, false, 1, 1);</v>
      </c>
    </row>
    <row r="24" spans="1:12" ht="24.95" customHeight="1" x14ac:dyDescent="0.25">
      <c r="A24" s="66"/>
      <c r="B24" s="69" t="s">
        <v>228</v>
      </c>
      <c r="C24" s="70">
        <v>4</v>
      </c>
      <c r="D24" s="69"/>
      <c r="E24" s="75" t="s">
        <v>229</v>
      </c>
      <c r="F24" s="70">
        <v>2</v>
      </c>
      <c r="G24" s="70">
        <v>1</v>
      </c>
      <c r="H24" s="68" t="s">
        <v>311</v>
      </c>
      <c r="I24" s="68"/>
      <c r="J24" s="73"/>
      <c r="K24" s="66"/>
      <c r="L24" s="66" t="str">
        <f t="shared" si="0"/>
        <v>thistype.create('I00E', 4, true, false, 2, 1);</v>
      </c>
    </row>
    <row r="25" spans="1:12" ht="24.95" customHeight="1" x14ac:dyDescent="0.25">
      <c r="A25" s="66"/>
      <c r="B25" s="69" t="s">
        <v>230</v>
      </c>
      <c r="C25" s="70">
        <v>2</v>
      </c>
      <c r="D25" s="69"/>
      <c r="E25" s="71" t="s">
        <v>231</v>
      </c>
      <c r="F25" s="70">
        <v>1</v>
      </c>
      <c r="G25" s="70">
        <v>1</v>
      </c>
      <c r="H25" s="68" t="s">
        <v>312</v>
      </c>
      <c r="I25" s="68"/>
      <c r="J25" s="73"/>
      <c r="K25" s="66"/>
      <c r="L25" s="66" t="str">
        <f t="shared" si="0"/>
        <v>thistype.create('I00F', 2, true, false, 1, 1);</v>
      </c>
    </row>
    <row r="26" spans="1:12" ht="24.95" customHeight="1" x14ac:dyDescent="0.25">
      <c r="A26" s="66"/>
      <c r="B26" s="69" t="s">
        <v>232</v>
      </c>
      <c r="C26" s="70">
        <v>2</v>
      </c>
      <c r="D26" s="69"/>
      <c r="E26" s="71" t="s">
        <v>233</v>
      </c>
      <c r="F26" s="70">
        <v>2</v>
      </c>
      <c r="G26" s="70">
        <v>1</v>
      </c>
      <c r="H26" s="68" t="s">
        <v>315</v>
      </c>
      <c r="I26" s="68"/>
      <c r="J26" s="73"/>
      <c r="K26" s="66"/>
      <c r="L26" s="66" t="str">
        <f t="shared" si="0"/>
        <v>thistype.create('I00I', 2, true, false, 2, 1);</v>
      </c>
    </row>
    <row r="27" spans="1:12" ht="24.95" customHeight="1" x14ac:dyDescent="0.25">
      <c r="A27" s="66"/>
      <c r="B27" s="69" t="s">
        <v>234</v>
      </c>
      <c r="C27" s="70">
        <v>3</v>
      </c>
      <c r="D27" s="69"/>
      <c r="E27" s="74" t="s">
        <v>235</v>
      </c>
      <c r="F27" s="70">
        <v>2</v>
      </c>
      <c r="G27" s="70">
        <v>1</v>
      </c>
      <c r="H27" s="68" t="s">
        <v>316</v>
      </c>
      <c r="I27" s="68"/>
      <c r="J27" s="73"/>
      <c r="K27" s="66"/>
      <c r="L27" s="66" t="str">
        <f t="shared" si="0"/>
        <v>thistype.create('I00J', 3, true, false, 2, 1);</v>
      </c>
    </row>
    <row r="28" spans="1:12" ht="24.95" customHeight="1" x14ac:dyDescent="0.25">
      <c r="A28" s="66"/>
      <c r="B28" s="69" t="s">
        <v>236</v>
      </c>
      <c r="C28" s="70">
        <v>3</v>
      </c>
      <c r="D28" s="69"/>
      <c r="E28" s="74" t="s">
        <v>237</v>
      </c>
      <c r="F28" s="70">
        <v>2</v>
      </c>
      <c r="G28" s="70">
        <v>1</v>
      </c>
      <c r="H28" s="68" t="s">
        <v>317</v>
      </c>
      <c r="I28" s="68"/>
      <c r="J28" s="73"/>
      <c r="K28" s="66"/>
      <c r="L28" s="66" t="str">
        <f t="shared" si="0"/>
        <v>thistype.create('I00N', 3, true, false, 2, 1);</v>
      </c>
    </row>
    <row r="29" spans="1:12" ht="24.95" customHeight="1" x14ac:dyDescent="0.25">
      <c r="A29" s="66"/>
      <c r="B29" s="69" t="s">
        <v>238</v>
      </c>
      <c r="C29" s="70">
        <v>2</v>
      </c>
      <c r="D29" s="69"/>
      <c r="E29" s="71" t="s">
        <v>239</v>
      </c>
      <c r="F29" s="70">
        <v>1</v>
      </c>
      <c r="G29" s="70">
        <v>0</v>
      </c>
      <c r="H29" s="68" t="s">
        <v>318</v>
      </c>
      <c r="I29" s="68"/>
      <c r="J29" s="73"/>
      <c r="K29" s="66"/>
      <c r="L29" s="66" t="str">
        <f t="shared" si="0"/>
        <v>thistype.create('I00O', 2, true, false, 1, 0);</v>
      </c>
    </row>
    <row r="30" spans="1:12" ht="24.95" customHeight="1" x14ac:dyDescent="0.25">
      <c r="A30" s="66"/>
      <c r="B30" s="69" t="s">
        <v>240</v>
      </c>
      <c r="C30" s="70">
        <v>2</v>
      </c>
      <c r="D30" s="69"/>
      <c r="E30" s="71" t="s">
        <v>241</v>
      </c>
      <c r="F30" s="70">
        <v>1</v>
      </c>
      <c r="G30" s="70">
        <v>1</v>
      </c>
      <c r="H30" s="68" t="s">
        <v>319</v>
      </c>
      <c r="I30" s="68"/>
      <c r="J30" s="73"/>
      <c r="K30" s="66"/>
      <c r="L30" s="66" t="str">
        <f t="shared" si="0"/>
        <v>thistype.create('I01J', 2, true, false, 1, 1);</v>
      </c>
    </row>
    <row r="31" spans="1:12" ht="24.95" customHeight="1" x14ac:dyDescent="0.25">
      <c r="A31" s="66"/>
      <c r="B31" s="66"/>
      <c r="C31" s="67"/>
      <c r="D31" s="66"/>
      <c r="E31" s="66"/>
      <c r="F31" s="67"/>
      <c r="G31" s="67"/>
      <c r="H31" s="68"/>
      <c r="I31" s="68"/>
      <c r="J31" s="66"/>
      <c r="K31" s="66"/>
      <c r="L31" s="66" t="str">
        <f t="shared" si="0"/>
        <v/>
      </c>
    </row>
    <row r="32" spans="1:12" ht="24.95" customHeight="1" x14ac:dyDescent="0.25">
      <c r="A32" s="66"/>
      <c r="B32" s="69" t="s">
        <v>242</v>
      </c>
      <c r="C32" s="70">
        <v>3</v>
      </c>
      <c r="D32" s="69"/>
      <c r="E32" s="74" t="s">
        <v>243</v>
      </c>
      <c r="F32" s="70">
        <v>1</v>
      </c>
      <c r="G32" s="70">
        <v>1</v>
      </c>
      <c r="H32" s="68" t="s">
        <v>320</v>
      </c>
      <c r="I32" s="68"/>
      <c r="J32" s="73"/>
      <c r="K32" s="66"/>
      <c r="L32" s="66" t="str">
        <f t="shared" si="0"/>
        <v>thistype.create('I00S', 3, true, false, 1, 1);</v>
      </c>
    </row>
    <row r="33" spans="1:12" ht="24.95" customHeight="1" x14ac:dyDescent="0.25">
      <c r="A33" s="66"/>
      <c r="B33" s="69" t="s">
        <v>244</v>
      </c>
      <c r="C33" s="70">
        <v>3</v>
      </c>
      <c r="D33" s="69"/>
      <c r="E33" s="74" t="s">
        <v>245</v>
      </c>
      <c r="F33" s="70">
        <v>1</v>
      </c>
      <c r="G33" s="70">
        <v>1</v>
      </c>
      <c r="H33" s="68" t="s">
        <v>321</v>
      </c>
      <c r="I33" s="68"/>
      <c r="J33" s="73"/>
      <c r="K33" s="66"/>
      <c r="L33" s="66" t="str">
        <f t="shared" si="0"/>
        <v>thistype.create('I00V', 3, true, false, 1, 1);</v>
      </c>
    </row>
    <row r="34" spans="1:12" ht="24.95" customHeight="1" x14ac:dyDescent="0.25">
      <c r="A34" s="66"/>
      <c r="B34" s="69" t="s">
        <v>246</v>
      </c>
      <c r="C34" s="70">
        <v>2</v>
      </c>
      <c r="D34" s="69"/>
      <c r="E34" s="71" t="s">
        <v>247</v>
      </c>
      <c r="F34" s="70">
        <v>1</v>
      </c>
      <c r="G34" s="70">
        <v>1</v>
      </c>
      <c r="H34" s="68" t="s">
        <v>322</v>
      </c>
      <c r="I34" s="68"/>
      <c r="J34" s="73"/>
      <c r="K34" s="66"/>
      <c r="L34" s="66" t="str">
        <f t="shared" si="0"/>
        <v>thistype.create('I00W', 2, true, false, 1, 1);</v>
      </c>
    </row>
    <row r="35" spans="1:12" ht="24.95" customHeight="1" x14ac:dyDescent="0.25">
      <c r="A35" s="66"/>
      <c r="B35" s="69" t="s">
        <v>248</v>
      </c>
      <c r="C35" s="70">
        <v>2</v>
      </c>
      <c r="D35" s="69"/>
      <c r="E35" s="71" t="s">
        <v>249</v>
      </c>
      <c r="F35" s="70">
        <v>1</v>
      </c>
      <c r="G35" s="70">
        <v>1</v>
      </c>
      <c r="H35" s="68" t="s">
        <v>323</v>
      </c>
      <c r="I35" s="68"/>
      <c r="J35" s="73"/>
      <c r="K35" s="66"/>
      <c r="L35" s="66" t="str">
        <f t="shared" si="0"/>
        <v>thistype.create('pnvl', 2, true, false, 1, 1);</v>
      </c>
    </row>
    <row r="36" spans="1:12" ht="24.95" customHeight="1" x14ac:dyDescent="0.25">
      <c r="A36" s="66"/>
      <c r="B36" s="69" t="s">
        <v>250</v>
      </c>
      <c r="C36" s="70">
        <v>3</v>
      </c>
      <c r="D36" s="69"/>
      <c r="E36" s="78" t="s">
        <v>251</v>
      </c>
      <c r="F36" s="70">
        <v>1</v>
      </c>
      <c r="G36" s="70">
        <v>0</v>
      </c>
      <c r="H36" s="68" t="s">
        <v>324</v>
      </c>
      <c r="I36" s="68"/>
      <c r="J36" s="73"/>
      <c r="K36" s="66"/>
      <c r="L36" s="66" t="str">
        <f t="shared" si="0"/>
        <v>thistype.create('pnvu', 3, true, false, 1, 0);</v>
      </c>
    </row>
    <row r="37" spans="1:12" ht="24.95" customHeight="1" x14ac:dyDescent="0.25">
      <c r="A37" s="66"/>
      <c r="B37" s="69" t="s">
        <v>252</v>
      </c>
      <c r="C37" s="70">
        <v>2</v>
      </c>
      <c r="D37" s="69"/>
      <c r="E37" s="81" t="s">
        <v>253</v>
      </c>
      <c r="F37" s="70">
        <v>1</v>
      </c>
      <c r="G37" s="70">
        <v>1</v>
      </c>
      <c r="H37" s="68" t="s">
        <v>325</v>
      </c>
      <c r="I37" s="68"/>
      <c r="J37" s="73"/>
      <c r="K37" s="66"/>
      <c r="L37" s="66" t="str">
        <f t="shared" si="0"/>
        <v>thistype.create('I008', 2, true, false, 1, 1);</v>
      </c>
    </row>
    <row r="38" spans="1:12" ht="24.95" customHeight="1" x14ac:dyDescent="0.25">
      <c r="A38" s="66"/>
      <c r="B38" s="66"/>
      <c r="C38" s="67"/>
      <c r="D38" s="66"/>
      <c r="E38" s="66"/>
      <c r="F38" s="67"/>
      <c r="G38" s="67"/>
      <c r="H38" s="68"/>
      <c r="I38" s="68"/>
      <c r="J38" s="66"/>
      <c r="K38" s="66"/>
      <c r="L38" s="66" t="str">
        <f t="shared" si="0"/>
        <v/>
      </c>
    </row>
    <row r="39" spans="1:12" ht="24.95" customHeight="1" x14ac:dyDescent="0.25">
      <c r="A39" s="66"/>
      <c r="B39" s="69" t="s">
        <v>254</v>
      </c>
      <c r="C39" s="70">
        <v>2</v>
      </c>
      <c r="D39" s="69"/>
      <c r="E39" s="71" t="s">
        <v>255</v>
      </c>
      <c r="F39" s="70">
        <v>1</v>
      </c>
      <c r="G39" s="70">
        <v>1</v>
      </c>
      <c r="H39" s="68" t="s">
        <v>327</v>
      </c>
      <c r="I39" s="68"/>
      <c r="J39" s="73"/>
      <c r="K39" s="66"/>
      <c r="L39" s="66" t="str">
        <f t="shared" si="0"/>
        <v>thistype.create('I00B', 2, true, false, 1, 1);</v>
      </c>
    </row>
    <row r="40" spans="1:12" ht="24.95" customHeight="1" x14ac:dyDescent="0.25">
      <c r="A40" s="66"/>
      <c r="B40" s="69" t="s">
        <v>256</v>
      </c>
      <c r="C40" s="70">
        <v>2</v>
      </c>
      <c r="D40" s="69"/>
      <c r="E40" s="71" t="s">
        <v>257</v>
      </c>
      <c r="F40" s="70">
        <v>1</v>
      </c>
      <c r="G40" s="70">
        <v>1</v>
      </c>
      <c r="H40" s="68" t="s">
        <v>328</v>
      </c>
      <c r="I40" s="68"/>
      <c r="J40" s="73"/>
      <c r="K40" s="66"/>
      <c r="L40" s="66" t="str">
        <f t="shared" si="0"/>
        <v>thistype.create('I00X', 2, true, false, 1, 1);</v>
      </c>
    </row>
    <row r="41" spans="1:12" ht="24.95" customHeight="1" x14ac:dyDescent="0.25">
      <c r="A41" s="66"/>
      <c r="B41" s="69" t="s">
        <v>258</v>
      </c>
      <c r="C41" s="70">
        <v>2</v>
      </c>
      <c r="D41" s="69"/>
      <c r="E41" s="71" t="s">
        <v>259</v>
      </c>
      <c r="F41" s="70">
        <v>1</v>
      </c>
      <c r="G41" s="70">
        <v>1</v>
      </c>
      <c r="H41" s="68" t="s">
        <v>329</v>
      </c>
      <c r="I41" s="68"/>
      <c r="J41" s="73"/>
      <c r="K41" s="66"/>
      <c r="L41" s="66" t="str">
        <f t="shared" si="0"/>
        <v>thistype.create('I01Q', 2, true, false, 1, 1);</v>
      </c>
    </row>
    <row r="42" spans="1:12" ht="24.95" customHeight="1" x14ac:dyDescent="0.25">
      <c r="A42" s="66"/>
      <c r="B42" s="66"/>
      <c r="C42" s="67"/>
      <c r="D42" s="66"/>
      <c r="E42" s="66"/>
      <c r="F42" s="67"/>
      <c r="G42" s="67"/>
      <c r="H42" s="68"/>
      <c r="I42" s="68"/>
      <c r="J42" s="66"/>
      <c r="K42" s="66"/>
      <c r="L42" s="66" t="str">
        <f t="shared" si="0"/>
        <v/>
      </c>
    </row>
    <row r="43" spans="1:12" ht="24.95" customHeight="1" x14ac:dyDescent="0.25">
      <c r="A43" s="66"/>
      <c r="B43" s="69" t="s">
        <v>260</v>
      </c>
      <c r="C43" s="70">
        <v>2</v>
      </c>
      <c r="D43" s="69"/>
      <c r="E43" s="71" t="s">
        <v>261</v>
      </c>
      <c r="F43" s="70">
        <v>1</v>
      </c>
      <c r="G43" s="70">
        <v>1</v>
      </c>
      <c r="H43" s="68" t="s">
        <v>262</v>
      </c>
      <c r="I43" s="68"/>
      <c r="J43" s="73"/>
      <c r="K43" s="66"/>
      <c r="L43" s="66" t="str">
        <f t="shared" si="0"/>
        <v>thistype.create('I007', 2, true, false, 1, 1);</v>
      </c>
    </row>
    <row r="44" spans="1:12" ht="24.95" customHeight="1" x14ac:dyDescent="0.25">
      <c r="A44" s="66"/>
      <c r="B44" s="69" t="s">
        <v>263</v>
      </c>
      <c r="C44" s="70">
        <v>2</v>
      </c>
      <c r="D44" s="69"/>
      <c r="E44" s="71" t="s">
        <v>264</v>
      </c>
      <c r="F44" s="70">
        <v>1</v>
      </c>
      <c r="G44" s="70">
        <v>1</v>
      </c>
      <c r="H44" s="68" t="s">
        <v>265</v>
      </c>
      <c r="I44" s="68"/>
      <c r="J44" s="73"/>
      <c r="K44" s="66"/>
      <c r="L44" s="66" t="str">
        <f t="shared" si="0"/>
        <v>thistype.create('I00Z', 2, true, false, 1, 1);</v>
      </c>
    </row>
    <row r="45" spans="1:12" ht="24.95" customHeight="1" x14ac:dyDescent="0.25">
      <c r="A45" s="66"/>
      <c r="B45" s="69" t="s">
        <v>266</v>
      </c>
      <c r="C45" s="70">
        <v>3</v>
      </c>
      <c r="D45" s="69"/>
      <c r="E45" s="74" t="s">
        <v>267</v>
      </c>
      <c r="F45" s="70">
        <v>1</v>
      </c>
      <c r="G45" s="70">
        <v>1</v>
      </c>
      <c r="H45" s="68" t="s">
        <v>332</v>
      </c>
      <c r="I45" s="68"/>
      <c r="J45" s="73"/>
      <c r="K45" s="66"/>
      <c r="L45" s="66" t="str">
        <f t="shared" si="0"/>
        <v>thistype.create('I010', 3, true, false, 1, 1);</v>
      </c>
    </row>
    <row r="46" spans="1:12" ht="24.95" customHeight="1" x14ac:dyDescent="0.25">
      <c r="A46" s="66"/>
      <c r="B46" s="66"/>
      <c r="C46" s="67"/>
      <c r="D46" s="66"/>
      <c r="E46" s="66"/>
      <c r="F46" s="67"/>
      <c r="G46" s="67"/>
      <c r="H46" s="68"/>
      <c r="I46" s="68"/>
      <c r="J46" s="66"/>
      <c r="K46" s="66"/>
      <c r="L46" s="66" t="str">
        <f t="shared" si="0"/>
        <v/>
      </c>
    </row>
    <row r="47" spans="1:12" ht="24.95" customHeight="1" x14ac:dyDescent="0.25">
      <c r="A47" s="66"/>
      <c r="B47" s="69" t="s">
        <v>268</v>
      </c>
      <c r="C47" s="70">
        <v>2</v>
      </c>
      <c r="D47" s="69"/>
      <c r="E47" s="71" t="s">
        <v>269</v>
      </c>
      <c r="F47" s="70">
        <v>1</v>
      </c>
      <c r="G47" s="70">
        <v>1</v>
      </c>
      <c r="H47" s="68" t="s">
        <v>336</v>
      </c>
      <c r="I47" s="68"/>
      <c r="J47" s="73"/>
      <c r="K47" s="66"/>
      <c r="L47" s="66" t="str">
        <f t="shared" si="0"/>
        <v>thistype.create('I009', 2, true, false, 1, 1);</v>
      </c>
    </row>
    <row r="48" spans="1:12" ht="24.95" customHeight="1" x14ac:dyDescent="0.25">
      <c r="A48" s="66"/>
      <c r="B48" s="69" t="s">
        <v>270</v>
      </c>
      <c r="C48" s="70">
        <v>2</v>
      </c>
      <c r="D48" s="69"/>
      <c r="E48" s="71" t="s">
        <v>271</v>
      </c>
      <c r="F48" s="70">
        <v>1</v>
      </c>
      <c r="G48" s="70">
        <v>1</v>
      </c>
      <c r="H48" s="68" t="s">
        <v>333</v>
      </c>
      <c r="I48" s="68"/>
      <c r="J48" s="73"/>
      <c r="K48" s="66"/>
      <c r="L48" s="66" t="str">
        <f t="shared" si="0"/>
        <v>thistype.create('I011', 2, true, false, 1, 1);</v>
      </c>
    </row>
    <row r="49" spans="1:12" ht="24.95" customHeight="1" x14ac:dyDescent="0.25">
      <c r="A49" s="66"/>
      <c r="B49" s="69" t="s">
        <v>272</v>
      </c>
      <c r="C49" s="70">
        <v>2</v>
      </c>
      <c r="D49" s="69"/>
      <c r="E49" s="71" t="s">
        <v>273</v>
      </c>
      <c r="F49" s="70">
        <v>1</v>
      </c>
      <c r="G49" s="70">
        <v>1</v>
      </c>
      <c r="H49" s="68" t="s">
        <v>334</v>
      </c>
      <c r="I49" s="68"/>
      <c r="J49" s="73"/>
      <c r="K49" s="66"/>
      <c r="L49" s="66" t="str">
        <f t="shared" si="0"/>
        <v>thistype.create('I00Y', 2, true, false, 1, 1);</v>
      </c>
    </row>
    <row r="50" spans="1:12" ht="24.95" customHeight="1" x14ac:dyDescent="0.25">
      <c r="A50" s="66"/>
      <c r="B50" s="69"/>
      <c r="C50" s="70"/>
      <c r="D50" s="69"/>
      <c r="E50" s="71"/>
      <c r="F50" s="70"/>
      <c r="G50" s="70"/>
      <c r="H50" s="68"/>
      <c r="I50" s="68"/>
      <c r="J50" s="66"/>
      <c r="K50" s="66"/>
      <c r="L50" s="66" t="str">
        <f t="shared" si="0"/>
        <v/>
      </c>
    </row>
    <row r="51" spans="1:12" ht="24.95" customHeight="1" x14ac:dyDescent="0.25">
      <c r="A51" s="66"/>
      <c r="B51" s="69" t="s">
        <v>274</v>
      </c>
      <c r="C51" s="70">
        <v>2</v>
      </c>
      <c r="D51" s="69" t="s">
        <v>275</v>
      </c>
      <c r="E51" s="71" t="s">
        <v>276</v>
      </c>
      <c r="F51" s="70">
        <v>8</v>
      </c>
      <c r="G51" s="70">
        <v>0</v>
      </c>
      <c r="H51" s="68" t="s">
        <v>277</v>
      </c>
      <c r="I51" s="68"/>
      <c r="J51" s="73"/>
      <c r="K51" s="66"/>
      <c r="L51" s="66" t="str">
        <f t="shared" si="0"/>
        <v>thistype.create('I01I', 2, true, false, 8, 0);</v>
      </c>
    </row>
    <row r="52" spans="1:12" ht="24.95" customHeight="1" x14ac:dyDescent="0.25">
      <c r="A52" s="66"/>
      <c r="B52" s="69" t="s">
        <v>278</v>
      </c>
      <c r="C52" s="70">
        <v>2</v>
      </c>
      <c r="D52" s="69" t="s">
        <v>279</v>
      </c>
      <c r="E52" s="71" t="s">
        <v>280</v>
      </c>
      <c r="F52" s="70">
        <v>10</v>
      </c>
      <c r="G52" s="70">
        <v>5</v>
      </c>
      <c r="H52" s="68" t="s">
        <v>281</v>
      </c>
      <c r="I52" s="68"/>
      <c r="J52" s="73"/>
      <c r="K52" s="66"/>
      <c r="L52" s="66" t="str">
        <f t="shared" si="0"/>
        <v>thistype.create('I01G', 2, true, false, 10, 5);</v>
      </c>
    </row>
    <row r="53" spans="1:12" ht="24.95" customHeight="1" x14ac:dyDescent="0.25">
      <c r="A53" s="66"/>
      <c r="B53" s="69" t="s">
        <v>282</v>
      </c>
      <c r="C53" s="70">
        <v>2</v>
      </c>
      <c r="D53" s="69" t="s">
        <v>283</v>
      </c>
      <c r="E53" s="71" t="s">
        <v>284</v>
      </c>
      <c r="F53" s="70">
        <v>3</v>
      </c>
      <c r="G53" s="70">
        <v>4</v>
      </c>
      <c r="H53" s="68" t="s">
        <v>330</v>
      </c>
      <c r="I53" s="68"/>
      <c r="J53" s="73"/>
      <c r="K53" s="66"/>
      <c r="L53" s="66" t="str">
        <f t="shared" si="0"/>
        <v>thistype.create('I01F', 2, true, false, 3, 4);</v>
      </c>
    </row>
    <row r="54" spans="1:12" ht="24.95" customHeight="1" x14ac:dyDescent="0.25">
      <c r="A54" s="66"/>
      <c r="B54" s="69" t="s">
        <v>285</v>
      </c>
      <c r="C54" s="70">
        <v>2</v>
      </c>
      <c r="D54" s="69" t="s">
        <v>286</v>
      </c>
      <c r="E54" s="80" t="s">
        <v>287</v>
      </c>
      <c r="F54" s="70">
        <v>8</v>
      </c>
      <c r="G54" s="70">
        <v>4</v>
      </c>
      <c r="H54" s="68" t="s">
        <v>335</v>
      </c>
      <c r="I54" s="68"/>
      <c r="J54" s="73"/>
      <c r="K54" s="66"/>
      <c r="L54" s="66" t="str">
        <f t="shared" si="0"/>
        <v>thistype.create('I01E', 2, true, false, 8, 4);</v>
      </c>
    </row>
    <row r="55" spans="1:12" ht="24.95" customHeight="1" x14ac:dyDescent="0.25">
      <c r="A55" s="66"/>
      <c r="B55" s="69" t="s">
        <v>288</v>
      </c>
      <c r="C55" s="70">
        <v>3</v>
      </c>
      <c r="D55" s="69" t="s">
        <v>289</v>
      </c>
      <c r="E55" s="74" t="s">
        <v>290</v>
      </c>
      <c r="F55" s="70">
        <v>3</v>
      </c>
      <c r="G55" s="70">
        <v>2</v>
      </c>
      <c r="H55" s="68" t="s">
        <v>331</v>
      </c>
      <c r="I55" s="68"/>
      <c r="J55" s="73"/>
      <c r="K55" s="66"/>
      <c r="L55" s="66" t="str">
        <f t="shared" si="0"/>
        <v>thistype.create('I005', 3, true, false, 3, 2);</v>
      </c>
    </row>
    <row r="56" spans="1:12" ht="24.95" customHeight="1" x14ac:dyDescent="0.25">
      <c r="A56" s="66"/>
      <c r="B56" s="69" t="s">
        <v>291</v>
      </c>
      <c r="C56" s="70">
        <v>3</v>
      </c>
      <c r="D56" s="69" t="s">
        <v>292</v>
      </c>
      <c r="E56" s="74" t="s">
        <v>293</v>
      </c>
      <c r="F56" s="70">
        <v>3</v>
      </c>
      <c r="G56" s="70">
        <v>2</v>
      </c>
      <c r="H56" s="68" t="s">
        <v>326</v>
      </c>
      <c r="I56" s="68"/>
      <c r="J56" s="73"/>
      <c r="K56" s="66"/>
      <c r="L56" s="66" t="str">
        <f t="shared" si="0"/>
        <v>thistype.create('I00G', 3, true, false, 3, 2);</v>
      </c>
    </row>
    <row r="57" spans="1:12" ht="24.95" customHeight="1" x14ac:dyDescent="0.25">
      <c r="A57" s="66"/>
      <c r="B57" s="69" t="s">
        <v>294</v>
      </c>
      <c r="C57" s="70">
        <v>2</v>
      </c>
      <c r="D57" s="69" t="s">
        <v>295</v>
      </c>
      <c r="E57" s="80" t="s">
        <v>296</v>
      </c>
      <c r="F57" s="70">
        <v>5</v>
      </c>
      <c r="G57" s="70">
        <v>4</v>
      </c>
      <c r="H57" s="68" t="s">
        <v>297</v>
      </c>
      <c r="I57" s="68"/>
      <c r="J57" s="73"/>
      <c r="K57" s="66"/>
      <c r="L57" s="66" t="str">
        <f t="shared" si="0"/>
        <v>thistype.create('I020', 2, true, false, 5, 4);</v>
      </c>
    </row>
    <row r="58" spans="1:12" ht="24.95" customHeight="1" x14ac:dyDescent="0.25">
      <c r="A58" s="66"/>
      <c r="B58" s="69" t="s">
        <v>298</v>
      </c>
      <c r="C58" s="70">
        <v>2</v>
      </c>
      <c r="D58" s="69" t="s">
        <v>299</v>
      </c>
      <c r="E58" s="71" t="s">
        <v>300</v>
      </c>
      <c r="F58" s="70">
        <v>4</v>
      </c>
      <c r="G58" s="70">
        <v>4</v>
      </c>
      <c r="H58" s="68" t="s">
        <v>301</v>
      </c>
      <c r="I58" s="77" t="s">
        <v>302</v>
      </c>
      <c r="J58" s="73"/>
      <c r="K58" s="66"/>
      <c r="L58" s="66" t="str">
        <f t="shared" si="0"/>
        <v>thistype.create('I021', 2, true, false, 4, 4);</v>
      </c>
    </row>
    <row r="59" spans="1:12" ht="24.95" customHeight="1" x14ac:dyDescent="0.25">
      <c r="A59" s="66"/>
      <c r="B59" s="69" t="s">
        <v>303</v>
      </c>
      <c r="C59" s="70">
        <v>3</v>
      </c>
      <c r="D59" s="69" t="s">
        <v>304</v>
      </c>
      <c r="E59" s="78" t="s">
        <v>305</v>
      </c>
      <c r="F59" s="70">
        <v>2</v>
      </c>
      <c r="G59" s="70">
        <v>2</v>
      </c>
      <c r="H59" s="68" t="s">
        <v>306</v>
      </c>
      <c r="I59" s="77" t="s">
        <v>307</v>
      </c>
      <c r="J59" s="73"/>
      <c r="K59" s="66"/>
      <c r="L59" s="66" t="str">
        <f t="shared" si="0"/>
        <v>thistype.create('I023', 3, true, false, 2, 2);</v>
      </c>
    </row>
    <row r="60" spans="1:12" ht="24.95" customHeight="1" x14ac:dyDescent="0.25">
      <c r="A60" s="66"/>
      <c r="B60" s="66"/>
      <c r="C60" s="67"/>
      <c r="D60" s="66"/>
      <c r="E60" s="66"/>
      <c r="F60" s="67"/>
      <c r="G60" s="67"/>
      <c r="H60" s="68"/>
      <c r="I60" s="68"/>
      <c r="J60" s="66"/>
      <c r="K60" s="66"/>
      <c r="L60" s="66" t="str">
        <f t="shared" si="0"/>
        <v/>
      </c>
    </row>
    <row r="61" spans="1:12" ht="24.95" customHeight="1" x14ac:dyDescent="0.25">
      <c r="A61" s="66"/>
      <c r="B61" s="69"/>
      <c r="C61" s="70"/>
      <c r="D61" s="69"/>
      <c r="E61" s="71"/>
      <c r="F61" s="70"/>
      <c r="G61" s="70"/>
      <c r="H61" s="68"/>
      <c r="I61" s="68"/>
      <c r="J61" s="66"/>
      <c r="K61" s="66"/>
      <c r="L61" s="66" t="str">
        <f t="shared" si="0"/>
        <v/>
      </c>
    </row>
    <row r="62" spans="1:12" ht="24.95" customHeight="1" x14ac:dyDescent="0.25">
      <c r="A62" s="66"/>
      <c r="B62" s="69"/>
      <c r="C62" s="70"/>
      <c r="D62" s="69"/>
      <c r="E62" s="71"/>
      <c r="F62" s="70"/>
      <c r="G62" s="70"/>
      <c r="H62" s="68"/>
      <c r="I62" s="68"/>
      <c r="J62" s="66"/>
      <c r="K62" s="66"/>
      <c r="L62" s="66" t="str">
        <f t="shared" si="0"/>
        <v/>
      </c>
    </row>
    <row r="63" spans="1:12" ht="24.95" customHeight="1" x14ac:dyDescent="0.25">
      <c r="A63" s="66"/>
      <c r="B63" s="69"/>
      <c r="C63" s="70"/>
      <c r="D63" s="69"/>
      <c r="E63" s="71"/>
      <c r="F63" s="70"/>
      <c r="G63" s="70"/>
      <c r="H63" s="68"/>
      <c r="I63" s="68"/>
      <c r="J63" s="66"/>
      <c r="K63" s="66"/>
      <c r="L63" s="66" t="str">
        <f t="shared" si="0"/>
        <v/>
      </c>
    </row>
    <row r="64" spans="1:12" ht="24.95" customHeight="1" x14ac:dyDescent="0.25">
      <c r="A64" s="66"/>
      <c r="B64" s="69"/>
      <c r="C64" s="70"/>
      <c r="D64" s="69"/>
      <c r="E64" s="71"/>
      <c r="F64" s="70"/>
      <c r="G64" s="70"/>
      <c r="H64" s="68"/>
      <c r="I64" s="68"/>
      <c r="J64" s="66"/>
      <c r="K64" s="66"/>
      <c r="L64" s="66" t="str">
        <f t="shared" si="0"/>
        <v/>
      </c>
    </row>
    <row r="65" spans="1:12" ht="24.95" customHeight="1" x14ac:dyDescent="0.25">
      <c r="A65" s="66"/>
      <c r="B65" s="69"/>
      <c r="C65" s="70"/>
      <c r="D65" s="69"/>
      <c r="E65" s="71"/>
      <c r="F65" s="70"/>
      <c r="G65" s="70"/>
      <c r="H65" s="68"/>
      <c r="I65" s="68"/>
      <c r="J65" s="66"/>
      <c r="K65" s="66"/>
      <c r="L65" s="66" t="str">
        <f t="shared" si="0"/>
        <v/>
      </c>
    </row>
    <row r="66" spans="1:12" ht="24.95" customHeight="1" x14ac:dyDescent="0.25">
      <c r="A66" s="66"/>
      <c r="B66" s="69"/>
      <c r="C66" s="70"/>
      <c r="D66" s="69"/>
      <c r="E66" s="71"/>
      <c r="F66" s="70"/>
      <c r="G66" s="70"/>
      <c r="H66" s="68"/>
      <c r="I66" s="68"/>
      <c r="J66" s="66"/>
      <c r="K66" s="66"/>
      <c r="L66" s="66" t="str">
        <f t="shared" si="0"/>
        <v/>
      </c>
    </row>
    <row r="67" spans="1:12" ht="24.95" customHeight="1" x14ac:dyDescent="0.25">
      <c r="A67" s="66"/>
      <c r="B67" s="69"/>
      <c r="C67" s="70"/>
      <c r="D67" s="69"/>
      <c r="E67" s="71"/>
      <c r="F67" s="70"/>
      <c r="G67" s="70"/>
      <c r="H67" s="68"/>
      <c r="I67" s="68"/>
      <c r="J67" s="66"/>
      <c r="K67" s="66"/>
      <c r="L67" s="66" t="str">
        <f t="shared" si="0"/>
        <v/>
      </c>
    </row>
    <row r="68" spans="1:12" ht="24.95" customHeight="1" x14ac:dyDescent="0.25">
      <c r="A68" s="66"/>
      <c r="B68" s="69"/>
      <c r="C68" s="70"/>
      <c r="D68" s="69"/>
      <c r="E68" s="71"/>
      <c r="F68" s="70"/>
      <c r="G68" s="70"/>
      <c r="H68" s="68"/>
      <c r="I68" s="68"/>
      <c r="J68" s="66"/>
      <c r="K68" s="66"/>
      <c r="L68" s="66" t="str">
        <f t="shared" si="0"/>
        <v/>
      </c>
    </row>
    <row r="69" spans="1:12" ht="24.95" customHeight="1" x14ac:dyDescent="0.25">
      <c r="A69" s="66"/>
      <c r="B69" s="69"/>
      <c r="C69" s="70"/>
      <c r="D69" s="69"/>
      <c r="E69" s="71"/>
      <c r="F69" s="70"/>
      <c r="G69" s="70"/>
      <c r="H69" s="68"/>
      <c r="I69" s="68"/>
      <c r="J69" s="66"/>
      <c r="K69" s="66"/>
      <c r="L69" s="66" t="str">
        <f t="shared" si="0"/>
        <v/>
      </c>
    </row>
  </sheetData>
  <phoneticPr fontId="14" type="noConversion"/>
  <pageMargins left="0.7" right="0.7" top="0.75" bottom="0.75" header="0.3" footer="0.3"/>
  <pageSetup paperSize="9" orientation="portrait" horizontalDpi="4294967293" verticalDpi="4294967293"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A13" sqref="A13"/>
    </sheetView>
  </sheetViews>
  <sheetFormatPr defaultColWidth="14.42578125" defaultRowHeight="14.25" x14ac:dyDescent="0.25"/>
  <cols>
    <col min="1" max="1" width="21.5703125" style="43" bestFit="1" customWidth="1"/>
    <col min="2" max="2" width="13.5703125" style="43" bestFit="1" customWidth="1"/>
    <col min="3" max="5" width="9.140625" style="43" bestFit="1" customWidth="1"/>
    <col min="6" max="6" width="5.42578125" style="43" bestFit="1" customWidth="1"/>
    <col min="7" max="7" width="11.140625" style="43" bestFit="1" customWidth="1"/>
    <col min="8" max="9" width="9.140625" style="43" bestFit="1" customWidth="1"/>
    <col min="10" max="10" width="3.7109375" style="43" bestFit="1" customWidth="1"/>
    <col min="11" max="11" width="17.42578125" style="43" bestFit="1" customWidth="1"/>
    <col min="12" max="21" width="17.28515625" style="43" customWidth="1"/>
    <col min="22" max="16384" width="14.42578125" style="43"/>
  </cols>
  <sheetData>
    <row r="1" spans="1:21" x14ac:dyDescent="0.25">
      <c r="A1" s="82" t="s">
        <v>936</v>
      </c>
      <c r="B1" s="82"/>
      <c r="C1" s="82"/>
      <c r="D1" s="82"/>
      <c r="E1" s="82"/>
      <c r="F1" s="82"/>
      <c r="G1" s="82"/>
      <c r="H1" s="82"/>
      <c r="I1" s="82"/>
      <c r="J1" s="82"/>
    </row>
    <row r="2" spans="1:21" x14ac:dyDescent="0.25">
      <c r="A2" s="83"/>
      <c r="B2" s="83" t="s">
        <v>937</v>
      </c>
      <c r="C2" s="83" t="s">
        <v>938</v>
      </c>
      <c r="D2" s="83" t="s">
        <v>939</v>
      </c>
      <c r="E2" s="83" t="s">
        <v>940</v>
      </c>
      <c r="F2" s="83" t="s">
        <v>941</v>
      </c>
      <c r="G2" s="83" t="s">
        <v>942</v>
      </c>
      <c r="H2" s="83" t="s">
        <v>943</v>
      </c>
      <c r="I2" s="83" t="s">
        <v>944</v>
      </c>
      <c r="J2" s="83"/>
      <c r="K2" s="83"/>
      <c r="L2" s="83"/>
      <c r="M2" s="83"/>
      <c r="N2" s="83"/>
      <c r="O2" s="83"/>
      <c r="P2" s="83"/>
      <c r="Q2" s="83"/>
      <c r="R2" s="83"/>
      <c r="S2" s="83"/>
      <c r="T2" s="83"/>
      <c r="U2" s="83"/>
    </row>
    <row r="3" spans="1:21" x14ac:dyDescent="0.25">
      <c r="A3" s="84" t="str">
        <f>Legendary!A1</f>
        <v>战斗召唤</v>
      </c>
      <c r="B3" s="51" t="s">
        <v>945</v>
      </c>
    </row>
    <row r="4" spans="1:21" x14ac:dyDescent="0.25">
      <c r="A4" s="84" t="str">
        <f>Legendary!A11</f>
        <v>烦恼诗集</v>
      </c>
      <c r="B4" s="51" t="s">
        <v>945</v>
      </c>
    </row>
    <row r="5" spans="1:21" x14ac:dyDescent="0.25">
      <c r="A5" s="84" t="str">
        <f>Legendary!A21</f>
        <v>谜团</v>
      </c>
      <c r="B5" s="51" t="s">
        <v>945</v>
      </c>
    </row>
    <row r="6" spans="1:21" x14ac:dyDescent="0.25">
      <c r="A6" s="84" t="str">
        <f>Legendary!A32</f>
        <v>死亡呼吸</v>
      </c>
      <c r="B6" s="51" t="s">
        <v>945</v>
      </c>
    </row>
    <row r="7" spans="1:21" x14ac:dyDescent="0.25">
      <c r="A7" s="84" t="str">
        <f>Legendary!A41</f>
        <v>风之力</v>
      </c>
      <c r="B7" s="51" t="s">
        <v>945</v>
      </c>
    </row>
    <row r="8" spans="1:21" x14ac:dyDescent="0.25">
      <c r="A8" s="84" t="str">
        <f>Legendary!A49</f>
        <v>克苏恩的疯狂</v>
      </c>
      <c r="B8" s="51" t="s">
        <v>945</v>
      </c>
    </row>
    <row r="9" spans="1:21" x14ac:dyDescent="0.25">
      <c r="A9" s="84" t="str">
        <f>Legendary!A60</f>
        <v>正义天使之力</v>
      </c>
      <c r="B9" s="51" t="s">
        <v>945</v>
      </c>
    </row>
    <row r="10" spans="1:21" x14ac:dyDescent="0.25">
      <c r="A10" s="84" t="str">
        <f>Legendary!A71</f>
        <v>无限</v>
      </c>
      <c r="B10" s="51" t="s">
        <v>945</v>
      </c>
    </row>
    <row r="11" spans="1:21" x14ac:dyDescent="0.25">
      <c r="A11" s="84" t="str">
        <f>Legendary!A80</f>
        <v>洞察</v>
      </c>
      <c r="B11" s="51" t="s">
        <v>945</v>
      </c>
    </row>
    <row r="12" spans="1:21" x14ac:dyDescent="0.25">
      <c r="A12" s="84" t="str">
        <f>Legendary!A91</f>
        <v>巫毒瓶</v>
      </c>
      <c r="B12" s="51" t="s">
        <v>945</v>
      </c>
    </row>
    <row r="13" spans="1:21" x14ac:dyDescent="0.25">
      <c r="A13" s="85" t="e">
        <f>#REF!</f>
        <v>#REF!</v>
      </c>
      <c r="B13" s="51" t="s">
        <v>946</v>
      </c>
    </row>
    <row r="14" spans="1:21" x14ac:dyDescent="0.25">
      <c r="A14" s="85" t="e">
        <f>#REF!</f>
        <v>#REF!</v>
      </c>
      <c r="B14" s="51" t="s">
        <v>946</v>
      </c>
    </row>
    <row r="15" spans="1:21" x14ac:dyDescent="0.25">
      <c r="A15" s="85" t="e">
        <f>#REF!</f>
        <v>#REF!</v>
      </c>
      <c r="B15" s="51" t="s">
        <v>946</v>
      </c>
    </row>
    <row r="16" spans="1:21" x14ac:dyDescent="0.25">
      <c r="A16" s="85" t="e">
        <f>#REF!</f>
        <v>#REF!</v>
      </c>
      <c r="B16" s="51" t="s">
        <v>946</v>
      </c>
    </row>
    <row r="17" spans="1:11" x14ac:dyDescent="0.25">
      <c r="A17" s="85" t="e">
        <f>#REF!</f>
        <v>#REF!</v>
      </c>
      <c r="B17" s="51" t="s">
        <v>946</v>
      </c>
    </row>
    <row r="18" spans="1:11" x14ac:dyDescent="0.25">
      <c r="A18" s="85" t="e">
        <f>#REF!</f>
        <v>#REF!</v>
      </c>
      <c r="B18" s="51" t="s">
        <v>946</v>
      </c>
    </row>
    <row r="19" spans="1:11" x14ac:dyDescent="0.25">
      <c r="A19" s="85" t="e">
        <f>#REF!</f>
        <v>#REF!</v>
      </c>
      <c r="B19" s="51" t="s">
        <v>946</v>
      </c>
    </row>
    <row r="20" spans="1:11" x14ac:dyDescent="0.25">
      <c r="A20" s="85" t="e">
        <f>#REF!</f>
        <v>#REF!</v>
      </c>
      <c r="B20" s="51" t="s">
        <v>946</v>
      </c>
    </row>
    <row r="21" spans="1:11" x14ac:dyDescent="0.25">
      <c r="A21" s="85" t="e">
        <f>#REF!</f>
        <v>#REF!</v>
      </c>
      <c r="B21" s="51" t="s">
        <v>946</v>
      </c>
    </row>
    <row r="22" spans="1:11" x14ac:dyDescent="0.25">
      <c r="A22" s="85" t="e">
        <f>#REF!</f>
        <v>#REF!</v>
      </c>
      <c r="B22" s="51" t="s">
        <v>946</v>
      </c>
    </row>
    <row r="23" spans="1:11" x14ac:dyDescent="0.25">
      <c r="A23" s="85" t="e">
        <f>#REF!</f>
        <v>#REF!</v>
      </c>
      <c r="B23" s="51" t="s">
        <v>946</v>
      </c>
    </row>
    <row r="24" spans="1:11" x14ac:dyDescent="0.25">
      <c r="A24" s="85"/>
    </row>
    <row r="25" spans="1:11" x14ac:dyDescent="0.25">
      <c r="A25" s="85" t="e">
        <f>Rare!#REF!</f>
        <v>#REF!</v>
      </c>
      <c r="B25" s="51" t="s">
        <v>947</v>
      </c>
      <c r="C25" s="86">
        <v>15</v>
      </c>
      <c r="D25" s="86">
        <v>10</v>
      </c>
      <c r="E25" s="86">
        <v>11</v>
      </c>
      <c r="F25" s="86"/>
      <c r="G25" s="86"/>
      <c r="H25" s="86"/>
      <c r="I25" s="86">
        <v>7</v>
      </c>
      <c r="J25" s="43">
        <f t="shared" ref="J25:J40" si="0">SUM(C25:I25)</f>
        <v>43</v>
      </c>
      <c r="K25" s="85" t="s">
        <v>22</v>
      </c>
    </row>
    <row r="26" spans="1:11" x14ac:dyDescent="0.25">
      <c r="A26" s="85" t="e">
        <f>Rare!#REF!</f>
        <v>#REF!</v>
      </c>
      <c r="B26" s="51" t="s">
        <v>947</v>
      </c>
      <c r="C26" s="86">
        <v>25</v>
      </c>
      <c r="D26" s="86"/>
      <c r="E26" s="86">
        <v>11</v>
      </c>
      <c r="F26" s="86"/>
      <c r="G26" s="86"/>
      <c r="H26" s="86"/>
      <c r="I26" s="86">
        <v>7</v>
      </c>
      <c r="J26" s="43">
        <f t="shared" si="0"/>
        <v>43</v>
      </c>
      <c r="K26" s="85" t="s">
        <v>60</v>
      </c>
    </row>
    <row r="27" spans="1:11" x14ac:dyDescent="0.25">
      <c r="A27" s="85" t="str">
        <f>Rare!A18</f>
        <v>战歌之鼓</v>
      </c>
      <c r="B27" s="51" t="s">
        <v>947</v>
      </c>
      <c r="C27" s="86"/>
      <c r="D27" s="86"/>
      <c r="E27" s="86"/>
      <c r="F27" s="86">
        <v>11</v>
      </c>
      <c r="G27" s="86">
        <v>13</v>
      </c>
      <c r="H27" s="86">
        <v>12</v>
      </c>
      <c r="I27" s="86">
        <v>7</v>
      </c>
      <c r="J27" s="43">
        <f t="shared" si="0"/>
        <v>43</v>
      </c>
      <c r="K27" s="85" t="s">
        <v>65</v>
      </c>
    </row>
    <row r="28" spans="1:11" x14ac:dyDescent="0.25">
      <c r="A28" s="85" t="str">
        <f>Rare!A24</f>
        <v>托尔贝恩</v>
      </c>
      <c r="B28" s="51" t="s">
        <v>947</v>
      </c>
      <c r="C28" s="86"/>
      <c r="D28" s="86">
        <v>9</v>
      </c>
      <c r="E28" s="86"/>
      <c r="F28" s="86">
        <v>17</v>
      </c>
      <c r="G28" s="86">
        <v>12</v>
      </c>
      <c r="H28" s="86"/>
      <c r="I28" s="86">
        <v>6</v>
      </c>
      <c r="J28" s="43">
        <f t="shared" si="0"/>
        <v>44</v>
      </c>
      <c r="K28" s="85" t="s">
        <v>79</v>
      </c>
    </row>
    <row r="29" spans="1:11" x14ac:dyDescent="0.25">
      <c r="A29" s="85" t="str">
        <f>Rare!A30</f>
        <v>血吼</v>
      </c>
      <c r="B29" s="51" t="s">
        <v>947</v>
      </c>
      <c r="C29" s="86"/>
      <c r="D29" s="86"/>
      <c r="E29" s="86"/>
      <c r="F29" s="86">
        <v>10</v>
      </c>
      <c r="G29" s="86">
        <v>12</v>
      </c>
      <c r="H29" s="86">
        <v>15</v>
      </c>
      <c r="I29" s="86">
        <v>7</v>
      </c>
      <c r="J29" s="43">
        <f t="shared" si="0"/>
        <v>44</v>
      </c>
      <c r="K29" s="85" t="s">
        <v>87</v>
      </c>
    </row>
    <row r="30" spans="1:11" x14ac:dyDescent="0.25">
      <c r="A30" s="85" t="str">
        <f>Rare!A36</f>
        <v>熔火犬牙</v>
      </c>
      <c r="B30" s="51" t="s">
        <v>947</v>
      </c>
      <c r="C30" s="86">
        <v>7</v>
      </c>
      <c r="D30" s="86"/>
      <c r="E30" s="86"/>
      <c r="F30" s="86"/>
      <c r="G30" s="86">
        <v>14</v>
      </c>
      <c r="H30" s="86">
        <v>17</v>
      </c>
      <c r="I30" s="86">
        <v>6</v>
      </c>
      <c r="J30" s="43">
        <f t="shared" si="0"/>
        <v>44</v>
      </c>
      <c r="K30" s="85" t="s">
        <v>93</v>
      </c>
    </row>
    <row r="31" spans="1:11" x14ac:dyDescent="0.25">
      <c r="A31" s="85" t="str">
        <f>Rare!A42</f>
        <v>维斯卡格</v>
      </c>
      <c r="B31" s="51" t="s">
        <v>947</v>
      </c>
      <c r="C31" s="86">
        <v>11</v>
      </c>
      <c r="D31" s="86"/>
      <c r="E31" s="86">
        <v>12</v>
      </c>
      <c r="F31" s="86">
        <v>14</v>
      </c>
      <c r="G31" s="86"/>
      <c r="H31" s="86"/>
      <c r="I31" s="86">
        <v>7</v>
      </c>
      <c r="J31" s="43">
        <f t="shared" si="0"/>
        <v>44</v>
      </c>
      <c r="K31" s="85" t="s">
        <v>110</v>
      </c>
    </row>
    <row r="32" spans="1:11" x14ac:dyDescent="0.25">
      <c r="A32" s="85" t="str">
        <f>Rare!A49</f>
        <v>风暴狮角</v>
      </c>
      <c r="B32" s="51" t="s">
        <v>947</v>
      </c>
      <c r="C32" s="86"/>
      <c r="D32" s="86">
        <v>20</v>
      </c>
      <c r="E32" s="86"/>
      <c r="F32" s="86"/>
      <c r="G32" s="86">
        <v>10</v>
      </c>
      <c r="H32" s="86">
        <v>7</v>
      </c>
      <c r="I32" s="86">
        <v>7</v>
      </c>
      <c r="J32" s="43">
        <f t="shared" si="0"/>
        <v>44</v>
      </c>
      <c r="K32" s="85" t="s">
        <v>125</v>
      </c>
    </row>
    <row r="33" spans="1:11" x14ac:dyDescent="0.25">
      <c r="A33" s="85" t="str">
        <f>Rare!A55</f>
        <v>诅咒铠甲</v>
      </c>
      <c r="B33" s="51" t="s">
        <v>947</v>
      </c>
      <c r="C33" s="86">
        <v>10</v>
      </c>
      <c r="D33" s="86"/>
      <c r="E33" s="86"/>
      <c r="F33" s="86"/>
      <c r="G33" s="86">
        <v>15</v>
      </c>
      <c r="H33" s="86">
        <v>12</v>
      </c>
      <c r="I33" s="86">
        <v>7</v>
      </c>
      <c r="J33" s="43">
        <f t="shared" si="0"/>
        <v>44</v>
      </c>
      <c r="K33" s="85" t="s">
        <v>72</v>
      </c>
    </row>
    <row r="34" spans="1:11" x14ac:dyDescent="0.25">
      <c r="A34" s="85" t="str">
        <f>Rare!A63</f>
        <v>阿曼尼帝国壁垒</v>
      </c>
      <c r="B34" s="51" t="s">
        <v>947</v>
      </c>
      <c r="C34" s="86">
        <v>11</v>
      </c>
      <c r="D34" s="86"/>
      <c r="E34" s="86"/>
      <c r="F34" s="86"/>
      <c r="G34" s="86">
        <v>15</v>
      </c>
      <c r="H34" s="86">
        <v>12</v>
      </c>
      <c r="I34" s="86">
        <v>6</v>
      </c>
      <c r="J34" s="43">
        <f t="shared" si="0"/>
        <v>44</v>
      </c>
      <c r="K34" s="85" t="s">
        <v>91</v>
      </c>
    </row>
    <row r="35" spans="1:11" x14ac:dyDescent="0.25">
      <c r="A35" s="85" t="str">
        <f>Rare!A70</f>
        <v>末日防御者徽记</v>
      </c>
      <c r="B35" s="51" t="s">
        <v>947</v>
      </c>
      <c r="C35" s="86"/>
      <c r="D35" s="86"/>
      <c r="E35" s="86">
        <v>15</v>
      </c>
      <c r="F35" s="86">
        <v>14</v>
      </c>
      <c r="G35" s="86">
        <v>9</v>
      </c>
      <c r="H35" s="86"/>
      <c r="I35" s="86">
        <v>6</v>
      </c>
      <c r="J35" s="43">
        <f t="shared" si="0"/>
        <v>44</v>
      </c>
      <c r="K35" s="85" t="s">
        <v>107</v>
      </c>
    </row>
    <row r="36" spans="1:11" x14ac:dyDescent="0.25">
      <c r="A36" s="85" t="str">
        <f>Rare!A77</f>
        <v>埃兰的镇定宝石</v>
      </c>
      <c r="B36" s="51" t="s">
        <v>947</v>
      </c>
      <c r="C36" s="86"/>
      <c r="D36" s="86">
        <v>9</v>
      </c>
      <c r="E36" s="86">
        <v>13</v>
      </c>
      <c r="F36" s="86"/>
      <c r="G36" s="86"/>
      <c r="H36" s="86">
        <v>15</v>
      </c>
      <c r="I36" s="86">
        <v>7</v>
      </c>
      <c r="J36" s="43">
        <f t="shared" si="0"/>
        <v>44</v>
      </c>
      <c r="K36" s="85" t="s">
        <v>75</v>
      </c>
    </row>
    <row r="37" spans="1:11" x14ac:dyDescent="0.25">
      <c r="A37" s="85" t="str">
        <f>Rare!A84</f>
        <v>纯净秘法</v>
      </c>
      <c r="B37" s="51" t="s">
        <v>947</v>
      </c>
      <c r="C37" s="86">
        <v>11</v>
      </c>
      <c r="D37" s="86">
        <v>13</v>
      </c>
      <c r="E37" s="86">
        <v>13</v>
      </c>
      <c r="F37" s="86"/>
      <c r="G37" s="86"/>
      <c r="H37" s="86"/>
      <c r="I37" s="86">
        <v>7</v>
      </c>
      <c r="J37" s="43">
        <f t="shared" si="0"/>
        <v>44</v>
      </c>
      <c r="K37" s="85" t="s">
        <v>88</v>
      </c>
    </row>
    <row r="38" spans="1:11" x14ac:dyDescent="0.25">
      <c r="A38" s="85" t="str">
        <f>Rare!A88</f>
        <v>妖术之颅</v>
      </c>
      <c r="B38" s="51" t="s">
        <v>947</v>
      </c>
      <c r="C38" s="86"/>
      <c r="D38" s="86">
        <v>10</v>
      </c>
      <c r="E38" s="86">
        <v>9</v>
      </c>
      <c r="F38" s="86">
        <v>14</v>
      </c>
      <c r="G38" s="86"/>
      <c r="H38" s="86">
        <v>10</v>
      </c>
      <c r="I38" s="86"/>
      <c r="J38" s="43">
        <f t="shared" si="0"/>
        <v>43</v>
      </c>
      <c r="K38" s="85" t="s">
        <v>92</v>
      </c>
    </row>
    <row r="39" spans="1:11" x14ac:dyDescent="0.25">
      <c r="A39" s="85" t="str">
        <f>Rare!A94</f>
        <v>暗影烈焰法杖</v>
      </c>
      <c r="B39" s="51" t="s">
        <v>947</v>
      </c>
      <c r="C39" s="86">
        <v>10</v>
      </c>
      <c r="D39" s="86">
        <v>13</v>
      </c>
      <c r="E39" s="86"/>
      <c r="F39" s="86">
        <v>14</v>
      </c>
      <c r="G39" s="86"/>
      <c r="H39" s="86"/>
      <c r="I39" s="86">
        <v>7</v>
      </c>
      <c r="J39" s="43">
        <f t="shared" si="0"/>
        <v>44</v>
      </c>
      <c r="K39" s="85" t="s">
        <v>101</v>
      </c>
    </row>
    <row r="40" spans="1:11" x14ac:dyDescent="0.25">
      <c r="A40" s="85" t="str">
        <f>Rare!A100</f>
        <v>潮汐指环</v>
      </c>
      <c r="B40" s="51" t="s">
        <v>947</v>
      </c>
      <c r="C40" s="86"/>
      <c r="D40" s="86">
        <v>16</v>
      </c>
      <c r="E40" s="86">
        <v>16</v>
      </c>
      <c r="F40" s="86">
        <v>6</v>
      </c>
      <c r="G40" s="86"/>
      <c r="H40" s="86"/>
      <c r="I40" s="86">
        <v>6</v>
      </c>
      <c r="J40" s="43">
        <f t="shared" si="0"/>
        <v>44</v>
      </c>
      <c r="K40" s="85" t="s">
        <v>115</v>
      </c>
    </row>
    <row r="41" spans="1:11" x14ac:dyDescent="0.25">
      <c r="C41" s="43">
        <f t="shared" ref="C41:I41" si="1">SUM(C25:C40)</f>
        <v>100</v>
      </c>
      <c r="D41" s="43">
        <f t="shared" si="1"/>
        <v>100</v>
      </c>
      <c r="E41" s="43">
        <f t="shared" si="1"/>
        <v>100</v>
      </c>
      <c r="F41" s="43">
        <f t="shared" si="1"/>
        <v>100</v>
      </c>
      <c r="G41" s="43">
        <f t="shared" si="1"/>
        <v>100</v>
      </c>
      <c r="H41" s="43">
        <f t="shared" si="1"/>
        <v>100</v>
      </c>
      <c r="I41" s="43">
        <f t="shared" si="1"/>
        <v>100</v>
      </c>
    </row>
    <row r="42" spans="1:11" x14ac:dyDescent="0.25">
      <c r="A42" s="87" t="e">
        <f>Legendary!#REF!</f>
        <v>#REF!</v>
      </c>
    </row>
    <row r="43" spans="1:11" x14ac:dyDescent="0.25">
      <c r="A43" s="87" t="e">
        <f>Legendary!#REF!</f>
        <v>#REF!</v>
      </c>
    </row>
    <row r="44" spans="1:11" x14ac:dyDescent="0.25">
      <c r="A44" s="87" t="s">
        <v>948</v>
      </c>
      <c r="B44" s="51" t="s">
        <v>945</v>
      </c>
    </row>
    <row r="45" spans="1:11" x14ac:dyDescent="0.25">
      <c r="A45" s="87" t="e">
        <f>Rare!#REF!</f>
        <v>#REF!</v>
      </c>
    </row>
    <row r="46" spans="1:11" x14ac:dyDescent="0.25">
      <c r="A46" s="87" t="e">
        <f>#REF!</f>
        <v>#REF!</v>
      </c>
    </row>
    <row r="47" spans="1:11" x14ac:dyDescent="0.25">
      <c r="A47" s="87" t="e">
        <f>#REF!</f>
        <v>#REF!</v>
      </c>
    </row>
    <row r="48" spans="1:11" x14ac:dyDescent="0.25">
      <c r="A48" s="87" t="e">
        <f>#REF!</f>
        <v>#REF!</v>
      </c>
    </row>
    <row r="49" spans="1:3" x14ac:dyDescent="0.25">
      <c r="A49" s="87" t="s">
        <v>161</v>
      </c>
    </row>
    <row r="51" spans="1:3" x14ac:dyDescent="0.25">
      <c r="A51" s="87" t="str">
        <f>Consumable!E2</f>
        <v>埃兰的反制卷轴</v>
      </c>
    </row>
    <row r="52" spans="1:3" x14ac:dyDescent="0.25">
      <c r="A52" s="87" t="str">
        <f>Consumable!E3</f>
        <v>加速卷轴</v>
      </c>
    </row>
    <row r="53" spans="1:3" x14ac:dyDescent="0.25">
      <c r="A53" s="87" t="str">
        <f>Consumable!E4</f>
        <v>狂热卷轴</v>
      </c>
    </row>
    <row r="54" spans="1:3" x14ac:dyDescent="0.25">
      <c r="A54" s="87" t="str">
        <f>Consumable!E5</f>
        <v>守护卷轴</v>
      </c>
    </row>
    <row r="55" spans="1:3" x14ac:dyDescent="0.25">
      <c r="A55" s="87" t="str">
        <f>Consumable!E6</f>
        <v>魔法卷轴</v>
      </c>
    </row>
    <row r="56" spans="1:3" x14ac:dyDescent="0.25">
      <c r="A56" s="85" t="str">
        <f>Consumable!E7</f>
        <v>医疗卷轴</v>
      </c>
    </row>
    <row r="57" spans="1:3" x14ac:dyDescent="0.25">
      <c r="A57" s="84" t="str">
        <f>Consumable!E8</f>
        <v>末日审判卷轴</v>
      </c>
    </row>
    <row r="58" spans="1:3" x14ac:dyDescent="0.25">
      <c r="A58" s="87" t="str">
        <f>Consumable!E9</f>
        <v>野兽卷轴</v>
      </c>
    </row>
    <row r="59" spans="1:3" x14ac:dyDescent="0.25">
      <c r="A59" s="85" t="str">
        <f>Consumable!E10</f>
        <v>杀戮卷轴</v>
      </c>
    </row>
    <row r="60" spans="1:3" x14ac:dyDescent="0.25">
      <c r="A60" s="85" t="str">
        <f>Consumable!E11</f>
        <v>庇护所卷轴</v>
      </c>
      <c r="C60" s="43">
        <v>1</v>
      </c>
    </row>
    <row r="61" spans="1:3" x14ac:dyDescent="0.25">
      <c r="A61" s="87" t="str">
        <f>Consumable!E12</f>
        <v>绝缘卷轴</v>
      </c>
    </row>
    <row r="62" spans="1:3" x14ac:dyDescent="0.25">
      <c r="A62" s="87" t="str">
        <f>Consumable!E13</f>
        <v>大型驱魔卷轴</v>
      </c>
    </row>
    <row r="63" spans="1:3" x14ac:dyDescent="0.25">
      <c r="A63" s="87" t="str">
        <f>Consumable!E14</f>
        <v>群体传送卷轴</v>
      </c>
    </row>
    <row r="64" spans="1:3" x14ac:dyDescent="0.25">
      <c r="A64" s="87" t="str">
        <f>Consumable!E15</f>
        <v>腐蚀卷轴</v>
      </c>
    </row>
    <row r="65" spans="1:1" x14ac:dyDescent="0.25">
      <c r="A65" s="85" t="str">
        <f>Consumable!E16</f>
        <v>女妖之嚎卷轴</v>
      </c>
    </row>
    <row r="66" spans="1:1" x14ac:dyDescent="0.25">
      <c r="A66" s="84" t="str">
        <f>Consumable!E17</f>
        <v>虚弱诅咒卷轴</v>
      </c>
    </row>
    <row r="67" spans="1:1" x14ac:dyDescent="0.25">
      <c r="A67" s="84">
        <f>Consumable!E18</f>
        <v>0</v>
      </c>
    </row>
    <row r="68" spans="1:1" x14ac:dyDescent="0.25">
      <c r="A68" s="87" t="str">
        <f>Consumable!E51</f>
        <v>简易治疗符咒</v>
      </c>
    </row>
    <row r="69" spans="1:1" x14ac:dyDescent="0.25">
      <c r="A69" s="87" t="str">
        <f>Consumable!E52</f>
        <v>驱散术符咒</v>
      </c>
    </row>
    <row r="70" spans="1:1" x14ac:dyDescent="0.25">
      <c r="A70" s="87" t="str">
        <f>Consumable!E53</f>
        <v>治疗结界符咒</v>
      </c>
    </row>
    <row r="71" spans="1:1" x14ac:dyDescent="0.25">
      <c r="A71" s="87" t="str">
        <f>Consumable!E54</f>
        <v>心灵之火符咒</v>
      </c>
    </row>
    <row r="72" spans="1:1" x14ac:dyDescent="0.25">
      <c r="A72" s="85" t="str">
        <f>Consumable!E55</f>
        <v>闪电链符咒</v>
      </c>
    </row>
    <row r="73" spans="1:1" x14ac:dyDescent="0.25">
      <c r="A73" s="85" t="str">
        <f>Consumable!E56</f>
        <v>死亡之指符咒</v>
      </c>
    </row>
    <row r="74" spans="1:1" x14ac:dyDescent="0.25">
      <c r="A74" s="84" t="str">
        <f>Consumable!E57</f>
        <v>生命虹吸符咒</v>
      </c>
    </row>
    <row r="75" spans="1:1" x14ac:dyDescent="0.25">
      <c r="A75" s="84" t="str">
        <f>Consumable!E58</f>
        <v>恶魔符文</v>
      </c>
    </row>
    <row r="76" spans="1:1" x14ac:dyDescent="0.25">
      <c r="A76" s="84">
        <f>Consumable!E60</f>
        <v>0</v>
      </c>
    </row>
    <row r="77" spans="1:1" x14ac:dyDescent="0.25">
      <c r="A77" s="43" t="str">
        <f>Consumable!E19</f>
        <v>生命药水</v>
      </c>
    </row>
    <row r="78" spans="1:1" x14ac:dyDescent="0.25">
      <c r="A78" s="43" t="str">
        <f>Consumable!E20</f>
        <v>魔法药水</v>
      </c>
    </row>
    <row r="79" spans="1:1" x14ac:dyDescent="0.25">
      <c r="A79" s="87" t="str">
        <f>Consumable!E21</f>
        <v>吸血药水</v>
      </c>
    </row>
    <row r="80" spans="1:1" x14ac:dyDescent="0.25">
      <c r="A80" s="87" t="str">
        <f>Consumable!E22</f>
        <v>再生药水</v>
      </c>
    </row>
    <row r="81" spans="1:1" x14ac:dyDescent="0.25">
      <c r="A81" s="87" t="str">
        <f>Consumable!E23</f>
        <v>清晰预兆药水</v>
      </c>
    </row>
    <row r="82" spans="1:1" x14ac:dyDescent="0.25">
      <c r="A82" s="84" t="str">
        <f>Consumable!E24</f>
        <v>魔力之源</v>
      </c>
    </row>
    <row r="83" spans="1:1" x14ac:dyDescent="0.25">
      <c r="A83" s="87" t="str">
        <f>Consumable!E25</f>
        <v>宁静药水</v>
      </c>
    </row>
    <row r="84" spans="1:1" x14ac:dyDescent="0.25">
      <c r="A84" s="87" t="str">
        <f>Consumable!E26</f>
        <v>大生命药水</v>
      </c>
    </row>
    <row r="85" spans="1:1" x14ac:dyDescent="0.25">
      <c r="A85" s="85" t="str">
        <f>Consumable!E27</f>
        <v>魔导师药剂</v>
      </c>
    </row>
    <row r="86" spans="1:1" x14ac:dyDescent="0.25">
      <c r="A86" s="85" t="str">
        <f>Consumable!E28</f>
        <v>战斗大师药剂</v>
      </c>
    </row>
    <row r="87" spans="1:1" x14ac:dyDescent="0.25">
      <c r="A87" s="87" t="str">
        <f>Consumable!E29</f>
        <v>皇帝的新药</v>
      </c>
    </row>
    <row r="88" spans="1:1" x14ac:dyDescent="0.25">
      <c r="A88" s="87" t="str">
        <f>Consumable!E30</f>
        <v>转换药剂</v>
      </c>
    </row>
    <row r="89" spans="1:1" x14ac:dyDescent="0.25">
      <c r="A89" s="87">
        <f>Consumable!E31</f>
        <v>0</v>
      </c>
    </row>
    <row r="90" spans="1:1" x14ac:dyDescent="0.25">
      <c r="A90" s="85" t="str">
        <f>Consumable!E32</f>
        <v>护盾药剂</v>
      </c>
    </row>
    <row r="91" spans="1:1" x14ac:dyDescent="0.25">
      <c r="A91" s="85" t="str">
        <f>Consumable!E33</f>
        <v>壁垒药剂</v>
      </c>
    </row>
    <row r="92" spans="1:1" x14ac:dyDescent="0.25">
      <c r="A92" s="87" t="str">
        <f>Consumable!E34</f>
        <v>闪避药水</v>
      </c>
    </row>
    <row r="93" spans="1:1" x14ac:dyDescent="0.25">
      <c r="A93" s="87" t="str">
        <f>Consumable!E35</f>
        <v>较小的无敌药水</v>
      </c>
    </row>
    <row r="94" spans="1:1" x14ac:dyDescent="0.25">
      <c r="A94" s="85" t="str">
        <f>Consumable!E36</f>
        <v>无敌药水</v>
      </c>
    </row>
    <row r="95" spans="1:1" x14ac:dyDescent="0.25">
      <c r="A95" s="87" t="str">
        <f>Consumable!E37</f>
        <v>石皮药水</v>
      </c>
    </row>
    <row r="96" spans="1:1" x14ac:dyDescent="0.25">
      <c r="A96" s="87">
        <f>Consumable!E38</f>
        <v>0</v>
      </c>
    </row>
    <row r="97" spans="1:1" x14ac:dyDescent="0.25">
      <c r="A97" s="87" t="str">
        <f>Consumable!E39</f>
        <v>法能药水</v>
      </c>
    </row>
    <row r="98" spans="1:1" x14ac:dyDescent="0.25">
      <c r="A98" s="87" t="str">
        <f>Consumable!E40</f>
        <v>法术掌控药剂</v>
      </c>
    </row>
    <row r="99" spans="1:1" x14ac:dyDescent="0.25">
      <c r="A99" s="87" t="str">
        <f>Consumable!E41</f>
        <v>秘法药水</v>
      </c>
    </row>
    <row r="100" spans="1:1" x14ac:dyDescent="0.25">
      <c r="A100" s="87">
        <f>Consumable!E42</f>
        <v>0</v>
      </c>
    </row>
    <row r="101" spans="1:1" x14ac:dyDescent="0.25">
      <c r="A101" s="87" t="str">
        <f>Consumable!E43</f>
        <v>愤怒施法药水</v>
      </c>
    </row>
    <row r="102" spans="1:1" x14ac:dyDescent="0.25">
      <c r="A102" s="87" t="str">
        <f>Consumable!E44</f>
        <v>法术穿透药剂</v>
      </c>
    </row>
    <row r="103" spans="1:1" x14ac:dyDescent="0.25">
      <c r="A103" s="85" t="str">
        <f>Consumable!E45</f>
        <v>不稳定的药剂</v>
      </c>
    </row>
    <row r="104" spans="1:1" x14ac:dyDescent="0.25">
      <c r="A104" s="87">
        <f>Consumable!E46</f>
        <v>0</v>
      </c>
    </row>
    <row r="105" spans="1:1" x14ac:dyDescent="0.25">
      <c r="A105" s="87" t="str">
        <f>Consumable!E47</f>
        <v>敏捷药水</v>
      </c>
    </row>
    <row r="106" spans="1:1" x14ac:dyDescent="0.25">
      <c r="A106" s="87" t="str">
        <f>Consumable!E48</f>
        <v>敏锐药水</v>
      </c>
    </row>
    <row r="107" spans="1:1" x14ac:dyDescent="0.25">
      <c r="A107" s="87" t="str">
        <f>Consumable!E49</f>
        <v>迅捷药水</v>
      </c>
    </row>
    <row r="108" spans="1:1" x14ac:dyDescent="0.25">
      <c r="A108" s="84">
        <f>Consumable!E70</f>
        <v>0</v>
      </c>
    </row>
    <row r="109" spans="1:1" x14ac:dyDescent="0.25">
      <c r="A109" s="84">
        <f>Consumable!E71</f>
        <v>0</v>
      </c>
    </row>
    <row r="110" spans="1:1" x14ac:dyDescent="0.25">
      <c r="A110" s="84">
        <f>Consumable!E72</f>
        <v>0</v>
      </c>
    </row>
    <row r="111" spans="1:1" x14ac:dyDescent="0.25">
      <c r="A111" s="84">
        <f>Consumable!E73</f>
        <v>0</v>
      </c>
    </row>
    <row r="112" spans="1:1" x14ac:dyDescent="0.25">
      <c r="A112" s="84">
        <f>Consumable!E74</f>
        <v>0</v>
      </c>
    </row>
    <row r="113" spans="1:1" x14ac:dyDescent="0.25">
      <c r="A113" s="84">
        <f>Consumable!E75</f>
        <v>0</v>
      </c>
    </row>
    <row r="114" spans="1:1" x14ac:dyDescent="0.25">
      <c r="A114" s="84">
        <f>Consumable!E76</f>
        <v>0</v>
      </c>
    </row>
    <row r="115" spans="1:1" x14ac:dyDescent="0.25">
      <c r="A115" s="84">
        <f>Consumable!E77</f>
        <v>0</v>
      </c>
    </row>
    <row r="116" spans="1:1" x14ac:dyDescent="0.25">
      <c r="A116" s="87"/>
    </row>
  </sheetData>
  <mergeCells count="1">
    <mergeCell ref="A1:J1"/>
  </mergeCells>
  <phoneticPr fontId="14" type="noConversion"/>
  <conditionalFormatting sqref="C25:I40">
    <cfRule type="cellIs" dxfId="0" priority="1" operator="greaterThan">
      <formula>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tabSelected="1" zoomScaleNormal="100" workbookViewId="0">
      <pane ySplit="1" topLeftCell="A2" activePane="bottomLeft" state="frozen"/>
      <selection pane="bottomLeft" activeCell="C20" sqref="C20"/>
    </sheetView>
  </sheetViews>
  <sheetFormatPr defaultColWidth="17.28515625" defaultRowHeight="16.5" x14ac:dyDescent="0.35"/>
  <cols>
    <col min="1" max="1" width="8.42578125" style="22" bestFit="1" customWidth="1"/>
    <col min="2" max="2" width="5" style="18" bestFit="1" customWidth="1"/>
    <col min="3" max="3" width="112" style="10" bestFit="1" customWidth="1"/>
    <col min="4" max="4" width="3.140625" style="15" bestFit="1" customWidth="1"/>
    <col min="5" max="16384" width="17.28515625" style="9"/>
  </cols>
  <sheetData>
    <row r="1" spans="1:4" s="13" customFormat="1" x14ac:dyDescent="0.35">
      <c r="A1" s="11" t="s">
        <v>442</v>
      </c>
      <c r="B1" s="17" t="s">
        <v>414</v>
      </c>
      <c r="C1" s="12" t="s">
        <v>411</v>
      </c>
      <c r="D1" s="20" t="s">
        <v>412</v>
      </c>
    </row>
    <row r="2" spans="1:4" x14ac:dyDescent="0.35">
      <c r="A2" s="23" t="s">
        <v>460</v>
      </c>
      <c r="B2" s="24">
        <v>1</v>
      </c>
      <c r="C2" s="21" t="s">
        <v>427</v>
      </c>
      <c r="D2" s="19"/>
    </row>
    <row r="3" spans="1:4" x14ac:dyDescent="0.35">
      <c r="A3" s="23"/>
      <c r="B3" s="24">
        <v>2</v>
      </c>
      <c r="C3" s="21" t="s">
        <v>428</v>
      </c>
      <c r="D3" s="19"/>
    </row>
    <row r="4" spans="1:4" x14ac:dyDescent="0.35">
      <c r="A4" s="23"/>
      <c r="B4" s="24">
        <v>3</v>
      </c>
      <c r="C4" s="21" t="s">
        <v>429</v>
      </c>
      <c r="D4" s="19"/>
    </row>
    <row r="5" spans="1:4" x14ac:dyDescent="0.35">
      <c r="A5" s="23"/>
      <c r="B5" s="24">
        <v>4</v>
      </c>
      <c r="C5" s="21" t="s">
        <v>430</v>
      </c>
      <c r="D5" s="19"/>
    </row>
    <row r="6" spans="1:4" x14ac:dyDescent="0.35">
      <c r="A6" s="23"/>
      <c r="B6" s="24">
        <v>5</v>
      </c>
      <c r="C6" s="21" t="s">
        <v>431</v>
      </c>
      <c r="D6" s="19"/>
    </row>
    <row r="7" spans="1:4" x14ac:dyDescent="0.35">
      <c r="A7" s="23" t="s">
        <v>461</v>
      </c>
      <c r="B7" s="16">
        <v>1</v>
      </c>
      <c r="C7" s="21" t="s">
        <v>437</v>
      </c>
      <c r="D7" s="19"/>
    </row>
    <row r="8" spans="1:4" x14ac:dyDescent="0.35">
      <c r="A8" s="23"/>
      <c r="B8" s="16">
        <v>2</v>
      </c>
      <c r="C8" s="21" t="s">
        <v>438</v>
      </c>
      <c r="D8" s="19"/>
    </row>
    <row r="9" spans="1:4" x14ac:dyDescent="0.35">
      <c r="A9" s="23"/>
      <c r="B9" s="16">
        <v>3</v>
      </c>
      <c r="C9" s="21" t="s">
        <v>439</v>
      </c>
      <c r="D9" s="19"/>
    </row>
    <row r="10" spans="1:4" x14ac:dyDescent="0.35">
      <c r="A10" s="23"/>
      <c r="B10" s="16">
        <v>4</v>
      </c>
      <c r="C10" s="21" t="s">
        <v>440</v>
      </c>
      <c r="D10" s="19"/>
    </row>
    <row r="11" spans="1:4" x14ac:dyDescent="0.35">
      <c r="A11" s="23"/>
      <c r="B11" s="16">
        <v>5</v>
      </c>
      <c r="C11" s="21" t="s">
        <v>441</v>
      </c>
      <c r="D11" s="19"/>
    </row>
    <row r="12" spans="1:4" x14ac:dyDescent="0.35">
      <c r="A12" s="23" t="s">
        <v>462</v>
      </c>
      <c r="B12" s="24">
        <v>1</v>
      </c>
      <c r="C12" s="21" t="s">
        <v>432</v>
      </c>
      <c r="D12" s="19"/>
    </row>
    <row r="13" spans="1:4" x14ac:dyDescent="0.35">
      <c r="A13" s="23"/>
      <c r="B13" s="24">
        <v>2</v>
      </c>
      <c r="C13" s="21" t="s">
        <v>433</v>
      </c>
      <c r="D13" s="19"/>
    </row>
    <row r="14" spans="1:4" x14ac:dyDescent="0.35">
      <c r="A14" s="23"/>
      <c r="B14" s="24">
        <v>3</v>
      </c>
      <c r="C14" s="21" t="s">
        <v>434</v>
      </c>
      <c r="D14" s="19"/>
    </row>
    <row r="15" spans="1:4" x14ac:dyDescent="0.35">
      <c r="A15" s="23"/>
      <c r="B15" s="24">
        <v>4</v>
      </c>
      <c r="C15" s="21" t="s">
        <v>435</v>
      </c>
      <c r="D15" s="19"/>
    </row>
    <row r="16" spans="1:4" x14ac:dyDescent="0.35">
      <c r="A16" s="23"/>
      <c r="B16" s="24">
        <v>5</v>
      </c>
      <c r="C16" s="21" t="s">
        <v>436</v>
      </c>
      <c r="D16" s="19"/>
    </row>
    <row r="17" spans="1:4" x14ac:dyDescent="0.35">
      <c r="A17" s="23" t="s">
        <v>413</v>
      </c>
      <c r="B17" s="16">
        <v>1</v>
      </c>
      <c r="C17" s="21" t="s">
        <v>422</v>
      </c>
      <c r="D17" s="19"/>
    </row>
    <row r="18" spans="1:4" x14ac:dyDescent="0.35">
      <c r="A18" s="23"/>
      <c r="B18" s="16">
        <v>2</v>
      </c>
      <c r="C18" s="21" t="s">
        <v>423</v>
      </c>
      <c r="D18" s="19"/>
    </row>
    <row r="19" spans="1:4" x14ac:dyDescent="0.35">
      <c r="A19" s="23"/>
      <c r="B19" s="16">
        <v>3</v>
      </c>
      <c r="C19" s="21" t="s">
        <v>424</v>
      </c>
      <c r="D19" s="19"/>
    </row>
    <row r="20" spans="1:4" x14ac:dyDescent="0.35">
      <c r="A20" s="23"/>
      <c r="B20" s="16">
        <v>4</v>
      </c>
      <c r="C20" s="21" t="s">
        <v>425</v>
      </c>
      <c r="D20" s="19"/>
    </row>
    <row r="21" spans="1:4" x14ac:dyDescent="0.35">
      <c r="A21" s="23"/>
      <c r="B21" s="16">
        <v>5</v>
      </c>
      <c r="C21" s="21" t="s">
        <v>426</v>
      </c>
      <c r="D21" s="19">
        <v>60</v>
      </c>
    </row>
    <row r="22" spans="1:4" x14ac:dyDescent="0.35">
      <c r="A22" s="23" t="s">
        <v>443</v>
      </c>
      <c r="B22" s="16">
        <v>1</v>
      </c>
      <c r="C22" s="21" t="s">
        <v>444</v>
      </c>
      <c r="D22" s="19"/>
    </row>
    <row r="23" spans="1:4" x14ac:dyDescent="0.35">
      <c r="A23" s="23"/>
      <c r="B23" s="16">
        <v>2</v>
      </c>
      <c r="C23" s="21" t="s">
        <v>445</v>
      </c>
      <c r="D23" s="19"/>
    </row>
    <row r="24" spans="1:4" x14ac:dyDescent="0.35">
      <c r="A24" s="23"/>
      <c r="B24" s="16">
        <v>3</v>
      </c>
      <c r="C24" s="21" t="s">
        <v>446</v>
      </c>
      <c r="D24" s="19"/>
    </row>
    <row r="25" spans="1:4" x14ac:dyDescent="0.35">
      <c r="A25" s="23"/>
      <c r="B25" s="16">
        <v>4</v>
      </c>
      <c r="C25" s="21" t="s">
        <v>447</v>
      </c>
      <c r="D25" s="19"/>
    </row>
    <row r="26" spans="1:4" x14ac:dyDescent="0.35">
      <c r="A26" s="23"/>
      <c r="B26" s="16">
        <v>5</v>
      </c>
      <c r="C26" s="21" t="s">
        <v>459</v>
      </c>
      <c r="D26" s="19">
        <v>60</v>
      </c>
    </row>
    <row r="27" spans="1:4" x14ac:dyDescent="0.35">
      <c r="A27" s="23" t="s">
        <v>415</v>
      </c>
      <c r="B27" s="24">
        <v>1</v>
      </c>
      <c r="C27" s="21" t="s">
        <v>417</v>
      </c>
      <c r="D27" s="19">
        <v>60</v>
      </c>
    </row>
    <row r="28" spans="1:4" x14ac:dyDescent="0.35">
      <c r="A28" s="23"/>
      <c r="B28" s="24">
        <v>2</v>
      </c>
      <c r="C28" s="21" t="s">
        <v>418</v>
      </c>
      <c r="D28" s="19">
        <v>60</v>
      </c>
    </row>
    <row r="29" spans="1:4" x14ac:dyDescent="0.35">
      <c r="A29" s="23"/>
      <c r="B29" s="24">
        <v>3</v>
      </c>
      <c r="C29" s="21" t="s">
        <v>419</v>
      </c>
      <c r="D29" s="19">
        <v>60</v>
      </c>
    </row>
    <row r="30" spans="1:4" x14ac:dyDescent="0.35">
      <c r="A30" s="23"/>
      <c r="B30" s="24">
        <v>4</v>
      </c>
      <c r="C30" s="21" t="s">
        <v>420</v>
      </c>
      <c r="D30" s="19">
        <v>60</v>
      </c>
    </row>
    <row r="31" spans="1:4" x14ac:dyDescent="0.35">
      <c r="A31" s="23"/>
      <c r="B31" s="24">
        <v>5</v>
      </c>
      <c r="C31" s="21" t="s">
        <v>421</v>
      </c>
      <c r="D31" s="19">
        <v>60</v>
      </c>
    </row>
    <row r="32" spans="1:4" x14ac:dyDescent="0.35">
      <c r="A32" s="23" t="s">
        <v>416</v>
      </c>
      <c r="B32" s="24">
        <v>1</v>
      </c>
      <c r="C32" s="14" t="s">
        <v>448</v>
      </c>
      <c r="D32" s="19">
        <v>60</v>
      </c>
    </row>
    <row r="33" spans="1:4" x14ac:dyDescent="0.35">
      <c r="A33" s="23"/>
      <c r="B33" s="24">
        <v>2</v>
      </c>
      <c r="C33" s="14" t="s">
        <v>449</v>
      </c>
      <c r="D33" s="19">
        <v>60</v>
      </c>
    </row>
    <row r="34" spans="1:4" x14ac:dyDescent="0.35">
      <c r="A34" s="23"/>
      <c r="B34" s="24">
        <v>3</v>
      </c>
      <c r="C34" s="14" t="s">
        <v>450</v>
      </c>
      <c r="D34" s="19">
        <v>60</v>
      </c>
    </row>
    <row r="35" spans="1:4" x14ac:dyDescent="0.35">
      <c r="A35" s="23"/>
      <c r="B35" s="24">
        <v>4</v>
      </c>
      <c r="C35" s="14" t="s">
        <v>451</v>
      </c>
      <c r="D35" s="19">
        <v>60</v>
      </c>
    </row>
    <row r="36" spans="1:4" x14ac:dyDescent="0.35">
      <c r="A36" s="23"/>
      <c r="B36" s="24">
        <v>5</v>
      </c>
      <c r="C36" s="14" t="s">
        <v>452</v>
      </c>
      <c r="D36" s="19">
        <v>60</v>
      </c>
    </row>
    <row r="37" spans="1:4" x14ac:dyDescent="0.35">
      <c r="A37" s="23" t="s">
        <v>453</v>
      </c>
      <c r="B37" s="16">
        <v>1</v>
      </c>
      <c r="C37" s="14" t="s">
        <v>454</v>
      </c>
      <c r="D37" s="19"/>
    </row>
    <row r="38" spans="1:4" x14ac:dyDescent="0.35">
      <c r="A38" s="23"/>
      <c r="B38" s="16">
        <v>2</v>
      </c>
      <c r="C38" s="14" t="s">
        <v>455</v>
      </c>
      <c r="D38" s="19"/>
    </row>
    <row r="39" spans="1:4" x14ac:dyDescent="0.35">
      <c r="A39" s="23"/>
      <c r="B39" s="16">
        <v>3</v>
      </c>
      <c r="C39" s="14" t="s">
        <v>456</v>
      </c>
      <c r="D39" s="19"/>
    </row>
    <row r="40" spans="1:4" x14ac:dyDescent="0.35">
      <c r="A40" s="23"/>
      <c r="B40" s="16">
        <v>4</v>
      </c>
      <c r="C40" s="14" t="s">
        <v>457</v>
      </c>
      <c r="D40" s="19"/>
    </row>
    <row r="41" spans="1:4" x14ac:dyDescent="0.35">
      <c r="A41" s="23"/>
      <c r="B41" s="16">
        <v>5</v>
      </c>
      <c r="C41" s="14" t="s">
        <v>458</v>
      </c>
      <c r="D41" s="19"/>
    </row>
  </sheetData>
  <phoneticPr fontId="14"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Prefix</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2018-05-09T05:41:44Z</dcterms:modified>
</cp:coreProperties>
</file>