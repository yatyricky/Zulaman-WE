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55CE7835-7D7C-48CF-B669-93A937B6CCE1}"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G42" i="4"/>
  <c r="F42" i="4"/>
  <c r="G41" i="4"/>
  <c r="F41" i="4"/>
  <c r="G40" i="4"/>
  <c r="F40" i="4"/>
  <c r="G39" i="4"/>
  <c r="F39" i="4"/>
  <c r="G35" i="4"/>
  <c r="F35" i="4"/>
  <c r="G34" i="4"/>
  <c r="F34" i="4"/>
  <c r="G33" i="4"/>
  <c r="F33" i="4"/>
  <c r="G29" i="4"/>
  <c r="F29" i="4"/>
  <c r="G28" i="4"/>
  <c r="F28" i="4"/>
  <c r="G27" i="4"/>
  <c r="F27" i="4"/>
  <c r="G23" i="4"/>
  <c r="F23" i="4"/>
  <c r="G22" i="4"/>
  <c r="F22" i="4"/>
  <c r="G21" i="4"/>
  <c r="F21" i="4"/>
  <c r="G17" i="4"/>
  <c r="F17" i="4"/>
  <c r="G16" i="4"/>
  <c r="F16" i="4"/>
  <c r="G15" i="4"/>
  <c r="F15" i="4"/>
  <c r="G14" i="4"/>
  <c r="F14" i="4"/>
  <c r="G13" i="4"/>
  <c r="F13" i="4"/>
  <c r="G9" i="4"/>
  <c r="F9" i="4"/>
  <c r="G5" i="4"/>
  <c r="F5" i="4"/>
  <c r="G4" i="4"/>
  <c r="F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I161" i="4"/>
  <c r="L161" i="4" l="1"/>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69" i="14"/>
  <c r="J45" i="17"/>
  <c r="J14" i="17"/>
  <c r="I9" i="14"/>
  <c r="J68" i="14"/>
  <c r="K57" i="4"/>
  <c r="J31" i="17"/>
  <c r="J13" i="17"/>
  <c r="K190" i="4"/>
  <c r="K175" i="4"/>
  <c r="I81" i="14"/>
  <c r="I42" i="17"/>
  <c r="K125" i="4"/>
  <c r="K107" i="4"/>
  <c r="K101" i="4"/>
  <c r="J40" i="17"/>
  <c r="I51" i="14"/>
  <c r="K44" i="4"/>
  <c r="I41" i="14"/>
  <c r="K174" i="4"/>
  <c r="I41" i="17"/>
  <c r="K90" i="4"/>
  <c r="J36" i="17"/>
  <c r="I34" i="14"/>
  <c r="I10" i="14"/>
  <c r="I14" i="17"/>
  <c r="J38" i="17"/>
  <c r="J28" i="17"/>
  <c r="J94" i="17"/>
  <c r="I90" i="17"/>
  <c r="I86" i="17"/>
  <c r="I82" i="17"/>
  <c r="J78" i="17"/>
  <c r="I74" i="17"/>
  <c r="J70" i="17"/>
  <c r="J66" i="17"/>
  <c r="I62" i="17"/>
  <c r="I58" i="17"/>
  <c r="I54" i="17"/>
  <c r="I50" i="17"/>
  <c r="I83" i="14"/>
  <c r="I64" i="14"/>
  <c r="I32" i="14"/>
  <c r="I12" i="14"/>
  <c r="I73" i="14"/>
  <c r="I72" i="14"/>
  <c r="I47" i="17"/>
  <c r="I9" i="17"/>
  <c r="I7" i="17"/>
  <c r="J24" i="17"/>
  <c r="I75" i="14"/>
  <c r="I19" i="14"/>
  <c r="J79" i="17"/>
  <c r="J54" i="17"/>
  <c r="I36" i="14"/>
  <c r="K55" i="4"/>
  <c r="K50" i="4"/>
  <c r="I33" i="17"/>
  <c r="J46" i="17"/>
  <c r="K18" i="4"/>
  <c r="K150" i="4"/>
  <c r="I14" i="14"/>
  <c r="J39" i="17"/>
  <c r="J29" i="17"/>
  <c r="I24" i="17"/>
  <c r="I31" i="14"/>
  <c r="K141" i="4"/>
  <c r="I35" i="17"/>
  <c r="J8" i="17"/>
  <c r="I59" i="14"/>
  <c r="K198" i="4"/>
  <c r="I10" i="17"/>
  <c r="K6" i="4"/>
  <c r="J35" i="17"/>
  <c r="K37" i="4"/>
  <c r="I71" i="14"/>
  <c r="J5" i="17"/>
  <c r="J42" i="17"/>
  <c r="J9" i="17"/>
  <c r="I26" i="14"/>
  <c r="I84" i="14"/>
  <c r="I29" i="17"/>
  <c r="J19" i="17"/>
  <c r="I80" i="14"/>
  <c r="I94" i="17"/>
  <c r="J90" i="17"/>
  <c r="J86" i="17"/>
  <c r="J82" i="17"/>
  <c r="I78" i="17"/>
  <c r="J74" i="17"/>
  <c r="I69" i="17"/>
  <c r="I65" i="17"/>
  <c r="I61" i="17"/>
  <c r="I57" i="17"/>
  <c r="J53" i="17"/>
  <c r="J49" i="17"/>
  <c r="I82" i="14"/>
  <c r="I60" i="14"/>
  <c r="I28" i="14"/>
  <c r="I8" i="14"/>
  <c r="I48" i="14"/>
  <c r="K31" i="4"/>
  <c r="I57" i="14"/>
  <c r="K159" i="4"/>
  <c r="I18" i="14"/>
  <c r="I3" i="14"/>
  <c r="I95" i="17"/>
  <c r="I75" i="17"/>
  <c r="J50" i="17"/>
  <c r="K86" i="4"/>
  <c r="K32" i="4"/>
  <c r="J17" i="17"/>
  <c r="I4" i="17"/>
  <c r="K49" i="4"/>
  <c r="I38" i="14"/>
  <c r="K77" i="4"/>
  <c r="J21" i="17"/>
  <c r="I58" i="14"/>
  <c r="J33" i="17"/>
  <c r="K19" i="4"/>
  <c r="I62" i="14"/>
  <c r="J20" i="17"/>
  <c r="I19" i="17"/>
  <c r="K65" i="4"/>
  <c r="I7" i="14"/>
  <c r="I36" i="17"/>
  <c r="K126" i="4"/>
  <c r="I23" i="17"/>
  <c r="K96" i="4"/>
  <c r="K24" i="4"/>
  <c r="I2" i="17"/>
  <c r="J16" i="17"/>
  <c r="K71" i="4"/>
  <c r="K38" i="4"/>
  <c r="I22" i="14"/>
  <c r="J12" i="17"/>
  <c r="I34" i="17"/>
  <c r="I97" i="17"/>
  <c r="I93" i="17"/>
  <c r="J89" i="17"/>
  <c r="I85" i="17"/>
  <c r="J81" i="17"/>
  <c r="I77" i="17"/>
  <c r="I73" i="17"/>
  <c r="J69" i="17"/>
  <c r="J65" i="17"/>
  <c r="J61" i="17"/>
  <c r="J57" i="17"/>
  <c r="I53" i="17"/>
  <c r="I49" i="17"/>
  <c r="I78" i="14"/>
  <c r="I56" i="14"/>
  <c r="I24" i="14"/>
  <c r="I4" i="14"/>
  <c r="I20" i="14"/>
  <c r="I44" i="14"/>
  <c r="I16" i="14"/>
  <c r="I17" i="17"/>
  <c r="J47" i="17"/>
  <c r="I44" i="17"/>
  <c r="J18" i="17"/>
  <c r="J6" i="17"/>
  <c r="K88" i="4"/>
  <c r="J87" i="17"/>
  <c r="I70" i="17"/>
  <c r="I37" i="14"/>
  <c r="K108" i="4"/>
  <c r="J43" i="17"/>
  <c r="K43" i="4"/>
  <c r="J3" i="17"/>
  <c r="I53" i="14"/>
  <c r="I5" i="14"/>
  <c r="I28" i="17"/>
  <c r="K102" i="4"/>
  <c r="J22" i="17"/>
  <c r="I45" i="14"/>
  <c r="K95" i="4"/>
  <c r="I37" i="17"/>
  <c r="K166" i="4"/>
  <c r="I49" i="14"/>
  <c r="K182" i="4"/>
  <c r="J15" i="17"/>
  <c r="I70" i="14"/>
  <c r="K7" i="4"/>
  <c r="K133" i="4"/>
  <c r="K70" i="4"/>
  <c r="I12" i="17"/>
  <c r="I13" i="17"/>
  <c r="I33" i="14"/>
  <c r="I63" i="14"/>
  <c r="J27" i="17"/>
  <c r="I18" i="17"/>
  <c r="K132" i="4"/>
  <c r="J97" i="17"/>
  <c r="J93" i="17"/>
  <c r="I89" i="17"/>
  <c r="J85" i="17"/>
  <c r="I81" i="17"/>
  <c r="J77" i="17"/>
  <c r="I72" i="17"/>
  <c r="I68" i="17"/>
  <c r="I64" i="17"/>
  <c r="J60" i="17"/>
  <c r="I56" i="17"/>
  <c r="I52" i="17"/>
  <c r="J48" i="17"/>
  <c r="I77" i="14"/>
  <c r="I52" i="14"/>
  <c r="I21" i="14"/>
  <c r="J3" i="14"/>
  <c r="K56" i="4"/>
  <c r="I13" i="14"/>
  <c r="I39" i="14"/>
  <c r="I76" i="14"/>
  <c r="J34" i="17"/>
  <c r="I54" i="14"/>
  <c r="I22" i="17"/>
  <c r="K64" i="4"/>
  <c r="K85" i="4"/>
  <c r="J44" i="17"/>
  <c r="I74" i="14"/>
  <c r="K78" i="4"/>
  <c r="K100" i="4"/>
  <c r="I15" i="14"/>
  <c r="I46" i="17"/>
  <c r="K142" i="4"/>
  <c r="K183" i="4"/>
  <c r="I43" i="14"/>
  <c r="I26" i="17"/>
  <c r="I45" i="17"/>
  <c r="I35" i="14"/>
  <c r="K10" i="4"/>
  <c r="I31" i="17"/>
  <c r="I3" i="17"/>
  <c r="K12" i="4"/>
  <c r="I46" i="14"/>
  <c r="K149" i="4"/>
  <c r="I38" i="17"/>
  <c r="J23" i="17"/>
  <c r="K84" i="4"/>
  <c r="J96" i="17"/>
  <c r="I92" i="17"/>
  <c r="J88" i="17"/>
  <c r="J84" i="17"/>
  <c r="I80" i="17"/>
  <c r="I76" i="17"/>
  <c r="J72" i="17"/>
  <c r="J68" i="17"/>
  <c r="J64" i="17"/>
  <c r="I60" i="17"/>
  <c r="J56" i="17"/>
  <c r="J52" i="17"/>
  <c r="I48" i="17"/>
  <c r="I17" i="14"/>
  <c r="J26" i="17"/>
  <c r="I6" i="14"/>
  <c r="K30" i="4"/>
  <c r="K51" i="4"/>
  <c r="I91" i="17"/>
  <c r="J62" i="17"/>
  <c r="K94" i="4"/>
  <c r="K116" i="4"/>
  <c r="I15" i="17"/>
  <c r="K167" i="4"/>
  <c r="K191" i="4"/>
  <c r="K36" i="4"/>
  <c r="K134" i="4"/>
  <c r="J32" i="17"/>
  <c r="I25" i="17"/>
  <c r="I30" i="14"/>
  <c r="K8" i="4"/>
  <c r="J7" i="17"/>
  <c r="J11" i="17"/>
  <c r="I23" i="14"/>
  <c r="K72" i="4"/>
  <c r="I32" i="17"/>
  <c r="I5" i="17"/>
  <c r="J25" i="17"/>
  <c r="K3" i="4"/>
  <c r="I79" i="14"/>
  <c r="J30" i="17"/>
  <c r="I8" i="17"/>
  <c r="K89" i="4"/>
  <c r="K20" i="4"/>
  <c r="K157" i="4"/>
  <c r="I27" i="17"/>
  <c r="J4" i="17"/>
  <c r="I50" i="14"/>
  <c r="I96" i="17"/>
  <c r="J92" i="17"/>
  <c r="I88" i="17"/>
  <c r="I84" i="17"/>
  <c r="J80" i="17"/>
  <c r="J76" i="17"/>
  <c r="I71" i="17"/>
  <c r="J67" i="17"/>
  <c r="J63" i="17"/>
  <c r="J59" i="17"/>
  <c r="J55" i="17"/>
  <c r="J51" i="17"/>
  <c r="K25" i="4"/>
  <c r="J58" i="17"/>
  <c r="I65" i="14"/>
  <c r="K109" i="4"/>
  <c r="I11" i="14"/>
  <c r="I27" i="14"/>
  <c r="J41" i="17"/>
  <c r="J37" i="17"/>
  <c r="I29" i="14"/>
  <c r="K143" i="4"/>
  <c r="I16" i="17"/>
  <c r="I43" i="17"/>
  <c r="I42" i="14"/>
  <c r="K158" i="4"/>
  <c r="I55" i="14"/>
  <c r="I6" i="17"/>
  <c r="I11" i="17"/>
  <c r="K192" i="4"/>
  <c r="I66" i="14"/>
  <c r="I21" i="17"/>
  <c r="I39" i="17"/>
  <c r="K176" i="4"/>
  <c r="I25" i="14"/>
  <c r="K124" i="4"/>
  <c r="J10" i="17"/>
  <c r="I40" i="17"/>
  <c r="I47" i="14"/>
  <c r="K184" i="4"/>
  <c r="K63" i="4"/>
  <c r="I30" i="17"/>
  <c r="K117" i="4"/>
  <c r="K115" i="4"/>
  <c r="J95" i="17"/>
  <c r="J91" i="17"/>
  <c r="I87" i="17"/>
  <c r="J83" i="17"/>
  <c r="I79" i="17"/>
  <c r="J75" i="17"/>
  <c r="J71" i="17"/>
  <c r="I67" i="17"/>
  <c r="I63" i="17"/>
  <c r="I59" i="17"/>
  <c r="I55" i="17"/>
  <c r="I51" i="17"/>
  <c r="I68" i="14"/>
  <c r="I40" i="14"/>
  <c r="K26" i="4"/>
  <c r="K151" i="4"/>
  <c r="K11" i="4"/>
  <c r="K168" i="4"/>
  <c r="K79" i="4"/>
  <c r="I20" i="17"/>
  <c r="I83" i="17"/>
  <c r="I66" i="17"/>
  <c r="I61" i="14"/>
  <c r="K131" i="4"/>
  <c r="K91" i="4"/>
  <c r="K140" i="4"/>
  <c r="K87" i="4"/>
  <c r="K197" i="4"/>
  <c r="K69" i="4"/>
  <c r="K148" i="4"/>
  <c r="K82" i="4"/>
  <c r="K156" i="4"/>
  <c r="K165" i="4"/>
  <c r="K111" i="4"/>
  <c r="K15" i="4"/>
  <c r="K118" i="4"/>
  <c r="K13" i="4"/>
  <c r="K130" i="4"/>
  <c r="K35" i="4"/>
  <c r="K119" i="4"/>
  <c r="K34" i="4"/>
  <c r="K17" i="4"/>
  <c r="K181" i="4"/>
  <c r="K74" i="4"/>
  <c r="K189" i="4"/>
  <c r="K73" i="4"/>
  <c r="K188" i="4"/>
  <c r="K58" i="4"/>
  <c r="K193" i="4"/>
  <c r="K68" i="4"/>
  <c r="K196" i="4"/>
  <c r="K67" i="4"/>
  <c r="K194" i="4"/>
  <c r="K66" i="4"/>
  <c r="K123" i="4"/>
  <c r="K93" i="4"/>
  <c r="K154" i="4"/>
  <c r="K122" i="4"/>
  <c r="K144" i="4"/>
  <c r="K48" i="4"/>
  <c r="K112" i="4"/>
  <c r="K185" i="4"/>
  <c r="K60" i="4"/>
  <c r="K186" i="4"/>
  <c r="K59" i="4"/>
  <c r="K170" i="4"/>
  <c r="K42" i="4"/>
  <c r="K178" i="4"/>
  <c r="K54" i="4"/>
  <c r="K39" i="4"/>
  <c r="K179" i="4"/>
  <c r="K53" i="4"/>
  <c r="K180" i="4"/>
  <c r="K52" i="4"/>
  <c r="K164" i="4"/>
  <c r="K76" i="4"/>
  <c r="K187" i="4"/>
  <c r="K33" i="4"/>
  <c r="K29" i="4"/>
  <c r="K14" i="4"/>
  <c r="K173" i="4"/>
  <c r="K27" i="4"/>
  <c r="K23" i="4"/>
  <c r="K16" i="4"/>
  <c r="K138" i="4"/>
  <c r="K120" i="4"/>
  <c r="K9" i="4"/>
  <c r="K160" i="4"/>
  <c r="K121" i="4"/>
  <c r="K113" i="4"/>
  <c r="K171" i="4"/>
  <c r="K46" i="4"/>
  <c r="K169" i="4"/>
  <c r="K45" i="4"/>
  <c r="K5" i="4"/>
  <c r="K155" i="4"/>
  <c r="K28" i="4"/>
  <c r="K163" i="4"/>
  <c r="K41" i="4"/>
  <c r="K162" i="4"/>
  <c r="K40" i="4"/>
  <c r="K161" i="4"/>
  <c r="K22" i="4"/>
  <c r="K195" i="4"/>
  <c r="K62" i="4"/>
  <c r="K106" i="4"/>
  <c r="K153" i="4"/>
  <c r="K172" i="4"/>
  <c r="K152" i="4"/>
  <c r="K136" i="4"/>
  <c r="K146" i="4"/>
  <c r="K145" i="4"/>
  <c r="K177" i="4"/>
  <c r="K61" i="4"/>
  <c r="K47" i="4"/>
  <c r="K128" i="4"/>
  <c r="K127" i="4"/>
  <c r="K110" i="4"/>
  <c r="K147" i="4"/>
  <c r="K105" i="4"/>
  <c r="K104" i="4"/>
  <c r="K139" i="4"/>
  <c r="K83" i="4"/>
  <c r="K99" i="4"/>
  <c r="K98" i="4"/>
  <c r="K114" i="4"/>
  <c r="K97" i="4"/>
  <c r="K129" i="4"/>
  <c r="K4" i="4"/>
  <c r="K81" i="4"/>
  <c r="K80" i="4"/>
  <c r="K137" i="4"/>
  <c r="K75" i="4"/>
  <c r="K135" i="4"/>
  <c r="K103" i="4"/>
  <c r="K92" i="4"/>
  <c r="K21" i="4"/>
  <c r="G15" i="3"/>
  <c r="G83" i="3"/>
  <c r="K1" i="4"/>
  <c r="I1" i="14"/>
  <c r="G5" i="3"/>
  <c r="G104" i="3"/>
  <c r="G74" i="3"/>
  <c r="G52"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H102" i="4"/>
  <c r="I168" i="4"/>
  <c r="H184" i="4"/>
  <c r="G62" i="3"/>
  <c r="F51" i="3"/>
  <c r="G73" i="3"/>
  <c r="H44" i="4"/>
  <c r="F50" i="3"/>
  <c r="H57" i="4"/>
  <c r="G81" i="3"/>
  <c r="I96" i="4"/>
  <c r="F59" i="14"/>
  <c r="F31" i="14"/>
  <c r="G19" i="14"/>
  <c r="H151" i="4"/>
  <c r="F62" i="3"/>
  <c r="F76" i="14"/>
  <c r="I72" i="4"/>
  <c r="G15" i="14"/>
  <c r="F43" i="3"/>
  <c r="F23" i="3"/>
  <c r="I3" i="4"/>
  <c r="H117" i="4"/>
  <c r="H32" i="4"/>
  <c r="G61" i="3"/>
  <c r="G50" i="3"/>
  <c r="G93" i="3"/>
  <c r="H90" i="4"/>
  <c r="F15" i="14"/>
  <c r="F7" i="14"/>
  <c r="G51" i="3"/>
  <c r="G34" i="3"/>
  <c r="G76" i="14"/>
  <c r="F67" i="14"/>
  <c r="G82" i="3"/>
  <c r="I38" i="4"/>
  <c r="G3" i="3"/>
  <c r="F34" i="3"/>
  <c r="F3" i="14"/>
  <c r="G33" i="3"/>
  <c r="H8" i="4"/>
  <c r="G24" i="3"/>
  <c r="F51" i="14"/>
  <c r="I32" i="4"/>
  <c r="G23" i="3"/>
  <c r="G23" i="14"/>
  <c r="G4" i="3"/>
  <c r="H26" i="4"/>
  <c r="G43" i="14"/>
  <c r="G7" i="14"/>
  <c r="G42" i="3"/>
  <c r="F73" i="3"/>
  <c r="H168" i="4"/>
  <c r="G11" i="14"/>
  <c r="G14" i="3"/>
  <c r="G92" i="3"/>
  <c r="I151" i="4"/>
  <c r="H96" i="4"/>
  <c r="I86" i="4"/>
  <c r="F19" i="14"/>
  <c r="F81" i="14"/>
  <c r="H79" i="4"/>
  <c r="H3" i="4"/>
  <c r="G39" i="14"/>
  <c r="I192" i="4"/>
  <c r="F81" i="3"/>
  <c r="G35" i="14"/>
  <c r="H65" i="4"/>
  <c r="G81" i="14"/>
  <c r="I126" i="4"/>
  <c r="F103" i="3"/>
  <c r="H109" i="4"/>
  <c r="F93" i="3"/>
  <c r="I143" i="4"/>
  <c r="F71" i="14"/>
  <c r="F14" i="3"/>
  <c r="F27" i="14"/>
  <c r="I44" i="4"/>
  <c r="F63" i="14"/>
  <c r="G59" i="14"/>
  <c r="G31" i="14"/>
  <c r="F55" i="14"/>
  <c r="H192" i="4"/>
  <c r="F39" i="14"/>
  <c r="I79" i="4"/>
  <c r="F47" i="14"/>
  <c r="G55" i="14"/>
  <c r="H12" i="4"/>
  <c r="F61" i="3"/>
  <c r="H86" i="4"/>
  <c r="I20" i="4"/>
  <c r="F42" i="3"/>
  <c r="I51" i="4"/>
  <c r="G72" i="3"/>
  <c r="G43" i="3"/>
  <c r="G51" i="14"/>
  <c r="F92" i="3"/>
  <c r="F11" i="14"/>
  <c r="I176" i="4"/>
  <c r="H38" i="4"/>
  <c r="H20" i="4"/>
  <c r="H143" i="4"/>
  <c r="H72" i="4"/>
  <c r="I90" i="4"/>
  <c r="F3" i="3"/>
  <c r="G71" i="14"/>
  <c r="F43" i="14"/>
  <c r="I184" i="4"/>
  <c r="I117" i="4"/>
  <c r="H159" i="4"/>
  <c r="F72" i="3"/>
  <c r="G3" i="14"/>
  <c r="G63" i="14"/>
  <c r="I26" i="4"/>
  <c r="G13" i="3"/>
  <c r="I12" i="4"/>
  <c r="H126" i="4"/>
  <c r="F102" i="3"/>
  <c r="H176" i="4"/>
  <c r="I57" i="4"/>
  <c r="G103" i="3"/>
  <c r="G67" i="14"/>
  <c r="I159" i="4"/>
  <c r="I65" i="4"/>
  <c r="G47" i="14"/>
  <c r="F23" i="14"/>
  <c r="I109" i="4"/>
  <c r="I134" i="4"/>
  <c r="H51" i="4"/>
  <c r="F33" i="3"/>
  <c r="I102" i="4"/>
  <c r="F24" i="3"/>
  <c r="G102" i="3"/>
  <c r="F4" i="3"/>
  <c r="F13" i="3"/>
  <c r="F35" i="14"/>
  <c r="F82" i="3"/>
  <c r="I8" i="4"/>
  <c r="H134" i="4"/>
  <c r="G17" i="14"/>
  <c r="G29" i="14"/>
  <c r="I193" i="4"/>
  <c r="G9" i="14"/>
  <c r="G25" i="14"/>
  <c r="I110" i="4"/>
  <c r="I40" i="4"/>
  <c r="H74" i="4"/>
  <c r="G69" i="14"/>
  <c r="F25" i="3"/>
  <c r="H9" i="4"/>
  <c r="G49" i="14"/>
  <c r="H33" i="4"/>
  <c r="I52" i="4"/>
  <c r="H5" i="4"/>
  <c r="G8" i="14"/>
  <c r="H66" i="4"/>
  <c r="H104" i="4"/>
  <c r="F48" i="14"/>
  <c r="F83" i="14"/>
  <c r="H193" i="4"/>
  <c r="G77" i="14"/>
  <c r="I53" i="4"/>
  <c r="F77" i="14"/>
  <c r="G12" i="14"/>
  <c r="H13" i="4"/>
  <c r="G24" i="14"/>
  <c r="I45" i="4"/>
  <c r="H91" i="4"/>
  <c r="I5" i="4"/>
  <c r="H160" i="4"/>
  <c r="I4" i="4"/>
  <c r="F68" i="14"/>
  <c r="F61" i="14"/>
  <c r="F72" i="14"/>
  <c r="G72" i="14"/>
  <c r="I194" i="4"/>
  <c r="H67" i="4"/>
  <c r="G82" i="14"/>
  <c r="I127" i="4"/>
  <c r="I13" i="4"/>
  <c r="I59" i="4"/>
  <c r="G16" i="14"/>
  <c r="I103" i="4"/>
  <c r="G44" i="14"/>
  <c r="I135" i="4"/>
  <c r="G37" i="14"/>
  <c r="I87" i="4"/>
  <c r="F13" i="14"/>
  <c r="G57" i="14"/>
  <c r="G83" i="14"/>
  <c r="G94" i="3"/>
  <c r="F32" i="14"/>
  <c r="H127" i="4"/>
  <c r="H81" i="4"/>
  <c r="G5" i="14"/>
  <c r="H186" i="4"/>
  <c r="H28" i="4"/>
  <c r="H128" i="4"/>
  <c r="G4" i="14"/>
  <c r="G33" i="14"/>
  <c r="F52" i="3"/>
  <c r="G56" i="14"/>
  <c r="H87" i="4"/>
  <c r="H118" i="4"/>
  <c r="I66" i="4"/>
  <c r="H135" i="4"/>
  <c r="H22" i="4"/>
  <c r="F74" i="3"/>
  <c r="I136" i="4"/>
  <c r="F73" i="14"/>
  <c r="F12" i="14"/>
  <c r="G52" i="14"/>
  <c r="I81" i="4"/>
  <c r="H170" i="4"/>
  <c r="G61" i="14"/>
  <c r="F69" i="14"/>
  <c r="F29" i="14"/>
  <c r="F20" i="14"/>
  <c r="H34" i="4"/>
  <c r="H185" i="4"/>
  <c r="F35" i="3"/>
  <c r="I170" i="4"/>
  <c r="I152" i="4"/>
  <c r="H110" i="4"/>
  <c r="I34" i="4"/>
  <c r="H45" i="4"/>
  <c r="I10" i="4"/>
  <c r="G44" i="3"/>
  <c r="I80" i="4"/>
  <c r="H161" i="4"/>
  <c r="G25" i="3"/>
  <c r="F24" i="14"/>
  <c r="I178" i="4"/>
  <c r="I67" i="4"/>
  <c r="F28" i="14"/>
  <c r="F83" i="3"/>
  <c r="F9" i="14"/>
  <c r="H4" i="4"/>
  <c r="F64" i="14"/>
  <c r="I9" i="4"/>
  <c r="G40" i="14"/>
  <c r="F36" i="14"/>
  <c r="H194" i="4"/>
  <c r="F37" i="14"/>
  <c r="G48" i="14"/>
  <c r="H98" i="4"/>
  <c r="G21" i="14"/>
  <c r="I118" i="4"/>
  <c r="I21" i="4"/>
  <c r="H80" i="4"/>
  <c r="H73" i="4"/>
  <c r="I97" i="4"/>
  <c r="H52" i="4"/>
  <c r="G13" i="14"/>
  <c r="H21" i="4"/>
  <c r="I22" i="4"/>
  <c r="F56" i="14"/>
  <c r="I74" i="4"/>
  <c r="H136" i="4"/>
  <c r="H27" i="4"/>
  <c r="I58" i="4"/>
  <c r="H145" i="4"/>
  <c r="I33" i="4"/>
  <c r="G68" i="14"/>
  <c r="I186" i="4"/>
  <c r="I14" i="4"/>
  <c r="G41" i="14"/>
  <c r="H59" i="4"/>
  <c r="F57" i="14"/>
  <c r="G28" i="14"/>
  <c r="G53" i="14"/>
  <c r="F60" i="14"/>
  <c r="I128" i="4"/>
  <c r="I92" i="4"/>
  <c r="H169" i="4"/>
  <c r="G36" i="14"/>
  <c r="I39" i="4"/>
  <c r="F44" i="14"/>
  <c r="F78" i="14"/>
  <c r="G35" i="3"/>
  <c r="H88" i="4"/>
  <c r="G45" i="14"/>
  <c r="H111" i="4"/>
  <c r="I153" i="4"/>
  <c r="H178" i="4"/>
  <c r="H10" i="4"/>
  <c r="F104" i="3"/>
  <c r="F15" i="3"/>
  <c r="F25" i="14"/>
  <c r="H97" i="4"/>
  <c r="I73" i="4"/>
  <c r="F40" i="14"/>
  <c r="H92" i="4"/>
  <c r="H144" i="4"/>
  <c r="I27" i="4"/>
  <c r="F17" i="14"/>
  <c r="H152" i="4"/>
  <c r="H40" i="4"/>
  <c r="H119" i="4"/>
  <c r="H46" i="4"/>
  <c r="G64" i="14"/>
  <c r="G73" i="14"/>
  <c r="F33" i="14"/>
  <c r="G60" i="14"/>
  <c r="I91" i="4"/>
  <c r="G78" i="14"/>
  <c r="I169" i="4"/>
  <c r="H103" i="4"/>
  <c r="I111" i="4"/>
  <c r="H39" i="4"/>
  <c r="F41" i="14"/>
  <c r="I28" i="4"/>
  <c r="H53" i="4"/>
  <c r="I46" i="4"/>
  <c r="F5" i="3"/>
  <c r="F52" i="14"/>
  <c r="F63" i="3"/>
  <c r="F16" i="14"/>
  <c r="F44" i="3"/>
  <c r="F82" i="14"/>
  <c r="G65" i="14"/>
  <c r="F94" i="3"/>
  <c r="F4" i="14"/>
  <c r="F53" i="14"/>
  <c r="I177" i="4"/>
  <c r="F5" i="14"/>
  <c r="F8" i="14"/>
  <c r="I185" i="4"/>
  <c r="H14" i="4"/>
  <c r="H58" i="4"/>
  <c r="H153" i="4"/>
  <c r="I144" i="4"/>
  <c r="G63" i="3"/>
  <c r="F65" i="14"/>
  <c r="I88" i="4"/>
  <c r="F21" i="14"/>
  <c r="F45" i="14"/>
  <c r="I119" i="4"/>
  <c r="I98" i="4"/>
  <c r="F49" i="14"/>
  <c r="H177" i="4"/>
  <c r="G20" i="14"/>
  <c r="I104" i="4"/>
  <c r="I145" i="4"/>
  <c r="I160" i="4"/>
  <c r="G32" i="1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<sst xmlns="http://schemas.openxmlformats.org/spreadsheetml/2006/main" count="1733" uniqueCount="1018">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</sst>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7"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7">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NumberFormat="1" applyFont="1" applyFill="1" applyAlignment="1">
      <alignment wrapText="1"/>
    </xf>
    <xf numFmtId="49" fontId="42" fillId="10" borderId="0" xfId="0" applyNumberFormat="1" applyFont="1" applyFill="1" applyAlignment="1">
      <alignment wrapText="1"/>
    </xf>
    <xf numFmtId="49" fontId="39" fillId="10" borderId="0" xfId="0" applyNumberFormat="1" applyFont="1" applyFill="1" applyAlignment="1">
      <alignment wrapText="1"/>
    </xf>
    <xf numFmtId="0" fontId="43" fillId="10" borderId="0" xfId="0" applyFont="1" applyFill="1" applyAlignment="1">
      <alignment wrapText="1"/>
    </xf>
    <xf numFmtId="49" fontId="45" fillId="7" borderId="0" xfId="0" applyNumberFormat="1" applyFont="1" applyFill="1" applyAlignment="1">
      <alignment wrapText="1"/>
    </xf>
    <xf numFmtId="49" fontId="46" fillId="7" borderId="0" xfId="0" applyNumberFormat="1" applyFont="1" applyFill="1" applyAlignment="1">
      <alignment wrapText="1"/>
    </xf>
    <xf numFmtId="49" fontId="47" fillId="7" borderId="0" xfId="0" applyNumberFormat="1" applyFont="1" applyFill="1" applyAlignment="1">
      <alignment wrapText="1"/>
    </xf>
    <xf numFmtId="0" fontId="48" fillId="0" borderId="0" xfId="0" applyFont="1" applyAlignment="1">
      <alignment wrapText="1"/>
    </xf>
    <xf numFmtId="49" fontId="49" fillId="0" borderId="0" xfId="0" applyNumberFormat="1" applyFont="1" applyAlignment="1">
      <alignment wrapText="1"/>
    </xf>
    <xf numFmtId="49" fontId="48" fillId="0" borderId="0" xfId="0" applyNumberFormat="1" applyFont="1" applyAlignment="1">
      <alignment wrapText="1"/>
    </xf>
    <xf numFmtId="49" fontId="45" fillId="7" borderId="0" xfId="0" applyNumberFormat="1" applyFont="1" applyFill="1" applyAlignment="1"/>
    <xf numFmtId="49" fontId="28" fillId="7" borderId="0" xfId="0" applyNumberFormat="1" applyFont="1" applyFill="1" applyAlignment="1"/>
    <xf numFmtId="49" fontId="46"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0" fillId="7" borderId="0" xfId="0" applyNumberFormat="1" applyFont="1" applyFill="1" applyAlignment="1"/>
    <xf numFmtId="0" fontId="39" fillId="0" borderId="0" xfId="0" applyFont="1" applyFill="1" applyAlignment="1">
      <alignment wrapText="1"/>
    </xf>
    <xf numFmtId="0" fontId="51" fillId="0" borderId="0" xfId="0" applyFont="1" applyFill="1" applyAlignment="1">
      <alignment wrapText="1"/>
    </xf>
    <xf numFmtId="49" fontId="52" fillId="7" borderId="0" xfId="0" applyNumberFormat="1" applyFont="1" applyFill="1" applyAlignment="1"/>
    <xf numFmtId="0" fontId="40" fillId="7" borderId="0" xfId="0" applyNumberFormat="1" applyFont="1" applyFill="1" applyAlignment="1"/>
    <xf numFmtId="49" fontId="39" fillId="7" borderId="0" xfId="0" applyNumberFormat="1" applyFont="1" applyFill="1" applyAlignment="1"/>
    <xf numFmtId="49" fontId="53"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4" fillId="7" borderId="0" xfId="0" applyNumberFormat="1" applyFont="1" applyFill="1" applyAlignment="1"/>
    <xf numFmtId="49" fontId="52" fillId="10" borderId="0" xfId="0" applyNumberFormat="1" applyFont="1" applyFill="1" applyAlignment="1">
      <alignment wrapText="1"/>
    </xf>
    <xf numFmtId="49" fontId="53" fillId="10" borderId="0" xfId="0" applyNumberFormat="1" applyFont="1" applyFill="1" applyAlignment="1">
      <alignment wrapText="1"/>
    </xf>
    <xf numFmtId="49" fontId="55" fillId="10" borderId="0" xfId="0" applyNumberFormat="1" applyFont="1" applyFill="1" applyAlignment="1">
      <alignment wrapText="1"/>
    </xf>
    <xf numFmtId="0" fontId="56" fillId="10" borderId="0" xfId="0" applyFont="1" applyFill="1" applyAlignment="1">
      <alignment wrapText="1"/>
    </xf>
    <xf numFmtId="49" fontId="57" fillId="10" borderId="0" xfId="0" applyNumberFormat="1" applyFont="1" applyFill="1" applyAlignment="1">
      <alignment wrapText="1"/>
    </xf>
    <xf numFmtId="49" fontId="56" fillId="10" borderId="0" xfId="0" applyNumberFormat="1" applyFont="1" applyFill="1" applyAlignment="1">
      <alignment wrapText="1"/>
    </xf>
    <xf numFmtId="0" fontId="41" fillId="10" borderId="0" xfId="0" applyNumberFormat="1" applyFont="1" applyFill="1" applyAlignment="1">
      <alignment wrapText="1"/>
    </xf>
    <xf numFmtId="0" fontId="44" fillId="10" borderId="0" xfId="0" applyNumberFormat="1" applyFont="1" applyFill="1" applyAlignment="1">
      <alignment wrapText="1"/>
    </xf>
    <xf numFmtId="0" fontId="52" fillId="10" borderId="0" xfId="0" applyNumberFormat="1" applyFont="1" applyFill="1" applyAlignment="1">
      <alignment wrapText="1"/>
    </xf>
    <xf numFmtId="0" fontId="17" fillId="0" borderId="0" xfId="0" applyFont="1" applyAlignment="1"/>
    <xf numFmtId="0" fontId="58" fillId="10" borderId="0" xfId="0" applyFont="1" applyFill="1" applyAlignment="1">
      <alignment wrapText="1"/>
    </xf>
    <xf numFmtId="0" fontId="59" fillId="10" borderId="0" xfId="0" applyFont="1" applyFill="1" applyAlignment="1">
      <alignment wrapText="1"/>
    </xf>
    <xf numFmtId="0" fontId="60" fillId="10" borderId="0" xfId="0" applyFont="1" applyFill="1" applyAlignment="1">
      <alignment wrapText="1"/>
    </xf>
    <xf numFmtId="0" fontId="61" fillId="10" borderId="0" xfId="0" applyNumberFormat="1" applyFont="1" applyFill="1" applyAlignment="1">
      <alignment wrapText="1"/>
    </xf>
    <xf numFmtId="49" fontId="62" fillId="10" borderId="0" xfId="0" applyNumberFormat="1" applyFont="1" applyFill="1" applyAlignment="1">
      <alignment wrapText="1"/>
    </xf>
    <xf numFmtId="49" fontId="63" fillId="10" borderId="0" xfId="0" applyNumberFormat="1" applyFont="1" applyFill="1" applyAlignment="1">
      <alignment wrapText="1"/>
    </xf>
    <xf numFmtId="49" fontId="64" fillId="10" borderId="0" xfId="0" applyNumberFormat="1" applyFont="1" applyFill="1" applyAlignment="1">
      <alignment wrapText="1"/>
    </xf>
    <xf numFmtId="49" fontId="65" fillId="10" borderId="0" xfId="0" applyNumberFormat="1" applyFont="1" applyFill="1" applyAlignment="1">
      <alignment wrapText="1"/>
    </xf>
    <xf numFmtId="49" fontId="58" fillId="10" borderId="0" xfId="0" applyNumberFormat="1" applyFont="1" applyFill="1" applyAlignment="1">
      <alignment wrapText="1"/>
    </xf>
    <xf numFmtId="0" fontId="66"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7CEEB"/>
      <color rgb="FF33FF33"/>
      <color rgb="FF11FF11"/>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73" activePane="bottomLeft" state="frozen"/>
      <selection pane="bottomLeft" activeCell="J2" sqref="J2:J97"/>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744</v>
      </c>
      <c r="D1" s="65" t="s">
        <v>1009</v>
      </c>
      <c r="E1" s="66" t="s">
        <v>632</v>
      </c>
      <c r="F1" s="66" t="s">
        <v>633</v>
      </c>
      <c r="G1" s="65" t="s">
        <v>864</v>
      </c>
      <c r="H1" s="69" t="s">
        <v>961</v>
      </c>
      <c r="I1" s="65" t="s">
        <v>747</v>
      </c>
      <c r="J1" s="65" t="s">
        <v>748</v>
      </c>
      <c r="K1" s="65" t="s">
        <v>571</v>
      </c>
      <c r="L1" s="69"/>
    </row>
    <row r="2" spans="1:12" x14ac:dyDescent="0.25">
      <c r="A2" s="64">
        <v>4</v>
      </c>
      <c r="B2" s="70">
        <v>1</v>
      </c>
      <c r="C2" s="64">
        <v>100</v>
      </c>
      <c r="D2" s="64">
        <v>0</v>
      </c>
      <c r="E2" s="67" t="s">
        <v>634</v>
      </c>
      <c r="F2" s="67" t="s">
        <v>696</v>
      </c>
      <c r="G2" s="70" t="s">
        <v>865</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755</v>
      </c>
      <c r="G3" s="70" t="s">
        <v>868</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866</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867</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869</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749</v>
      </c>
      <c r="G7" s="70" t="s">
        <v>870</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749</v>
      </c>
      <c r="G8" s="70" t="s">
        <v>871</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756</v>
      </c>
      <c r="G9" s="70" t="s">
        <v>872</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760</v>
      </c>
      <c r="G10" s="70" t="s">
        <v>873</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874</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757</v>
      </c>
      <c r="G12" s="70" t="s">
        <v>875</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761</v>
      </c>
      <c r="G13" s="70" t="s">
        <v>876</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741</v>
      </c>
      <c r="F14" s="67" t="s">
        <v>742</v>
      </c>
      <c r="G14" s="70" t="s">
        <v>877</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878</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762</v>
      </c>
      <c r="G16" s="70" t="s">
        <v>879</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880</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881</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743</v>
      </c>
      <c r="F19" s="67" t="s">
        <v>758</v>
      </c>
      <c r="G19" s="70" t="s">
        <v>882</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883</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884</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885</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886</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984</v>
      </c>
      <c r="G24" s="70" t="s">
        <v>887</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888</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889</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763</v>
      </c>
      <c r="G27" s="70" t="s">
        <v>890</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764</v>
      </c>
      <c r="G28" s="70" t="s">
        <v>891</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750</v>
      </c>
      <c r="G29" s="70" t="s">
        <v>892</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893</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729</v>
      </c>
      <c r="F31" s="67" t="s">
        <v>759</v>
      </c>
      <c r="G31" s="70" t="s">
        <v>894</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981</v>
      </c>
      <c r="F32" s="67" t="s">
        <v>982</v>
      </c>
      <c r="G32" s="70" t="s">
        <v>895</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973</v>
      </c>
      <c r="F33" s="67" t="s">
        <v>980</v>
      </c>
      <c r="G33" s="70" t="s">
        <v>916</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974</v>
      </c>
      <c r="F34" s="67" t="s">
        <v>979</v>
      </c>
      <c r="G34" s="70" t="s">
        <v>917</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975</v>
      </c>
      <c r="F35" s="67" t="s">
        <v>978</v>
      </c>
      <c r="G35" s="70" t="s">
        <v>918</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976</v>
      </c>
      <c r="F36" s="67" t="s">
        <v>985</v>
      </c>
      <c r="G36" s="70" t="s">
        <v>926</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977</v>
      </c>
      <c r="F37" s="67" t="s">
        <v>986</v>
      </c>
      <c r="G37" s="70" t="s">
        <v>931</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964</v>
      </c>
      <c r="F38" s="67" t="s">
        <v>965</v>
      </c>
      <c r="G38" s="70" t="s">
        <v>897</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966</v>
      </c>
      <c r="F39" s="67" t="s">
        <v>987</v>
      </c>
      <c r="G39" s="70" t="s">
        <v>900</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967</v>
      </c>
      <c r="F40" s="67" t="s">
        <v>968</v>
      </c>
      <c r="G40" s="70" t="s">
        <v>905</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969</v>
      </c>
      <c r="F41" s="67" t="s">
        <v>970</v>
      </c>
      <c r="G41" s="70" t="s">
        <v>906</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971</v>
      </c>
      <c r="F42" s="67" t="s">
        <v>972</v>
      </c>
      <c r="G42" s="70" t="s">
        <v>910</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1002</v>
      </c>
      <c r="F43" s="67" t="s">
        <v>1001</v>
      </c>
      <c r="G43" s="70" t="s">
        <v>943</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962</v>
      </c>
      <c r="F44" s="67" t="s">
        <v>963</v>
      </c>
      <c r="G44" s="70" t="s">
        <v>950</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718</v>
      </c>
      <c r="G45" s="70" t="s">
        <v>896</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678</v>
      </c>
      <c r="F46" s="67" t="s">
        <v>1014</v>
      </c>
      <c r="G46" s="70" t="s">
        <v>898</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730</v>
      </c>
      <c r="F47" s="67" t="s">
        <v>731</v>
      </c>
      <c r="G47" s="70" t="s">
        <v>899</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1015</v>
      </c>
      <c r="G48" s="70" t="s">
        <v>901</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735</v>
      </c>
      <c r="F49" s="67" t="s">
        <v>751</v>
      </c>
      <c r="G49" s="70" t="s">
        <v>902</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723</v>
      </c>
      <c r="G50" s="70" t="s">
        <v>903</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752</v>
      </c>
      <c r="G51" s="70" t="s">
        <v>904</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724</v>
      </c>
      <c r="G52" s="70" t="s">
        <v>907</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726</v>
      </c>
      <c r="G53" s="70" t="s">
        <v>908</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767</v>
      </c>
      <c r="G54" s="70" t="s">
        <v>909</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1016</v>
      </c>
      <c r="G55" s="70" t="s">
        <v>911</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681</v>
      </c>
      <c r="F56" s="67" t="s">
        <v>1013</v>
      </c>
      <c r="G56" s="70" t="s">
        <v>912</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712</v>
      </c>
      <c r="F57" s="67" t="s">
        <v>1012</v>
      </c>
      <c r="G57" s="70" t="s">
        <v>913</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745</v>
      </c>
      <c r="F58" s="67" t="s">
        <v>746</v>
      </c>
      <c r="G58" s="70" t="s">
        <v>914</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721</v>
      </c>
      <c r="G59" s="70" t="s">
        <v>915</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768</v>
      </c>
      <c r="G60" s="70" t="s">
        <v>919</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769</v>
      </c>
      <c r="G61" s="70" t="s">
        <v>920</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770</v>
      </c>
      <c r="G62" s="70" t="s">
        <v>921</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988</v>
      </c>
      <c r="G63" s="70" t="s">
        <v>922</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720</v>
      </c>
      <c r="F64" s="67" t="s">
        <v>771</v>
      </c>
      <c r="G64" s="70" t="s">
        <v>923</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727</v>
      </c>
      <c r="F65" s="67" t="s">
        <v>989</v>
      </c>
      <c r="G65" s="70" t="s">
        <v>924</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732</v>
      </c>
      <c r="F66" s="67" t="s">
        <v>772</v>
      </c>
      <c r="G66" s="70" t="s">
        <v>925</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990</v>
      </c>
      <c r="G67" s="70" t="s">
        <v>927</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733</v>
      </c>
      <c r="F68" s="67" t="s">
        <v>773</v>
      </c>
      <c r="G68" s="70" t="s">
        <v>928</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734</v>
      </c>
      <c r="F69" s="67" t="s">
        <v>774</v>
      </c>
      <c r="G69" s="70" t="s">
        <v>929</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999</v>
      </c>
      <c r="F70" s="67" t="s">
        <v>998</v>
      </c>
      <c r="G70" s="70" t="s">
        <v>930</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775</v>
      </c>
      <c r="G71" s="70" t="s">
        <v>932</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776</v>
      </c>
      <c r="G72" s="70" t="s">
        <v>933</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777</v>
      </c>
      <c r="G73" s="70" t="s">
        <v>934</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778</v>
      </c>
      <c r="G74" s="70" t="s">
        <v>936</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997</v>
      </c>
      <c r="F75" s="67" t="s">
        <v>779</v>
      </c>
      <c r="G75" s="70" t="s">
        <v>935</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780</v>
      </c>
      <c r="G76" s="70" t="s">
        <v>937</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722</v>
      </c>
      <c r="F77" s="67" t="s">
        <v>991</v>
      </c>
      <c r="G77" s="70" t="s">
        <v>938</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983</v>
      </c>
      <c r="G78" s="70" t="s">
        <v>939</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992</v>
      </c>
      <c r="G79" s="70" t="s">
        <v>940</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993</v>
      </c>
      <c r="G80" s="70" t="s">
        <v>941</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994</v>
      </c>
      <c r="G81" s="70" t="s">
        <v>942</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1004</v>
      </c>
      <c r="F82" s="67" t="s">
        <v>1005</v>
      </c>
      <c r="G82" s="70" t="s">
        <v>945</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719</v>
      </c>
      <c r="F83" s="67" t="s">
        <v>783</v>
      </c>
      <c r="G83" s="70" t="s">
        <v>944</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995</v>
      </c>
      <c r="G84" s="70" t="s">
        <v>946</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781</v>
      </c>
      <c r="G85" s="70" t="s">
        <v>947</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725</v>
      </c>
      <c r="G86" s="70" t="s">
        <v>948</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728</v>
      </c>
      <c r="F87" s="67" t="s">
        <v>782</v>
      </c>
      <c r="G87" s="70" t="s">
        <v>949</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753</v>
      </c>
      <c r="G88" s="70" t="s">
        <v>951</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765</v>
      </c>
      <c r="G89" s="70" t="s">
        <v>952</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766</v>
      </c>
      <c r="G90" s="70" t="s">
        <v>953</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713</v>
      </c>
      <c r="F91" s="67" t="s">
        <v>996</v>
      </c>
      <c r="G91" s="70" t="s">
        <v>954</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714</v>
      </c>
      <c r="G92" s="70" t="s">
        <v>955</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715</v>
      </c>
      <c r="G93" s="70" t="s">
        <v>956</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716</v>
      </c>
      <c r="G94" s="70" t="s">
        <v>957</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717</v>
      </c>
      <c r="G95" s="70" t="s">
        <v>958</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1003</v>
      </c>
      <c r="F96" s="67" t="s">
        <v>1010</v>
      </c>
      <c r="G96" s="70" t="s">
        <v>959</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754</v>
      </c>
      <c r="G97" s="70" t="s">
        <v>960</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4" activePane="bottomLeft" state="frozen"/>
      <selection pane="bottomLeft" activeCell="D65" sqref="D65"/>
    </sheetView>
  </sheetViews>
  <sheetFormatPr defaultRowHeight="14.25" x14ac:dyDescent="0.25"/>
  <cols>
    <col min="1" max="1" width="6.5703125" style="36" bestFit="1" customWidth="1"/>
    <col min="2" max="3" width="6" style="77" customWidth="1"/>
    <col min="4" max="4" width="50.7109375" style="110" customWidth="1"/>
    <col min="5" max="5" width="50.7109375" style="119"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13"/>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738</v>
      </c>
      <c r="B2" s="76" t="s">
        <v>739</v>
      </c>
      <c r="C2" s="76" t="s">
        <v>740</v>
      </c>
      <c r="D2" s="81" t="s">
        <v>736</v>
      </c>
      <c r="E2" s="114" t="s">
        <v>737</v>
      </c>
    </row>
    <row r="3" spans="1:10" x14ac:dyDescent="0.25">
      <c r="D3" s="107" t="s">
        <v>379</v>
      </c>
      <c r="E3" s="115"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6"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08"/>
      <c r="E5" s="117"/>
      <c r="F5" s="32" t="str">
        <f ca="1">FormatItemUbertip(D4)</f>
        <v>+6-12所有属性</v>
      </c>
      <c r="G5" s="32" t="str">
        <f ca="1">FormatItemUbertip(E4)</f>
        <v>+6-12 All stats</v>
      </c>
      <c r="H5" s="36" t="s">
        <v>571</v>
      </c>
      <c r="I5" s="36" t="str">
        <f t="shared" si="0"/>
        <v>000000</v>
      </c>
    </row>
    <row r="6" spans="1:10" x14ac:dyDescent="0.25">
      <c r="D6" s="108"/>
      <c r="E6" s="117"/>
      <c r="F6" s="32"/>
      <c r="G6" s="32"/>
      <c r="H6" s="36" t="s">
        <v>571</v>
      </c>
      <c r="I6" s="36" t="str">
        <f t="shared" si="0"/>
        <v>000000</v>
      </c>
    </row>
    <row r="7" spans="1:10" x14ac:dyDescent="0.25">
      <c r="D7" s="107" t="s">
        <v>380</v>
      </c>
      <c r="E7" s="115"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6"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09" t="s">
        <v>381</v>
      </c>
      <c r="E9" s="118"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08"/>
      <c r="E10" s="117"/>
      <c r="F10" s="34"/>
      <c r="G10" s="34"/>
      <c r="H10" s="36" t="s">
        <v>571</v>
      </c>
      <c r="I10" s="36" t="str">
        <f t="shared" si="0"/>
        <v>000000</v>
      </c>
    </row>
    <row r="11" spans="1:10" x14ac:dyDescent="0.25">
      <c r="D11" s="107" t="s">
        <v>382</v>
      </c>
      <c r="E11" s="115"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6"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6"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08"/>
      <c r="E14" s="117"/>
      <c r="F14" s="34"/>
      <c r="G14" s="34"/>
      <c r="H14" s="36" t="s">
        <v>571</v>
      </c>
      <c r="I14" s="36" t="str">
        <f t="shared" si="0"/>
        <v>000000</v>
      </c>
    </row>
    <row r="15" spans="1:10" x14ac:dyDescent="0.25">
      <c r="D15" s="107" t="s">
        <v>383</v>
      </c>
      <c r="E15" s="115"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6"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6"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08"/>
      <c r="E18" s="117"/>
      <c r="F18" s="34"/>
      <c r="G18" s="34"/>
      <c r="H18" s="36" t="s">
        <v>571</v>
      </c>
      <c r="I18" s="36" t="str">
        <f t="shared" si="0"/>
        <v>000000</v>
      </c>
    </row>
    <row r="19" spans="1:9" x14ac:dyDescent="0.25">
      <c r="D19" s="107" t="s">
        <v>384</v>
      </c>
      <c r="E19" s="115"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6"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6"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07" t="s">
        <v>385</v>
      </c>
      <c r="E23" s="115"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6"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1"/>
      <c r="E25" s="120"/>
      <c r="F25" s="32" t="str">
        <f ca="1">FormatItemUbertip(D24)</f>
        <v>+12-21攻击强度</v>
      </c>
      <c r="G25" s="32" t="str">
        <f ca="1">FormatItemUbertip(E24)</f>
        <v>+12-21 Attack power</v>
      </c>
      <c r="H25" s="36" t="s">
        <v>571</v>
      </c>
      <c r="I25" s="36" t="str">
        <f t="shared" si="0"/>
        <v>000000</v>
      </c>
    </row>
    <row r="26" spans="1:9" x14ac:dyDescent="0.25">
      <c r="D26" s="111"/>
      <c r="E26" s="120"/>
      <c r="F26" s="32"/>
      <c r="G26" s="32"/>
      <c r="H26" s="36" t="s">
        <v>571</v>
      </c>
      <c r="I26" s="36" t="str">
        <f t="shared" si="0"/>
        <v>000000</v>
      </c>
    </row>
    <row r="27" spans="1:9" x14ac:dyDescent="0.25">
      <c r="D27" s="107" t="s">
        <v>386</v>
      </c>
      <c r="E27" s="115"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6"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1"/>
      <c r="E29" s="120"/>
      <c r="F29" s="32" t="str">
        <f ca="1">FormatItemUbertip(D28)</f>
        <v>+12-21%攻击速度</v>
      </c>
      <c r="G29" s="32" t="str">
        <f ca="1">FormatItemUbertip(E28)</f>
        <v>+12-21% Attack speed</v>
      </c>
      <c r="H29" s="36" t="s">
        <v>571</v>
      </c>
      <c r="I29" s="36" t="str">
        <f t="shared" si="0"/>
        <v>000000</v>
      </c>
    </row>
    <row r="30" spans="1:9" x14ac:dyDescent="0.25">
      <c r="D30" s="111"/>
      <c r="E30" s="120"/>
      <c r="F30" s="32"/>
      <c r="G30" s="32"/>
      <c r="H30" s="36" t="s">
        <v>571</v>
      </c>
      <c r="I30" s="36" t="str">
        <f t="shared" si="0"/>
        <v>000000</v>
      </c>
    </row>
    <row r="31" spans="1:9" x14ac:dyDescent="0.25">
      <c r="D31" s="107" t="s">
        <v>387</v>
      </c>
      <c r="E31" s="115"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6"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07" t="s">
        <v>388</v>
      </c>
      <c r="E35" s="115"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6"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08"/>
      <c r="E37" s="117"/>
      <c r="F37" s="32" t="str">
        <f ca="1">FormatItemUbertip(D36)</f>
        <v>+240-360生命上限</v>
      </c>
      <c r="G37" s="32" t="str">
        <f ca="1">FormatItemUbertip(E36)</f>
        <v>+240-360 Max HP</v>
      </c>
      <c r="H37" s="36" t="s">
        <v>571</v>
      </c>
      <c r="I37" s="36" t="str">
        <f t="shared" si="0"/>
        <v>000000</v>
      </c>
    </row>
    <row r="38" spans="1:9" x14ac:dyDescent="0.25">
      <c r="D38" s="108"/>
      <c r="E38" s="117"/>
      <c r="F38" s="32"/>
      <c r="G38" s="32"/>
      <c r="H38" s="36" t="s">
        <v>571</v>
      </c>
      <c r="I38" s="36" t="str">
        <f t="shared" si="0"/>
        <v>000000</v>
      </c>
    </row>
    <row r="39" spans="1:9" x14ac:dyDescent="0.25">
      <c r="D39" s="107" t="s">
        <v>389</v>
      </c>
      <c r="E39" s="115"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6"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08"/>
      <c r="E41" s="117"/>
      <c r="F41" s="32" t="str">
        <f ca="1">FormatItemUbertip(D40)</f>
        <v>+6-6护甲</v>
      </c>
      <c r="G41" s="32" t="str">
        <f ca="1">FormatItemUbertip(E40)</f>
        <v>+6-6 Armor</v>
      </c>
      <c r="H41" s="36" t="s">
        <v>571</v>
      </c>
      <c r="I41" s="36" t="str">
        <f t="shared" si="0"/>
        <v>000000</v>
      </c>
    </row>
    <row r="42" spans="1:9" x14ac:dyDescent="0.25">
      <c r="D42" s="108"/>
      <c r="E42" s="117"/>
      <c r="F42" s="32"/>
      <c r="G42" s="32"/>
      <c r="H42" s="36" t="s">
        <v>571</v>
      </c>
      <c r="I42" s="36" t="str">
        <f t="shared" si="0"/>
        <v>000000</v>
      </c>
    </row>
    <row r="43" spans="1:9" x14ac:dyDescent="0.25">
      <c r="D43" s="107" t="s">
        <v>390</v>
      </c>
      <c r="E43" s="115"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6"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07" t="s">
        <v>391</v>
      </c>
      <c r="E47" s="115"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6"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07" t="s">
        <v>392</v>
      </c>
      <c r="E51" s="115"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6"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07" t="s">
        <v>393</v>
      </c>
      <c r="E55" s="115"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6"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07" t="s">
        <v>394</v>
      </c>
      <c r="E59" s="115"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6"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16"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2"/>
      <c r="E62" s="121"/>
      <c r="F62" s="39"/>
      <c r="G62" s="39"/>
      <c r="H62" s="36" t="s">
        <v>571</v>
      </c>
      <c r="I62" s="36" t="str">
        <f t="shared" si="0"/>
        <v>38761D</v>
      </c>
    </row>
    <row r="63" spans="1:9" x14ac:dyDescent="0.25">
      <c r="D63" s="107" t="s">
        <v>395</v>
      </c>
      <c r="E63" s="115"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6"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16"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07" t="s">
        <v>396</v>
      </c>
      <c r="E67" s="115"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16"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09" t="s">
        <v>397</v>
      </c>
      <c r="E69" s="118"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1"/>
      <c r="E70" s="120"/>
      <c r="F70" s="34"/>
      <c r="G70" s="34"/>
      <c r="H70" s="36" t="s">
        <v>571</v>
      </c>
      <c r="I70" s="36" t="str">
        <f t="shared" si="1"/>
        <v>000000</v>
      </c>
    </row>
    <row r="71" spans="1:10" x14ac:dyDescent="0.25">
      <c r="D71" s="107" t="s">
        <v>398</v>
      </c>
      <c r="E71" s="115"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6"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16"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09" t="s">
        <v>399</v>
      </c>
      <c r="E74" s="118" t="s">
        <v>565</v>
      </c>
      <c r="F74" s="38"/>
      <c r="G74" s="38"/>
      <c r="H74" s="36" t="s">
        <v>571</v>
      </c>
      <c r="I74" s="36" t="str">
        <f t="shared" si="1"/>
        <v>999999</v>
      </c>
    </row>
    <row r="75" spans="1:10" x14ac:dyDescent="0.25">
      <c r="D75" s="108"/>
      <c r="E75" s="117"/>
      <c r="F75" s="34"/>
      <c r="G75" s="34"/>
      <c r="H75" s="36" t="s">
        <v>571</v>
      </c>
      <c r="I75" s="36" t="str">
        <f t="shared" si="1"/>
        <v>000000</v>
      </c>
    </row>
    <row r="76" spans="1:10" x14ac:dyDescent="0.25">
      <c r="D76" s="107" t="s">
        <v>400</v>
      </c>
      <c r="E76" s="115"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6"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6"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09" t="s">
        <v>567</v>
      </c>
      <c r="E79" s="118" t="s">
        <v>568</v>
      </c>
      <c r="F79" s="32"/>
      <c r="G79" s="32"/>
      <c r="H79" s="36" t="s">
        <v>571</v>
      </c>
      <c r="I79" s="36" t="str">
        <f t="shared" si="1"/>
        <v>999999</v>
      </c>
    </row>
    <row r="80" spans="1:10" x14ac:dyDescent="0.25">
      <c r="H80" s="36" t="s">
        <v>571</v>
      </c>
      <c r="I80" s="36" t="str">
        <f t="shared" si="1"/>
        <v>000000</v>
      </c>
    </row>
    <row r="81" spans="1:9" x14ac:dyDescent="0.25">
      <c r="D81" s="107" t="s">
        <v>401</v>
      </c>
      <c r="E81" s="115"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6"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16"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09" t="s">
        <v>402</v>
      </c>
      <c r="E84" s="118"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tabSelected="1" workbookViewId="0">
      <pane ySplit="2" topLeftCell="A106" activePane="bottomLeft" state="frozen"/>
      <selection pane="bottomLeft" activeCell="H121" sqref="H121"/>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44" customWidth="1"/>
    <col min="5" max="5" width="13.140625" style="144" customWidth="1"/>
    <col min="6" max="6" width="50.42578125" style="64"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42"/>
      <c r="E1" s="145"/>
      <c r="F1" s="79"/>
      <c r="G1" s="96"/>
      <c r="K1" s="58" t="str">
        <f ca="1">CodeGenItemMetaEN(A3:G199)</f>
        <v/>
      </c>
    </row>
    <row r="2" spans="1:11" s="58" customFormat="1" x14ac:dyDescent="0.25">
      <c r="A2" s="75" t="s">
        <v>738</v>
      </c>
      <c r="B2" s="76" t="s">
        <v>739</v>
      </c>
      <c r="C2" s="76" t="s">
        <v>740</v>
      </c>
      <c r="D2" s="143" t="s">
        <v>1011</v>
      </c>
      <c r="E2" s="146" t="s">
        <v>1017</v>
      </c>
      <c r="F2" s="81" t="s">
        <v>736</v>
      </c>
      <c r="G2" s="100" t="s">
        <v>737</v>
      </c>
    </row>
    <row r="3" spans="1:11" x14ac:dyDescent="0.25">
      <c r="F3" s="101" t="s">
        <v>543</v>
      </c>
      <c r="G3" s="122"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44">
        <f ca="1">OFFSET(Attributes!$A$1,MATCH(Rare!$A4,Attributes!$A:$A,0)-1,MATCH("Type",Attributes!$1:$1,0)-1)</f>
        <v>1</v>
      </c>
      <c r="E4" s="144" t="str">
        <f ca="1">IFERROR(OFFSET(Attributes!$A$1,MATCH(Rare!$A4,Attributes!$A:$A,0)-1,MATCH("Abbr",Attributes!$1:$1,0)-1),"")</f>
        <v>AP</v>
      </c>
      <c r="F4" s="84" t="str">
        <f ca="1">SUBSTITUTE(OFFSET(Attributes!$A$1,MATCH($A4,Attributes!$A:$A,0)-1,MATCH("Attr CN",Attributes!$1:$1,0)-1),"#",$B4*$B$1&amp;"-"&amp;$C4*$B$1)</f>
        <v>+75-120攻击强度</v>
      </c>
      <c r="G4" s="97" t="str">
        <f ca="1">SUBSTITUTE(OFFSET(Attributes!$A$1,MATCH($A4,Attributes!$A:$A,0)-1,MATCH("Attr EN",Attributes!$1:$1,0)-1),"#",$B4*$B$1&amp;"-"&amp;$C4*$B$1)</f>
        <v>+75-120 Attack power</v>
      </c>
      <c r="H4" s="32" t="str">
        <f ca="1">FormatItemDescription(F3:F6)</f>
        <v>+75-120攻击强度|N+36-54%攻击速度|N|N|CFF999999一把粗犷的巨剑，做工不是很精良，在哈洛加斯这是最受欢迎的量产武器。|R</v>
      </c>
      <c r="I4" s="32" t="str">
        <f ca="1">FormatItemDescription(G3:G6)</f>
        <v>+75-120 Attack power|N+36-54%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44">
        <f ca="1">OFFSET(Attributes!$A$1,MATCH(Rare!$A5,Attributes!$A:$A,0)-1,MATCH("Type",Attributes!$1:$1,0)-1)</f>
        <v>1</v>
      </c>
      <c r="E5" s="144" t="str">
        <f ca="1">IFERROR(OFFSET(Attributes!$A$1,MATCH(Rare!$A5,Attributes!$A:$A,0)-1,MATCH("Abbr",Attributes!$1:$1,0)-1),"")</f>
        <v>IAS</v>
      </c>
      <c r="F5" s="84" t="str">
        <f ca="1">SUBSTITUTE(OFFSET(Attributes!$A$1,MATCH($A5,Attributes!$A:$A,0)-1,MATCH("Attr CN",Attributes!$1:$1,0)-1),"#",$B5*$B$1&amp;"-"&amp;$C5*$B$1)</f>
        <v>+36-54%攻击速度</v>
      </c>
      <c r="G5" s="97" t="str">
        <f ca="1">SUBSTITUTE(OFFSET(Attributes!$A$1,MATCH($A5,Attributes!$A:$A,0)-1,MATCH("Attr EN",Attributes!$1:$1,0)-1),"#",$B5*$B$1&amp;"-"&amp;$C5*$B$1)</f>
        <v>+36-54% Attack speed</v>
      </c>
      <c r="H5" s="32" t="str">
        <f ca="1">FormatItemUbertip(F4:F6)</f>
        <v>+75-120攻击强度|N+36-54%攻击速度|N|N|CFF999999一把粗犷的巨剑，做工不是很精良，在哈洛加斯这是最受欢迎的量产武器。|R</v>
      </c>
      <c r="I5" s="32" t="str">
        <f ca="1">FormatItemUbertip(G4:G6)</f>
        <v>+75-120 Attack power|N+36-54% Attack speed|N|N|CFF999999A rough sword, the workmanship is not very good. But it's the most popular production weapons in Harrogath.|R</v>
      </c>
      <c r="J5" s="35" t="s">
        <v>571</v>
      </c>
      <c r="K5" s="95" t="str">
        <f t="shared" si="0"/>
        <v>FFFFFF</v>
      </c>
    </row>
    <row r="6" spans="1:11" ht="42.75" x14ac:dyDescent="0.25">
      <c r="E6" s="144" t="str">
        <f ca="1">IFERROR(OFFSET(Attributes!$A$1,MATCH(Rare!$A6,Attributes!$A:$A,0)-1,MATCH("Abbr",Attributes!$1:$1,0)-1),"")</f>
        <v/>
      </c>
      <c r="F6" s="102" t="s">
        <v>59</v>
      </c>
      <c r="G6" s="123" t="s">
        <v>572</v>
      </c>
      <c r="J6" s="35" t="s">
        <v>571</v>
      </c>
      <c r="K6" s="95" t="str">
        <f t="shared" si="0"/>
        <v>999999</v>
      </c>
    </row>
    <row r="7" spans="1:11" x14ac:dyDescent="0.25">
      <c r="E7" s="144" t="str">
        <f ca="1">IFERROR(OFFSET(Attributes!$A$1,MATCH(Rare!$A7,Attributes!$A:$A,0)-1,MATCH("Abbr",Attributes!$1:$1,0)-1),"")</f>
        <v/>
      </c>
      <c r="J7" s="35" t="s">
        <v>571</v>
      </c>
      <c r="K7" s="95" t="str">
        <f t="shared" si="0"/>
        <v>000000</v>
      </c>
    </row>
    <row r="8" spans="1:11" s="34" customFormat="1" x14ac:dyDescent="0.25">
      <c r="A8" s="32"/>
      <c r="B8" s="32"/>
      <c r="C8" s="32"/>
      <c r="D8" s="144"/>
      <c r="E8" s="144" t="str">
        <f ca="1">IFERROR(OFFSET(Attributes!$A$1,MATCH(Rare!$A8,Attributes!$A:$A,0)-1,MATCH("Abbr",Attributes!$1:$1,0)-1),"")</f>
        <v/>
      </c>
      <c r="F8" s="103" t="s">
        <v>1007</v>
      </c>
      <c r="G8" s="124" t="s">
        <v>1008</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44">
        <f ca="1">OFFSET(Attributes!$A$1,MATCH(Rare!$A9,Attributes!$A:$A,0)-1,MATCH("Type",Attributes!$1:$1,0)-1)</f>
        <v>1</v>
      </c>
      <c r="E9" s="144" t="str">
        <f ca="1">IFERROR(OFFSET(Attributes!$A$1,MATCH(Rare!$A9,Attributes!$A:$A,0)-1,MATCH("Abbr",Attributes!$1:$1,0)-1),"")</f>
        <v>ALLSTAT</v>
      </c>
      <c r="F9" s="84" t="str">
        <f ca="1">SUBSTITUTE(OFFSET(Attributes!$A$1,MATCH($A9,Attributes!$A:$A,0)-1,MATCH("Attr CN",Attributes!$1:$1,0)-1),"#",$B9*$B$1&amp;"-"&amp;$C9*$B$1)</f>
        <v>+27-36所有属性</v>
      </c>
      <c r="G9" s="97" t="str">
        <f ca="1">SUBSTITUTE(OFFSET(Attributes!$A$1,MATCH($A9,Attributes!$A:$A,0)-1,MATCH("Attr EN",Attributes!$1:$1,0)-1),"#",$B9*$B$1&amp;"-"&amp;$C9*$B$1)</f>
        <v>+27-36 All stats</v>
      </c>
      <c r="H9" s="32" t="str">
        <f ca="1">FormatItemDescription(F8:F10)</f>
        <v>|CFF8B66FFRare|R|N+27-36所有属性|N|N|CFF999999前面二十个都是渣.|R</v>
      </c>
      <c r="I9" s="32" t="str">
        <f ca="1">FormatItemDescription(G8:G10)</f>
        <v>|CFF8B66FFRare|R|N+27-36 All stats|N|N|CFF999999All the former 20 are trash!|R</v>
      </c>
      <c r="J9" s="35" t="s">
        <v>571</v>
      </c>
      <c r="K9" s="95" t="str">
        <f t="shared" si="0"/>
        <v>FFFFFF</v>
      </c>
    </row>
    <row r="10" spans="1:11" s="34" customFormat="1" x14ac:dyDescent="0.25">
      <c r="A10" s="32"/>
      <c r="B10" s="32"/>
      <c r="C10" s="32"/>
      <c r="D10" s="144"/>
      <c r="E10" s="144" t="str">
        <f ca="1">IFERROR(OFFSET(Attributes!$A$1,MATCH(Rare!$A10,Attributes!$A:$A,0)-1,MATCH("Abbr",Attributes!$1:$1,0)-1),"")</f>
        <v/>
      </c>
      <c r="F10" s="102" t="s">
        <v>47</v>
      </c>
      <c r="G10" s="123" t="s">
        <v>573</v>
      </c>
      <c r="H10" s="32" t="str">
        <f ca="1">FormatItemUbertip(F9:F10)</f>
        <v>+27-36所有属性|N|N|CFF999999前面二十个都是渣.|R</v>
      </c>
      <c r="I10" s="32" t="str">
        <f ca="1">FormatItemUbertip(G9:G10)</f>
        <v>+27-36 All stats|N|N|CFF999999All the former 20 are trash!|R</v>
      </c>
      <c r="J10" s="35" t="s">
        <v>571</v>
      </c>
      <c r="K10" s="95" t="str">
        <f t="shared" si="0"/>
        <v>999999</v>
      </c>
    </row>
    <row r="11" spans="1:11" s="34" customFormat="1" x14ac:dyDescent="0.25">
      <c r="A11" s="32"/>
      <c r="B11" s="32"/>
      <c r="C11" s="32"/>
      <c r="D11" s="144"/>
      <c r="E11" s="144" t="str">
        <f ca="1">IFERROR(OFFSET(Attributes!$A$1,MATCH(Rare!$A11,Attributes!$A:$A,0)-1,MATCH("Abbr",Attributes!$1:$1,0)-1),"")</f>
        <v/>
      </c>
      <c r="F11" s="67"/>
      <c r="G11" s="99"/>
      <c r="J11" s="35" t="s">
        <v>571</v>
      </c>
      <c r="K11" s="95" t="str">
        <f t="shared" si="0"/>
        <v>000000</v>
      </c>
    </row>
    <row r="12" spans="1:11" s="34" customFormat="1" x14ac:dyDescent="0.25">
      <c r="A12" s="32"/>
      <c r="B12" s="32"/>
      <c r="C12" s="32"/>
      <c r="D12" s="144"/>
      <c r="E12" s="144" t="str">
        <f ca="1">IFERROR(OFFSET(Attributes!$A$1,MATCH(Rare!$A12,Attributes!$A:$A,0)-1,MATCH("Abbr",Attributes!$1:$1,0)-1),"")</f>
        <v/>
      </c>
      <c r="F12" s="103" t="s">
        <v>48</v>
      </c>
      <c r="G12" s="124"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44">
        <f ca="1">OFFSET(Attributes!$A$1,MATCH(Rare!$A13,Attributes!$A:$A,0)-1,MATCH("Type",Attributes!$1:$1,0)-1)</f>
        <v>1</v>
      </c>
      <c r="E13" s="144" t="str">
        <f ca="1">IFERROR(OFFSET(Attributes!$A$1,MATCH(Rare!$A13,Attributes!$A:$A,0)-1,MATCH("Abbr",Attributes!$1:$1,0)-1),"")</f>
        <v>HP</v>
      </c>
      <c r="F13" s="84" t="str">
        <f ca="1">SUBSTITUTE(OFFSET(Attributes!$A$1,MATCH($A13,Attributes!$A:$A,0)-1,MATCH("Attr CN",Attributes!$1:$1,0)-1),"#",$B13*$B$1&amp;"-"&amp;$C13*$B$1)</f>
        <v>+300-420生命上限</v>
      </c>
      <c r="G13" s="97" t="str">
        <f ca="1">SUBSTITUTE(OFFSET(Attributes!$A$1,MATCH($A13,Attributes!$A:$A,0)-1,MATCH("Attr EN",Attributes!$1:$1,0)-1),"#",$B13*$B$1&amp;"-"&amp;$C13*$B$1)</f>
        <v>+300-420 Max HP</v>
      </c>
      <c r="H13" s="32" t="str">
        <f ca="1">FormatItemDescription(F12:F18)</f>
        <v>|CFF8B66FFRare|R|N+300-420生命上限|N+225-300法力上限|N+0.03-0.06躲闪|N+45-60移动速度|N使用：提高300点移动速度，持续24-36秒，可能故障|N|N|CFF999999限量发售,可是毕竟是地精产品|R</v>
      </c>
      <c r="I13" s="32" t="str">
        <f ca="1">FormatItemDescription(G12:G18)</f>
        <v>|CFF8B66FFRare|R|N+300-420 Max HP|N+225-300 Max MP|N+0.03-0.06 Dodge chance|N+45-60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44">
        <f ca="1">OFFSET(Attributes!$A$1,MATCH(Rare!$A14,Attributes!$A:$A,0)-1,MATCH("Type",Attributes!$1:$1,0)-1)</f>
        <v>1</v>
      </c>
      <c r="E14" s="144" t="str">
        <f ca="1">IFERROR(OFFSET(Attributes!$A$1,MATCH(Rare!$A14,Attributes!$A:$A,0)-1,MATCH("Abbr",Attributes!$1:$1,0)-1),"")</f>
        <v>MP</v>
      </c>
      <c r="F14" s="84" t="str">
        <f ca="1">SUBSTITUTE(OFFSET(Attributes!$A$1,MATCH($A14,Attributes!$A:$A,0)-1,MATCH("Attr CN",Attributes!$1:$1,0)-1),"#",$B14*$B$1&amp;"-"&amp;$C14*$B$1)</f>
        <v>+225-300法力上限</v>
      </c>
      <c r="G14" s="97" t="str">
        <f ca="1">SUBSTITUTE(OFFSET(Attributes!$A$1,MATCH($A14,Attributes!$A:$A,0)-1,MATCH("Attr EN",Attributes!$1:$1,0)-1),"#",$B14*$B$1&amp;"-"&amp;$C14*$B$1)</f>
        <v>+225-300 Max MP</v>
      </c>
      <c r="H14" s="32" t="str">
        <f ca="1">FormatItemUbertip(F13:F18)</f>
        <v>+300-420生命上限|N+225-300法力上限|N+0.03-0.06躲闪|N+45-60移动速度|N使用：提高300点移动速度，持续24-36秒，可能故障|N|N|CFF999999限量发售,可是毕竟是地精产品|R</v>
      </c>
      <c r="I14" s="32" t="str">
        <f ca="1">FormatItemUbertip(G13:G18)</f>
        <v>+300-420 Max HP|N+225-300 Max MP|N+0.03-0.06 Dodge chance|N+45-60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44">
        <f ca="1">OFFSET(Attributes!$A$1,MATCH(Rare!$A15,Attributes!$A:$A,0)-1,MATCH("Type",Attributes!$1:$1,0)-1)</f>
        <v>1</v>
      </c>
      <c r="E15" s="144" t="str">
        <f ca="1">IFERROR(OFFSET(Attributes!$A$1,MATCH(Rare!$A15,Attributes!$A:$A,0)-1,MATCH("Abbr",Attributes!$1:$1,0)-1),"")</f>
        <v>DODGE</v>
      </c>
      <c r="F15" s="84" t="str">
        <f ca="1">SUBSTITUTE(OFFSET(Attributes!$A$1,MATCH($A15,Attributes!$A:$A,0)-1,MATCH("Attr CN",Attributes!$1:$1,0)-1),"#",$B15*$B$1&amp;"-"&amp;$C15*$B$1)</f>
        <v>+0.03-0.06躲闪</v>
      </c>
      <c r="G15" s="97" t="str">
        <f ca="1">SUBSTITUTE(OFFSET(Attributes!$A$1,MATCH($A15,Attributes!$A:$A,0)-1,MATCH("Attr EN",Attributes!$1:$1,0)-1),"#",$B15*$B$1&amp;"-"&amp;$C15*$B$1)</f>
        <v>+0.03-0.06 Dodge chance</v>
      </c>
      <c r="J15" s="35" t="s">
        <v>571</v>
      </c>
      <c r="K15" s="95" t="str">
        <f t="shared" si="0"/>
        <v>FFFFFF</v>
      </c>
    </row>
    <row r="16" spans="1:11" s="34" customFormat="1" x14ac:dyDescent="0.25">
      <c r="A16" s="32">
        <v>24</v>
      </c>
      <c r="B16" s="32">
        <v>15</v>
      </c>
      <c r="C16" s="32">
        <v>20</v>
      </c>
      <c r="D16" s="144">
        <f ca="1">OFFSET(Attributes!$A$1,MATCH(Rare!$A16,Attributes!$A:$A,0)-1,MATCH("Type",Attributes!$1:$1,0)-1)</f>
        <v>1</v>
      </c>
      <c r="E16" s="144" t="str">
        <f ca="1">IFERROR(OFFSET(Attributes!$A$1,MATCH(Rare!$A16,Attributes!$A:$A,0)-1,MATCH("Abbr",Attributes!$1:$1,0)-1),"")</f>
        <v>MS</v>
      </c>
      <c r="F16" s="84" t="str">
        <f ca="1">SUBSTITUTE(OFFSET(Attributes!$A$1,MATCH($A16,Attributes!$A:$A,0)-1,MATCH("Attr CN",Attributes!$1:$1,0)-1),"#",$B16*$B$1&amp;"-"&amp;$C16*$B$1)</f>
        <v>+45-60移动速度</v>
      </c>
      <c r="G16" s="97" t="str">
        <f ca="1">SUBSTITUTE(OFFSET(Attributes!$A$1,MATCH($A16,Attributes!$A:$A,0)-1,MATCH("Attr EN",Attributes!$1:$1,0)-1),"#",$B16*$B$1&amp;"-"&amp;$C16*$B$1)</f>
        <v>+45-60 Movement speed</v>
      </c>
      <c r="J16" s="35" t="s">
        <v>571</v>
      </c>
      <c r="K16" s="95" t="str">
        <f t="shared" si="0"/>
        <v>FFFFFF</v>
      </c>
    </row>
    <row r="17" spans="1:11" s="34" customFormat="1" ht="28.5" x14ac:dyDescent="0.25">
      <c r="A17" s="32">
        <v>36</v>
      </c>
      <c r="B17" s="32">
        <v>8</v>
      </c>
      <c r="C17" s="32">
        <v>12</v>
      </c>
      <c r="D17" s="144">
        <f ca="1">OFFSET(Attributes!$A$1,MATCH(Rare!$A17,Attributes!$A:$A,0)-1,MATCH("Type",Attributes!$1:$1,0)-1)</f>
        <v>2</v>
      </c>
      <c r="E17" s="144" t="str">
        <f ca="1">IFERROR(OFFSET(Attributes!$A$1,MATCH(Rare!$A17,Attributes!$A:$A,0)-1,MATCH("Abbr",Attributes!$1:$1,0)-1),"")</f>
        <v>USE_MS</v>
      </c>
      <c r="F17" s="84" t="str">
        <f ca="1">SUBSTITUTE(OFFSET(Attributes!$A$1,MATCH($A17,Attributes!$A:$A,0)-1,MATCH("Attr CN",Attributes!$1:$1,0)-1),"#",$B17*$B$1&amp;"-"&amp;$C17*$B$1)</f>
        <v>使用：提高300点移动速度，持续24-36秒，可能故障</v>
      </c>
      <c r="G17" s="128"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44"/>
      <c r="E18" s="144" t="str">
        <f ca="1">IFERROR(OFFSET(Attributes!$A$1,MATCH(Rare!$A18,Attributes!$A:$A,0)-1,MATCH("Abbr",Attributes!$1:$1,0)-1),"")</f>
        <v/>
      </c>
      <c r="F18" s="102" t="s">
        <v>51</v>
      </c>
      <c r="G18" s="123" t="s">
        <v>574</v>
      </c>
      <c r="H18" s="37"/>
      <c r="I18" s="37"/>
      <c r="J18" s="35" t="s">
        <v>571</v>
      </c>
      <c r="K18" s="95" t="str">
        <f t="shared" si="0"/>
        <v>999999</v>
      </c>
    </row>
    <row r="19" spans="1:11" s="34" customFormat="1" x14ac:dyDescent="0.25">
      <c r="A19" s="32"/>
      <c r="B19" s="32"/>
      <c r="C19" s="32"/>
      <c r="D19" s="144"/>
      <c r="E19" s="144" t="str">
        <f ca="1">IFERROR(OFFSET(Attributes!$A$1,MATCH(Rare!$A19,Attributes!$A:$A,0)-1,MATCH("Abbr",Attributes!$1:$1,0)-1),"")</f>
        <v/>
      </c>
      <c r="F19" s="67"/>
      <c r="G19" s="99"/>
      <c r="H19" s="37"/>
      <c r="I19" s="37"/>
      <c r="J19" s="35" t="s">
        <v>571</v>
      </c>
      <c r="K19" s="95" t="str">
        <f t="shared" si="0"/>
        <v>000000</v>
      </c>
    </row>
    <row r="20" spans="1:11" s="34" customFormat="1" x14ac:dyDescent="0.25">
      <c r="A20" s="32"/>
      <c r="B20" s="32"/>
      <c r="C20" s="32"/>
      <c r="D20" s="144"/>
      <c r="E20" s="144" t="str">
        <f ca="1">IFERROR(OFFSET(Attributes!$A$1,MATCH(Rare!$A20,Attributes!$A:$A,0)-1,MATCH("Abbr",Attributes!$1:$1,0)-1),"")</f>
        <v/>
      </c>
      <c r="F20" s="103" t="s">
        <v>52</v>
      </c>
      <c r="G20" s="124"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44">
        <f ca="1">OFFSET(Attributes!$A$1,MATCH(Rare!$A21,Attributes!$A:$A,0)-1,MATCH("Type",Attributes!$1:$1,0)-1)</f>
        <v>1</v>
      </c>
      <c r="E21" s="144" t="str">
        <f ca="1">IFERROR(OFFSET(Attributes!$A$1,MATCH(Rare!$A21,Attributes!$A:$A,0)-1,MATCH("Abbr",Attributes!$1:$1,0)-1),"")</f>
        <v>IAS</v>
      </c>
      <c r="F21" s="84" t="str">
        <f ca="1">SUBSTITUTE(OFFSET(Attributes!$A$1,MATCH($A21,Attributes!$A:$A,0)-1,MATCH("Attr CN",Attributes!$1:$1,0)-1),"#",$B21*$B$1&amp;"-"&amp;$C21*$B$1)</f>
        <v>+3-9%攻击速度</v>
      </c>
      <c r="G21" s="97" t="str">
        <f ca="1">SUBSTITUTE(OFFSET(Attributes!$A$1,MATCH($A21,Attributes!$A:$A,0)-1,MATCH("Attr EN",Attributes!$1:$1,0)-1),"#",$B21*$B$1&amp;"-"&amp;$C21*$B$1)</f>
        <v>+3-9% Attack speed</v>
      </c>
      <c r="H21" s="32" t="str">
        <f ca="1">FormatItemDescription(F20:F24)</f>
        <v>|CFF8B66FFRare|R|N+3-9%攻击速度|N命中：标记目标，使其受到的伤害提高0.03-0.06|N赋予战歌光环：提升600码范围内所有友军造成的伤害和治疗0.03-0.06，受到的治疗10%|N|N|CFF999999士气高涨,牛头人的秘密武器|R</v>
      </c>
      <c r="I21" s="32" t="str">
        <f ca="1">FormatItemDescription(G20:G24)</f>
        <v>|CFF8B66FFRare|R|N+3-9%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44">
        <f ca="1">OFFSET(Attributes!$A$1,MATCH(Rare!$A22,Attributes!$A:$A,0)-1,MATCH("Type",Attributes!$1:$1,0)-1)</f>
        <v>2</v>
      </c>
      <c r="E22" s="144" t="str">
        <f ca="1">IFERROR(OFFSET(Attributes!$A$1,MATCH(Rare!$A22,Attributes!$A:$A,0)-1,MATCH("Abbr",Attributes!$1:$1,0)-1),"")</f>
        <v>ATK_AMP</v>
      </c>
      <c r="F22" s="84" t="str">
        <f ca="1">SUBSTITUTE(OFFSET(Attributes!$A$1,MATCH($A22,Attributes!$A:$A,0)-1,MATCH("Attr CN",Attributes!$1:$1,0)-1),"#",$B22*$B$1&amp;"-"&amp;$C22*$B$1)</f>
        <v>命中：标记目标，使其受到的伤害提高0.03-0.06</v>
      </c>
      <c r="G22" s="128" t="str">
        <f ca="1">SUBSTITUTE(OFFSET(Attributes!$A$1,MATCH($A22,Attributes!$A:$A,0)-1,MATCH("Attr EN",Attributes!$1:$1,0)-1),"#",$B22*$B$1&amp;"-"&amp;$C22*$B$1)</f>
        <v>On Attack: Target takes 0.03-0.06 extra damage</v>
      </c>
      <c r="H22" s="32" t="str">
        <f ca="1">FormatItemUbertip(F21:F24)</f>
        <v>+3-9%攻击速度|N命中：标记目标，使其受到的伤害提高0.03-0.06|N赋予战歌光环：提升600码范围内所有友军造成的伤害和治疗0.03-0.06，受到的治疗10%|N|N|CFF999999士气高涨,牛头人的秘密武器|R</v>
      </c>
      <c r="I22" s="32" t="str">
        <f ca="1">FormatItemUbertip(G21:G24)</f>
        <v>+3-9%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44">
        <f ca="1">OFFSET(Attributes!$A$1,MATCH(Rare!$A23,Attributes!$A:$A,0)-1,MATCH("Type",Attributes!$1:$1,0)-1)</f>
        <v>2</v>
      </c>
      <c r="E23" s="144" t="str">
        <f ca="1">IFERROR(OFFSET(Attributes!$A$1,MATCH(Rare!$A23,Attributes!$A:$A,0)-1,MATCH("Abbr",Attributes!$1:$1,0)-1),"")</f>
        <v>AURA_WARSONG</v>
      </c>
      <c r="F23" s="84" t="str">
        <f ca="1">SUBSTITUTE(OFFSET(Attributes!$A$1,MATCH($A23,Attributes!$A:$A,0)-1,MATCH("Attr CN",Attributes!$1:$1,0)-1),"#",$B23*$B$1&amp;"-"&amp;$C23*$B$1)</f>
        <v>赋予战歌光环：提升600码范围内所有友军造成的伤害和治疗0.03-0.06，受到的治疗10%</v>
      </c>
      <c r="G23" s="128"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44"/>
      <c r="E24" s="144" t="str">
        <f ca="1">IFERROR(OFFSET(Attributes!$A$1,MATCH(Rare!$A24,Attributes!$A:$A,0)-1,MATCH("Abbr",Attributes!$1:$1,0)-1),"")</f>
        <v/>
      </c>
      <c r="F24" s="102" t="s">
        <v>53</v>
      </c>
      <c r="G24" s="123" t="s">
        <v>576</v>
      </c>
      <c r="H24" s="37"/>
      <c r="I24" s="37"/>
      <c r="J24" s="35" t="s">
        <v>571</v>
      </c>
      <c r="K24" s="95" t="str">
        <f t="shared" si="0"/>
        <v>999999</v>
      </c>
    </row>
    <row r="25" spans="1:11" x14ac:dyDescent="0.25">
      <c r="E25" s="144" t="str">
        <f ca="1">IFERROR(OFFSET(Attributes!$A$1,MATCH(Rare!$A25,Attributes!$A:$A,0)-1,MATCH("Abbr",Attributes!$1:$1,0)-1),"")</f>
        <v/>
      </c>
      <c r="J25" s="35" t="s">
        <v>571</v>
      </c>
      <c r="K25" s="95" t="str">
        <f t="shared" si="0"/>
        <v>000000</v>
      </c>
    </row>
    <row r="26" spans="1:11" x14ac:dyDescent="0.25">
      <c r="E26" s="144" t="str">
        <f ca="1">IFERROR(OFFSET(Attributes!$A$1,MATCH(Rare!$A26,Attributes!$A:$A,0)-1,MATCH("Abbr",Attributes!$1:$1,0)-1),"")</f>
        <v/>
      </c>
      <c r="F26" s="103" t="s">
        <v>60</v>
      </c>
      <c r="G26" s="124"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44">
        <f ca="1">OFFSET(Attributes!$A$1,MATCH(Rare!$A27,Attributes!$A:$A,0)-1,MATCH("Type",Attributes!$1:$1,0)-1)</f>
        <v>1</v>
      </c>
      <c r="E27" s="144" t="str">
        <f ca="1">IFERROR(OFFSET(Attributes!$A$1,MATCH(Rare!$A27,Attributes!$A:$A,0)-1,MATCH("Abbr",Attributes!$1:$1,0)-1),"")</f>
        <v>STR</v>
      </c>
      <c r="F27" s="84" t="str">
        <f ca="1">SUBSTITUTE(OFFSET(Attributes!$A$1,MATCH($A27,Attributes!$A:$A,0)-1,MATCH("Attr CN",Attributes!$1:$1,0)-1),"#",$B27*$B$1&amp;"-"&amp;$C27*$B$1)</f>
        <v>+15-24力量</v>
      </c>
      <c r="G27" s="97" t="str">
        <f ca="1">SUBSTITUTE(OFFSET(Attributes!$A$1,MATCH($A27,Attributes!$A:$A,0)-1,MATCH("Attr EN",Attributes!$1:$1,0)-1),"#",$B27*$B$1&amp;"-"&amp;$C27*$B$1)</f>
        <v>+15-24 Strength</v>
      </c>
      <c r="H27" s="32" t="str">
        <f ca="1">FormatItemDescription(F26:F30)</f>
        <v>|CFF8B66FFRare|R|N+15-24力量|N+24-36敏捷|N+30-60攻击强度|N|N|CFFFFDEAD“你认得这把斧头……”|R</v>
      </c>
      <c r="I27" s="32" t="str">
        <f ca="1">FormatItemDescription(G26:G30)</f>
        <v>|CFF8B66FFRare|R|N+15-24 Strength|N+24-36 Agility|N+30-60 Attack power|N|N|CFFFFDEAD"You know this blade..."|R</v>
      </c>
      <c r="J27" s="35" t="s">
        <v>571</v>
      </c>
      <c r="K27" s="95" t="str">
        <f t="shared" si="0"/>
        <v>FFFFFF</v>
      </c>
    </row>
    <row r="28" spans="1:11" x14ac:dyDescent="0.25">
      <c r="A28" s="32">
        <v>13</v>
      </c>
      <c r="B28" s="32">
        <v>8</v>
      </c>
      <c r="C28" s="32">
        <v>12</v>
      </c>
      <c r="D28" s="144">
        <f ca="1">OFFSET(Attributes!$A$1,MATCH(Rare!$A28,Attributes!$A:$A,0)-1,MATCH("Type",Attributes!$1:$1,0)-1)</f>
        <v>1</v>
      </c>
      <c r="E28" s="144" t="str">
        <f ca="1">IFERROR(OFFSET(Attributes!$A$1,MATCH(Rare!$A28,Attributes!$A:$A,0)-1,MATCH("Abbr",Attributes!$1:$1,0)-1),"")</f>
        <v>AGI</v>
      </c>
      <c r="F28" s="84" t="str">
        <f ca="1">SUBSTITUTE(OFFSET(Attributes!$A$1,MATCH($A28,Attributes!$A:$A,0)-1,MATCH("Attr CN",Attributes!$1:$1,0)-1),"#",$B28*$B$1&amp;"-"&amp;$C28*$B$1)</f>
        <v>+24-36敏捷</v>
      </c>
      <c r="G28" s="97" t="str">
        <f ca="1">SUBSTITUTE(OFFSET(Attributes!$A$1,MATCH($A28,Attributes!$A:$A,0)-1,MATCH("Attr EN",Attributes!$1:$1,0)-1),"#",$B28*$B$1&amp;"-"&amp;$C28*$B$1)</f>
        <v>+24-36 Agility</v>
      </c>
      <c r="H28" s="32" t="str">
        <f ca="1">FormatItemUbertip(F27:F30)</f>
        <v>+15-24力量|N+24-36敏捷|N+30-60攻击强度|N|N|CFFFFDEAD“你认得这把斧头……”|R</v>
      </c>
      <c r="I28" s="32" t="str">
        <f ca="1">FormatItemUbertip(G27:G30)</f>
        <v>+15-24 Strength|N+24-36 Agility|N+30-60 Attack power|N|N|CFFFFDEAD"You know this blade..."|R</v>
      </c>
      <c r="J28" s="35" t="s">
        <v>571</v>
      </c>
      <c r="K28" s="95" t="str">
        <f t="shared" si="0"/>
        <v>FFFFFF</v>
      </c>
    </row>
    <row r="29" spans="1:11" x14ac:dyDescent="0.25">
      <c r="A29" s="32">
        <v>9</v>
      </c>
      <c r="B29" s="32">
        <v>10</v>
      </c>
      <c r="C29" s="32">
        <v>20</v>
      </c>
      <c r="D29" s="144">
        <f ca="1">OFFSET(Attributes!$A$1,MATCH(Rare!$A29,Attributes!$A:$A,0)-1,MATCH("Type",Attributes!$1:$1,0)-1)</f>
        <v>1</v>
      </c>
      <c r="E29" s="144" t="str">
        <f ca="1">IFERROR(OFFSET(Attributes!$A$1,MATCH(Rare!$A29,Attributes!$A:$A,0)-1,MATCH("Abbr",Attributes!$1:$1,0)-1),"")</f>
        <v>AP</v>
      </c>
      <c r="F29" s="84" t="str">
        <f ca="1">SUBSTITUTE(OFFSET(Attributes!$A$1,MATCH($A29,Attributes!$A:$A,0)-1,MATCH("Attr CN",Attributes!$1:$1,0)-1),"#",$B29*$B$1&amp;"-"&amp;$C29*$B$1)</f>
        <v>+30-60攻击强度</v>
      </c>
      <c r="G29" s="97" t="str">
        <f ca="1">SUBSTITUTE(OFFSET(Attributes!$A$1,MATCH($A29,Attributes!$A:$A,0)-1,MATCH("Attr EN",Attributes!$1:$1,0)-1),"#",$B29*$B$1&amp;"-"&amp;$C29*$B$1)</f>
        <v>+30-60 Attack power</v>
      </c>
      <c r="H29" s="40"/>
      <c r="I29" s="40"/>
      <c r="J29" s="35" t="s">
        <v>571</v>
      </c>
      <c r="K29" s="95" t="str">
        <f t="shared" si="0"/>
        <v>FFFFFF</v>
      </c>
    </row>
    <row r="30" spans="1:11" x14ac:dyDescent="0.25">
      <c r="E30" s="144" t="str">
        <f ca="1">IFERROR(OFFSET(Attributes!$A$1,MATCH(Rare!$A30,Attributes!$A:$A,0)-1,MATCH("Abbr",Attributes!$1:$1,0)-1),"")</f>
        <v/>
      </c>
      <c r="F30" s="88" t="s">
        <v>62</v>
      </c>
      <c r="G30" s="98" t="s">
        <v>578</v>
      </c>
      <c r="J30" s="35" t="s">
        <v>571</v>
      </c>
      <c r="K30" s="95" t="str">
        <f t="shared" si="0"/>
        <v>FFDEAD</v>
      </c>
    </row>
    <row r="31" spans="1:11" x14ac:dyDescent="0.25">
      <c r="E31" s="144" t="str">
        <f ca="1">IFERROR(OFFSET(Attributes!$A$1,MATCH(Rare!$A31,Attributes!$A:$A,0)-1,MATCH("Abbr",Attributes!$1:$1,0)-1),"")</f>
        <v/>
      </c>
      <c r="J31" s="35" t="s">
        <v>571</v>
      </c>
      <c r="K31" s="95" t="str">
        <f t="shared" si="0"/>
        <v>000000</v>
      </c>
    </row>
    <row r="32" spans="1:11" x14ac:dyDescent="0.25">
      <c r="E32" s="144" t="str">
        <f ca="1">IFERROR(OFFSET(Attributes!$A$1,MATCH(Rare!$A32,Attributes!$A:$A,0)-1,MATCH("Abbr",Attributes!$1:$1,0)-1),"")</f>
        <v/>
      </c>
      <c r="F32" s="103" t="s">
        <v>64</v>
      </c>
      <c r="G32" s="124"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44">
        <f ca="1">OFFSET(Attributes!$A$1,MATCH(Rare!$A33,Attributes!$A:$A,0)-1,MATCH("Type",Attributes!$1:$1,0)-1)</f>
        <v>1</v>
      </c>
      <c r="E33" s="144" t="str">
        <f ca="1">IFERROR(OFFSET(Attributes!$A$1,MATCH(Rare!$A33,Attributes!$A:$A,0)-1,MATCH("Abbr",Attributes!$1:$1,0)-1),"")</f>
        <v>STR</v>
      </c>
      <c r="F33" s="84" t="str">
        <f ca="1">SUBSTITUTE(OFFSET(Attributes!$A$1,MATCH($A33,Attributes!$A:$A,0)-1,MATCH("Attr CN",Attributes!$1:$1,0)-1),"#",$B33*$B$1&amp;"-"&amp;$C33*$B$1)</f>
        <v>+30-39力量</v>
      </c>
      <c r="G33" s="97" t="str">
        <f ca="1">SUBSTITUTE(OFFSET(Attributes!$A$1,MATCH($A33,Attributes!$A:$A,0)-1,MATCH("Attr EN",Attributes!$1:$1,0)-1),"#",$B33*$B$1&amp;"-"&amp;$C33*$B$1)</f>
        <v>+30-39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|CFF8B66FFRare|R|N+30-39 Strength|N+30-45 Attack power|N+0.09-0.15 Attack critical|N|N|CFFFFDEAD"The axe of Grom Hellscream has sown terror across hundreds of battlefields."|R</v>
      </c>
      <c r="J33" s="35" t="s">
        <v>571</v>
      </c>
      <c r="K33" s="95" t="str">
        <f t="shared" si="0"/>
        <v>FFFFFF</v>
      </c>
    </row>
    <row r="34" spans="1:11" x14ac:dyDescent="0.25">
      <c r="A34" s="32">
        <v>9</v>
      </c>
      <c r="B34" s="32">
        <v>10</v>
      </c>
      <c r="C34" s="32">
        <v>15</v>
      </c>
      <c r="D34" s="144">
        <f ca="1">OFFSET(Attributes!$A$1,MATCH(Rare!$A34,Attributes!$A:$A,0)-1,MATCH("Type",Attributes!$1:$1,0)-1)</f>
        <v>1</v>
      </c>
      <c r="E34" s="144" t="str">
        <f ca="1">IFERROR(OFFSET(Attributes!$A$1,MATCH(Rare!$A34,Attributes!$A:$A,0)-1,MATCH("Abbr",Attributes!$1:$1,0)-1),"")</f>
        <v>AP</v>
      </c>
      <c r="F34" s="84" t="str">
        <f ca="1">SUBSTITUTE(OFFSET(Attributes!$A$1,MATCH($A34,Attributes!$A:$A,0)-1,MATCH("Attr CN",Attributes!$1:$1,0)-1),"#",$B34*$B$1&amp;"-"&amp;$C34*$B$1)</f>
        <v>+30-45攻击强度</v>
      </c>
      <c r="G34" s="97" t="str">
        <f ca="1">SUBSTITUTE(OFFSET(Attributes!$A$1,MATCH($A34,Attributes!$A:$A,0)-1,MATCH("Attr EN",Attributes!$1:$1,0)-1),"#",$B34*$B$1&amp;"-"&amp;$C34*$B$1)</f>
        <v>+30-45 Attack power</v>
      </c>
      <c r="H34" s="32" t="str">
        <f ca="1">FormatItemUbertip(F33:F36)</f>
        <v>+30-39力量|N+30-45攻击强度|N+0.09-0.15攻击暴击|N|N|CFFFFDEAD“这把格罗姆地狱咆哮的战斧曾在无数的战场上令敌人闻风丧胆。”|R</v>
      </c>
      <c r="I34" s="32" t="str">
        <f ca="1">FormatItemUbertip(G33:G36)</f>
        <v>+30-39 Strength|N+30-45 Attack power|N+0.09-0.15 Attack critical|N|N|CFFFFDEAD"The axe of Grom Hellscream has sown terror across hundreds of battlefields."|R</v>
      </c>
      <c r="J34" s="35" t="s">
        <v>571</v>
      </c>
      <c r="K34" s="95" t="str">
        <f t="shared" si="0"/>
        <v>FFFFFF</v>
      </c>
    </row>
    <row r="35" spans="1:11" x14ac:dyDescent="0.25">
      <c r="A35" s="32">
        <v>11</v>
      </c>
      <c r="B35" s="32">
        <v>0.03</v>
      </c>
      <c r="C35" s="32">
        <v>0.05</v>
      </c>
      <c r="D35" s="144">
        <f ca="1">OFFSET(Attributes!$A$1,MATCH(Rare!$A35,Attributes!$A:$A,0)-1,MATCH("Type",Attributes!$1:$1,0)-1)</f>
        <v>1</v>
      </c>
      <c r="E35" s="144" t="str">
        <f ca="1">IFERROR(OFFSET(Attributes!$A$1,MATCH(Rare!$A35,Attributes!$A:$A,0)-1,MATCH("Abbr",Attributes!$1:$1,0)-1),"")</f>
        <v>CRIT</v>
      </c>
      <c r="F35" s="84" t="str">
        <f ca="1">SUBSTITUTE(OFFSET(Attributes!$A$1,MATCH($A35,Attributes!$A:$A,0)-1,MATCH("Attr CN",Attributes!$1:$1,0)-1),"#",$B35*$B$1&amp;"-"&amp;$C35*$B$1)</f>
        <v>+0.09-0.15攻击暴击</v>
      </c>
      <c r="G35" s="97" t="str">
        <f ca="1">SUBSTITUTE(OFFSET(Attributes!$A$1,MATCH($A35,Attributes!$A:$A,0)-1,MATCH("Attr EN",Attributes!$1:$1,0)-1),"#",$B35*$B$1&amp;"-"&amp;$C35*$B$1)</f>
        <v>+0.09-0.15 Attack critical</v>
      </c>
      <c r="H35" s="40"/>
      <c r="I35" s="40"/>
      <c r="J35" s="35" t="s">
        <v>571</v>
      </c>
      <c r="K35" s="95" t="str">
        <f t="shared" si="0"/>
        <v>FFFFFF</v>
      </c>
    </row>
    <row r="36" spans="1:11" ht="28.5" x14ac:dyDescent="0.25">
      <c r="E36" s="144" t="str">
        <f ca="1">IFERROR(OFFSET(Attributes!$A$1,MATCH(Rare!$A36,Attributes!$A:$A,0)-1,MATCH("Abbr",Attributes!$1:$1,0)-1),"")</f>
        <v/>
      </c>
      <c r="F36" s="88" t="s">
        <v>285</v>
      </c>
      <c r="G36" s="98" t="s">
        <v>580</v>
      </c>
      <c r="J36" s="35" t="s">
        <v>571</v>
      </c>
      <c r="K36" s="95" t="str">
        <f t="shared" si="0"/>
        <v>FFDEAD</v>
      </c>
    </row>
    <row r="37" spans="1:11" x14ac:dyDescent="0.25">
      <c r="E37" s="144" t="str">
        <f ca="1">IFERROR(OFFSET(Attributes!$A$1,MATCH(Rare!$A37,Attributes!$A:$A,0)-1,MATCH("Abbr",Attributes!$1:$1,0)-1),"")</f>
        <v/>
      </c>
      <c r="J37" s="35" t="s">
        <v>571</v>
      </c>
      <c r="K37" s="95" t="str">
        <f t="shared" si="0"/>
        <v>000000</v>
      </c>
    </row>
    <row r="38" spans="1:11" x14ac:dyDescent="0.25">
      <c r="E38" s="144" t="str">
        <f ca="1">IFERROR(OFFSET(Attributes!$A$1,MATCH(Rare!$A38,Attributes!$A:$A,0)-1,MATCH("Abbr",Attributes!$1:$1,0)-1),"")</f>
        <v/>
      </c>
      <c r="F38" s="103" t="s">
        <v>69</v>
      </c>
      <c r="G38" s="124"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44">
        <f ca="1">OFFSET(Attributes!$A$1,MATCH(Rare!$A39,Attributes!$A:$A,0)-1,MATCH("Type",Attributes!$1:$1,0)-1)</f>
        <v>1</v>
      </c>
      <c r="E39" s="144" t="str">
        <f ca="1">IFERROR(OFFSET(Attributes!$A$1,MATCH(Rare!$A39,Attributes!$A:$A,0)-1,MATCH("Abbr",Attributes!$1:$1,0)-1),"")</f>
        <v>HP</v>
      </c>
      <c r="F39" s="84" t="str">
        <f ca="1">SUBSTITUTE(OFFSET(Attributes!$A$1,MATCH($A39,Attributes!$A:$A,0)-1,MATCH("Attr CN",Attributes!$1:$1,0)-1),"#",$B39*$B$1&amp;"-"&amp;$C39*$B$1)</f>
        <v>+150-225生命上限</v>
      </c>
      <c r="G39" s="97" t="str">
        <f ca="1">SUBSTITUTE(OFFSET(Attributes!$A$1,MATCH($A39,Attributes!$A:$A,0)-1,MATCH("Attr EN",Attributes!$1:$1,0)-1),"#",$B39*$B$1&amp;"-"&amp;$C39*$B$1)</f>
        <v>+150-225 Max HP</v>
      </c>
      <c r="H39" s="32" t="str">
        <f ca="1">FormatItemDescription(F38:F42)</f>
        <v>|CFF8B66FFRare|R|N+150-225生命上限|N+45-66攻击强度|N+15-21%攻击速度|N+0.06-0.12攻击暴击</v>
      </c>
      <c r="I39" s="32" t="str">
        <f ca="1">FormatItemDescription(G38:G42)</f>
        <v>|CFF8B66FFRare|R|N+150-225 Max HP|N+45-66 Attack power|N+15-21% Attack speed|N+0.06-0.12 Attack critical</v>
      </c>
      <c r="J39" s="35" t="s">
        <v>571</v>
      </c>
      <c r="K39" s="95" t="str">
        <f t="shared" si="0"/>
        <v>FFFFFF</v>
      </c>
    </row>
    <row r="40" spans="1:11" x14ac:dyDescent="0.25">
      <c r="A40" s="32">
        <v>9</v>
      </c>
      <c r="B40" s="32">
        <v>15</v>
      </c>
      <c r="C40" s="32">
        <v>22</v>
      </c>
      <c r="D40" s="144">
        <f ca="1">OFFSET(Attributes!$A$1,MATCH(Rare!$A40,Attributes!$A:$A,0)-1,MATCH("Type",Attributes!$1:$1,0)-1)</f>
        <v>1</v>
      </c>
      <c r="E40" s="144" t="str">
        <f ca="1">IFERROR(OFFSET(Attributes!$A$1,MATCH(Rare!$A40,Attributes!$A:$A,0)-1,MATCH("Abbr",Attributes!$1:$1,0)-1),"")</f>
        <v>AP</v>
      </c>
      <c r="F40" s="84" t="str">
        <f ca="1">SUBSTITUTE(OFFSET(Attributes!$A$1,MATCH($A40,Attributes!$A:$A,0)-1,MATCH("Attr CN",Attributes!$1:$1,0)-1),"#",$B40*$B$1&amp;"-"&amp;$C40*$B$1)</f>
        <v>+45-66攻击强度</v>
      </c>
      <c r="G40" s="97" t="str">
        <f ca="1">SUBSTITUTE(OFFSET(Attributes!$A$1,MATCH($A40,Attributes!$A:$A,0)-1,MATCH("Attr EN",Attributes!$1:$1,0)-1),"#",$B40*$B$1&amp;"-"&amp;$C40*$B$1)</f>
        <v>+45-66 Attack power</v>
      </c>
      <c r="H40" s="32" t="str">
        <f ca="1">FormatItemUbertip(F39:F42)</f>
        <v>+150-225生命上限|N+45-66攻击强度|N+15-21%攻击速度|N+0.06-0.12攻击暴击</v>
      </c>
      <c r="I40" s="32" t="str">
        <f ca="1">FormatItemUbertip(G39:G42)</f>
        <v>+150-225 Max HP|N+45-66 Attack power|N+15-21% Attack speed|N+0.06-0.12 Attack critical</v>
      </c>
      <c r="J40" s="35" t="s">
        <v>571</v>
      </c>
      <c r="K40" s="95" t="str">
        <f t="shared" si="0"/>
        <v>FFFFFF</v>
      </c>
    </row>
    <row r="41" spans="1:11" x14ac:dyDescent="0.25">
      <c r="A41" s="32">
        <v>12</v>
      </c>
      <c r="B41" s="32">
        <v>5</v>
      </c>
      <c r="C41" s="32">
        <v>7</v>
      </c>
      <c r="D41" s="144">
        <f ca="1">OFFSET(Attributes!$A$1,MATCH(Rare!$A41,Attributes!$A:$A,0)-1,MATCH("Type",Attributes!$1:$1,0)-1)</f>
        <v>1</v>
      </c>
      <c r="E41" s="144" t="str">
        <f ca="1">IFERROR(OFFSET(Attributes!$A$1,MATCH(Rare!$A41,Attributes!$A:$A,0)-1,MATCH("Abbr",Attributes!$1:$1,0)-1),"")</f>
        <v>IAS</v>
      </c>
      <c r="F41" s="84" t="str">
        <f ca="1">SUBSTITUTE(OFFSET(Attributes!$A$1,MATCH($A41,Attributes!$A:$A,0)-1,MATCH("Attr CN",Attributes!$1:$1,0)-1),"#",$B41*$B$1&amp;"-"&amp;$C41*$B$1)</f>
        <v>+15-21%攻击速度</v>
      </c>
      <c r="G41" s="97" t="str">
        <f ca="1">SUBSTITUTE(OFFSET(Attributes!$A$1,MATCH($A41,Attributes!$A:$A,0)-1,MATCH("Attr EN",Attributes!$1:$1,0)-1),"#",$B41*$B$1&amp;"-"&amp;$C41*$B$1)</f>
        <v>+15-21% Attack speed</v>
      </c>
      <c r="J41" s="35" t="s">
        <v>571</v>
      </c>
      <c r="K41" s="95" t="str">
        <f t="shared" si="0"/>
        <v>FFFFFF</v>
      </c>
    </row>
    <row r="42" spans="1:11" x14ac:dyDescent="0.25">
      <c r="A42" s="32">
        <v>11</v>
      </c>
      <c r="B42" s="32">
        <v>0.02</v>
      </c>
      <c r="C42" s="32">
        <v>0.04</v>
      </c>
      <c r="D42" s="144">
        <f ca="1">OFFSET(Attributes!$A$1,MATCH(Rare!$A42,Attributes!$A:$A,0)-1,MATCH("Type",Attributes!$1:$1,0)-1)</f>
        <v>1</v>
      </c>
      <c r="E42" s="144" t="str">
        <f ca="1">IFERROR(OFFSET(Attributes!$A$1,MATCH(Rare!$A42,Attributes!$A:$A,0)-1,MATCH("Abbr",Attributes!$1:$1,0)-1),"")</f>
        <v>CRIT</v>
      </c>
      <c r="F42" s="84" t="str">
        <f ca="1">SUBSTITUTE(OFFSET(Attributes!$A$1,MATCH($A42,Attributes!$A:$A,0)-1,MATCH("Attr CN",Attributes!$1:$1,0)-1),"#",$B42*$B$1&amp;"-"&amp;$C42*$B$1)</f>
        <v>+0.06-0.12攻击暴击</v>
      </c>
      <c r="G42" s="97" t="str">
        <f ca="1">SUBSTITUTE(OFFSET(Attributes!$A$1,MATCH($A42,Attributes!$A:$A,0)-1,MATCH("Attr EN",Attributes!$1:$1,0)-1),"#",$B42*$B$1&amp;"-"&amp;$C42*$B$1)</f>
        <v>+0.06-0.12 Attack critical</v>
      </c>
      <c r="J42" s="35" t="s">
        <v>571</v>
      </c>
      <c r="K42" s="95" t="str">
        <f t="shared" si="0"/>
        <v>FFFFFF</v>
      </c>
    </row>
    <row r="43" spans="1:11" x14ac:dyDescent="0.25">
      <c r="E43" s="144" t="str">
        <f ca="1">IFERROR(OFFSET(Attributes!$A$1,MATCH(Rare!$A43,Attributes!$A:$A,0)-1,MATCH("Abbr",Attributes!$1:$1,0)-1),"")</f>
        <v/>
      </c>
      <c r="J43" s="35" t="s">
        <v>571</v>
      </c>
      <c r="K43" s="95" t="str">
        <f t="shared" si="0"/>
        <v>000000</v>
      </c>
    </row>
    <row r="44" spans="1:11" x14ac:dyDescent="0.25">
      <c r="E44" s="144" t="str">
        <f ca="1">IFERROR(OFFSET(Attributes!$A$1,MATCH(Rare!$A44,Attributes!$A:$A,0)-1,MATCH("Abbr",Attributes!$1:$1,0)-1),"")</f>
        <v/>
      </c>
      <c r="F44" s="103" t="s">
        <v>79</v>
      </c>
      <c r="G44" s="124"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44">
        <f ca="1">OFFSET(Attributes!$A$1,MATCH(Rare!$A45,Attributes!$A:$A,0)-1,MATCH("Type",Attributes!$1:$1,0)-1)</f>
        <v>1</v>
      </c>
      <c r="E45" s="144" t="str">
        <f ca="1">IFERROR(OFFSET(Attributes!$A$1,MATCH(Rare!$A45,Attributes!$A:$A,0)-1,MATCH("Abbr",Attributes!$1:$1,0)-1),"")</f>
        <v>AGI</v>
      </c>
      <c r="F45" s="84"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|CFF8B66FFRare|R|N+24-36敏捷|N+36-54攻击强度|N+21-36%攻击速度|N攻击汲取0.12-0.15生命|N|N|CFFFFDEAD"血书."|R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44">
        <f ca="1">OFFSET(Attributes!$A$1,MATCH(Rare!$A46,Attributes!$A:$A,0)-1,MATCH("Type",Attributes!$1:$1,0)-1)</f>
        <v>1</v>
      </c>
      <c r="E46" s="144" t="str">
        <f ca="1">IFERROR(OFFSET(Attributes!$A$1,MATCH(Rare!$A46,Attributes!$A:$A,0)-1,MATCH("Abbr",Attributes!$1:$1,0)-1),"")</f>
        <v>AP</v>
      </c>
      <c r="F46" s="84"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+24-36敏捷|N+36-54攻击强度|N+21-36%攻击速度|N攻击汲取0.12-0.15生命|N|N|CFFFFDEAD"血书."|R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44">
        <f ca="1">OFFSET(Attributes!$A$1,MATCH(Rare!$A47,Attributes!$A:$A,0)-1,MATCH("Type",Attributes!$1:$1,0)-1)</f>
        <v>1</v>
      </c>
      <c r="E47" s="144" t="str">
        <f ca="1">IFERROR(OFFSET(Attributes!$A$1,MATCH(Rare!$A47,Attributes!$A:$A,0)-1,MATCH("Abbr",Attributes!$1:$1,0)-1),"")</f>
        <v>IAS</v>
      </c>
      <c r="F47" s="84"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44">
        <f ca="1">OFFSET(Attributes!$A$1,MATCH(Rare!$A48,Attributes!$A:$A,0)-1,MATCH("Type",Attributes!$1:$1,0)-1)</f>
        <v>3</v>
      </c>
      <c r="E48" s="144" t="str">
        <f ca="1">IFERROR(OFFSET(Attributes!$A$1,MATCH(Rare!$A48,Attributes!$A:$A,0)-1,MATCH("Abbr",Attributes!$1:$1,0)-1),"")</f>
        <v>ATK_LL</v>
      </c>
      <c r="F48" s="84" t="str">
        <f ca="1">SUBSTITUTE(OFFSET(Attributes!$A$1,MATCH($A48,Attributes!$A:$A,0)-1,MATCH("Attr CN",Attributes!$1:$1,0)-1),"#",$B48*$B$1&amp;"-"&amp;$C48*$B$1)</f>
        <v>攻击汲取0.12-0.15生命</v>
      </c>
      <c r="G48" s="129" t="str">
        <f ca="1">SUBSTITUTE(OFFSET(Attributes!$A$1,MATCH($A48,Attributes!$A:$A,0)-1,MATCH("Attr EN",Attributes!$1:$1,0)-1),"#",$B48*$B$1&amp;"-"&amp;$C48*$B$1)</f>
        <v>+0.12-0.15 Life stolen per hit</v>
      </c>
      <c r="J48" s="35" t="s">
        <v>571</v>
      </c>
      <c r="K48" s="95" t="str">
        <f t="shared" si="0"/>
        <v>87CEEB</v>
      </c>
    </row>
    <row r="49" spans="1:11" x14ac:dyDescent="0.25">
      <c r="E49" s="144" t="str">
        <f ca="1">IFERROR(OFFSET(Attributes!$A$1,MATCH(Rare!$A49,Attributes!$A:$A,0)-1,MATCH("Abbr",Attributes!$1:$1,0)-1),"")</f>
        <v/>
      </c>
      <c r="F49" s="88" t="s">
        <v>86</v>
      </c>
      <c r="G49" s="98" t="s">
        <v>581</v>
      </c>
      <c r="J49" s="35" t="s">
        <v>571</v>
      </c>
      <c r="K49" s="95" t="str">
        <f t="shared" si="0"/>
        <v>FFDEAD</v>
      </c>
    </row>
    <row r="50" spans="1:11" x14ac:dyDescent="0.25">
      <c r="E50" s="144" t="str">
        <f ca="1">IFERROR(OFFSET(Attributes!$A$1,MATCH(Rare!$A50,Attributes!$A:$A,0)-1,MATCH("Abbr",Attributes!$1:$1,0)-1),"")</f>
        <v/>
      </c>
      <c r="J50" s="35" t="s">
        <v>571</v>
      </c>
      <c r="K50" s="95" t="str">
        <f t="shared" si="0"/>
        <v>000000</v>
      </c>
    </row>
    <row r="51" spans="1:11" x14ac:dyDescent="0.25">
      <c r="E51" s="144" t="str">
        <f ca="1">IFERROR(OFFSET(Attributes!$A$1,MATCH(Rare!$A51,Attributes!$A:$A,0)-1,MATCH("Abbr",Attributes!$1:$1,0)-1),"")</f>
        <v/>
      </c>
      <c r="F51" s="103" t="s">
        <v>88</v>
      </c>
      <c r="G51" s="124"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44">
        <f ca="1">OFFSET(Attributes!$A$1,MATCH(Rare!$A52,Attributes!$A:$A,0)-1,MATCH("Type",Attributes!$1:$1,0)-1)</f>
        <v>1</v>
      </c>
      <c r="E52" s="144" t="str">
        <f ca="1">IFERROR(OFFSET(Attributes!$A$1,MATCH(Rare!$A52,Attributes!$A:$A,0)-1,MATCH("Abbr",Attributes!$1:$1,0)-1),"")</f>
        <v>AP</v>
      </c>
      <c r="F52" s="84"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|CFF8B66FFRare|R|N+36-45攻击强度|N+0.03-0.06伤害和治疗|N命中：有0.15-0.21的几率提高30%的攻击速度，持续5秒|N|N|CFF999999比龙脊奖章好多了.|R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44">
        <f ca="1">OFFSET(Attributes!$A$1,MATCH(Rare!$A53,Attributes!$A:$A,0)-1,MATCH("Type",Attributes!$1:$1,0)-1)</f>
        <v>1</v>
      </c>
      <c r="E53" s="144" t="str">
        <f ca="1">IFERROR(OFFSET(Attributes!$A$1,MATCH(Rare!$A53,Attributes!$A:$A,0)-1,MATCH("Abbr",Attributes!$1:$1,0)-1),"")</f>
        <v>AMP</v>
      </c>
      <c r="F53" s="84"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+36-45攻击强度|N+0.03-0.06伤害和治疗|N命中：有0.15-0.21的几率提高30%的攻击速度，持续5秒|N|N|CFF999999比龙脊奖章好多了.|R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44">
        <f ca="1">OFFSET(Attributes!$A$1,MATCH(Rare!$A54,Attributes!$A:$A,0)-1,MATCH("Type",Attributes!$1:$1,0)-1)</f>
        <v>2</v>
      </c>
      <c r="E54" s="144" t="str">
        <f ca="1">IFERROR(OFFSET(Attributes!$A$1,MATCH(Rare!$A54,Attributes!$A:$A,0)-1,MATCH("Abbr",Attributes!$1:$1,0)-1),"")</f>
        <v>ATK_LION</v>
      </c>
      <c r="F54" s="84" t="str">
        <f ca="1">SUBSTITUTE(OFFSET(Attributes!$A$1,MATCH($A54,Attributes!$A:$A,0)-1,MATCH("Attr CN",Attributes!$1:$1,0)-1),"#",$B54*$B$1&amp;"-"&amp;$C54*$B$1)</f>
        <v>命中：有0.15-0.21的几率提高30%的攻击速度，持续5秒</v>
      </c>
      <c r="G54" s="130"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44" t="str">
        <f ca="1">IFERROR(OFFSET(Attributes!$A$1,MATCH(Rare!$A55,Attributes!$A:$A,0)-1,MATCH("Abbr",Attributes!$1:$1,0)-1),"")</f>
        <v/>
      </c>
      <c r="F55" s="102" t="s">
        <v>93</v>
      </c>
      <c r="G55" s="123" t="s">
        <v>582</v>
      </c>
      <c r="J55" s="35" t="s">
        <v>571</v>
      </c>
      <c r="K55" s="95" t="str">
        <f t="shared" si="0"/>
        <v>999999</v>
      </c>
    </row>
    <row r="56" spans="1:11" x14ac:dyDescent="0.25">
      <c r="E56" s="144" t="str">
        <f ca="1">IFERROR(OFFSET(Attributes!$A$1,MATCH(Rare!$A56,Attributes!$A:$A,0)-1,MATCH("Abbr",Attributes!$1:$1,0)-1),"")</f>
        <v/>
      </c>
      <c r="J56" s="35" t="s">
        <v>571</v>
      </c>
      <c r="K56" s="95" t="str">
        <f t="shared" si="0"/>
        <v>000000</v>
      </c>
    </row>
    <row r="57" spans="1:11" s="34" customFormat="1" x14ac:dyDescent="0.25">
      <c r="A57" s="32"/>
      <c r="B57" s="32"/>
      <c r="C57" s="32"/>
      <c r="D57" s="144"/>
      <c r="E57" s="144" t="str">
        <f ca="1">IFERROR(OFFSET(Attributes!$A$1,MATCH(Rare!$A57,Attributes!$A:$A,0)-1,MATCH("Abbr",Attributes!$1:$1,0)-1),"")</f>
        <v/>
      </c>
      <c r="F57" s="103" t="s">
        <v>55</v>
      </c>
      <c r="G57" s="124"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44">
        <f ca="1">OFFSET(Attributes!$A$1,MATCH(Rare!$A58,Attributes!$A:$A,0)-1,MATCH("Type",Attributes!$1:$1,0)-1)</f>
        <v>1</v>
      </c>
      <c r="E58" s="144" t="str">
        <f ca="1">IFERROR(OFFSET(Attributes!$A$1,MATCH(Rare!$A58,Attributes!$A:$A,0)-1,MATCH("Abbr",Attributes!$1:$1,0)-1),"")</f>
        <v>DEF</v>
      </c>
      <c r="F58" s="84"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|CFF8B66FFRare|R|N+6-9护甲|N+24-36力量|N+60-135格挡值|N每秒流失12-24生命值|N受到普通攻击：降低目标的攻击强度150-225点|N|N|CFFFFDEAD"迟缓大法,恶咒附身,虚弱无力,大难临头"|R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44">
        <f ca="1">OFFSET(Attributes!$A$1,MATCH(Rare!$A59,Attributes!$A:$A,0)-1,MATCH("Type",Attributes!$1:$1,0)-1)</f>
        <v>1</v>
      </c>
      <c r="E59" s="144" t="str">
        <f ca="1">IFERROR(OFFSET(Attributes!$A$1,MATCH(Rare!$A59,Attributes!$A:$A,0)-1,MATCH("Abbr",Attributes!$1:$1,0)-1),"")</f>
        <v>STR</v>
      </c>
      <c r="F59" s="84"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+6-9护甲|N+24-36力量|N+60-135格挡值|N每秒流失12-24生命值|N受到普通攻击：降低目标的攻击强度150-225点|N|N|CFFFFDEAD"迟缓大法,恶咒附身,虚弱无力,大难临头"|R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44">
        <f ca="1">OFFSET(Attributes!$A$1,MATCH(Rare!$A60,Attributes!$A:$A,0)-1,MATCH("Type",Attributes!$1:$1,0)-1)</f>
        <v>1</v>
      </c>
      <c r="E60" s="144" t="str">
        <f ca="1">IFERROR(OFFSET(Attributes!$A$1,MATCH(Rare!$A60,Attributes!$A:$A,0)-1,MATCH("Abbr",Attributes!$1:$1,0)-1),"")</f>
        <v>BP</v>
      </c>
      <c r="F60" s="84"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44">
        <f ca="1">OFFSET(Attributes!$A$1,MATCH(Rare!$A61,Attributes!$A:$A,0)-1,MATCH("Type",Attributes!$1:$1,0)-1)</f>
        <v>1</v>
      </c>
      <c r="E61" s="144" t="str">
        <f ca="1">IFERROR(OFFSET(Attributes!$A$1,MATCH(Rare!$A61,Attributes!$A:$A,0)-1,MATCH("Abbr",Attributes!$1:$1,0)-1),"")</f>
        <v>HLOST</v>
      </c>
      <c r="F61" s="84"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44">
        <f ca="1">OFFSET(Attributes!$A$1,MATCH(Rare!$A62,Attributes!$A:$A,0)-1,MATCH("Type",Attributes!$1:$1,0)-1)</f>
        <v>2</v>
      </c>
      <c r="E62" s="144" t="str">
        <f ca="1">IFERROR(OFFSET(Attributes!$A$1,MATCH(Rare!$A62,Attributes!$A:$A,0)-1,MATCH("Abbr",Attributes!$1:$1,0)-1),"")</f>
        <v>ATKED_WEAK</v>
      </c>
      <c r="F62" s="84" t="str">
        <f ca="1">SUBSTITUTE(OFFSET(Attributes!$A$1,MATCH($A62,Attributes!$A:$A,0)-1,MATCH("Attr CN",Attributes!$1:$1,0)-1),"#",$B62*$B$1&amp;"-"&amp;$C62*$B$1)</f>
        <v>受到普通攻击：降低目标的攻击强度150-225点</v>
      </c>
      <c r="G62" s="130"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44"/>
      <c r="E63" s="144" t="str">
        <f ca="1">IFERROR(OFFSET(Attributes!$A$1,MATCH(Rare!$A63,Attributes!$A:$A,0)-1,MATCH("Abbr",Attributes!$1:$1,0)-1),"")</f>
        <v/>
      </c>
      <c r="F63" s="88" t="s">
        <v>63</v>
      </c>
      <c r="G63" s="98" t="s">
        <v>584</v>
      </c>
      <c r="J63" s="35" t="s">
        <v>571</v>
      </c>
      <c r="K63" s="95" t="str">
        <f t="shared" si="0"/>
        <v>FFDEAD</v>
      </c>
    </row>
    <row r="64" spans="1:11" s="34" customFormat="1" x14ac:dyDescent="0.25">
      <c r="A64" s="32"/>
      <c r="B64" s="32"/>
      <c r="C64" s="32"/>
      <c r="D64" s="144"/>
      <c r="E64" s="144" t="str">
        <f ca="1">IFERROR(OFFSET(Attributes!$A$1,MATCH(Rare!$A64,Attributes!$A:$A,0)-1,MATCH("Abbr",Attributes!$1:$1,0)-1),"")</f>
        <v/>
      </c>
      <c r="F64" s="67"/>
      <c r="G64" s="99"/>
      <c r="J64" s="35" t="s">
        <v>571</v>
      </c>
      <c r="K64" s="95" t="str">
        <f t="shared" si="0"/>
        <v>000000</v>
      </c>
    </row>
    <row r="65" spans="1:11" s="34" customFormat="1" x14ac:dyDescent="0.25">
      <c r="A65" s="32"/>
      <c r="B65" s="32"/>
      <c r="C65" s="32"/>
      <c r="D65" s="144"/>
      <c r="E65" s="144" t="str">
        <f ca="1">IFERROR(OFFSET(Attributes!$A$1,MATCH(Rare!$A65,Attributes!$A:$A,0)-1,MATCH("Abbr",Attributes!$1:$1,0)-1),"")</f>
        <v/>
      </c>
      <c r="F65" s="103" t="s">
        <v>67</v>
      </c>
      <c r="G65" s="124"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44">
        <f ca="1">OFFSET(Attributes!$A$1,MATCH(Rare!$A66,Attributes!$A:$A,0)-1,MATCH("Type",Attributes!$1:$1,0)-1)</f>
        <v>1</v>
      </c>
      <c r="E66" s="144" t="str">
        <f ca="1">IFERROR(OFFSET(Attributes!$A$1,MATCH(Rare!$A66,Attributes!$A:$A,0)-1,MATCH("Abbr",Attributes!$1:$1,0)-1),"")</f>
        <v>DEF</v>
      </c>
      <c r="F66" s="84"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44">
        <f ca="1">OFFSET(Attributes!$A$1,MATCH(Rare!$A67,Attributes!$A:$A,0)-1,MATCH("Type",Attributes!$1:$1,0)-1)</f>
        <v>1</v>
      </c>
      <c r="E67" s="144" t="str">
        <f ca="1">IFERROR(OFFSET(Attributes!$A$1,MATCH(Rare!$A67,Attributes!$A:$A,0)-1,MATCH("Abbr",Attributes!$1:$1,0)-1),"")</f>
        <v>STR</v>
      </c>
      <c r="F67" s="84"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44">
        <f ca="1">OFFSET(Attributes!$A$1,MATCH(Rare!$A68,Attributes!$A:$A,0)-1,MATCH("Type",Attributes!$1:$1,0)-1)</f>
        <v>1</v>
      </c>
      <c r="E68" s="144" t="str">
        <f ca="1">IFERROR(OFFSET(Attributes!$A$1,MATCH(Rare!$A68,Attributes!$A:$A,0)-1,MATCH("Abbr",Attributes!$1:$1,0)-1),"")</f>
        <v>HP</v>
      </c>
      <c r="F68" s="84"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44">
        <f ca="1">OFFSET(Attributes!$A$1,MATCH(Rare!$A69,Attributes!$A:$A,0)-1,MATCH("Type",Attributes!$1:$1,0)-1)</f>
        <v>1</v>
      </c>
      <c r="E69" s="144" t="str">
        <f ca="1">IFERROR(OFFSET(Attributes!$A$1,MATCH(Rare!$A69,Attributes!$A:$A,0)-1,MATCH("Abbr",Attributes!$1:$1,0)-1),"")</f>
        <v>BP</v>
      </c>
      <c r="F69" s="84"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44"/>
      <c r="E70" s="144" t="str">
        <f ca="1">IFERROR(OFFSET(Attributes!$A$1,MATCH(Rare!$A70,Attributes!$A:$A,0)-1,MATCH("Abbr",Attributes!$1:$1,0)-1),"")</f>
        <v/>
      </c>
      <c r="F70" s="102" t="s">
        <v>71</v>
      </c>
      <c r="G70" s="123" t="s">
        <v>586</v>
      </c>
      <c r="H70" s="37"/>
      <c r="I70" s="37"/>
      <c r="J70" s="35" t="s">
        <v>571</v>
      </c>
      <c r="K70" s="95" t="str">
        <f t="shared" si="1"/>
        <v>999999</v>
      </c>
    </row>
    <row r="71" spans="1:11" s="34" customFormat="1" x14ac:dyDescent="0.25">
      <c r="A71" s="32"/>
      <c r="B71" s="32"/>
      <c r="C71" s="32"/>
      <c r="D71" s="144"/>
      <c r="E71" s="144" t="str">
        <f ca="1">IFERROR(OFFSET(Attributes!$A$1,MATCH(Rare!$A71,Attributes!$A:$A,0)-1,MATCH("Abbr",Attributes!$1:$1,0)-1),"")</f>
        <v/>
      </c>
      <c r="F71" s="67"/>
      <c r="G71" s="99"/>
      <c r="H71" s="37"/>
      <c r="I71" s="37"/>
      <c r="J71" s="35" t="s">
        <v>571</v>
      </c>
      <c r="K71" s="95" t="str">
        <f t="shared" si="1"/>
        <v>000000</v>
      </c>
    </row>
    <row r="72" spans="1:11" s="34" customFormat="1" x14ac:dyDescent="0.25">
      <c r="A72" s="32"/>
      <c r="B72" s="32"/>
      <c r="C72" s="32"/>
      <c r="D72" s="144"/>
      <c r="E72" s="144" t="str">
        <f ca="1">IFERROR(OFFSET(Attributes!$A$1,MATCH(Rare!$A72,Attributes!$A:$A,0)-1,MATCH("Abbr",Attributes!$1:$1,0)-1),"")</f>
        <v/>
      </c>
      <c r="F72" s="103" t="s">
        <v>77</v>
      </c>
      <c r="G72" s="124"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44">
        <f ca="1">OFFSET(Attributes!$A$1,MATCH(Rare!$A73,Attributes!$A:$A,0)-1,MATCH("Type",Attributes!$1:$1,0)-1)</f>
        <v>1</v>
      </c>
      <c r="E73" s="144" t="str">
        <f ca="1">IFERROR(OFFSET(Attributes!$A$1,MATCH(Rare!$A73,Attributes!$A:$A,0)-1,MATCH("Abbr",Attributes!$1:$1,0)-1),"")</f>
        <v>DEF</v>
      </c>
      <c r="F73" s="84"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44">
        <f ca="1">OFFSET(Attributes!$A$1,MATCH(Rare!$A74,Attributes!$A:$A,0)-1,MATCH("Type",Attributes!$1:$1,0)-1)</f>
        <v>1</v>
      </c>
      <c r="E74" s="144" t="str">
        <f ca="1">IFERROR(OFFSET(Attributes!$A$1,MATCH(Rare!$A74,Attributes!$A:$A,0)-1,MATCH("Abbr",Attributes!$1:$1,0)-1),"")</f>
        <v>STR</v>
      </c>
      <c r="F74" s="84"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44">
        <f ca="1">OFFSET(Attributes!$A$1,MATCH(Rare!$A75,Attributes!$A:$A,0)-1,MATCH("Type",Attributes!$1:$1,0)-1)</f>
        <v>1</v>
      </c>
      <c r="E75" s="144" t="str">
        <f ca="1">IFERROR(OFFSET(Attributes!$A$1,MATCH(Rare!$A75,Attributes!$A:$A,0)-1,MATCH("Abbr",Attributes!$1:$1,0)-1),"")</f>
        <v>DODGE</v>
      </c>
      <c r="F75" s="84"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44">
        <f ca="1">OFFSET(Attributes!$A$1,MATCH(Rare!$A76,Attributes!$A:$A,0)-1,MATCH("Type",Attributes!$1:$1,0)-1)</f>
        <v>1</v>
      </c>
      <c r="E76" s="144" t="str">
        <f ca="1">IFERROR(OFFSET(Attributes!$A$1,MATCH(Rare!$A76,Attributes!$A:$A,0)-1,MATCH("Abbr",Attributes!$1:$1,0)-1),"")</f>
        <v>HAMP</v>
      </c>
      <c r="F76" s="84"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44"/>
      <c r="E77" s="144" t="str">
        <f ca="1">IFERROR(OFFSET(Attributes!$A$1,MATCH(Rare!$A77,Attributes!$A:$A,0)-1,MATCH("Abbr",Attributes!$1:$1,0)-1),"")</f>
        <v/>
      </c>
      <c r="F77" s="102" t="s">
        <v>80</v>
      </c>
      <c r="G77" s="123" t="s">
        <v>587</v>
      </c>
      <c r="H77" s="37"/>
      <c r="I77" s="37"/>
      <c r="J77" s="35" t="s">
        <v>571</v>
      </c>
      <c r="K77" s="95" t="str">
        <f t="shared" si="1"/>
        <v>999999</v>
      </c>
    </row>
    <row r="78" spans="1:11" s="34" customFormat="1" x14ac:dyDescent="0.25">
      <c r="A78" s="32"/>
      <c r="B78" s="32"/>
      <c r="C78" s="32"/>
      <c r="D78" s="144"/>
      <c r="E78" s="144" t="str">
        <f ca="1">IFERROR(OFFSET(Attributes!$A$1,MATCH(Rare!$A78,Attributes!$A:$A,0)-1,MATCH("Abbr",Attributes!$1:$1,0)-1),"")</f>
        <v/>
      </c>
      <c r="F78" s="67"/>
      <c r="G78" s="99"/>
      <c r="J78" s="35" t="s">
        <v>571</v>
      </c>
      <c r="K78" s="95" t="str">
        <f t="shared" si="1"/>
        <v>000000</v>
      </c>
    </row>
    <row r="79" spans="1:11" x14ac:dyDescent="0.25">
      <c r="E79" s="144" t="str">
        <f ca="1">IFERROR(OFFSET(Attributes!$A$1,MATCH(Rare!$A79,Attributes!$A:$A,0)-1,MATCH("Abbr",Attributes!$1:$1,0)-1),"")</f>
        <v/>
      </c>
      <c r="F79" s="103" t="s">
        <v>58</v>
      </c>
      <c r="G79" s="124"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44">
        <f ca="1">OFFSET(Attributes!$A$1,MATCH(Rare!$A80,Attributes!$A:$A,0)-1,MATCH("Type",Attributes!$1:$1,0)-1)</f>
        <v>1</v>
      </c>
      <c r="E80" s="144" t="str">
        <f ca="1">IFERROR(OFFSET(Attributes!$A$1,MATCH(Rare!$A80,Attributes!$A:$A,0)-1,MATCH("Abbr",Attributes!$1:$1,0)-1),"")</f>
        <v>INT</v>
      </c>
      <c r="F80" s="84"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44">
        <f ca="1">OFFSET(Attributes!$A$1,MATCH(Rare!$A81,Attributes!$A:$A,0)-1,MATCH("Type",Attributes!$1:$1,0)-1)</f>
        <v>1</v>
      </c>
      <c r="E81" s="144" t="str">
        <f ca="1">IFERROR(OFFSET(Attributes!$A$1,MATCH(Rare!$A81,Attributes!$A:$A,0)-1,MATCH("Abbr",Attributes!$1:$1,0)-1),"")</f>
        <v>SP</v>
      </c>
      <c r="F81" s="84"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44">
        <f ca="1">OFFSET(Attributes!$A$1,MATCH(Rare!$A82,Attributes!$A:$A,0)-1,MATCH("Type",Attributes!$1:$1,0)-1)</f>
        <v>1</v>
      </c>
      <c r="E82" s="144" t="str">
        <f ca="1">IFERROR(OFFSET(Attributes!$A$1,MATCH(Rare!$A82,Attributes!$A:$A,0)-1,MATCH("Abbr",Attributes!$1:$1,0)-1),"")</f>
        <v>SHASTE</v>
      </c>
      <c r="F82" s="84"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44">
        <f ca="1">OFFSET(Attributes!$A$1,MATCH(Rare!$A83,Attributes!$A:$A,0)-1,MATCH("Type",Attributes!$1:$1,0)-1)</f>
        <v>1</v>
      </c>
      <c r="E83" s="144" t="str">
        <f ca="1">IFERROR(OFFSET(Attributes!$A$1,MATCH(Rare!$A83,Attributes!$A:$A,0)-1,MATCH("Abbr",Attributes!$1:$1,0)-1),"")</f>
        <v>MREG</v>
      </c>
      <c r="F83" s="84"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44" t="str">
        <f ca="1">IFERROR(OFFSET(Attributes!$A$1,MATCH(Rare!$A84,Attributes!$A:$A,0)-1,MATCH("Abbr",Attributes!$1:$1,0)-1),"")</f>
        <v/>
      </c>
      <c r="F84" s="102" t="s">
        <v>61</v>
      </c>
      <c r="G84" s="123" t="s">
        <v>589</v>
      </c>
      <c r="J84" s="35" t="s">
        <v>571</v>
      </c>
      <c r="K84" s="95" t="str">
        <f t="shared" si="1"/>
        <v>999999</v>
      </c>
    </row>
    <row r="85" spans="1:11" x14ac:dyDescent="0.25">
      <c r="E85" s="144" t="str">
        <f ca="1">IFERROR(OFFSET(Attributes!$A$1,MATCH(Rare!$A85,Attributes!$A:$A,0)-1,MATCH("Abbr",Attributes!$1:$1,0)-1),"")</f>
        <v/>
      </c>
      <c r="J85" s="35" t="s">
        <v>571</v>
      </c>
      <c r="K85" s="95" t="str">
        <f t="shared" si="1"/>
        <v>000000</v>
      </c>
    </row>
    <row r="86" spans="1:11" x14ac:dyDescent="0.25">
      <c r="E86" s="144" t="str">
        <f ca="1">IFERROR(OFFSET(Attributes!$A$1,MATCH(Rare!$A86,Attributes!$A:$A,0)-1,MATCH("Abbr",Attributes!$1:$1,0)-1),"")</f>
        <v/>
      </c>
      <c r="F86" s="103" t="s">
        <v>65</v>
      </c>
      <c r="G86" s="124"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44">
        <f ca="1">OFFSET(Attributes!$A$1,MATCH(Rare!$A87,Attributes!$A:$A,0)-1,MATCH("Type",Attributes!$1:$1,0)-1)</f>
        <v>2</v>
      </c>
      <c r="E87" s="144" t="str">
        <f ca="1">IFERROR(OFFSET(Attributes!$A$1,MATCH(Rare!$A87,Attributes!$A:$A,0)-1,MATCH("Abbr",Attributes!$1:$1,0)-1),"")</f>
        <v>MDC_ARCANE</v>
      </c>
      <c r="F87" s="84" t="str">
        <f ca="1">SUBSTITUTE(OFFSET(Attributes!$A$1,MATCH($A87,Attributes!$A:$A,0)-1,MATCH("Attr CN",Attributes!$1:$1,0)-1),"#",$B87*$B$1&amp;"-"&amp;$C87*$B$1)</f>
        <v>法术伤害造成暴击：积累一层秘法能量，在积累到三层以后会自动释放，对目标造成510-660点法术伤害</v>
      </c>
      <c r="G87" s="130"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|CFF8B66FFRare|R|N法术伤害造成暴击：积累一层秘法能量，在积累到三层以后会自动释放，对目标造成510-660点法术伤害|N|N|CFF999999“梅卡托克对此不屑一顾，他认为一个简单的电容器就能达到这个效果。”|R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44" t="str">
        <f ca="1">IFERROR(OFFSET(Attributes!$A$1,MATCH(Rare!$A88,Attributes!$A:$A,0)-1,MATCH("Abbr",Attributes!$1:$1,0)-1),"")</f>
        <v/>
      </c>
      <c r="F88" s="102" t="s">
        <v>66</v>
      </c>
      <c r="G88" s="123" t="s">
        <v>591</v>
      </c>
      <c r="H88" s="32" t="str">
        <f ca="1">FormatItemUbertip(F87:F88)</f>
        <v>法术伤害造成暴击：积累一层秘法能量，在积累到三层以后会自动释放，对目标造成510-660点法术伤害|N|N|CFF999999“梅卡托克对此不屑一顾，他认为一个简单的电容器就能达到这个效果。”|R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44" t="str">
        <f ca="1">IFERROR(OFFSET(Attributes!$A$1,MATCH(Rare!$A89,Attributes!$A:$A,0)-1,MATCH("Abbr",Attributes!$1:$1,0)-1),"")</f>
        <v/>
      </c>
      <c r="J89" s="35" t="s">
        <v>571</v>
      </c>
      <c r="K89" s="95" t="str">
        <f t="shared" si="1"/>
        <v>000000</v>
      </c>
    </row>
    <row r="90" spans="1:11" x14ac:dyDescent="0.25">
      <c r="E90" s="144" t="str">
        <f ca="1">IFERROR(OFFSET(Attributes!$A$1,MATCH(Rare!$A90,Attributes!$A:$A,0)-1,MATCH("Abbr",Attributes!$1:$1,0)-1),"")</f>
        <v/>
      </c>
      <c r="F90" s="103" t="s">
        <v>68</v>
      </c>
      <c r="G90" s="124"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44">
        <f ca="1">OFFSET(Attributes!$A$1,MATCH(Rare!$A91,Attributes!$A:$A,0)-1,MATCH("Type",Attributes!$1:$1,0)-1)</f>
        <v>1</v>
      </c>
      <c r="E91" s="144" t="str">
        <f ca="1">IFERROR(OFFSET(Attributes!$A$1,MATCH(Rare!$A91,Attributes!$A:$A,0)-1,MATCH("Abbr",Attributes!$1:$1,0)-1),"")</f>
        <v>INT</v>
      </c>
      <c r="F91" s="84"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|CFF8B66FFRare|R|N+24-36智力|N+30-45法术强度|N使用：提高105-192点法术强度，持续15秒|N|N|CFF999999妖术领主现在已经足够强大，不再需要这样的小玩意了。|R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44">
        <f ca="1">OFFSET(Attributes!$A$1,MATCH(Rare!$A92,Attributes!$A:$A,0)-1,MATCH("Type",Attributes!$1:$1,0)-1)</f>
        <v>1</v>
      </c>
      <c r="E92" s="144" t="str">
        <f ca="1">IFERROR(OFFSET(Attributes!$A$1,MATCH(Rare!$A92,Attributes!$A:$A,0)-1,MATCH("Abbr",Attributes!$1:$1,0)-1),"")</f>
        <v>SP</v>
      </c>
      <c r="F92" s="84"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+24-36智力|N+30-45法术强度|N使用：提高105-192点法术强度，持续15秒|N|N|CFF999999妖术领主现在已经足够强大，不再需要这样的小玩意了。|R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44">
        <f ca="1">OFFSET(Attributes!$A$1,MATCH(Rare!$A93,Attributes!$A:$A,0)-1,MATCH("Type",Attributes!$1:$1,0)-1)</f>
        <v>2</v>
      </c>
      <c r="E93" s="144" t="str">
        <f ca="1">IFERROR(OFFSET(Attributes!$A$1,MATCH(Rare!$A93,Attributes!$A:$A,0)-1,MATCH("Abbr",Attributes!$1:$1,0)-1),"")</f>
        <v>USE_SP</v>
      </c>
      <c r="F93" s="84" t="str">
        <f ca="1">SUBSTITUTE(OFFSET(Attributes!$A$1,MATCH($A93,Attributes!$A:$A,0)-1,MATCH("Attr CN",Attributes!$1:$1,0)-1),"#",$B93*$B$1&amp;"-"&amp;$C93*$B$1)</f>
        <v>使用：提高105-192点法术强度，持续15秒</v>
      </c>
      <c r="G93" s="130"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44" t="str">
        <f ca="1">IFERROR(OFFSET(Attributes!$A$1,MATCH(Rare!$A94,Attributes!$A:$A,0)-1,MATCH("Abbr",Attributes!$1:$1,0)-1),"")</f>
        <v/>
      </c>
      <c r="F94" s="102" t="s">
        <v>72</v>
      </c>
      <c r="G94" s="123" t="s">
        <v>592</v>
      </c>
      <c r="H94" s="40"/>
      <c r="I94" s="40"/>
      <c r="J94" s="35" t="s">
        <v>571</v>
      </c>
      <c r="K94" s="95" t="str">
        <f t="shared" si="1"/>
        <v>999999</v>
      </c>
    </row>
    <row r="95" spans="1:11" x14ac:dyDescent="0.25">
      <c r="E95" s="144" t="str">
        <f ca="1">IFERROR(OFFSET(Attributes!$A$1,MATCH(Rare!$A95,Attributes!$A:$A,0)-1,MATCH("Abbr",Attributes!$1:$1,0)-1),"")</f>
        <v/>
      </c>
      <c r="F95" s="104"/>
      <c r="G95" s="125"/>
      <c r="H95" s="40"/>
      <c r="I95" s="40"/>
      <c r="J95" s="35" t="s">
        <v>571</v>
      </c>
      <c r="K95" s="95" t="str">
        <f t="shared" si="1"/>
        <v>9900FF</v>
      </c>
    </row>
    <row r="96" spans="1:11" x14ac:dyDescent="0.25">
      <c r="E96" s="144" t="str">
        <f ca="1">IFERROR(OFFSET(Attributes!$A$1,MATCH(Rare!$A96,Attributes!$A:$A,0)-1,MATCH("Abbr",Attributes!$1:$1,0)-1),"")</f>
        <v/>
      </c>
      <c r="F96" s="103" t="s">
        <v>74</v>
      </c>
      <c r="G96" s="124"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44">
        <f ca="1">OFFSET(Attributes!$A$1,MATCH(Rare!$A97,Attributes!$A:$A,0)-1,MATCH("Type",Attributes!$1:$1,0)-1)</f>
        <v>1</v>
      </c>
      <c r="E97" s="144" t="str">
        <f ca="1">IFERROR(OFFSET(Attributes!$A$1,MATCH(Rare!$A97,Attributes!$A:$A,0)-1,MATCH("Abbr",Attributes!$1:$1,0)-1),"")</f>
        <v>INT</v>
      </c>
      <c r="F97" s="84"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44">
        <f ca="1">OFFSET(Attributes!$A$1,MATCH(Rare!$A98,Attributes!$A:$A,0)-1,MATCH("Type",Attributes!$1:$1,0)-1)</f>
        <v>1</v>
      </c>
      <c r="E98" s="144" t="str">
        <f ca="1">IFERROR(OFFSET(Attributes!$A$1,MATCH(Rare!$A98,Attributes!$A:$A,0)-1,MATCH("Abbr",Attributes!$1:$1,0)-1),"")</f>
        <v>SP</v>
      </c>
      <c r="F98" s="84"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44">
        <f ca="1">OFFSET(Attributes!$A$1,MATCH(Rare!$A99,Attributes!$A:$A,0)-1,MATCH("Type",Attributes!$1:$1,0)-1)</f>
        <v>1</v>
      </c>
      <c r="E99" s="144" t="str">
        <f ca="1">IFERROR(OFFSET(Attributes!$A$1,MATCH(Rare!$A99,Attributes!$A:$A,0)-1,MATCH("Abbr",Attributes!$1:$1,0)-1),"")</f>
        <v>SCRIT</v>
      </c>
      <c r="F99" s="84"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44" t="str">
        <f ca="1">IFERROR(OFFSET(Attributes!$A$1,MATCH(Rare!$A100,Attributes!$A:$A,0)-1,MATCH("Abbr",Attributes!$1:$1,0)-1),"")</f>
        <v/>
      </c>
      <c r="F100" s="88" t="s">
        <v>81</v>
      </c>
      <c r="G100" s="98" t="s">
        <v>593</v>
      </c>
      <c r="J100" s="35" t="s">
        <v>571</v>
      </c>
      <c r="K100" s="95" t="str">
        <f t="shared" si="1"/>
        <v>FFDEAD</v>
      </c>
    </row>
    <row r="101" spans="1:11" x14ac:dyDescent="0.25">
      <c r="E101" s="144" t="str">
        <f ca="1">IFERROR(OFFSET(Attributes!$A$1,MATCH(Rare!$A101,Attributes!$A:$A,0)-1,MATCH("Abbr",Attributes!$1:$1,0)-1),"")</f>
        <v/>
      </c>
      <c r="J101" s="35" t="s">
        <v>571</v>
      </c>
      <c r="K101" s="95" t="str">
        <f t="shared" si="1"/>
        <v>000000</v>
      </c>
    </row>
    <row r="102" spans="1:11" x14ac:dyDescent="0.25">
      <c r="E102" s="144" t="str">
        <f ca="1">IFERROR(OFFSET(Attributes!$A$1,MATCH(Rare!$A102,Attributes!$A:$A,0)-1,MATCH("Abbr",Attributes!$1:$1,0)-1),"")</f>
        <v/>
      </c>
      <c r="F102" s="103" t="s">
        <v>82</v>
      </c>
      <c r="G102" s="124"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44">
        <f ca="1">OFFSET(Attributes!$A$1,MATCH(Rare!$A103,Attributes!$A:$A,0)-1,MATCH("Type",Attributes!$1:$1,0)-1)</f>
        <v>1</v>
      </c>
      <c r="E103" s="144" t="str">
        <f ca="1">IFERROR(OFFSET(Attributes!$A$1,MATCH(Rare!$A103,Attributes!$A:$A,0)-1,MATCH("Abbr",Attributes!$1:$1,0)-1),"")</f>
        <v>STR</v>
      </c>
      <c r="F103" s="84"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|CFF8B66FFRare|R|N+21-30力量|N+24-36智力|N每秒回复9-15点法力值|N造成法术伤害：有1%的几率回复180-270点法力值|N|N|CFF999999这枚戒指当年是为了对抗火焰之王的军团而打造的,现在已经找不到其火焰抵抗能力了.|R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44">
        <f ca="1">OFFSET(Attributes!$A$1,MATCH(Rare!$A104,Attributes!$A:$A,0)-1,MATCH("Type",Attributes!$1:$1,0)-1)</f>
        <v>1</v>
      </c>
      <c r="E104" s="144" t="str">
        <f ca="1">IFERROR(OFFSET(Attributes!$A$1,MATCH(Rare!$A104,Attributes!$A:$A,0)-1,MATCH("Abbr",Attributes!$1:$1,0)-1),"")</f>
        <v>INT</v>
      </c>
      <c r="F104" s="84"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+21-30力量|N+24-36智力|N每秒回复9-15点法力值|N造成法术伤害：有1%的几率回复180-270点法力值|N|N|CFF999999这枚戒指当年是为了对抗火焰之王的军团而打造的,现在已经找不到其火焰抵抗能力了.|R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44">
        <f ca="1">OFFSET(Attributes!$A$1,MATCH(Rare!$A105,Attributes!$A:$A,0)-1,MATCH("Type",Attributes!$1:$1,0)-1)</f>
        <v>1</v>
      </c>
      <c r="E105" s="144" t="str">
        <f ca="1">IFERROR(OFFSET(Attributes!$A$1,MATCH(Rare!$A105,Attributes!$A:$A,0)-1,MATCH("Abbr",Attributes!$1:$1,0)-1),"")</f>
        <v>MREG</v>
      </c>
      <c r="F105" s="84"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44">
        <f ca="1">OFFSET(Attributes!$A$1,MATCH(Rare!$A106,Attributes!$A:$A,0)-1,MATCH("Type",Attributes!$1:$1,0)-1)</f>
        <v>2</v>
      </c>
      <c r="E106" s="144" t="str">
        <f ca="1">IFERROR(OFFSET(Attributes!$A$1,MATCH(Rare!$A106,Attributes!$A:$A,0)-1,MATCH("Abbr",Attributes!$1:$1,0)-1),"")</f>
        <v>MD_MREGEN</v>
      </c>
      <c r="F106" s="84" t="str">
        <f ca="1">SUBSTITUTE(OFFSET(Attributes!$A$1,MATCH($A106,Attributes!$A:$A,0)-1,MATCH("Attr CN",Attributes!$1:$1,0)-1),"#",$B106*$B$1&amp;"-"&amp;$C106*$B$1)</f>
        <v>造成法术伤害：有1%的几率回复180-270点法力值</v>
      </c>
      <c r="G106" s="130"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44" t="str">
        <f ca="1">IFERROR(OFFSET(Attributes!$A$1,MATCH(Rare!$A107,Attributes!$A:$A,0)-1,MATCH("Abbr",Attributes!$1:$1,0)-1),"")</f>
        <v/>
      </c>
      <c r="F107" s="102" t="s">
        <v>89</v>
      </c>
      <c r="G107" s="123" t="s">
        <v>594</v>
      </c>
      <c r="J107" s="35" t="s">
        <v>571</v>
      </c>
      <c r="K107" s="95" t="str">
        <f t="shared" si="1"/>
        <v>999999</v>
      </c>
    </row>
    <row r="108" spans="1:11" x14ac:dyDescent="0.25">
      <c r="E108" s="144" t="str">
        <f ca="1">IFERROR(OFFSET(Attributes!$A$1,MATCH(Rare!$A108,Attributes!$A:$A,0)-1,MATCH("Abbr",Attributes!$1:$1,0)-1),"")</f>
        <v/>
      </c>
      <c r="J108" s="35" t="s">
        <v>571</v>
      </c>
      <c r="K108" s="95" t="str">
        <f t="shared" si="1"/>
        <v>000000</v>
      </c>
    </row>
    <row r="109" spans="1:11" x14ac:dyDescent="0.25">
      <c r="E109" s="144" t="str">
        <f ca="1">IFERROR(OFFSET(Attributes!$A$1,MATCH(Rare!$A109,Attributes!$A:$A,0)-1,MATCH("Abbr",Attributes!$1:$1,0)-1),"")</f>
        <v/>
      </c>
      <c r="F109" s="103" t="s">
        <v>24</v>
      </c>
      <c r="G109" s="124"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44">
        <f ca="1">OFFSET(Attributes!$A$1,MATCH(Rare!$A110,Attributes!$A:$A,0)-1,MATCH("Type",Attributes!$1:$1,0)-1)</f>
        <v>1</v>
      </c>
      <c r="E110" s="144" t="str">
        <f ca="1">IFERROR(OFFSET(Attributes!$A$1,MATCH(Rare!$A110,Attributes!$A:$A,0)-1,MATCH("Abbr",Attributes!$1:$1,0)-1),"")</f>
        <v>STR</v>
      </c>
      <c r="F110" s="84"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|CFF8B66FFRare|R|N+15-21力量|N+180-240生命上限|N+42-60法术强度|N+0.12-0.18格挡几率|N辛多雷之盾能提供0.09-0.21额外的伤害减免，并且在开启时可以强迫附近所有敌人攻击你|N|N|CFFFFDEAD杰出血精灵卫士的荣耀象征。|R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44">
        <f ca="1">OFFSET(Attributes!$A$1,MATCH(Rare!$A111,Attributes!$A:$A,0)-1,MATCH("Type",Attributes!$1:$1,0)-1)</f>
        <v>1</v>
      </c>
      <c r="E111" s="144" t="str">
        <f ca="1">IFERROR(OFFSET(Attributes!$A$1,MATCH(Rare!$A111,Attributes!$A:$A,0)-1,MATCH("Abbr",Attributes!$1:$1,0)-1),"")</f>
        <v>HP</v>
      </c>
      <c r="F111" s="84"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+15-21力量|N+180-240生命上限|N+42-60法术强度|N+0.12-0.18格挡几率|N辛多雷之盾能提供0.09-0.21额外的伤害减免，并且在开启时可以强迫附近所有敌人攻击你|N|N|CFFFFDEAD杰出血精灵卫士的荣耀象征。|R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44">
        <f ca="1">OFFSET(Attributes!$A$1,MATCH(Rare!$A112,Attributes!$A:$A,0)-1,MATCH("Type",Attributes!$1:$1,0)-1)</f>
        <v>1</v>
      </c>
      <c r="E112" s="144" t="str">
        <f ca="1">IFERROR(OFFSET(Attributes!$A$1,MATCH(Rare!$A112,Attributes!$A:$A,0)-1,MATCH("Abbr",Attributes!$1:$1,0)-1),"")</f>
        <v>SP</v>
      </c>
      <c r="F112" s="84"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1" x14ac:dyDescent="0.25">
      <c r="A113" s="32">
        <v>16</v>
      </c>
      <c r="B113" s="32">
        <v>0.04</v>
      </c>
      <c r="C113" s="32">
        <v>0.06</v>
      </c>
      <c r="D113" s="144">
        <f ca="1">OFFSET(Attributes!$A$1,MATCH(Rare!$A113,Attributes!$A:$A,0)-1,MATCH("Type",Attributes!$1:$1,0)-1)</f>
        <v>1</v>
      </c>
      <c r="E113" s="144" t="str">
        <f ca="1">IFERROR(OFFSET(Attributes!$A$1,MATCH(Rare!$A113,Attributes!$A:$A,0)-1,MATCH("Abbr",Attributes!$1:$1,0)-1),"")</f>
        <v>BR</v>
      </c>
      <c r="F113" s="84"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1" ht="42.75" x14ac:dyDescent="0.25">
      <c r="A114" s="32">
        <v>86</v>
      </c>
      <c r="B114" s="32">
        <v>0.03</v>
      </c>
      <c r="C114" s="32">
        <v>7.0000000000000007E-2</v>
      </c>
      <c r="D114" s="144">
        <f ca="1">OFFSET(Attributes!$A$1,MATCH(Rare!$A114,Attributes!$A:$A,0)-1,MATCH("Type",Attributes!$1:$1,0)-1)</f>
        <v>2</v>
      </c>
      <c r="E114" s="144" t="str">
        <f ca="1">IFERROR(OFFSET(Attributes!$A$1,MATCH(Rare!$A114,Attributes!$A:$A,0)-1,MATCH("Abbr",Attributes!$1:$1,0)-1),"")</f>
        <v>BD_SHIELD</v>
      </c>
      <c r="F114" s="84" t="str">
        <f ca="1">SUBSTITUTE(OFFSET(Attributes!$A$1,MATCH($A114,Attributes!$A:$A,0)-1,MATCH("Attr CN",Attributes!$1:$1,0)-1),"#",$B114*$B$1&amp;"-"&amp;$C114*$B$1)</f>
        <v>辛多雷之盾能提供0.09-0.21额外的伤害减免，并且在开启时可以强迫附近所有敌人攻击你</v>
      </c>
      <c r="G114" s="130"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1" x14ac:dyDescent="0.25">
      <c r="E115" s="144" t="str">
        <f ca="1">IFERROR(OFFSET(Attributes!$A$1,MATCH(Rare!$A115,Attributes!$A:$A,0)-1,MATCH("Abbr",Attributes!$1:$1,0)-1),"")</f>
        <v/>
      </c>
      <c r="F115" s="88" t="s">
        <v>26</v>
      </c>
      <c r="G115" s="98" t="s">
        <v>596</v>
      </c>
      <c r="H115" s="33"/>
      <c r="I115" s="33"/>
      <c r="J115" s="35" t="s">
        <v>571</v>
      </c>
      <c r="K115" s="95" t="str">
        <f t="shared" si="1"/>
        <v>FFDEAD</v>
      </c>
    </row>
    <row r="116" spans="1:11" x14ac:dyDescent="0.25">
      <c r="E116" s="144" t="str">
        <f ca="1">IFERROR(OFFSET(Attributes!$A$1,MATCH(Rare!$A116,Attributes!$A:$A,0)-1,MATCH("Abbr",Attributes!$1:$1,0)-1),"")</f>
        <v/>
      </c>
      <c r="F116" s="105"/>
      <c r="G116" s="126"/>
      <c r="H116" s="33"/>
      <c r="I116" s="33"/>
      <c r="J116" s="35" t="s">
        <v>571</v>
      </c>
      <c r="K116" s="95" t="str">
        <f t="shared" si="1"/>
        <v>FF9900</v>
      </c>
    </row>
    <row r="117" spans="1:11" x14ac:dyDescent="0.25">
      <c r="E117" s="144" t="str">
        <f ca="1">IFERROR(OFFSET(Attributes!$A$1,MATCH(Rare!$A117,Attributes!$A:$A,0)-1,MATCH("Abbr",Attributes!$1:$1,0)-1),"")</f>
        <v/>
      </c>
      <c r="F117" s="103" t="s">
        <v>27</v>
      </c>
      <c r="G117" s="124" t="s">
        <v>597</v>
      </c>
      <c r="H117" s="32" t="str">
        <f>FormatItemName(F117)</f>
        <v>|CFF8B66FF重铸的坚韧徽章|R</v>
      </c>
      <c r="I117" s="32" t="str">
        <f>FormatItemName(G117)</f>
        <v>|CFF8B66FFReforged Badge of Tenacity|R</v>
      </c>
      <c r="J117" s="35" t="s">
        <v>571</v>
      </c>
      <c r="K117" s="95" t="str">
        <f t="shared" si="1"/>
        <v>8B66FF</v>
      </c>
    </row>
    <row r="118" spans="1:11" x14ac:dyDescent="0.25">
      <c r="A118" s="32">
        <v>13</v>
      </c>
      <c r="B118" s="32">
        <v>5</v>
      </c>
      <c r="C118" s="32">
        <v>7</v>
      </c>
      <c r="D118" s="144">
        <f ca="1">OFFSET(Attributes!$A$1,MATCH(Rare!$A118,Attributes!$A:$A,0)-1,MATCH("Type",Attributes!$1:$1,0)-1)</f>
        <v>1</v>
      </c>
      <c r="E118" s="144" t="str">
        <f ca="1">IFERROR(OFFSET(Attributes!$A$1,MATCH(Rare!$A118,Attributes!$A:$A,0)-1,MATCH("Abbr",Attributes!$1:$1,0)-1),"")</f>
        <v>AGI</v>
      </c>
      <c r="F118" s="84"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|CFF8B66FFRare|R|N+15-21敏捷|N+9-12护甲|N+240-360生命上限|N+0.06-0.12躲闪|N生存本能可以提供0.24-0.3额外的生命值和生命上限|N降低生存本能的冷却时间9-21秒|N|N|CFFFFDEAD据说这枚徽章最早是由恶魔沙图尔打造的。|R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row>
    <row r="119" spans="1:11" x14ac:dyDescent="0.25">
      <c r="A119" s="32">
        <v>8</v>
      </c>
      <c r="B119" s="32">
        <v>3</v>
      </c>
      <c r="C119" s="32">
        <v>4</v>
      </c>
      <c r="D119" s="144">
        <f ca="1">OFFSET(Attributes!$A$1,MATCH(Rare!$A119,Attributes!$A:$A,0)-1,MATCH("Type",Attributes!$1:$1,0)-1)</f>
        <v>1</v>
      </c>
      <c r="E119" s="144" t="str">
        <f ca="1">IFERROR(OFFSET(Attributes!$A$1,MATCH(Rare!$A119,Attributes!$A:$A,0)-1,MATCH("Abbr",Attributes!$1:$1,0)-1),"")</f>
        <v>DEF</v>
      </c>
      <c r="F119" s="84"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+15-21敏捷|N+9-12护甲|N+240-360生命上限|N+0.06-0.12躲闪|N生存本能可以提供0.24-0.3额外的生命值和生命上限|N降低生存本能的冷却时间9-21秒|N|N|CFFFFDEAD据说这枚徽章最早是由恶魔沙图尔打造的。|R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1" x14ac:dyDescent="0.25">
      <c r="A120" s="32">
        <v>21</v>
      </c>
      <c r="B120" s="32">
        <v>80</v>
      </c>
      <c r="C120" s="32">
        <v>120</v>
      </c>
      <c r="D120" s="144">
        <f ca="1">OFFSET(Attributes!$A$1,MATCH(Rare!$A120,Attributes!$A:$A,0)-1,MATCH("Type",Attributes!$1:$1,0)-1)</f>
        <v>1</v>
      </c>
      <c r="E120" s="144" t="str">
        <f ca="1">IFERROR(OFFSET(Attributes!$A$1,MATCH(Rare!$A120,Attributes!$A:$A,0)-1,MATCH("Abbr",Attributes!$1:$1,0)-1),"")</f>
        <v>HP</v>
      </c>
      <c r="F120" s="84"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1" x14ac:dyDescent="0.25">
      <c r="A121" s="32">
        <v>27</v>
      </c>
      <c r="B121" s="32">
        <v>0.02</v>
      </c>
      <c r="C121" s="32">
        <v>0.04</v>
      </c>
      <c r="D121" s="144">
        <f ca="1">OFFSET(Attributes!$A$1,MATCH(Rare!$A121,Attributes!$A:$A,0)-1,MATCH("Type",Attributes!$1:$1,0)-1)</f>
        <v>1</v>
      </c>
      <c r="E121" s="144" t="str">
        <f ca="1">IFERROR(OFFSET(Attributes!$A$1,MATCH(Rare!$A121,Attributes!$A:$A,0)-1,MATCH("Abbr",Attributes!$1:$1,0)-1),"")</f>
        <v>DODGE</v>
      </c>
      <c r="F121" s="84"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1" ht="28.5" x14ac:dyDescent="0.25">
      <c r="A122" s="32">
        <v>78</v>
      </c>
      <c r="B122" s="32">
        <v>0.08</v>
      </c>
      <c r="C122" s="32">
        <v>0.1</v>
      </c>
      <c r="D122" s="144">
        <f ca="1">OFFSET(Attributes!$A$1,MATCH(Rare!$A122,Attributes!$A:$A,0)-1,MATCH("Type",Attributes!$1:$1,0)-1)</f>
        <v>2</v>
      </c>
      <c r="E122" s="144" t="str">
        <f ca="1">IFERROR(OFFSET(Attributes!$A$1,MATCH(Rare!$A122,Attributes!$A:$A,0)-1,MATCH("Abbr",Attributes!$1:$1,0)-1),"")</f>
        <v>DR_MAXHP</v>
      </c>
      <c r="F122" s="84" t="str">
        <f ca="1">SUBSTITUTE(OFFSET(Attributes!$A$1,MATCH($A122,Attributes!$A:$A,0)-1,MATCH("Attr CN",Attributes!$1:$1,0)-1),"#",$B122*$B$1&amp;"-"&amp;$C122*$B$1)</f>
        <v>生存本能可以提供0.24-0.3额外的生命值和生命上限</v>
      </c>
      <c r="G122" s="130"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1" ht="28.5" x14ac:dyDescent="0.25">
      <c r="A123" s="32">
        <v>92</v>
      </c>
      <c r="B123" s="32">
        <v>3</v>
      </c>
      <c r="C123" s="32">
        <v>7</v>
      </c>
      <c r="D123" s="144">
        <f ca="1">OFFSET(Attributes!$A$1,MATCH(Rare!$A123,Attributes!$A:$A,0)-1,MATCH("Type",Attributes!$1:$1,0)-1)</f>
        <v>2</v>
      </c>
      <c r="E123" s="144" t="str">
        <f ca="1">IFERROR(OFFSET(Attributes!$A$1,MATCH(Rare!$A123,Attributes!$A:$A,0)-1,MATCH("Abbr",Attributes!$1:$1,0)-1),"")</f>
        <v>DR_CDR</v>
      </c>
      <c r="F123" s="84" t="str">
        <f ca="1">SUBSTITUTE(OFFSET(Attributes!$A$1,MATCH($A123,Attributes!$A:$A,0)-1,MATCH("Attr CN",Attributes!$1:$1,0)-1),"#",$B123*$B$1&amp;"-"&amp;$C123*$B$1)</f>
        <v>降低生存本能的冷却时间9-21秒</v>
      </c>
      <c r="G123" s="130"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1" ht="28.5" x14ac:dyDescent="0.25">
      <c r="E124" s="144" t="str">
        <f ca="1">IFERROR(OFFSET(Attributes!$A$1,MATCH(Rare!$A124,Attributes!$A:$A,0)-1,MATCH("Abbr",Attributes!$1:$1,0)-1),"")</f>
        <v/>
      </c>
      <c r="F124" s="88" t="s">
        <v>28</v>
      </c>
      <c r="G124" s="98" t="s">
        <v>598</v>
      </c>
      <c r="H124" s="33"/>
      <c r="I124" s="33"/>
      <c r="J124" s="35" t="s">
        <v>571</v>
      </c>
      <c r="K124" s="95" t="str">
        <f t="shared" si="1"/>
        <v>FFDEAD</v>
      </c>
    </row>
    <row r="125" spans="1:11" x14ac:dyDescent="0.25">
      <c r="E125" s="144" t="str">
        <f ca="1">IFERROR(OFFSET(Attributes!$A$1,MATCH(Rare!$A125,Attributes!$A:$A,0)-1,MATCH("Abbr",Attributes!$1:$1,0)-1),"")</f>
        <v/>
      </c>
      <c r="F125" s="106"/>
      <c r="G125" s="127"/>
      <c r="H125" s="33"/>
      <c r="I125" s="33"/>
      <c r="J125" s="35" t="s">
        <v>571</v>
      </c>
      <c r="K125" s="95" t="str">
        <f t="shared" si="1"/>
        <v>9900FF</v>
      </c>
    </row>
    <row r="126" spans="1:11" x14ac:dyDescent="0.25">
      <c r="E126" s="144" t="str">
        <f ca="1">IFERROR(OFFSET(Attributes!$A$1,MATCH(Rare!$A126,Attributes!$A:$A,0)-1,MATCH("Abbr",Attributes!$1:$1,0)-1),"")</f>
        <v/>
      </c>
      <c r="F126" s="103" t="s">
        <v>29</v>
      </c>
      <c r="G126" s="124" t="s">
        <v>599</v>
      </c>
      <c r="H126" s="32" t="str">
        <f>FormatItemName(F126)</f>
        <v>|CFF8B66FF圣光的正义|R</v>
      </c>
      <c r="I126" s="32" t="str">
        <f>FormatItemName(G126)</f>
        <v>|CFF8B66FFLight's Justice|R</v>
      </c>
      <c r="J126" s="35" t="s">
        <v>571</v>
      </c>
      <c r="K126" s="95" t="str">
        <f t="shared" si="1"/>
        <v>8B66FF</v>
      </c>
    </row>
    <row r="127" spans="1:11" x14ac:dyDescent="0.25">
      <c r="A127" s="32">
        <v>14</v>
      </c>
      <c r="B127" s="32">
        <v>5</v>
      </c>
      <c r="C127" s="32">
        <v>6</v>
      </c>
      <c r="D127" s="144">
        <f ca="1">OFFSET(Attributes!$A$1,MATCH(Rare!$A127,Attributes!$A:$A,0)-1,MATCH("Type",Attributes!$1:$1,0)-1)</f>
        <v>1</v>
      </c>
      <c r="E127" s="144" t="str">
        <f ca="1">IFERROR(OFFSET(Attributes!$A$1,MATCH(Rare!$A127,Attributes!$A:$A,0)-1,MATCH("Abbr",Attributes!$1:$1,0)-1),"")</f>
        <v>INT</v>
      </c>
      <c r="F127" s="84"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|CFF8B66FFRare|R|N+15-18智力|N+30-60法术强度|N+0.09-0.12法术暴击|N神圣震击一定能造成极效治疗0-0|N闪耀之光可以驱散一个有害的法术效果0-0|N|N|CFFFFDEAD向圣光打开你的心扉。|R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1" x14ac:dyDescent="0.25">
      <c r="A128" s="32">
        <v>18</v>
      </c>
      <c r="B128" s="32">
        <v>10</v>
      </c>
      <c r="C128" s="32">
        <v>20</v>
      </c>
      <c r="D128" s="144">
        <f ca="1">OFFSET(Attributes!$A$1,MATCH(Rare!$A128,Attributes!$A:$A,0)-1,MATCH("Type",Attributes!$1:$1,0)-1)</f>
        <v>1</v>
      </c>
      <c r="E128" s="144" t="str">
        <f ca="1">IFERROR(OFFSET(Attributes!$A$1,MATCH(Rare!$A128,Attributes!$A:$A,0)-1,MATCH("Abbr",Attributes!$1:$1,0)-1),"")</f>
        <v>SP</v>
      </c>
      <c r="F128" s="84"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+15-18智力|N+30-60法术强度|N+0.09-0.12法术暴击|N神圣震击一定能造成极效治疗0-0|N闪耀之光可以驱散一个有害的法术效果0-0|N|N|CFFFFDEAD向圣光打开你的心扉。|R</v>
      </c>
      <c r="I128" s="32" t="str">
        <f ca="1">FormatItemUbertip(G127:G132)</f>
        <v>+15-18 Intelligence|N+30-60 Spell power|N+0.09-0.12 Spell critical|N|CFF87CEEBHoly Shock always deals critical healing0-0|R|N|CFF87CEEBFlash Light dispels one debuff from target0-0|R|N|N|CFFFFDEADOpen your heart to the light.|R</v>
      </c>
      <c r="J128" s="35" t="s">
        <v>571</v>
      </c>
      <c r="K128" s="95" t="str">
        <f t="shared" si="1"/>
        <v>FFFFFF</v>
      </c>
    </row>
    <row r="129" spans="1:11" x14ac:dyDescent="0.25">
      <c r="A129" s="32">
        <v>20</v>
      </c>
      <c r="B129" s="32">
        <v>0.03</v>
      </c>
      <c r="C129" s="32">
        <v>0.04</v>
      </c>
      <c r="D129" s="144">
        <f ca="1">OFFSET(Attributes!$A$1,MATCH(Rare!$A129,Attributes!$A:$A,0)-1,MATCH("Type",Attributes!$1:$1,0)-1)</f>
        <v>1</v>
      </c>
      <c r="E129" s="144" t="str">
        <f ca="1">IFERROR(OFFSET(Attributes!$A$1,MATCH(Rare!$A129,Attributes!$A:$A,0)-1,MATCH("Abbr",Attributes!$1:$1,0)-1),"")</f>
        <v>SCRIT</v>
      </c>
      <c r="F129" s="84"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44">
        <f ca="1">OFFSET(Attributes!$A$1,MATCH(Rare!$A130,Attributes!$A:$A,0)-1,MATCH("Type",Attributes!$1:$1,0)-1)</f>
        <v>3</v>
      </c>
      <c r="E130" s="144" t="str">
        <f ca="1">IFERROR(OFFSET(Attributes!$A$1,MATCH(Rare!$A130,Attributes!$A:$A,0)-1,MATCH("Abbr",Attributes!$1:$1,0)-1),"")</f>
        <v>PL_SHOCK</v>
      </c>
      <c r="F130" s="84" t="str">
        <f ca="1">SUBSTITUTE(OFFSET(Attributes!$A$1,MATCH($A130,Attributes!$A:$A,0)-1,MATCH("Attr CN",Attributes!$1:$1,0)-1),"#",$B130*$B$1&amp;"-"&amp;$C130*$B$1)</f>
        <v>神圣震击一定能造成极效治疗0-0</v>
      </c>
      <c r="G130" s="129"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44">
        <f ca="1">OFFSET(Attributes!$A$1,MATCH(Rare!$A131,Attributes!$A:$A,0)-1,MATCH("Type",Attributes!$1:$1,0)-1)</f>
        <v>3</v>
      </c>
      <c r="E131" s="144" t="str">
        <f ca="1">IFERROR(OFFSET(Attributes!$A$1,MATCH(Rare!$A131,Attributes!$A:$A,0)-1,MATCH("Abbr",Attributes!$1:$1,0)-1),"")</f>
        <v>PL_LIGHT</v>
      </c>
      <c r="F131" s="84" t="str">
        <f ca="1">SUBSTITUTE(OFFSET(Attributes!$A$1,MATCH($A131,Attributes!$A:$A,0)-1,MATCH("Attr CN",Attributes!$1:$1,0)-1),"#",$B131*$B$1&amp;"-"&amp;$C131*$B$1)</f>
        <v>闪耀之光可以驱散一个有害的法术效果0-0</v>
      </c>
      <c r="G131" s="129"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44" t="str">
        <f ca="1">IFERROR(OFFSET(Attributes!$A$1,MATCH(Rare!$A132,Attributes!$A:$A,0)-1,MATCH("Abbr",Attributes!$1:$1,0)-1),"")</f>
        <v/>
      </c>
      <c r="F132" s="88" t="s">
        <v>30</v>
      </c>
      <c r="G132" s="98" t="s">
        <v>600</v>
      </c>
      <c r="H132" s="33"/>
      <c r="I132" s="33"/>
      <c r="J132" s="35" t="s">
        <v>571</v>
      </c>
      <c r="K132" s="95" t="str">
        <f t="shared" ref="K132:K195" si="2">GetCellColorHEX(G132)</f>
        <v>FFDEAD</v>
      </c>
    </row>
    <row r="133" spans="1:11" x14ac:dyDescent="0.25">
      <c r="E133" s="144" t="str">
        <f ca="1">IFERROR(OFFSET(Attributes!$A$1,MATCH(Rare!$A133,Attributes!$A:$A,0)-1,MATCH("Abbr",Attributes!$1:$1,0)-1),"")</f>
        <v/>
      </c>
      <c r="F133" s="106"/>
      <c r="G133" s="127"/>
      <c r="H133" s="33"/>
      <c r="I133" s="33"/>
      <c r="J133" s="35" t="s">
        <v>571</v>
      </c>
      <c r="K133" s="95" t="str">
        <f t="shared" si="2"/>
        <v>9900FF</v>
      </c>
    </row>
    <row r="134" spans="1:11" x14ac:dyDescent="0.25">
      <c r="E134" s="144" t="str">
        <f ca="1">IFERROR(OFFSET(Attributes!$A$1,MATCH(Rare!$A134,Attributes!$A:$A,0)-1,MATCH("Abbr",Attributes!$1:$1,0)-1),"")</f>
        <v/>
      </c>
      <c r="F134" s="103" t="s">
        <v>31</v>
      </c>
      <c r="G134" s="124"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44">
        <f ca="1">OFFSET(Attributes!$A$1,MATCH(Rare!$A135,Attributes!$A:$A,0)-1,MATCH("Type",Attributes!$1:$1,0)-1)</f>
        <v>1</v>
      </c>
      <c r="E135" s="144" t="str">
        <f ca="1">IFERROR(OFFSET(Attributes!$A$1,MATCH(Rare!$A135,Attributes!$A:$A,0)-1,MATCH("Abbr",Attributes!$1:$1,0)-1),"")</f>
        <v>INT</v>
      </c>
      <c r="F135" s="84"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|CFF8B66FFRare|R|N+18-24智力|N+180-225生命上限|N+24-48法术强度|N每秒回复9-18点法力值|N治疗祷言可以提升目标12-18点护甲|N移除护盾术造成的虚弱效果0-0|N|N|CFFFFDEAD在光的背后，是阴影。|R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44">
        <f ca="1">OFFSET(Attributes!$A$1,MATCH(Rare!$A136,Attributes!$A:$A,0)-1,MATCH("Type",Attributes!$1:$1,0)-1)</f>
        <v>1</v>
      </c>
      <c r="E136" s="144" t="str">
        <f ca="1">IFERROR(OFFSET(Attributes!$A$1,MATCH(Rare!$A136,Attributes!$A:$A,0)-1,MATCH("Abbr",Attributes!$1:$1,0)-1),"")</f>
        <v>HP</v>
      </c>
      <c r="F136" s="84"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+18-24智力|N+180-225生命上限|N+24-48法术强度|N每秒回复9-18点法力值|N治疗祷言可以提升目标12-18点护甲|N移除护盾术造成的虚弱效果0-0|N|N|CFFFFDEAD在光的背后，是阴影。|R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44">
        <f ca="1">OFFSET(Attributes!$A$1,MATCH(Rare!$A137,Attributes!$A:$A,0)-1,MATCH("Type",Attributes!$1:$1,0)-1)</f>
        <v>1</v>
      </c>
      <c r="E137" s="144" t="str">
        <f ca="1">IFERROR(OFFSET(Attributes!$A$1,MATCH(Rare!$A137,Attributes!$A:$A,0)-1,MATCH("Abbr",Attributes!$1:$1,0)-1),"")</f>
        <v>SP</v>
      </c>
      <c r="F137" s="84"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44">
        <f ca="1">OFFSET(Attributes!$A$1,MATCH(Rare!$A138,Attributes!$A:$A,0)-1,MATCH("Type",Attributes!$1:$1,0)-1)</f>
        <v>1</v>
      </c>
      <c r="E138" s="144" t="str">
        <f ca="1">IFERROR(OFFSET(Attributes!$A$1,MATCH(Rare!$A138,Attributes!$A:$A,0)-1,MATCH("Abbr",Attributes!$1:$1,0)-1),"")</f>
        <v>MREG</v>
      </c>
      <c r="F138" s="84"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44">
        <f ca="1">OFFSET(Attributes!$A$1,MATCH(Rare!$A139,Attributes!$A:$A,0)-1,MATCH("Type",Attributes!$1:$1,0)-1)</f>
        <v>2</v>
      </c>
      <c r="E139" s="144" t="str">
        <f ca="1">IFERROR(OFFSET(Attributes!$A$1,MATCH(Rare!$A139,Attributes!$A:$A,0)-1,MATCH("Abbr",Attributes!$1:$1,0)-1),"")</f>
        <v>PR_POHDEF</v>
      </c>
      <c r="F139" s="84" t="str">
        <f ca="1">SUBSTITUTE(OFFSET(Attributes!$A$1,MATCH($A139,Attributes!$A:$A,0)-1,MATCH("Attr CN",Attributes!$1:$1,0)-1),"#",$B139*$B$1&amp;"-"&amp;$C139*$B$1)</f>
        <v>治疗祷言可以提升目标12-18点护甲</v>
      </c>
      <c r="G139" s="128"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44">
        <f ca="1">OFFSET(Attributes!$A$1,MATCH(Rare!$A140,Attributes!$A:$A,0)-1,MATCH("Type",Attributes!$1:$1,0)-1)</f>
        <v>3</v>
      </c>
      <c r="E140" s="144" t="str">
        <f ca="1">IFERROR(OFFSET(Attributes!$A$1,MATCH(Rare!$A140,Attributes!$A:$A,0)-1,MATCH("Abbr",Attributes!$1:$1,0)-1),"")</f>
        <v>PR_SHIELD</v>
      </c>
      <c r="F140" s="84" t="str">
        <f ca="1">SUBSTITUTE(OFFSET(Attributes!$A$1,MATCH($A140,Attributes!$A:$A,0)-1,MATCH("Attr CN",Attributes!$1:$1,0)-1),"#",$B140*$B$1&amp;"-"&amp;$C140*$B$1)</f>
        <v>移除护盾术造成的虚弱效果0-0</v>
      </c>
      <c r="G140" s="129"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44" t="str">
        <f ca="1">IFERROR(OFFSET(Attributes!$A$1,MATCH(Rare!$A141,Attributes!$A:$A,0)-1,MATCH("Abbr",Attributes!$1:$1,0)-1),"")</f>
        <v/>
      </c>
      <c r="F141" s="88" t="s">
        <v>32</v>
      </c>
      <c r="G141" s="98" t="s">
        <v>602</v>
      </c>
      <c r="H141" s="33"/>
      <c r="I141" s="33"/>
      <c r="J141" s="35" t="s">
        <v>571</v>
      </c>
      <c r="K141" s="95" t="str">
        <f t="shared" si="2"/>
        <v>FFDEAD</v>
      </c>
    </row>
    <row r="142" spans="1:11" x14ac:dyDescent="0.25">
      <c r="E142" s="144" t="str">
        <f ca="1">IFERROR(OFFSET(Attributes!$A$1,MATCH(Rare!$A142,Attributes!$A:$A,0)-1,MATCH("Abbr",Attributes!$1:$1,0)-1),"")</f>
        <v/>
      </c>
      <c r="F142" s="106"/>
      <c r="G142" s="127"/>
      <c r="H142" s="33"/>
      <c r="I142" s="33"/>
      <c r="J142" s="35" t="s">
        <v>571</v>
      </c>
      <c r="K142" s="95" t="str">
        <f t="shared" si="2"/>
        <v>9900FF</v>
      </c>
    </row>
    <row r="143" spans="1:11" x14ac:dyDescent="0.25">
      <c r="E143" s="144" t="str">
        <f ca="1">IFERROR(OFFSET(Attributes!$A$1,MATCH(Rare!$A143,Attributes!$A:$A,0)-1,MATCH("Abbr",Attributes!$1:$1,0)-1),"")</f>
        <v/>
      </c>
      <c r="F143" s="103" t="s">
        <v>33</v>
      </c>
      <c r="G143" s="124"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44">
        <f ca="1">OFFSET(Attributes!$A$1,MATCH(Rare!$A144,Attributes!$A:$A,0)-1,MATCH("Type",Attributes!$1:$1,0)-1)</f>
        <v>1</v>
      </c>
      <c r="E144" s="144" t="str">
        <f ca="1">IFERROR(OFFSET(Attributes!$A$1,MATCH(Rare!$A144,Attributes!$A:$A,0)-1,MATCH("Abbr",Attributes!$1:$1,0)-1),"")</f>
        <v>ALLSTAT</v>
      </c>
      <c r="F144" s="84"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|CFF8B66FFRare|R|N+12-15所有属性|N+150-240生命上限|N+240-390法力上限|N+30-42法术强度|N愈合的瞬发效果的冷却时间缩短9-14.1秒|N|N|CFFFFDEAD这个暗夜精灵族的神器据说能召唤来所有暗夜精灵的灵魂。|R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44">
        <f ca="1">OFFSET(Attributes!$A$1,MATCH(Rare!$A145,Attributes!$A:$A,0)-1,MATCH("Type",Attributes!$1:$1,0)-1)</f>
        <v>1</v>
      </c>
      <c r="E145" s="144" t="str">
        <f ca="1">IFERROR(OFFSET(Attributes!$A$1,MATCH(Rare!$A145,Attributes!$A:$A,0)-1,MATCH("Abbr",Attributes!$1:$1,0)-1),"")</f>
        <v>HP</v>
      </c>
      <c r="F145" s="84"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+12-15所有属性|N+150-240生命上限|N+240-390法力上限|N+30-42法术强度|N愈合的瞬发效果的冷却时间缩短9-14.1秒|N|N|CFFFFDEAD这个暗夜精灵族的神器据说能召唤来所有暗夜精灵的灵魂。|R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44">
        <f ca="1">OFFSET(Attributes!$A$1,MATCH(Rare!$A146,Attributes!$A:$A,0)-1,MATCH("Type",Attributes!$1:$1,0)-1)</f>
        <v>1</v>
      </c>
      <c r="E146" s="144" t="str">
        <f ca="1">IFERROR(OFFSET(Attributes!$A$1,MATCH(Rare!$A146,Attributes!$A:$A,0)-1,MATCH("Abbr",Attributes!$1:$1,0)-1),"")</f>
        <v>MP</v>
      </c>
      <c r="F146" s="84"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44">
        <f ca="1">OFFSET(Attributes!$A$1,MATCH(Rare!$A147,Attributes!$A:$A,0)-1,MATCH("Type",Attributes!$1:$1,0)-1)</f>
        <v>1</v>
      </c>
      <c r="E147" s="144" t="str">
        <f ca="1">IFERROR(OFFSET(Attributes!$A$1,MATCH(Rare!$A147,Attributes!$A:$A,0)-1,MATCH("Abbr",Attributes!$1:$1,0)-1),"")</f>
        <v>SP</v>
      </c>
      <c r="F147" s="84"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44">
        <f ca="1">OFFSET(Attributes!$A$1,MATCH(Rare!$A148,Attributes!$A:$A,0)-1,MATCH("Type",Attributes!$1:$1,0)-1)</f>
        <v>2</v>
      </c>
      <c r="E148" s="144" t="str">
        <f ca="1">IFERROR(OFFSET(Attributes!$A$1,MATCH(Rare!$A148,Attributes!$A:$A,0)-1,MATCH("Abbr",Attributes!$1:$1,0)-1),"")</f>
        <v>KG_REGRCD</v>
      </c>
      <c r="F148" s="84" t="str">
        <f ca="1">SUBSTITUTE(OFFSET(Attributes!$A$1,MATCH($A148,Attributes!$A:$A,0)-1,MATCH("Attr CN",Attributes!$1:$1,0)-1),"#",$B148*$B$1&amp;"-"&amp;$C148*$B$1)</f>
        <v>愈合的瞬发效果的冷却时间缩短9-14.1秒</v>
      </c>
      <c r="G148" s="130"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44" t="str">
        <f ca="1">IFERROR(OFFSET(Attributes!$A$1,MATCH(Rare!$A149,Attributes!$A:$A,0)-1,MATCH("Abbr",Attributes!$1:$1,0)-1),"")</f>
        <v/>
      </c>
      <c r="F149" s="88" t="s">
        <v>34</v>
      </c>
      <c r="G149" s="98" t="s">
        <v>604</v>
      </c>
      <c r="H149" s="34"/>
      <c r="I149" s="34"/>
      <c r="J149" s="35" t="s">
        <v>571</v>
      </c>
      <c r="K149" s="95" t="str">
        <f t="shared" si="2"/>
        <v>FFDEAD</v>
      </c>
    </row>
    <row r="150" spans="1:11" x14ac:dyDescent="0.25">
      <c r="E150" s="144" t="str">
        <f ca="1">IFERROR(OFFSET(Attributes!$A$1,MATCH(Rare!$A150,Attributes!$A:$A,0)-1,MATCH("Abbr",Attributes!$1:$1,0)-1),"")</f>
        <v/>
      </c>
      <c r="F150" s="106"/>
      <c r="G150" s="127"/>
      <c r="H150" s="33"/>
      <c r="I150" s="33"/>
      <c r="J150" s="35" t="s">
        <v>571</v>
      </c>
      <c r="K150" s="95" t="str">
        <f t="shared" si="2"/>
        <v>9900FF</v>
      </c>
    </row>
    <row r="151" spans="1:11" x14ac:dyDescent="0.25">
      <c r="E151" s="144" t="str">
        <f ca="1">IFERROR(OFFSET(Attributes!$A$1,MATCH(Rare!$A151,Attributes!$A:$A,0)-1,MATCH("Abbr",Attributes!$1:$1,0)-1),"")</f>
        <v/>
      </c>
      <c r="F151" s="103" t="s">
        <v>35</v>
      </c>
      <c r="G151" s="124"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44">
        <f ca="1">OFFSET(Attributes!$A$1,MATCH(Rare!$A152,Attributes!$A:$A,0)-1,MATCH("Type",Attributes!$1:$1,0)-1)</f>
        <v>1</v>
      </c>
      <c r="E152" s="144" t="str">
        <f ca="1">IFERROR(OFFSET(Attributes!$A$1,MATCH(Rare!$A152,Attributes!$A:$A,0)-1,MATCH("Abbr",Attributes!$1:$1,0)-1),"")</f>
        <v>STR</v>
      </c>
      <c r="F152" s="84"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|CFF8B66FFRare|R|N+18-24力量|N+18-24敏捷|N+30-36攻击强度|N+9-12攻击暴击|N勇气点数的获取速度提升1.2-1.8|N|N|CFFFFDEAD带着部落的荣耀，斩下入侵者的头颅。|R</v>
      </c>
      <c r="I152" s="32" t="str">
        <f ca="1">FormatItemDescription(G151:G157)</f>
        <v>|CFF8B66FFRare|R|N+18-24 Strength|N+18-24 Agility|N+30-36 Attack power|N+9-12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44">
        <f ca="1">OFFSET(Attributes!$A$1,MATCH(Rare!$A153,Attributes!$A:$A,0)-1,MATCH("Type",Attributes!$1:$1,0)-1)</f>
        <v>1</v>
      </c>
      <c r="E153" s="144" t="str">
        <f ca="1">IFERROR(OFFSET(Attributes!$A$1,MATCH(Rare!$A153,Attributes!$A:$A,0)-1,MATCH("Abbr",Attributes!$1:$1,0)-1),"")</f>
        <v>AGI</v>
      </c>
      <c r="F153" s="84"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+18-24力量|N+18-24敏捷|N+30-36攻击强度|N+9-12攻击暴击|N勇气点数的获取速度提升1.2-1.8|N|N|CFFFFDEAD带着部落的荣耀，斩下入侵者的头颅。|R</v>
      </c>
      <c r="I153" s="32" t="str">
        <f ca="1">FormatItemUbertip(G152:G157)</f>
        <v>+18-24 Strength|N+18-24 Agility|N+30-36 Attack power|N+9-12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44">
        <f ca="1">OFFSET(Attributes!$A$1,MATCH(Rare!$A154,Attributes!$A:$A,0)-1,MATCH("Type",Attributes!$1:$1,0)-1)</f>
        <v>1</v>
      </c>
      <c r="E154" s="144" t="str">
        <f ca="1">IFERROR(OFFSET(Attributes!$A$1,MATCH(Rare!$A154,Attributes!$A:$A,0)-1,MATCH("Abbr",Attributes!$1:$1,0)-1),"")</f>
        <v>AP</v>
      </c>
      <c r="F154" s="84"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3</v>
      </c>
      <c r="C155" s="32">
        <v>4</v>
      </c>
      <c r="D155" s="144">
        <f ca="1">OFFSET(Attributes!$A$1,MATCH(Rare!$A155,Attributes!$A:$A,0)-1,MATCH("Type",Attributes!$1:$1,0)-1)</f>
        <v>1</v>
      </c>
      <c r="E155" s="144" t="str">
        <f ca="1">IFERROR(OFFSET(Attributes!$A$1,MATCH(Rare!$A155,Attributes!$A:$A,0)-1,MATCH("Abbr",Attributes!$1:$1,0)-1),"")</f>
        <v>CRIT</v>
      </c>
      <c r="F155" s="84" t="str">
        <f ca="1">SUBSTITUTE(OFFSET(Attributes!$A$1,MATCH($A155,Attributes!$A:$A,0)-1,MATCH("Attr CN",Attributes!$1:$1,0)-1),"#",$B155*$B$1&amp;"-"&amp;$C155*$B$1)</f>
        <v>+9-12攻击暴击</v>
      </c>
      <c r="G155" s="97" t="str">
        <f ca="1">SUBSTITUTE(OFFSET(Attributes!$A$1,MATCH($A155,Attributes!$A:$A,0)-1,MATCH("Attr EN",Attributes!$1:$1,0)-1),"#",$B155*$B$1&amp;"-"&amp;$C155*$B$1)</f>
        <v>+9-12 Attack critical</v>
      </c>
      <c r="H155" s="33"/>
      <c r="I155" s="33"/>
      <c r="J155" s="35" t="s">
        <v>571</v>
      </c>
      <c r="K155" s="95" t="str">
        <f t="shared" si="2"/>
        <v>FFFFFF</v>
      </c>
    </row>
    <row r="156" spans="1:11" x14ac:dyDescent="0.25">
      <c r="A156" s="32">
        <v>39</v>
      </c>
      <c r="B156" s="32">
        <v>0.4</v>
      </c>
      <c r="C156" s="32">
        <v>0.6</v>
      </c>
      <c r="D156" s="144">
        <f ca="1">OFFSET(Attributes!$A$1,MATCH(Rare!$A156,Attributes!$A:$A,0)-1,MATCH("Type",Attributes!$1:$1,0)-1)</f>
        <v>2</v>
      </c>
      <c r="E156" s="144" t="str">
        <f ca="1">IFERROR(OFFSET(Attributes!$A$1,MATCH(Rare!$A156,Attributes!$A:$A,0)-1,MATCH("Abbr",Attributes!$1:$1,0)-1),"")</f>
        <v>BM_VALOR</v>
      </c>
      <c r="F156" s="84" t="str">
        <f ca="1">SUBSTITUTE(OFFSET(Attributes!$A$1,MATCH($A156,Attributes!$A:$A,0)-1,MATCH("Attr CN",Attributes!$1:$1,0)-1),"#",$B156*$B$1&amp;"-"&amp;$C156*$B$1)</f>
        <v>勇气点数的获取速度提升1.2-1.8</v>
      </c>
      <c r="G156" s="130"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44" t="str">
        <f ca="1">IFERROR(OFFSET(Attributes!$A$1,MATCH(Rare!$A157,Attributes!$A:$A,0)-1,MATCH("Abbr",Attributes!$1:$1,0)-1),"")</f>
        <v/>
      </c>
      <c r="F157" s="88" t="s">
        <v>36</v>
      </c>
      <c r="G157" s="98" t="s">
        <v>606</v>
      </c>
      <c r="H157" s="33"/>
      <c r="I157" s="33"/>
      <c r="J157" s="35" t="s">
        <v>571</v>
      </c>
      <c r="K157" s="95" t="str">
        <f t="shared" si="2"/>
        <v>FFDEAD</v>
      </c>
    </row>
    <row r="158" spans="1:11" x14ac:dyDescent="0.25">
      <c r="E158" s="144" t="str">
        <f ca="1">IFERROR(OFFSET(Attributes!$A$1,MATCH(Rare!$A158,Attributes!$A:$A,0)-1,MATCH("Abbr",Attributes!$1:$1,0)-1),"")</f>
        <v/>
      </c>
      <c r="F158" s="106"/>
      <c r="G158" s="127"/>
      <c r="H158" s="33"/>
      <c r="I158" s="33"/>
      <c r="J158" s="35" t="s">
        <v>571</v>
      </c>
      <c r="K158" s="95" t="str">
        <f t="shared" si="2"/>
        <v>9900FF</v>
      </c>
    </row>
    <row r="159" spans="1:11" x14ac:dyDescent="0.25">
      <c r="E159" s="144" t="str">
        <f ca="1">IFERROR(OFFSET(Attributes!$A$1,MATCH(Rare!$A159,Attributes!$A:$A,0)-1,MATCH("Abbr",Attributes!$1:$1,0)-1),"")</f>
        <v/>
      </c>
      <c r="F159" s="103" t="s">
        <v>37</v>
      </c>
      <c r="G159" s="124"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44">
        <f ca="1">OFFSET(Attributes!$A$1,MATCH(Rare!$A160,Attributes!$A:$A,0)-1,MATCH("Type",Attributes!$1:$1,0)-1)</f>
        <v>1</v>
      </c>
      <c r="E160" s="144" t="str">
        <f ca="1">IFERROR(OFFSET(Attributes!$A$1,MATCH(Rare!$A160,Attributes!$A:$A,0)-1,MATCH("Abbr",Attributes!$1:$1,0)-1),"")</f>
        <v>AGI</v>
      </c>
      <c r="F160" s="84"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44">
        <f ca="1">OFFSET(Attributes!$A$1,MATCH(Rare!$A161,Attributes!$A:$A,0)-1,MATCH("Type",Attributes!$1:$1,0)-1)</f>
        <v>1</v>
      </c>
      <c r="E161" s="144" t="str">
        <f ca="1">IFERROR(OFFSET(Attributes!$A$1,MATCH(Rare!$A161,Attributes!$A:$A,0)-1,MATCH("Abbr",Attributes!$1:$1,0)-1),"")</f>
        <v>AP</v>
      </c>
      <c r="F161" s="84"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44">
        <f ca="1">OFFSET(Attributes!$A$1,MATCH(Rare!$A162,Attributes!$A:$A,0)-1,MATCH("Type",Attributes!$1:$1,0)-1)</f>
        <v>1</v>
      </c>
      <c r="E162" s="144" t="str">
        <f ca="1">IFERROR(OFFSET(Attributes!$A$1,MATCH(Rare!$A162,Attributes!$A:$A,0)-1,MATCH("Abbr",Attributes!$1:$1,0)-1),"")</f>
        <v>IAS</v>
      </c>
      <c r="F162" s="84"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44">
        <f ca="1">OFFSET(Attributes!$A$1,MATCH(Rare!$A163,Attributes!$A:$A,0)-1,MATCH("Type",Attributes!$1:$1,0)-1)</f>
        <v>3</v>
      </c>
      <c r="E163" s="144" t="str">
        <f ca="1">IFERROR(OFFSET(Attributes!$A$1,MATCH(Rare!$A163,Attributes!$A:$A,0)-1,MATCH("Abbr",Attributes!$1:$1,0)-1),"")</f>
        <v>RG_ONESHOT</v>
      </c>
      <c r="F163" s="84" t="str">
        <f ca="1">SUBSTITUTE(OFFSET(Attributes!$A$1,MATCH($A163,Attributes!$A:$A,0)-1,MATCH("Attr CN",Attributes!$1:$1,0)-1),"#",$B163*$B$1&amp;"-"&amp;$C163*$B$1)</f>
        <v>对生命值少于自己的目标造成一击必杀0-0</v>
      </c>
      <c r="G163" s="129"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44">
        <f ca="1">OFFSET(Attributes!$A$1,MATCH(Rare!$A164,Attributes!$A:$A,0)-1,MATCH("Type",Attributes!$1:$1,0)-1)</f>
        <v>2</v>
      </c>
      <c r="E164" s="144" t="str">
        <f ca="1">IFERROR(OFFSET(Attributes!$A$1,MATCH(Rare!$A164,Attributes!$A:$A,0)-1,MATCH("Abbr",Attributes!$1:$1,0)-1),"")</f>
        <v>RG_RUSH</v>
      </c>
      <c r="F164" s="84" t="str">
        <f ca="1">SUBSTITUTE(OFFSET(Attributes!$A$1,MATCH($A164,Attributes!$A:$A,0)-1,MATCH("Attr CN",Attributes!$1:$1,0)-1),"#",$B164*$B$1&amp;"-"&amp;$C164*$B$1)</f>
        <v>对生命值少于30%的目标造成0.12-0.18的额外伤害</v>
      </c>
      <c r="G164" s="128"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44">
        <f ca="1">OFFSET(Attributes!$A$1,MATCH(Rare!$A165,Attributes!$A:$A,0)-1,MATCH("Type",Attributes!$1:$1,0)-1)</f>
        <v>2</v>
      </c>
      <c r="E165" s="144" t="str">
        <f ca="1">IFERROR(OFFSET(Attributes!$A$1,MATCH(Rare!$A165,Attributes!$A:$A,0)-1,MATCH("Abbr",Attributes!$1:$1,0)-1),"")</f>
        <v>RG_PARALZ</v>
      </c>
      <c r="F165" s="84" t="str">
        <f ca="1">SUBSTITUTE(OFFSET(Attributes!$A$1,MATCH($A165,Attributes!$A:$A,0)-1,MATCH("Attr CN",Attributes!$1:$1,0)-1),"#",$B165*$B$1&amp;"-"&amp;$C165*$B$1)</f>
        <v>邪恶攻击有0.09-0.18的几率造成麻痹效果，降低目标施法速度20%，并获得一个额外的连击点</v>
      </c>
      <c r="G165" s="128"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44" t="str">
        <f ca="1">IFERROR(OFFSET(Attributes!$A$1,MATCH(Rare!$A166,Attributes!$A:$A,0)-1,MATCH("Abbr",Attributes!$1:$1,0)-1),"")</f>
        <v/>
      </c>
      <c r="F166" s="88" t="s">
        <v>38</v>
      </c>
      <c r="G166" s="98" t="s">
        <v>608</v>
      </c>
      <c r="H166" s="33"/>
      <c r="I166" s="33"/>
      <c r="J166" s="35" t="s">
        <v>571</v>
      </c>
      <c r="K166" s="95" t="str">
        <f t="shared" si="2"/>
        <v>FFDEAD</v>
      </c>
    </row>
    <row r="167" spans="1:12" x14ac:dyDescent="0.25">
      <c r="E167" s="144" t="str">
        <f ca="1">IFERROR(OFFSET(Attributes!$A$1,MATCH(Rare!$A167,Attributes!$A:$A,0)-1,MATCH("Abbr",Attributes!$1:$1,0)-1),"")</f>
        <v/>
      </c>
      <c r="F167" s="106"/>
      <c r="G167" s="127"/>
      <c r="H167" s="33"/>
      <c r="I167" s="33"/>
      <c r="J167" s="35" t="s">
        <v>571</v>
      </c>
      <c r="K167" s="95" t="str">
        <f t="shared" si="2"/>
        <v>9900FF</v>
      </c>
    </row>
    <row r="168" spans="1:12" x14ac:dyDescent="0.25">
      <c r="E168" s="144" t="str">
        <f ca="1">IFERROR(OFFSET(Attributes!$A$1,MATCH(Rare!$A168,Attributes!$A:$A,0)-1,MATCH("Abbr",Attributes!$1:$1,0)-1),"")</f>
        <v/>
      </c>
      <c r="F168" s="103" t="s">
        <v>39</v>
      </c>
      <c r="G168" s="124"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44">
        <f ca="1">OFFSET(Attributes!$A$1,MATCH(Rare!$A169,Attributes!$A:$A,0)-1,MATCH("Type",Attributes!$1:$1,0)-1)</f>
        <v>1</v>
      </c>
      <c r="E169" s="144" t="str">
        <f ca="1">IFERROR(OFFSET(Attributes!$A$1,MATCH(Rare!$A169,Attributes!$A:$A,0)-1,MATCH("Abbr",Attributes!$1:$1,0)-1),"")</f>
        <v>AGI</v>
      </c>
      <c r="F169" s="84"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|CFF8B66FFRare|R|N+15-24敏捷|N+33-39攻击强度|N+9-15攻击暴击|N+30-60移动速度|N黑箭数量增加2.1-3枝|N|N|CFFFFDEAD“Rhok'delar”|R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44">
        <f ca="1">OFFSET(Attributes!$A$1,MATCH(Rare!$A170,Attributes!$A:$A,0)-1,MATCH("Type",Attributes!$1:$1,0)-1)</f>
        <v>1</v>
      </c>
      <c r="E170" s="144" t="str">
        <f ca="1">IFERROR(OFFSET(Attributes!$A$1,MATCH(Rare!$A170,Attributes!$A:$A,0)-1,MATCH("Abbr",Attributes!$1:$1,0)-1),"")</f>
        <v>AP</v>
      </c>
      <c r="F170" s="84"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+15-24敏捷|N+33-39攻击强度|N+9-15攻击暴击|N+30-60移动速度|N黑箭数量增加2.1-3枝|N|N|CFFFFDEAD“Rhok'delar”|R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44">
        <f ca="1">OFFSET(Attributes!$A$1,MATCH(Rare!$A171,Attributes!$A:$A,0)-1,MATCH("Type",Attributes!$1:$1,0)-1)</f>
        <v>1</v>
      </c>
      <c r="E171" s="144" t="str">
        <f ca="1">IFERROR(OFFSET(Attributes!$A$1,MATCH(Rare!$A171,Attributes!$A:$A,0)-1,MATCH("Abbr",Attributes!$1:$1,0)-1),"")</f>
        <v>CRIT</v>
      </c>
      <c r="F171" s="84"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44">
        <f ca="1">OFFSET(Attributes!$A$1,MATCH(Rare!$A172,Attributes!$A:$A,0)-1,MATCH("Type",Attributes!$1:$1,0)-1)</f>
        <v>1</v>
      </c>
      <c r="E172" s="144" t="str">
        <f ca="1">IFERROR(OFFSET(Attributes!$A$1,MATCH(Rare!$A172,Attributes!$A:$A,0)-1,MATCH("Abbr",Attributes!$1:$1,0)-1),"")</f>
        <v>MS</v>
      </c>
      <c r="F172" s="84"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44">
        <f ca="1">OFFSET(Attributes!$A$1,MATCH(Rare!$A173,Attributes!$A:$A,0)-1,MATCH("Type",Attributes!$1:$1,0)-1)</f>
        <v>2</v>
      </c>
      <c r="E173" s="144" t="str">
        <f ca="1">IFERROR(OFFSET(Attributes!$A$1,MATCH(Rare!$A173,Attributes!$A:$A,0)-1,MATCH("Abbr",Attributes!$1:$1,0)-1),"")</f>
        <v>DK_ARROW</v>
      </c>
      <c r="F173" s="84" t="str">
        <f ca="1">SUBSTITUTE(OFFSET(Attributes!$A$1,MATCH($A173,Attributes!$A:$A,0)-1,MATCH("Attr CN",Attributes!$1:$1,0)-1),"#",$B173*$B$1&amp;"-"&amp;$C173*$B$1)</f>
        <v>黑箭数量增加2.1-3枝</v>
      </c>
      <c r="G173" s="128"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44" t="str">
        <f ca="1">IFERROR(OFFSET(Attributes!$A$1,MATCH(Rare!$A174,Attributes!$A:$A,0)-1,MATCH("Abbr",Attributes!$1:$1,0)-1),"")</f>
        <v/>
      </c>
      <c r="F174" s="88" t="s">
        <v>40</v>
      </c>
      <c r="G174" s="98" t="s">
        <v>610</v>
      </c>
      <c r="H174" s="33"/>
      <c r="I174" s="33"/>
      <c r="J174" s="35" t="s">
        <v>571</v>
      </c>
      <c r="K174" s="95" t="str">
        <f t="shared" si="2"/>
        <v>FFDEAD</v>
      </c>
    </row>
    <row r="175" spans="1:12" x14ac:dyDescent="0.25">
      <c r="E175" s="144" t="str">
        <f ca="1">IFERROR(OFFSET(Attributes!$A$1,MATCH(Rare!$A175,Attributes!$A:$A,0)-1,MATCH("Abbr",Attributes!$1:$1,0)-1),"")</f>
        <v/>
      </c>
      <c r="F175" s="106"/>
      <c r="G175" s="127"/>
      <c r="H175" s="33"/>
      <c r="I175" s="33"/>
      <c r="J175" s="35" t="s">
        <v>571</v>
      </c>
      <c r="K175" s="95" t="str">
        <f t="shared" si="2"/>
        <v>9900FF</v>
      </c>
    </row>
    <row r="176" spans="1:12" x14ac:dyDescent="0.25">
      <c r="E176" s="144" t="str">
        <f ca="1">IFERROR(OFFSET(Attributes!$A$1,MATCH(Rare!$A176,Attributes!$A:$A,0)-1,MATCH("Abbr",Attributes!$1:$1,0)-1),"")</f>
        <v/>
      </c>
      <c r="F176" s="103" t="s">
        <v>41</v>
      </c>
      <c r="G176" s="124"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44">
        <f ca="1">OFFSET(Attributes!$A$1,MATCH(Rare!$A177,Attributes!$A:$A,0)-1,MATCH("Type",Attributes!$1:$1,0)-1)</f>
        <v>1</v>
      </c>
      <c r="E177" s="144" t="str">
        <f ca="1">IFERROR(OFFSET(Attributes!$A$1,MATCH(Rare!$A177,Attributes!$A:$A,0)-1,MATCH("Abbr",Attributes!$1:$1,0)-1),"")</f>
        <v>INT</v>
      </c>
      <c r="F177" s="84"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提高冰冷法术的伤害0.09-0.12|N暴风雪造成伤害时，有0.03-0.06的几率对目标立即施放寒冰箭|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44">
        <f ca="1">OFFSET(Attributes!$A$1,MATCH(Rare!$A178,Attributes!$A:$A,0)-1,MATCH("Type",Attributes!$1:$1,0)-1)</f>
        <v>1</v>
      </c>
      <c r="E178" s="144" t="str">
        <f ca="1">IFERROR(OFFSET(Attributes!$A$1,MATCH(Rare!$A178,Attributes!$A:$A,0)-1,MATCH("Abbr",Attributes!$1:$1,0)-1),"")</f>
        <v>HP</v>
      </c>
      <c r="F178" s="84"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+15-24智力|N+210-270生命上限|N+6-9法术暴击|N提高冰冷法术的伤害0.09-0.12|N暴风雪造成伤害时，有0.03-0.06的几率对目标立即施放寒冰箭|N|N|CFFFFDEAD对于某些人来说，他的护命匣的价值要大于黑暗秘密编年史。|R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44">
        <f ca="1">OFFSET(Attributes!$A$1,MATCH(Rare!$A179,Attributes!$A:$A,0)-1,MATCH("Type",Attributes!$1:$1,0)-1)</f>
        <v>1</v>
      </c>
      <c r="E179" s="144" t="str">
        <f ca="1">IFERROR(OFFSET(Attributes!$A$1,MATCH(Rare!$A179,Attributes!$A:$A,0)-1,MATCH("Abbr",Attributes!$1:$1,0)-1),"")</f>
        <v>SCRIT</v>
      </c>
      <c r="F179" s="84"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44">
        <f ca="1">OFFSET(Attributes!$A$1,MATCH(Rare!$A180,Attributes!$A:$A,0)-1,MATCH("Type",Attributes!$1:$1,0)-1)</f>
        <v>2</v>
      </c>
      <c r="E180" s="144" t="str">
        <f ca="1">IFERROR(OFFSET(Attributes!$A$1,MATCH(Rare!$A180,Attributes!$A:$A,0)-1,MATCH("Abbr",Attributes!$1:$1,0)-1),"")</f>
        <v>MG_FDMG</v>
      </c>
      <c r="F180" s="84" t="str">
        <f ca="1">SUBSTITUTE(OFFSET(Attributes!$A$1,MATCH($A180,Attributes!$A:$A,0)-1,MATCH("Attr CN",Attributes!$1:$1,0)-1),"#",$B180*$B$1&amp;"-"&amp;$C180*$B$1)</f>
        <v>提高冰冷法术的伤害0.09-0.12</v>
      </c>
      <c r="G180" s="128"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44">
        <f ca="1">OFFSET(Attributes!$A$1,MATCH(Rare!$A181,Attributes!$A:$A,0)-1,MATCH("Type",Attributes!$1:$1,0)-1)</f>
        <v>2</v>
      </c>
      <c r="E181" s="144" t="str">
        <f ca="1">IFERROR(OFFSET(Attributes!$A$1,MATCH(Rare!$A181,Attributes!$A:$A,0)-1,MATCH("Abbr",Attributes!$1:$1,0)-1),"")</f>
        <v>MG_BLZ</v>
      </c>
      <c r="F181" s="84" t="str">
        <f ca="1">SUBSTITUTE(OFFSET(Attributes!$A$1,MATCH($A181,Attributes!$A:$A,0)-1,MATCH("Attr CN",Attributes!$1:$1,0)-1),"#",$B181*$B$1&amp;"-"&amp;$C181*$B$1)</f>
        <v>暴风雪造成伤害时，有0.03-0.06的几率对目标立即施放寒冰箭</v>
      </c>
      <c r="G181" s="128"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44" t="str">
        <f ca="1">IFERROR(OFFSET(Attributes!$A$1,MATCH(Rare!$A182,Attributes!$A:$A,0)-1,MATCH("Abbr",Attributes!$1:$1,0)-1),"")</f>
        <v/>
      </c>
      <c r="F182" s="88" t="s">
        <v>42</v>
      </c>
      <c r="G182" s="98" t="s">
        <v>612</v>
      </c>
      <c r="H182" s="34"/>
      <c r="I182" s="34"/>
      <c r="J182" s="35" t="s">
        <v>571</v>
      </c>
      <c r="K182" s="95" t="str">
        <f t="shared" si="2"/>
        <v>FFDEAD</v>
      </c>
    </row>
    <row r="183" spans="1:11" x14ac:dyDescent="0.25">
      <c r="E183" s="144" t="str">
        <f ca="1">IFERROR(OFFSET(Attributes!$A$1,MATCH(Rare!$A183,Attributes!$A:$A,0)-1,MATCH("Abbr",Attributes!$1:$1,0)-1),"")</f>
        <v/>
      </c>
      <c r="F183" s="106"/>
      <c r="G183" s="127"/>
      <c r="H183" s="33"/>
      <c r="I183" s="33"/>
      <c r="J183" s="35" t="s">
        <v>571</v>
      </c>
      <c r="K183" s="95" t="str">
        <f t="shared" si="2"/>
        <v>9900FF</v>
      </c>
    </row>
    <row r="184" spans="1:11" x14ac:dyDescent="0.25">
      <c r="E184" s="144" t="str">
        <f ca="1">IFERROR(OFFSET(Attributes!$A$1,MATCH(Rare!$A184,Attributes!$A:$A,0)-1,MATCH("Abbr",Attributes!$1:$1,0)-1),"")</f>
        <v/>
      </c>
      <c r="F184" s="103" t="s">
        <v>43</v>
      </c>
      <c r="G184" s="124"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44">
        <f ca="1">OFFSET(Attributes!$A$1,MATCH(Rare!$A185,Attributes!$A:$A,0)-1,MATCH("Type",Attributes!$1:$1,0)-1)</f>
        <v>1</v>
      </c>
      <c r="E185" s="144" t="str">
        <f ca="1">IFERROR(OFFSET(Attributes!$A$1,MATCH(Rare!$A185,Attributes!$A:$A,0)-1,MATCH("Abbr",Attributes!$1:$1,0)-1),"")</f>
        <v>HP</v>
      </c>
      <c r="F185" s="84"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|CFF8B66FFRare|R|N+270-450生命上限|N+30-45法术强度|N+0.06-0.09法术急速|N+0.06-0.09法术暴击|N精髓榨取能让目标身上的痛延长4.5-6秒|N|N|CFFFFDEAD在阴影前面，那是光。|R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44">
        <f ca="1">OFFSET(Attributes!$A$1,MATCH(Rare!$A186,Attributes!$A:$A,0)-1,MATCH("Type",Attributes!$1:$1,0)-1)</f>
        <v>1</v>
      </c>
      <c r="E186" s="144" t="str">
        <f ca="1">IFERROR(OFFSET(Attributes!$A$1,MATCH(Rare!$A186,Attributes!$A:$A,0)-1,MATCH("Abbr",Attributes!$1:$1,0)-1),"")</f>
        <v>SP</v>
      </c>
      <c r="F186" s="84"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+270-450生命上限|N+30-45法术强度|N+0.06-0.09法术急速|N+0.06-0.09法术暴击|N精髓榨取能让目标身上的痛延长4.5-6秒|N|N|CFFFFDEAD在阴影前面，那是光。|R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44">
        <f ca="1">OFFSET(Attributes!$A$1,MATCH(Rare!$A187,Attributes!$A:$A,0)-1,MATCH("Type",Attributes!$1:$1,0)-1)</f>
        <v>1</v>
      </c>
      <c r="E187" s="144" t="str">
        <f ca="1">IFERROR(OFFSET(Attributes!$A$1,MATCH(Rare!$A187,Attributes!$A:$A,0)-1,MATCH("Abbr",Attributes!$1:$1,0)-1),"")</f>
        <v>SHASTE</v>
      </c>
      <c r="F187" s="84"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44">
        <f ca="1">OFFSET(Attributes!$A$1,MATCH(Rare!$A188,Attributes!$A:$A,0)-1,MATCH("Type",Attributes!$1:$1,0)-1)</f>
        <v>1</v>
      </c>
      <c r="E188" s="144" t="str">
        <f ca="1">IFERROR(OFFSET(Attributes!$A$1,MATCH(Rare!$A188,Attributes!$A:$A,0)-1,MATCH("Abbr",Attributes!$1:$1,0)-1),"")</f>
        <v>SCRIT</v>
      </c>
      <c r="F188" s="84"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44">
        <f ca="1">OFFSET(Attributes!$A$1,MATCH(Rare!$A189,Attributes!$A:$A,0)-1,MATCH("Type",Attributes!$1:$1,0)-1)</f>
        <v>2</v>
      </c>
      <c r="E189" s="144" t="str">
        <f ca="1">IFERROR(OFFSET(Attributes!$A$1,MATCH(Rare!$A189,Attributes!$A:$A,0)-1,MATCH("Abbr",Attributes!$1:$1,0)-1),"")</f>
        <v>CT_PAIN</v>
      </c>
      <c r="F189" s="84" t="str">
        <f ca="1">SUBSTITUTE(OFFSET(Attributes!$A$1,MATCH($A189,Attributes!$A:$A,0)-1,MATCH("Attr CN",Attributes!$1:$1,0)-1),"#",$B189*$B$1&amp;"-"&amp;$C189*$B$1)</f>
        <v>精髓榨取能让目标身上的痛延长4.5-6秒</v>
      </c>
      <c r="G189" s="128"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44" t="str">
        <f ca="1">IFERROR(OFFSET(Attributes!$A$1,MATCH(Rare!$A190,Attributes!$A:$A,0)-1,MATCH("Abbr",Attributes!$1:$1,0)-1),"")</f>
        <v/>
      </c>
      <c r="F190" s="88" t="s">
        <v>44</v>
      </c>
      <c r="G190" s="98" t="s">
        <v>614</v>
      </c>
      <c r="H190" s="33"/>
      <c r="I190" s="33"/>
      <c r="J190" s="35" t="s">
        <v>571</v>
      </c>
      <c r="K190" s="95" t="str">
        <f t="shared" si="2"/>
        <v>FFDEAD</v>
      </c>
    </row>
    <row r="191" spans="1:11" x14ac:dyDescent="0.25">
      <c r="E191" s="144" t="str">
        <f ca="1">IFERROR(OFFSET(Attributes!$A$1,MATCH(Rare!$A191,Attributes!$A:$A,0)-1,MATCH("Abbr",Attributes!$1:$1,0)-1),"")</f>
        <v/>
      </c>
      <c r="F191" s="106"/>
      <c r="G191" s="127"/>
      <c r="H191" s="33"/>
      <c r="I191" s="33"/>
      <c r="J191" s="35" t="s">
        <v>571</v>
      </c>
      <c r="K191" s="95" t="str">
        <f t="shared" si="2"/>
        <v>9900FF</v>
      </c>
    </row>
    <row r="192" spans="1:11" x14ac:dyDescent="0.25">
      <c r="E192" s="144" t="str">
        <f ca="1">IFERROR(OFFSET(Attributes!$A$1,MATCH(Rare!$A192,Attributes!$A:$A,0)-1,MATCH("Abbr",Attributes!$1:$1,0)-1),"")</f>
        <v/>
      </c>
      <c r="F192" s="103" t="s">
        <v>45</v>
      </c>
      <c r="G192" s="124"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44">
        <f ca="1">OFFSET(Attributes!$A$1,MATCH(Rare!$A193,Attributes!$A:$A,0)-1,MATCH("Type",Attributes!$1:$1,0)-1)</f>
        <v>1</v>
      </c>
      <c r="E193" s="144" t="str">
        <f ca="1">IFERROR(OFFSET(Attributes!$A$1,MATCH(Rare!$A193,Attributes!$A:$A,0)-1,MATCH("Abbr",Attributes!$1:$1,0)-1),"")</f>
        <v>ALLSTAT</v>
      </c>
      <c r="F193" s="84"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|CFF8B66FFRare|R|N+9-12所有属性|N+30-36法术强度|N+15-18%攻击速度|N+0.06-0.12法术急速|N风暴打击有0.03-0.09额外的几率冷却大地震击|N|N|CFFFFDEAD采自雷霆山，这颗雷电花芯似乎拥有真正的雷电能量。|R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44">
        <f ca="1">OFFSET(Attributes!$A$1,MATCH(Rare!$A194,Attributes!$A:$A,0)-1,MATCH("Type",Attributes!$1:$1,0)-1)</f>
        <v>1</v>
      </c>
      <c r="E194" s="144" t="str">
        <f ca="1">IFERROR(OFFSET(Attributes!$A$1,MATCH(Rare!$A194,Attributes!$A:$A,0)-1,MATCH("Abbr",Attributes!$1:$1,0)-1),"")</f>
        <v>SP</v>
      </c>
      <c r="F194" s="84"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+9-12所有属性|N+30-36法术强度|N+15-18%攻击速度|N+0.06-0.12法术急速|N风暴打击有0.03-0.09额外的几率冷却大地震击|N|N|CFFFFDEAD采自雷霆山，这颗雷电花芯似乎拥有真正的雷电能量。|R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44">
        <f ca="1">OFFSET(Attributes!$A$1,MATCH(Rare!$A195,Attributes!$A:$A,0)-1,MATCH("Type",Attributes!$1:$1,0)-1)</f>
        <v>1</v>
      </c>
      <c r="E195" s="144" t="str">
        <f ca="1">IFERROR(OFFSET(Attributes!$A$1,MATCH(Rare!$A195,Attributes!$A:$A,0)-1,MATCH("Abbr",Attributes!$1:$1,0)-1),"")</f>
        <v>IAS</v>
      </c>
      <c r="F195" s="84"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44">
        <f ca="1">OFFSET(Attributes!$A$1,MATCH(Rare!$A196,Attributes!$A:$A,0)-1,MATCH("Type",Attributes!$1:$1,0)-1)</f>
        <v>1</v>
      </c>
      <c r="E196" s="144" t="str">
        <f ca="1">IFERROR(OFFSET(Attributes!$A$1,MATCH(Rare!$A196,Attributes!$A:$A,0)-1,MATCH("Abbr",Attributes!$1:$1,0)-1),"")</f>
        <v>SHASTE</v>
      </c>
      <c r="F196" s="84"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44">
        <f ca="1">OFFSET(Attributes!$A$1,MATCH(Rare!$A197,Attributes!$A:$A,0)-1,MATCH("Type",Attributes!$1:$1,0)-1)</f>
        <v>2</v>
      </c>
      <c r="E197" s="144" t="str">
        <f ca="1">IFERROR(OFFSET(Attributes!$A$1,MATCH(Rare!$A197,Attributes!$A:$A,0)-1,MATCH("Abbr",Attributes!$1:$1,0)-1),"")</f>
        <v>SM_LASH</v>
      </c>
      <c r="F197" s="84" t="str">
        <f ca="1">SUBSTITUTE(OFFSET(Attributes!$A$1,MATCH($A197,Attributes!$A:$A,0)-1,MATCH("Attr CN",Attributes!$1:$1,0)-1),"#",$B197*$B$1&amp;"-"&amp;$C197*$B$1)</f>
        <v>风暴打击有0.03-0.09额外的几率冷却大地震击</v>
      </c>
      <c r="G197" s="128"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8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40"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32"/>
      <c r="H1" s="93"/>
    </row>
    <row r="2" spans="1:10" s="70" customFormat="1" x14ac:dyDescent="0.35">
      <c r="A2" s="92" t="s">
        <v>738</v>
      </c>
      <c r="B2" s="80" t="s">
        <v>739</v>
      </c>
      <c r="C2" s="80" t="s">
        <v>740</v>
      </c>
      <c r="D2" s="81" t="s">
        <v>736</v>
      </c>
      <c r="E2" s="133" t="s">
        <v>737</v>
      </c>
      <c r="H2" s="93" t="s">
        <v>784</v>
      </c>
    </row>
    <row r="3" spans="1:10" x14ac:dyDescent="0.35">
      <c r="D3" s="83" t="s">
        <v>54</v>
      </c>
      <c r="E3" s="134"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35"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785</v>
      </c>
      <c r="I4" s="70" t="s">
        <v>571</v>
      </c>
    </row>
    <row r="5" spans="1:10" x14ac:dyDescent="0.35">
      <c r="A5" s="82">
        <v>18</v>
      </c>
      <c r="B5" s="82">
        <v>12</v>
      </c>
      <c r="C5" s="82">
        <v>18</v>
      </c>
      <c r="D5" s="84" t="str">
        <f ca="1">SUBSTITUTE(OFFSET(Attributes!$A$1,MATCH($A5,Attributes!$A:$A,0)-1,MATCH("Attr CN",Attributes!$1:$1,0)-1),"#",$B5*$B$1&amp;"-"&amp;$C5*$B$1)</f>
        <v>+36-54法术强度</v>
      </c>
      <c r="E5" s="135"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786</v>
      </c>
      <c r="I5" s="70" t="s">
        <v>571</v>
      </c>
    </row>
    <row r="6" spans="1:10" x14ac:dyDescent="0.35">
      <c r="A6" s="82">
        <v>73</v>
      </c>
      <c r="B6" s="82">
        <v>10</v>
      </c>
      <c r="C6" s="82">
        <v>17</v>
      </c>
      <c r="D6" s="84" t="str">
        <f ca="1">SUBSTITUTE(OFFSET(Attributes!$A$1,MATCH($A6,Attributes!$A:$A,0)-1,MATCH("Attr CN",Attributes!$1:$1,0)-1),"#",$B6*$B$1&amp;"-"&amp;$C6*$B$1)</f>
        <v>每秒回复30-51点生命值</v>
      </c>
      <c r="E6" s="135" t="str">
        <f ca="1">SUBSTITUTE(OFFSET(Attributes!$A$1,MATCH($A6,Attributes!$A:$A,0)-1,MATCH("Attr EN",Attributes!$1:$1,0)-1),"#",$B6*$B$1&amp;"-"&amp;$C6*$B$1)</f>
        <v>Regens 30-51 HP per second</v>
      </c>
      <c r="H6" s="94" t="s">
        <v>787</v>
      </c>
      <c r="I6" s="70" t="s">
        <v>571</v>
      </c>
    </row>
    <row r="7" spans="1:10" x14ac:dyDescent="0.35">
      <c r="A7" s="82">
        <v>57</v>
      </c>
      <c r="B7" s="82">
        <v>20</v>
      </c>
      <c r="C7" s="82">
        <v>40</v>
      </c>
      <c r="D7" s="85" t="str">
        <f ca="1">SUBSTITUTE(OFFSET(Attributes!$A$1,MATCH($A7,Attributes!$A:$A,0)-1,MATCH("Attr CN",Attributes!$1:$1,0)-1),"#",$B7*$B$1&amp;"-"&amp;$C7*$B$1)</f>
        <v>攻击附加60-120点法术伤害</v>
      </c>
      <c r="E7" s="136" t="str">
        <f ca="1">SUBSTITUTE(OFFSET(Attributes!$A$1,MATCH($A7,Attributes!$A:$A,0)-1,MATCH("Attr EN",Attributes!$1:$1,0)-1),"#",$B7*$B$1&amp;"-"&amp;$C7*$B$1)</f>
        <v>Deals 60-120 extra magic damage per hit</v>
      </c>
      <c r="F7" s="86"/>
      <c r="G7" s="86"/>
      <c r="H7" s="94" t="s">
        <v>788</v>
      </c>
      <c r="I7" s="70" t="s">
        <v>571</v>
      </c>
    </row>
    <row r="8" spans="1:10" x14ac:dyDescent="0.35">
      <c r="A8" s="82">
        <v>45</v>
      </c>
      <c r="B8" s="82">
        <v>0.03</v>
      </c>
      <c r="C8" s="82">
        <v>0.05</v>
      </c>
      <c r="D8" s="85" t="str">
        <f ca="1">SUBSTITUTE(OFFSET(Attributes!$A$1,MATCH($A8,Attributes!$A:$A,0)-1,MATCH("Attr CN",Attributes!$1:$1,0)-1),"#",$B8*$B$1&amp;"-"&amp;$C8*$B$1)</f>
        <v>攻击汲取0.09-0.15生命和法力</v>
      </c>
      <c r="E8" s="136" t="str">
        <f ca="1">SUBSTITUTE(OFFSET(Attributes!$A$1,MATCH($A8,Attributes!$A:$A,0)-1,MATCH("Attr EN",Attributes!$1:$1,0)-1),"#",$B8*$B$1&amp;"-"&amp;$C8*$B$1)</f>
        <v>+0.09-0.15 Life and mana stolen per hit</v>
      </c>
      <c r="F8" s="86"/>
      <c r="G8" s="86"/>
      <c r="H8" s="94" t="s">
        <v>789</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7" t="str">
        <f ca="1">SUBSTITUTE(OFFSET(Attributes!$A$1,MATCH($A9,Attributes!$A:$A,0)-1,MATCH("Attr EN",Attributes!$1:$1,0)-1),"#",$B9*$B$1&amp;"-"&amp;$C9*$B$1)</f>
        <v>Use: Battle Orders, increases 0.18-0.36 max HP to all allies within 900 yards, lasts for 75 seconds</v>
      </c>
      <c r="F9" s="86"/>
      <c r="G9" s="86"/>
      <c r="H9" s="94" t="s">
        <v>790</v>
      </c>
      <c r="I9" s="70" t="s">
        <v>571</v>
      </c>
    </row>
    <row r="10" spans="1:10" x14ac:dyDescent="0.35">
      <c r="D10" s="87" t="s">
        <v>56</v>
      </c>
      <c r="E10" s="138" t="s">
        <v>521</v>
      </c>
      <c r="I10" s="70" t="s">
        <v>571</v>
      </c>
    </row>
    <row r="11" spans="1:10" ht="69" x14ac:dyDescent="0.35">
      <c r="D11" s="88" t="s">
        <v>57</v>
      </c>
      <c r="E11" s="139" t="s">
        <v>526</v>
      </c>
      <c r="I11" s="70" t="s">
        <v>571</v>
      </c>
    </row>
    <row r="12" spans="1:10" x14ac:dyDescent="0.35">
      <c r="H12" s="94" t="s">
        <v>845</v>
      </c>
      <c r="I12" s="70" t="s">
        <v>571</v>
      </c>
    </row>
    <row r="13" spans="1:10" x14ac:dyDescent="0.35">
      <c r="D13" s="83" t="s">
        <v>73</v>
      </c>
      <c r="E13" s="134"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35"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791</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7"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792</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7" t="str">
        <f ca="1">SUBSTITUTE(OFFSET(Attributes!$A$1,MATCH($A16,Attributes!$A:$A,0)-1,MATCH("Attr EN",Attributes!$1:$1,0)-1),"#",$B16*$B$1&amp;"-"&amp;$C16*$B$1)</f>
        <v>On Attack: Decrease target attack speed by 0.06-0.12</v>
      </c>
      <c r="F16" s="86"/>
      <c r="G16" s="86"/>
      <c r="H16" s="94" t="s">
        <v>793</v>
      </c>
      <c r="I16" s="70" t="s">
        <v>571</v>
      </c>
    </row>
    <row r="17" spans="1:9" x14ac:dyDescent="0.35">
      <c r="A17" s="82">
        <v>61</v>
      </c>
      <c r="B17" s="82">
        <v>1</v>
      </c>
      <c r="C17" s="82">
        <v>2</v>
      </c>
      <c r="D17" s="85" t="str">
        <f ca="1">SUBSTITUTE(OFFSET(Attributes!$A$1,MATCH($A17,Attributes!$A:$A,0)-1,MATCH("Attr CN",Attributes!$1:$1,0)-1),"#",$B17*$B$1&amp;"-"&amp;$C17*$B$1)</f>
        <v>命中：降低目标护甲3-6点</v>
      </c>
      <c r="E17" s="137" t="str">
        <f ca="1">SUBSTITUTE(OFFSET(Attributes!$A$1,MATCH($A17,Attributes!$A:$A,0)-1,MATCH("Attr EN",Attributes!$1:$1,0)-1),"#",$B17*$B$1&amp;"-"&amp;$C17*$B$1)</f>
        <v>On Attack: Decrease target armor by 3-6</v>
      </c>
      <c r="F17" s="86"/>
      <c r="G17" s="86"/>
      <c r="H17" s="94" t="s">
        <v>794</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7" t="str">
        <f ca="1">SUBSTITUTE(OFFSET(Attributes!$A$1,MATCH($A18,Attributes!$A:$A,0)-1,MATCH("Attr EN",Attributes!$1:$1,0)-1),"#",$B18*$B$1&amp;"-"&amp;$C18*$B$1)</f>
        <v>On Attack: Decrease target attack hit chance by 0.09-0.12</v>
      </c>
      <c r="F18" s="86"/>
      <c r="G18" s="86" t="s">
        <v>1000</v>
      </c>
      <c r="H18" s="94" t="s">
        <v>795</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7" t="str">
        <f ca="1">SUBSTITUTE(OFFSET(Attributes!$A$1,MATCH($A19,Attributes!$A:$A,0)-1,MATCH("Attr EN",Attributes!$1:$1,0)-1),"#",$B19*$B$1&amp;"-"&amp;$C19*$B$1)</f>
        <v>On Attack: Decrease target damage and healing dealt by 0.03-0.03</v>
      </c>
      <c r="F19" s="86"/>
      <c r="G19" s="86"/>
      <c r="H19" s="94" t="s">
        <v>796</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7" t="str">
        <f ca="1">SUBSTITUTE(OFFSET(Attributes!$A$1,MATCH($A20,Attributes!$A:$A,0)-1,MATCH("Attr EN",Attributes!$1:$1,0)-1),"#",$B20*$B$1&amp;"-"&amp;$C20*$B$1)</f>
        <v>On Attack: Decrease target healing taken by 0.33-0.51</v>
      </c>
      <c r="F20" s="86"/>
      <c r="G20" s="86"/>
      <c r="H20" s="94" t="s">
        <v>797</v>
      </c>
      <c r="I20" s="70" t="s">
        <v>571</v>
      </c>
    </row>
    <row r="21" spans="1:9" x14ac:dyDescent="0.35">
      <c r="D21" s="88" t="s">
        <v>87</v>
      </c>
      <c r="E21" s="139" t="s">
        <v>528</v>
      </c>
      <c r="I21" s="70" t="s">
        <v>571</v>
      </c>
    </row>
    <row r="22" spans="1:9" x14ac:dyDescent="0.35">
      <c r="H22" s="94" t="s">
        <v>852</v>
      </c>
      <c r="I22" s="70" t="s">
        <v>571</v>
      </c>
    </row>
    <row r="23" spans="1:9" x14ac:dyDescent="0.35">
      <c r="D23" s="83" t="s">
        <v>91</v>
      </c>
      <c r="E23" s="134"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35"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798</v>
      </c>
      <c r="I24" s="70" t="s">
        <v>571</v>
      </c>
    </row>
    <row r="25" spans="1:9" x14ac:dyDescent="0.35">
      <c r="A25" s="82">
        <v>3</v>
      </c>
      <c r="B25" s="82">
        <v>0.01</v>
      </c>
      <c r="C25" s="82">
        <v>0.02</v>
      </c>
      <c r="D25" s="84" t="str">
        <f ca="1">SUBSTITUTE(OFFSET(Attributes!$A$1,MATCH($A25,Attributes!$A:$A,0)-1,MATCH("Attr CN",Attributes!$1:$1,0)-1),"#",$B25*$B$1&amp;"-"&amp;$C25*$B$1)</f>
        <v>+0.03-0.06伤害和治疗</v>
      </c>
      <c r="E25" s="135"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799</v>
      </c>
      <c r="I25" s="70" t="s">
        <v>571</v>
      </c>
    </row>
    <row r="26" spans="1:9" x14ac:dyDescent="0.35">
      <c r="A26" s="82">
        <v>24</v>
      </c>
      <c r="B26" s="82">
        <v>12</v>
      </c>
      <c r="C26" s="82">
        <v>20</v>
      </c>
      <c r="D26" s="84" t="str">
        <f ca="1">SUBSTITUTE(OFFSET(Attributes!$A$1,MATCH($A26,Attributes!$A:$A,0)-1,MATCH("Attr CN",Attributes!$1:$1,0)-1),"#",$B26*$B$1&amp;"-"&amp;$C26*$B$1)</f>
        <v>+36-60移动速度</v>
      </c>
      <c r="E26" s="135" t="str">
        <f ca="1">SUBSTITUTE(OFFSET(Attributes!$A$1,MATCH($A26,Attributes!$A:$A,0)-1,MATCH("Attr EN",Attributes!$1:$1,0)-1),"#",$B26*$B$1&amp;"-"&amp;$C26*$B$1)</f>
        <v>+36-60 Movement speed</v>
      </c>
      <c r="H26" s="94" t="s">
        <v>800</v>
      </c>
      <c r="I26" s="70" t="s">
        <v>571</v>
      </c>
    </row>
    <row r="27" spans="1:9" x14ac:dyDescent="0.35">
      <c r="A27" s="82">
        <v>4</v>
      </c>
      <c r="B27" s="82">
        <v>8</v>
      </c>
      <c r="C27" s="82">
        <v>13</v>
      </c>
      <c r="D27" s="84" t="str">
        <f ca="1">SUBSTITUTE(OFFSET(Attributes!$A$1,MATCH($A27,Attributes!$A:$A,0)-1,MATCH("Attr CN",Attributes!$1:$1,0)-1),"#",$B27*$B$1&amp;"-"&amp;$C27*$B$1)</f>
        <v>+24-39力量</v>
      </c>
      <c r="E27" s="135" t="str">
        <f ca="1">SUBSTITUTE(OFFSET(Attributes!$A$1,MATCH($A27,Attributes!$A:$A,0)-1,MATCH("Attr EN",Attributes!$1:$1,0)-1),"#",$B27*$B$1&amp;"-"&amp;$C27*$B$1)</f>
        <v>+24-39 Strength</v>
      </c>
      <c r="H27" s="94" t="s">
        <v>801</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7" t="str">
        <f ca="1">SUBSTITUTE(OFFSET(Attributes!$A$1,MATCH($A28,Attributes!$A:$A,0)-1,MATCH("Attr EN",Attributes!$1:$1,0)-1),"#",$B28*$B$1&amp;"-"&amp;$C28*$B$1)</f>
        <v>Regens MP from 0.03-0.06 of the damage taken</v>
      </c>
      <c r="H28" s="94" t="s">
        <v>802</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36" t="str">
        <f ca="1">SUBSTITUTE(OFFSET(Attributes!$A$1,MATCH($A29,Attributes!$A:$A,0)-1,MATCH("Attr EN",Attributes!$1:$1,0)-1),"#",$B29*$B$1&amp;"-"&amp;$C29*$B$1)</f>
        <v>Use: Teleports to an ally0-0</v>
      </c>
      <c r="F29" s="86"/>
      <c r="G29" s="86"/>
      <c r="H29" s="94" t="s">
        <v>803</v>
      </c>
      <c r="I29" s="70" t="s">
        <v>571</v>
      </c>
    </row>
    <row r="30" spans="1:9" x14ac:dyDescent="0.35">
      <c r="D30" s="87" t="s">
        <v>56</v>
      </c>
      <c r="E30" s="138" t="s">
        <v>521</v>
      </c>
      <c r="I30" s="70" t="s">
        <v>571</v>
      </c>
    </row>
    <row r="31" spans="1:9" x14ac:dyDescent="0.35">
      <c r="D31" s="88" t="s">
        <v>95</v>
      </c>
      <c r="E31" s="139" t="s">
        <v>524</v>
      </c>
      <c r="I31" s="70" t="s">
        <v>571</v>
      </c>
    </row>
    <row r="32" spans="1:9" x14ac:dyDescent="0.35">
      <c r="H32" s="94" t="s">
        <v>846</v>
      </c>
      <c r="I32" s="70" t="s">
        <v>571</v>
      </c>
    </row>
    <row r="33" spans="1:9" x14ac:dyDescent="0.35">
      <c r="D33" s="83" t="s">
        <v>94</v>
      </c>
      <c r="E33" s="134"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35"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804</v>
      </c>
      <c r="I34" s="70" t="s">
        <v>571</v>
      </c>
    </row>
    <row r="35" spans="1:9" x14ac:dyDescent="0.35">
      <c r="A35" s="82">
        <v>9</v>
      </c>
      <c r="B35" s="82">
        <v>18</v>
      </c>
      <c r="C35" s="82">
        <v>22</v>
      </c>
      <c r="D35" s="84" t="str">
        <f ca="1">SUBSTITUTE(OFFSET(Attributes!$A$1,MATCH($A35,Attributes!$A:$A,0)-1,MATCH("Attr CN",Attributes!$1:$1,0)-1),"#",$B35*$B$1&amp;"-"&amp;$C35*$B$1)</f>
        <v>+54-66攻击强度</v>
      </c>
      <c r="E35" s="135"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805</v>
      </c>
      <c r="I35" s="70" t="s">
        <v>571</v>
      </c>
    </row>
    <row r="36" spans="1:9" x14ac:dyDescent="0.35">
      <c r="A36" s="82">
        <v>12</v>
      </c>
      <c r="B36" s="82">
        <v>6</v>
      </c>
      <c r="C36" s="82">
        <v>9</v>
      </c>
      <c r="D36" s="84" t="str">
        <f ca="1">SUBSTITUTE(OFFSET(Attributes!$A$1,MATCH($A36,Attributes!$A:$A,0)-1,MATCH("Attr CN",Attributes!$1:$1,0)-1),"#",$B36*$B$1&amp;"-"&amp;$C36*$B$1)</f>
        <v>+18-27%攻击速度</v>
      </c>
      <c r="E36" s="135" t="str">
        <f ca="1">SUBSTITUTE(OFFSET(Attributes!$A$1,MATCH($A36,Attributes!$A:$A,0)-1,MATCH("Attr EN",Attributes!$1:$1,0)-1),"#",$B36*$B$1&amp;"-"&amp;$C36*$B$1)</f>
        <v>+18-27% Attack speed</v>
      </c>
      <c r="H36" s="94" t="s">
        <v>806</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7" t="str">
        <f ca="1">SUBSTITUTE(OFFSET(Attributes!$A$1,MATCH($A37,Attributes!$A:$A,0)-1,MATCH("Attr EN",Attributes!$1:$1,0)-1),"#",$B37*$B$1&amp;"-"&amp;$C37*$B$1)</f>
        <v>+0.09-0.12 Life and mana stolen per hit</v>
      </c>
      <c r="F37" s="86"/>
      <c r="G37" s="86"/>
      <c r="H37" s="94" t="s">
        <v>807</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7" t="str">
        <f ca="1">SUBSTITUTE(OFFSET(Attributes!$A$1,MATCH($A38,Attributes!$A:$A,0)-1,MATCH("Attr EN",Attributes!$1:$1,0)-1),"#",$B38*$B$1&amp;"-"&amp;$C38*$B$1)</f>
        <v>On Attack: 15% chance to cast poison nova, dealing 54-69 magic damage over time to all enemies within 600 yards</v>
      </c>
      <c r="F38" s="86"/>
      <c r="G38" s="86"/>
      <c r="H38" s="94" t="s">
        <v>808</v>
      </c>
      <c r="I38" s="70" t="s">
        <v>571</v>
      </c>
    </row>
    <row r="39" spans="1:9" s="70" customFormat="1" x14ac:dyDescent="0.35">
      <c r="A39" s="82"/>
      <c r="B39" s="82"/>
      <c r="C39" s="82"/>
      <c r="D39" s="87" t="s">
        <v>56</v>
      </c>
      <c r="E39" s="138" t="s">
        <v>521</v>
      </c>
      <c r="F39" s="82"/>
      <c r="G39" s="82"/>
      <c r="H39" s="94"/>
      <c r="I39" s="70" t="s">
        <v>571</v>
      </c>
    </row>
    <row r="40" spans="1:9" s="70" customFormat="1" ht="51.75" x14ac:dyDescent="0.35">
      <c r="A40" s="82"/>
      <c r="B40" s="82"/>
      <c r="C40" s="82"/>
      <c r="D40" s="88" t="s">
        <v>97</v>
      </c>
      <c r="E40" s="139" t="s">
        <v>522</v>
      </c>
      <c r="F40" s="82"/>
      <c r="G40" s="82"/>
      <c r="H40" s="94"/>
      <c r="I40" s="70" t="s">
        <v>571</v>
      </c>
    </row>
    <row r="41" spans="1:9" s="70" customFormat="1" x14ac:dyDescent="0.35">
      <c r="A41" s="82"/>
      <c r="B41" s="82"/>
      <c r="C41" s="82"/>
      <c r="D41" s="90"/>
      <c r="E41" s="132"/>
      <c r="F41" s="82"/>
      <c r="G41" s="82"/>
      <c r="H41" s="94" t="s">
        <v>847</v>
      </c>
      <c r="I41" s="70" t="s">
        <v>571</v>
      </c>
    </row>
    <row r="42" spans="1:9" s="70" customFormat="1" x14ac:dyDescent="0.35">
      <c r="A42" s="82"/>
      <c r="B42" s="82"/>
      <c r="C42" s="82"/>
      <c r="D42" s="83" t="s">
        <v>98</v>
      </c>
      <c r="E42" s="134"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35"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809</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35"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810</v>
      </c>
      <c r="I44" s="70" t="s">
        <v>571</v>
      </c>
    </row>
    <row r="45" spans="1:9" s="70" customFormat="1" x14ac:dyDescent="0.35">
      <c r="A45" s="82">
        <v>12</v>
      </c>
      <c r="B45" s="82">
        <v>6</v>
      </c>
      <c r="C45" s="82">
        <v>8</v>
      </c>
      <c r="D45" s="84" t="str">
        <f ca="1">SUBSTITUTE(OFFSET(Attributes!$A$1,MATCH($A45,Attributes!$A:$A,0)-1,MATCH("Attr CN",Attributes!$1:$1,0)-1),"#",$B45*$B$1&amp;"-"&amp;$C45*$B$1)</f>
        <v>+18-24%攻击速度</v>
      </c>
      <c r="E45" s="135" t="str">
        <f ca="1">SUBSTITUTE(OFFSET(Attributes!$A$1,MATCH($A45,Attributes!$A:$A,0)-1,MATCH("Attr EN",Attributes!$1:$1,0)-1),"#",$B45*$B$1&amp;"-"&amp;$C45*$B$1)</f>
        <v>+18-24% Attack speed</v>
      </c>
      <c r="F45" s="82"/>
      <c r="G45" s="82"/>
      <c r="H45" s="94" t="s">
        <v>811</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35" t="str">
        <f ca="1">SUBSTITUTE(OFFSET(Attributes!$A$1,MATCH($A46,Attributes!$A:$A,0)-1,MATCH("Attr EN",Attributes!$1:$1,0)-1),"#",$B46*$B$1&amp;"-"&amp;$C46*$B$1)</f>
        <v>+0.06-0.09 Attack critical</v>
      </c>
      <c r="F46" s="82"/>
      <c r="G46" s="82"/>
      <c r="H46" s="94" t="s">
        <v>812</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7" t="str">
        <f ca="1">SUBSTITUTE(OFFSET(Attributes!$A$1,MATCH($A47,Attributes!$A:$A,0)-1,MATCH("Attr EN",Attributes!$1:$1,0)-1),"#",$B47*$B$1&amp;"-"&amp;$C47*$B$1)</f>
        <v>On Attack: 0.15-0.3 chance to knock back target</v>
      </c>
      <c r="F47" s="82"/>
      <c r="G47" s="82"/>
      <c r="H47" s="94" t="s">
        <v>813</v>
      </c>
      <c r="I47" s="70" t="s">
        <v>571</v>
      </c>
    </row>
    <row r="48" spans="1:9" s="70" customFormat="1" ht="51.75" x14ac:dyDescent="0.35">
      <c r="A48" s="82"/>
      <c r="B48" s="82"/>
      <c r="C48" s="82"/>
      <c r="D48" s="88" t="s">
        <v>101</v>
      </c>
      <c r="E48" s="139" t="s">
        <v>530</v>
      </c>
      <c r="F48" s="82"/>
      <c r="G48" s="82"/>
      <c r="H48" s="94"/>
      <c r="I48" s="70" t="s">
        <v>571</v>
      </c>
    </row>
    <row r="49" spans="1:9" s="70" customFormat="1" x14ac:dyDescent="0.35">
      <c r="A49" s="82"/>
      <c r="B49" s="82"/>
      <c r="C49" s="82"/>
      <c r="D49" s="90"/>
      <c r="E49" s="132"/>
      <c r="F49" s="82"/>
      <c r="G49" s="82"/>
      <c r="H49" s="94" t="s">
        <v>853</v>
      </c>
      <c r="I49" s="70" t="s">
        <v>571</v>
      </c>
    </row>
    <row r="50" spans="1:9" s="70" customFormat="1" x14ac:dyDescent="0.35">
      <c r="A50" s="82"/>
      <c r="B50" s="82"/>
      <c r="C50" s="82"/>
      <c r="D50" s="83" t="s">
        <v>103</v>
      </c>
      <c r="E50" s="134"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35"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856</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35"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857</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35" t="str">
        <f ca="1">SUBSTITUTE(OFFSET(Attributes!$A$1,MATCH($A53,Attributes!$A:$A,0)-1,MATCH("Attr EN",Attributes!$1:$1,0)-1),"#",$B53*$B$1&amp;"-"&amp;$C53*$B$1)</f>
        <v>+0.03-0.06 Attack critical</v>
      </c>
      <c r="F53" s="82"/>
      <c r="G53" s="82"/>
      <c r="H53" s="94" t="s">
        <v>858</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35" t="str">
        <f ca="1">SUBSTITUTE(OFFSET(Attributes!$A$1,MATCH($A54,Attributes!$A:$A,0)-1,MATCH("Attr EN",Attributes!$1:$1,0)-1),"#",$B54*$B$1&amp;"-"&amp;$C54*$B$1)</f>
        <v>Lost 9-90 HP per second during combat</v>
      </c>
      <c r="F54" s="82"/>
      <c r="G54" s="82"/>
      <c r="H54" s="94" t="s">
        <v>859</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36" t="str">
        <f ca="1">SUBSTITUTE(OFFSET(Attributes!$A$1,MATCH($A55,Attributes!$A:$A,0)-1,MATCH("Attr EN",Attributes!$1:$1,0)-1),"#",$B55*$B$1&amp;"-"&amp;$C55*$B$1)</f>
        <v>+0.09-0.18 Life stolen per hit</v>
      </c>
      <c r="F55" s="82"/>
      <c r="G55" s="82"/>
      <c r="H55" s="94" t="s">
        <v>860</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7" t="str">
        <f ca="1">SUBSTITUTE(OFFSET(Attributes!$A$1,MATCH($A56,Attributes!$A:$A,0)-1,MATCH("Attr EN",Attributes!$1:$1,0)-1),"#",$B56*$B$1&amp;"-"&amp;$C56*$B$1)</f>
        <v>On Attack: Increase attack speed by 1% per attack, stacks up to 0.12-0.18, lasts for 3 seconds</v>
      </c>
      <c r="F56" s="82"/>
      <c r="G56" s="82"/>
      <c r="H56" s="94" t="s">
        <v>861</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7" t="str">
        <f ca="1">SUBSTITUTE(OFFSET(Attributes!$A$1,MATCH($A57,Attributes!$A:$A,0)-1,MATCH("Attr EN",Attributes!$1:$1,0)-1),"#",$B57*$B$1&amp;"-"&amp;$C57*$B$1)</f>
        <v>Use: Increase attack speed by 100%, take 0.15-1.5 extra damage (unique)</v>
      </c>
      <c r="F57" s="82"/>
      <c r="G57" s="82"/>
      <c r="H57" s="94" t="s">
        <v>862</v>
      </c>
      <c r="I57" s="70" t="s">
        <v>571</v>
      </c>
    </row>
    <row r="58" spans="1:9" s="70" customFormat="1" x14ac:dyDescent="0.35">
      <c r="A58" s="82"/>
      <c r="B58" s="82"/>
      <c r="C58" s="82"/>
      <c r="D58" s="87" t="s">
        <v>56</v>
      </c>
      <c r="E58" s="138" t="s">
        <v>521</v>
      </c>
      <c r="F58" s="82"/>
      <c r="G58" s="82"/>
      <c r="H58" s="94"/>
      <c r="I58" s="70" t="s">
        <v>571</v>
      </c>
    </row>
    <row r="59" spans="1:9" s="70" customFormat="1" ht="69" x14ac:dyDescent="0.35">
      <c r="A59" s="82"/>
      <c r="B59" s="82"/>
      <c r="C59" s="82"/>
      <c r="D59" s="88" t="s">
        <v>104</v>
      </c>
      <c r="E59" s="139" t="s">
        <v>532</v>
      </c>
      <c r="F59" s="82"/>
      <c r="G59" s="82"/>
      <c r="H59" s="94"/>
      <c r="I59" s="70" t="s">
        <v>571</v>
      </c>
    </row>
    <row r="60" spans="1:9" s="70" customFormat="1" x14ac:dyDescent="0.35">
      <c r="A60" s="82"/>
      <c r="B60" s="82"/>
      <c r="C60" s="82"/>
      <c r="D60" s="90"/>
      <c r="E60" s="132"/>
      <c r="F60" s="82"/>
      <c r="G60" s="82"/>
      <c r="H60" s="94" t="s">
        <v>863</v>
      </c>
      <c r="I60" s="70" t="s">
        <v>571</v>
      </c>
    </row>
    <row r="61" spans="1:9" x14ac:dyDescent="0.35">
      <c r="D61" s="83" t="s">
        <v>84</v>
      </c>
      <c r="E61" s="134"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35"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814</v>
      </c>
      <c r="I62" s="70" t="s">
        <v>571</v>
      </c>
    </row>
    <row r="63" spans="1:9" x14ac:dyDescent="0.35">
      <c r="A63" s="82">
        <v>8</v>
      </c>
      <c r="B63" s="82">
        <v>2</v>
      </c>
      <c r="C63" s="82">
        <v>3</v>
      </c>
      <c r="D63" s="84" t="str">
        <f ca="1">SUBSTITUTE(OFFSET(Attributes!$A$1,MATCH($A63,Attributes!$A:$A,0)-1,MATCH("Attr CN",Attributes!$1:$1,0)-1),"#",$B63*$B$1&amp;"-"&amp;$C63*$B$1)</f>
        <v>+6-9护甲</v>
      </c>
      <c r="E63" s="135"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815</v>
      </c>
      <c r="I63" s="70" t="s">
        <v>571</v>
      </c>
    </row>
    <row r="64" spans="1:9" x14ac:dyDescent="0.35">
      <c r="A64" s="82">
        <v>1</v>
      </c>
      <c r="B64" s="82">
        <v>0.01</v>
      </c>
      <c r="C64" s="82">
        <v>0.02</v>
      </c>
      <c r="D64" s="84" t="str">
        <f ca="1">SUBSTITUTE(OFFSET(Attributes!$A$1,MATCH($A64,Attributes!$A:$A,0)-1,MATCH("Attr CN",Attributes!$1:$1,0)-1),"#",$B64*$B$1&amp;"-"&amp;$C64*$B$1)</f>
        <v>-0.03-0.06受到的伤害</v>
      </c>
      <c r="E64" s="135" t="str">
        <f ca="1">SUBSTITUTE(OFFSET(Attributes!$A$1,MATCH($A64,Attributes!$A:$A,0)-1,MATCH("Attr EN",Attributes!$1:$1,0)-1),"#",$B64*$B$1&amp;"-"&amp;$C64*$B$1)</f>
        <v>-0.03-0.06 All damage taken</v>
      </c>
      <c r="H64" s="94" t="s">
        <v>816</v>
      </c>
      <c r="I64" s="70" t="s">
        <v>571</v>
      </c>
    </row>
    <row r="65" spans="1:9" x14ac:dyDescent="0.35">
      <c r="A65" s="82">
        <v>2</v>
      </c>
      <c r="B65" s="82">
        <v>0.01</v>
      </c>
      <c r="C65" s="82">
        <v>0.03</v>
      </c>
      <c r="D65" s="84" t="str">
        <f ca="1">SUBSTITUTE(OFFSET(Attributes!$A$1,MATCH($A65,Attributes!$A:$A,0)-1,MATCH("Attr CN",Attributes!$1:$1,0)-1),"#",$B65*$B$1&amp;"-"&amp;$C65*$B$1)</f>
        <v>-0.03-0.09受到的法术伤害</v>
      </c>
      <c r="E65" s="135" t="str">
        <f ca="1">SUBSTITUTE(OFFSET(Attributes!$A$1,MATCH($A65,Attributes!$A:$A,0)-1,MATCH("Attr EN",Attributes!$1:$1,0)-1),"#",$B65*$B$1&amp;"-"&amp;$C65*$B$1)</f>
        <v>-0.03-0.09 magic damage taken</v>
      </c>
      <c r="H65" s="94" t="s">
        <v>817</v>
      </c>
      <c r="I65" s="70" t="s">
        <v>571</v>
      </c>
    </row>
    <row r="66" spans="1:9" x14ac:dyDescent="0.35">
      <c r="A66" s="82">
        <v>24</v>
      </c>
      <c r="B66" s="82">
        <v>12</v>
      </c>
      <c r="C66" s="82">
        <v>15</v>
      </c>
      <c r="D66" s="84" t="str">
        <f ca="1">SUBSTITUTE(OFFSET(Attributes!$A$1,MATCH($A66,Attributes!$A:$A,0)-1,MATCH("Attr CN",Attributes!$1:$1,0)-1),"#",$B66*$B$1&amp;"-"&amp;$C66*$B$1)</f>
        <v>+36-45移动速度</v>
      </c>
      <c r="E66" s="135" t="str">
        <f ca="1">SUBSTITUTE(OFFSET(Attributes!$A$1,MATCH($A66,Attributes!$A:$A,0)-1,MATCH("Attr EN",Attributes!$1:$1,0)-1),"#",$B66*$B$1&amp;"-"&amp;$C66*$B$1)</f>
        <v>+36-45 Movement speed</v>
      </c>
      <c r="H66" s="94" t="s">
        <v>818</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7" t="str">
        <f ca="1">SUBSTITUTE(OFFSET(Attributes!$A$1,MATCH($A67,Attributes!$A:$A,0)-1,MATCH("Attr EN",Attributes!$1:$1,0)-1),"#",$B67*$B$1&amp;"-"&amp;$C67*$B$1)</f>
        <v>On Healed: Charges 1 holy power, stacks up to 6-15 points</v>
      </c>
      <c r="H67" s="94" t="s">
        <v>819</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7" t="str">
        <f ca="1">SUBSTITUTE(OFFSET(Attributes!$A$1,MATCH($A68,Attributes!$A:$A,0)-1,MATCH("Attr EN",Attributes!$1:$1,0)-1),"#",$B68*$B$1&amp;"-"&amp;$C68*$B$1)</f>
        <v>Use: Release all holy power to heal yourself, each point heals 75-105 HP</v>
      </c>
      <c r="H68" s="94" t="s">
        <v>820</v>
      </c>
      <c r="I68" s="70" t="s">
        <v>571</v>
      </c>
    </row>
    <row r="69" spans="1:9" x14ac:dyDescent="0.35">
      <c r="D69" s="87" t="s">
        <v>56</v>
      </c>
      <c r="E69" s="138" t="s">
        <v>521</v>
      </c>
      <c r="I69" s="70" t="s">
        <v>571</v>
      </c>
    </row>
    <row r="70" spans="1:9" ht="51.75" x14ac:dyDescent="0.35">
      <c r="D70" s="88" t="s">
        <v>92</v>
      </c>
      <c r="E70" s="139" t="s">
        <v>534</v>
      </c>
      <c r="I70" s="70" t="s">
        <v>571</v>
      </c>
    </row>
    <row r="71" spans="1:9" x14ac:dyDescent="0.35">
      <c r="H71" s="94" t="s">
        <v>848</v>
      </c>
      <c r="I71" s="70" t="s">
        <v>571</v>
      </c>
    </row>
    <row r="72" spans="1:9" x14ac:dyDescent="0.35">
      <c r="D72" s="83" t="s">
        <v>50</v>
      </c>
      <c r="E72" s="134"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35"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821</v>
      </c>
      <c r="I73" s="70" t="s">
        <v>571</v>
      </c>
    </row>
    <row r="74" spans="1:9" x14ac:dyDescent="0.35">
      <c r="A74" s="82">
        <v>21</v>
      </c>
      <c r="B74" s="82">
        <v>70</v>
      </c>
      <c r="C74" s="82">
        <v>166</v>
      </c>
      <c r="D74" s="84" t="str">
        <f ca="1">SUBSTITUTE(OFFSET(Attributes!$A$1,MATCH($A74,Attributes!$A:$A,0)-1,MATCH("Attr CN",Attributes!$1:$1,0)-1),"#",$B74*$B$1&amp;"-"&amp;$C74*$B$1)</f>
        <v>+210-498生命上限</v>
      </c>
      <c r="E74" s="135"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822</v>
      </c>
      <c r="I74" s="70" t="s">
        <v>571</v>
      </c>
    </row>
    <row r="75" spans="1:9" x14ac:dyDescent="0.35">
      <c r="A75" s="82">
        <v>18</v>
      </c>
      <c r="B75" s="82">
        <v>8</v>
      </c>
      <c r="C75" s="82">
        <v>12</v>
      </c>
      <c r="D75" s="84" t="str">
        <f ca="1">SUBSTITUTE(OFFSET(Attributes!$A$1,MATCH($A75,Attributes!$A:$A,0)-1,MATCH("Attr CN",Attributes!$1:$1,0)-1),"#",$B75*$B$1&amp;"-"&amp;$C75*$B$1)</f>
        <v>+24-36法术强度</v>
      </c>
      <c r="E75" s="135" t="str">
        <f ca="1">SUBSTITUTE(OFFSET(Attributes!$A$1,MATCH($A75,Attributes!$A:$A,0)-1,MATCH("Attr EN",Attributes!$1:$1,0)-1),"#",$B75*$B$1&amp;"-"&amp;$C75*$B$1)</f>
        <v>+24-36 Spell power</v>
      </c>
      <c r="H75" s="94" t="s">
        <v>823</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7" t="str">
        <f ca="1">SUBSTITUTE(OFFSET(Attributes!$A$1,MATCH($A76,Attributes!$A:$A,0)-1,MATCH("Attr EN",Attributes!$1:$1,0)-1),"#",$B76*$B$1&amp;"-"&amp;$C76*$B$1)</f>
        <v>Grant Aura of Conviction: All enemies within 600 yards take 0.03-0.06 more magic damage</v>
      </c>
      <c r="H76" s="94" t="s">
        <v>824</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7" t="str">
        <f ca="1">SUBSTITUTE(OFFSET(Attributes!$A$1,MATCH($A77,Attributes!$A:$A,0)-1,MATCH("Attr EN",Attributes!$1:$1,0)-1),"#",$B77*$B$1&amp;"-"&amp;$C77*$B$1)</f>
        <v>Dealing Magic Damage: 10% chance to cast Chain Lightning to target, dealing 180-225 magic damage</v>
      </c>
      <c r="H77" s="94" t="s">
        <v>825</v>
      </c>
      <c r="I77" s="70" t="s">
        <v>571</v>
      </c>
    </row>
    <row r="78" spans="1:9" x14ac:dyDescent="0.35">
      <c r="D78" s="87" t="s">
        <v>56</v>
      </c>
      <c r="E78" s="138" t="s">
        <v>521</v>
      </c>
      <c r="I78" s="70" t="s">
        <v>571</v>
      </c>
    </row>
    <row r="79" spans="1:9" ht="103.5" x14ac:dyDescent="0.35">
      <c r="D79" s="88" t="s">
        <v>1006</v>
      </c>
      <c r="E79" s="139" t="s">
        <v>536</v>
      </c>
      <c r="I79" s="70" t="s">
        <v>571</v>
      </c>
    </row>
    <row r="80" spans="1:9" x14ac:dyDescent="0.35">
      <c r="H80" s="94" t="s">
        <v>849</v>
      </c>
      <c r="I80" s="70" t="s">
        <v>571</v>
      </c>
    </row>
    <row r="81" spans="1:9" s="70" customFormat="1" x14ac:dyDescent="0.35">
      <c r="A81" s="82"/>
      <c r="B81" s="82"/>
      <c r="C81" s="82"/>
      <c r="D81" s="83" t="s">
        <v>96</v>
      </c>
      <c r="E81" s="134"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35"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826</v>
      </c>
      <c r="I82" s="70" t="s">
        <v>571</v>
      </c>
    </row>
    <row r="83" spans="1:9" s="70" customFormat="1" x14ac:dyDescent="0.35">
      <c r="A83" s="82">
        <v>9</v>
      </c>
      <c r="B83" s="82">
        <v>3</v>
      </c>
      <c r="C83" s="82">
        <v>5</v>
      </c>
      <c r="D83" s="84" t="str">
        <f ca="1">SUBSTITUTE(OFFSET(Attributes!$A$1,MATCH($A83,Attributes!$A:$A,0)-1,MATCH("Attr CN",Attributes!$1:$1,0)-1),"#",$B83*$B$1&amp;"-"&amp;$C83*$B$1)</f>
        <v>+9-15攻击强度</v>
      </c>
      <c r="E83" s="135"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827</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35" t="str">
        <f ca="1">SUBSTITUTE(OFFSET(Attributes!$A$1,MATCH($A84,Attributes!$A:$A,0)-1,MATCH("Attr EN",Attributes!$1:$1,0)-1),"#",$B84*$B$1&amp;"-"&amp;$C84*$B$1)</f>
        <v>+30-51 Spell power</v>
      </c>
      <c r="F84" s="82"/>
      <c r="G84" s="82"/>
      <c r="H84" s="94" t="s">
        <v>828</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35" t="str">
        <f ca="1">SUBSTITUTE(OFFSET(Attributes!$A$1,MATCH($A85,Attributes!$A:$A,0)-1,MATCH("Attr EN",Attributes!$1:$1,0)-1),"#",$B85*$B$1&amp;"-"&amp;$C85*$B$1)</f>
        <v>+0.09-0.18 Spell haste</v>
      </c>
      <c r="F85" s="82"/>
      <c r="G85" s="82"/>
      <c r="H85" s="94" t="s">
        <v>829</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7" t="str">
        <f ca="1">SUBSTITUTE(OFFSET(Attributes!$A$1,MATCH($A86,Attributes!$A:$A,0)-1,MATCH("Attr EN",Attributes!$1:$1,0)-1),"#",$B86*$B$1&amp;"-"&amp;$C86*$B$1)</f>
        <v>Deals 51-90 extra magic damage per hit</v>
      </c>
      <c r="F86" s="82"/>
      <c r="G86" s="82"/>
      <c r="H86" s="94" t="s">
        <v>830</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7" t="str">
        <f ca="1">SUBSTITUTE(OFFSET(Attributes!$A$1,MATCH($A87,Attributes!$A:$A,0)-1,MATCH("Attr EN",Attributes!$1:$1,0)-1),"#",$B87*$B$1&amp;"-"&amp;$C87*$B$1)</f>
        <v>Converts your normal attacks into magic damage0-0</v>
      </c>
      <c r="F87" s="82"/>
      <c r="G87" s="82"/>
      <c r="H87" s="94" t="s">
        <v>831</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7" t="str">
        <f ca="1">SUBSTITUTE(OFFSET(Attributes!$A$1,MATCH($A88,Attributes!$A:$A,0)-1,MATCH("Attr EN",Attributes!$1:$1,0)-1),"#",$B88*$B$1&amp;"-"&amp;$C88*$B$1)</f>
        <v>Grant Aura of Meditation: All allies within 600 yards regen 6-12 MP per second</v>
      </c>
      <c r="F88" s="82"/>
      <c r="G88" s="82"/>
      <c r="H88" s="94" t="s">
        <v>832</v>
      </c>
      <c r="I88" s="70" t="s">
        <v>571</v>
      </c>
    </row>
    <row r="89" spans="1:9" s="70" customFormat="1" x14ac:dyDescent="0.35">
      <c r="A89" s="82"/>
      <c r="B89" s="82"/>
      <c r="C89" s="82"/>
      <c r="D89" s="87" t="s">
        <v>56</v>
      </c>
      <c r="E89" s="138" t="s">
        <v>521</v>
      </c>
      <c r="F89" s="82"/>
      <c r="G89" s="82"/>
      <c r="H89" s="94"/>
      <c r="I89" s="70" t="s">
        <v>571</v>
      </c>
    </row>
    <row r="90" spans="1:9" s="70" customFormat="1" ht="69" x14ac:dyDescent="0.35">
      <c r="A90" s="82"/>
      <c r="B90" s="82"/>
      <c r="C90" s="82"/>
      <c r="D90" s="88" t="s">
        <v>99</v>
      </c>
      <c r="E90" s="139" t="s">
        <v>538</v>
      </c>
      <c r="F90" s="82"/>
      <c r="G90" s="82"/>
      <c r="H90" s="94"/>
      <c r="I90" s="70" t="s">
        <v>571</v>
      </c>
    </row>
    <row r="91" spans="1:9" s="70" customFormat="1" x14ac:dyDescent="0.35">
      <c r="A91" s="82"/>
      <c r="B91" s="82"/>
      <c r="C91" s="82"/>
      <c r="D91" s="90"/>
      <c r="E91" s="132"/>
      <c r="F91" s="82"/>
      <c r="G91" s="82"/>
      <c r="H91" s="94" t="s">
        <v>850</v>
      </c>
      <c r="I91" s="70" t="s">
        <v>571</v>
      </c>
    </row>
    <row r="92" spans="1:9" s="70" customFormat="1" x14ac:dyDescent="0.35">
      <c r="A92" s="82"/>
      <c r="B92" s="82"/>
      <c r="C92" s="82"/>
      <c r="D92" s="83" t="s">
        <v>100</v>
      </c>
      <c r="E92" s="134"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35"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833</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35"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834</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35" t="str">
        <f ca="1">SUBSTITUTE(OFFSET(Attributes!$A$1,MATCH($A95,Attributes!$A:$A,0)-1,MATCH("Attr EN",Attributes!$1:$1,0)-1),"#",$B95*$B$1&amp;"-"&amp;$C95*$B$1)</f>
        <v>+0.03-0.03 Spell critical</v>
      </c>
      <c r="F95" s="82"/>
      <c r="G95" s="82"/>
      <c r="H95" s="94" t="s">
        <v>835</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35" t="str">
        <f ca="1">SUBSTITUTE(OFFSET(Attributes!$A$1,MATCH($A96,Attributes!$A:$A,0)-1,MATCH("Attr EN",Attributes!$1:$1,0)-1),"#",$B96*$B$1&amp;"-"&amp;$C96*$B$1)</f>
        <v>+0.03-0.06 Spell haste</v>
      </c>
      <c r="F96" s="82"/>
      <c r="G96" s="82"/>
      <c r="H96" s="94" t="s">
        <v>836</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7" t="str">
        <f ca="1">SUBSTITUTE(OFFSET(Attributes!$A$1,MATCH($A97,Attributes!$A:$A,0)-1,MATCH("Attr EN",Attributes!$1:$1,0)-1),"#",$B97*$B$1&amp;"-"&amp;$C97*$B$1)</f>
        <v>Dealing Magic Damage: 10% chance to poison target, dealing 36-60 magic damage over time</v>
      </c>
      <c r="F97" s="82"/>
      <c r="G97" s="82"/>
      <c r="H97" s="94" t="s">
        <v>837</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7" t="str">
        <f ca="1">SUBSTITUTE(OFFSET(Attributes!$A$1,MATCH($A98,Attributes!$A:$A,0)-1,MATCH("Attr EN",Attributes!$1:$1,0)-1),"#",$B98*$B$1&amp;"-"&amp;$C98*$B$1)</f>
        <v>Use: Deals 45-90 magic damage to all enemies within range over time</v>
      </c>
      <c r="F98" s="82"/>
      <c r="G98" s="82"/>
      <c r="H98" s="94" t="s">
        <v>838</v>
      </c>
      <c r="I98" s="70" t="s">
        <v>571</v>
      </c>
    </row>
    <row r="99" spans="1:9" s="70" customFormat="1" x14ac:dyDescent="0.35">
      <c r="A99" s="82"/>
      <c r="B99" s="82"/>
      <c r="C99" s="82"/>
      <c r="D99" s="87" t="s">
        <v>56</v>
      </c>
      <c r="E99" s="138" t="s">
        <v>521</v>
      </c>
      <c r="F99" s="82"/>
      <c r="G99" s="82"/>
      <c r="H99" s="94"/>
      <c r="I99" s="70" t="s">
        <v>571</v>
      </c>
    </row>
    <row r="100" spans="1:9" s="70" customFormat="1" ht="30" x14ac:dyDescent="0.35">
      <c r="A100" s="82"/>
      <c r="B100" s="82"/>
      <c r="C100" s="82"/>
      <c r="D100" s="88" t="s">
        <v>102</v>
      </c>
      <c r="E100" s="139" t="s">
        <v>540</v>
      </c>
      <c r="F100" s="82"/>
      <c r="G100" s="82"/>
      <c r="H100" s="94"/>
      <c r="I100" s="70" t="s">
        <v>571</v>
      </c>
    </row>
    <row r="101" spans="1:9" s="70" customFormat="1" x14ac:dyDescent="0.35">
      <c r="A101" s="82"/>
      <c r="B101" s="82"/>
      <c r="C101" s="82"/>
      <c r="D101" s="90"/>
      <c r="E101" s="132"/>
      <c r="F101" s="82"/>
      <c r="G101" s="82"/>
      <c r="H101" s="94" t="s">
        <v>851</v>
      </c>
      <c r="I101" s="70" t="s">
        <v>571</v>
      </c>
    </row>
    <row r="102" spans="1:9" s="70" customFormat="1" x14ac:dyDescent="0.35">
      <c r="A102" s="82"/>
      <c r="B102" s="82"/>
      <c r="C102" s="82"/>
      <c r="D102" s="83" t="s">
        <v>345</v>
      </c>
      <c r="E102" s="134"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35"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839</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35"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840</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7" t="str">
        <f ca="1">SUBSTITUTE(OFFSET(Attributes!$A$1,MATCH($A105,Attributes!$A:$A,0)-1,MATCH("Attr EN",Attributes!$1:$1,0)-1),"#",$B105*$B$1&amp;"-"&amp;$C105*$B$1)</f>
        <v>Deals 33-57 extra magic damage per hit</v>
      </c>
      <c r="F105" s="82"/>
      <c r="G105" s="82"/>
      <c r="H105" s="94" t="s">
        <v>841</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7" t="str">
        <f ca="1">SUBSTITUTE(OFFSET(Attributes!$A$1,MATCH($A106,Attributes!$A:$A,0)-1,MATCH("Attr EN",Attributes!$1:$1,0)-1),"#",$B106*$B$1&amp;"-"&amp;$C106*$B$1)</f>
        <v>+0.09-0.12 Mana stolen per hit</v>
      </c>
      <c r="F106" s="82"/>
      <c r="G106" s="82"/>
      <c r="H106" s="94" t="s">
        <v>842</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7" t="str">
        <f ca="1">SUBSTITUTE(OFFSET(Attributes!$A$1,MATCH($A107,Attributes!$A:$A,0)-1,MATCH("Attr EN",Attributes!$1:$1,0)-1),"#",$B107*$B$1&amp;"-"&amp;$C107*$B$1)</f>
        <v>Every Third Attack: Consumes 5% of max MP, deals 225-300 magic damage to all enemies nearby</v>
      </c>
      <c r="F107" s="82"/>
      <c r="G107" s="82"/>
      <c r="H107" s="94" t="s">
        <v>843</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7" t="str">
        <f ca="1">SUBSTITUTE(OFFSET(Attributes!$A$1,MATCH($A108,Attributes!$A:$A,0)-1,MATCH("Attr EN",Attributes!$1:$1,0)-1),"#",$B108*$B$1&amp;"-"&amp;$C108*$B$1)</f>
        <v>On Attack: 10% chance to consume 5% of max MP, deals 180-240 magic damage to all enemies in a row</v>
      </c>
      <c r="F108" s="82"/>
      <c r="G108" s="82"/>
      <c r="H108" s="94" t="s">
        <v>844</v>
      </c>
      <c r="I108" s="70" t="s">
        <v>571</v>
      </c>
    </row>
    <row r="109" spans="1:9" s="70" customFormat="1" x14ac:dyDescent="0.35">
      <c r="A109" s="82"/>
      <c r="B109" s="82"/>
      <c r="C109" s="82"/>
      <c r="D109" s="88" t="s">
        <v>346</v>
      </c>
      <c r="E109" s="139" t="s">
        <v>542</v>
      </c>
      <c r="F109" s="82"/>
      <c r="G109" s="82"/>
      <c r="H109" s="94"/>
      <c r="I109" s="70" t="s">
        <v>571</v>
      </c>
    </row>
    <row r="110" spans="1:9" s="70" customFormat="1" x14ac:dyDescent="0.35">
      <c r="A110" s="82"/>
      <c r="B110" s="82"/>
      <c r="C110" s="82"/>
      <c r="D110" s="90"/>
      <c r="E110" s="132"/>
      <c r="F110" s="82"/>
      <c r="G110" s="82"/>
      <c r="H110" s="94" t="s">
        <v>854</v>
      </c>
      <c r="I110" s="70" t="s">
        <v>571</v>
      </c>
    </row>
    <row r="111" spans="1:9" s="70" customFormat="1" x14ac:dyDescent="0.35">
      <c r="A111" s="82"/>
      <c r="B111" s="82"/>
      <c r="C111" s="82"/>
      <c r="D111" s="90"/>
      <c r="E111" s="141"/>
      <c r="F111" s="82"/>
      <c r="G111" s="82"/>
      <c r="H111" s="94" t="s">
        <v>855</v>
      </c>
      <c r="I111" s="70" t="s">
        <v>571</v>
      </c>
    </row>
    <row r="112" spans="1:9" s="70" customFormat="1" x14ac:dyDescent="0.35">
      <c r="A112" s="82"/>
      <c r="B112" s="82"/>
      <c r="C112" s="82"/>
      <c r="D112" s="90"/>
      <c r="E112" s="141"/>
      <c r="F112" s="82"/>
      <c r="G112" s="82"/>
      <c r="H112" s="94" t="s">
        <v>855</v>
      </c>
      <c r="I112" s="70" t="s">
        <v>571</v>
      </c>
    </row>
    <row r="113" spans="8:9" x14ac:dyDescent="0.35">
      <c r="H113" s="94" t="s">
        <v>855</v>
      </c>
      <c r="I113" s="70" t="s">
        <v>571</v>
      </c>
    </row>
    <row r="114" spans="8:9" x14ac:dyDescent="0.35">
      <c r="H114" s="94" t="s">
        <v>855</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31" t="s">
        <v>617</v>
      </c>
      <c r="B1" s="131"/>
      <c r="C1" s="131"/>
      <c r="D1" s="131"/>
      <c r="E1" s="131"/>
      <c r="F1" s="131"/>
      <c r="G1" s="131"/>
      <c r="H1" s="131"/>
      <c r="I1" s="131"/>
      <c r="J1" s="131"/>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2018-05-15T13:48:01Z</dcterms:modified>
</cp:coreProperties>
</file>