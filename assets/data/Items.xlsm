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B844C939-D10F-44CB-96ED-D32E2678EF69}" xr6:coauthVersionLast="34" xr6:coauthVersionMax="34"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21"/>
</workbook>
</file>

<file path=xl/calcChain.xml><?xml version="1.0" encoding="utf-8"?>
<calcChain xmlns="http://schemas.openxmlformats.org/spreadsheetml/2006/main">
  <c r="D125" i="3" l="1"/>
  <c r="E125" i="3"/>
  <c r="G125" i="3"/>
  <c r="D126" i="3"/>
  <c r="E126" i="3"/>
  <c r="G126" i="3"/>
  <c r="D127" i="3"/>
  <c r="E127" i="3"/>
  <c r="G127" i="3"/>
  <c r="D128" i="3"/>
  <c r="E128" i="3"/>
  <c r="G128" i="3"/>
  <c r="D132" i="3"/>
  <c r="E132" i="3"/>
  <c r="F132" i="3"/>
  <c r="G132" i="3"/>
  <c r="D133" i="3"/>
  <c r="E133" i="3"/>
  <c r="G133" i="3"/>
  <c r="D134" i="3"/>
  <c r="E134" i="3"/>
  <c r="G134" i="3"/>
  <c r="D135" i="3"/>
  <c r="E135" i="3"/>
  <c r="G135" i="3"/>
  <c r="D139" i="3"/>
  <c r="E139" i="3"/>
  <c r="F139" i="3"/>
  <c r="G139" i="3"/>
  <c r="D140" i="3"/>
  <c r="E140" i="3"/>
  <c r="G140" i="3"/>
  <c r="D141" i="3"/>
  <c r="E141" i="3"/>
  <c r="G141" i="3"/>
  <c r="D142" i="3"/>
  <c r="E142" i="3"/>
  <c r="G142" i="3"/>
  <c r="D143" i="3"/>
  <c r="E143" i="3"/>
  <c r="G143" i="3"/>
  <c r="D147" i="3"/>
  <c r="E147" i="3"/>
  <c r="G147" i="3"/>
  <c r="D148" i="3"/>
  <c r="E148" i="3"/>
  <c r="G148" i="3"/>
  <c r="D149" i="3"/>
  <c r="E149" i="3"/>
  <c r="G149" i="3"/>
  <c r="D150" i="3"/>
  <c r="E150" i="3"/>
  <c r="G150" i="3"/>
  <c r="D151" i="3"/>
  <c r="E151" i="3"/>
  <c r="G151" i="3"/>
  <c r="G119" i="3" l="1"/>
  <c r="F119" i="3"/>
  <c r="E119" i="3"/>
  <c r="D119" i="3"/>
  <c r="G122" i="3" l="1"/>
  <c r="F122" i="3"/>
  <c r="E122" i="3"/>
  <c r="D122" i="3"/>
  <c r="D121" i="3"/>
  <c r="E121" i="3"/>
  <c r="F121" i="3"/>
  <c r="G121" i="3"/>
  <c r="D120" i="3"/>
  <c r="E120" i="3"/>
  <c r="F120" i="3"/>
  <c r="G120" i="3"/>
  <c r="D118" i="3"/>
  <c r="E118" i="3"/>
  <c r="F118" i="3"/>
  <c r="G118" i="3"/>
  <c r="G117" i="3"/>
  <c r="F117" i="3"/>
  <c r="E117" i="3"/>
  <c r="D117" i="3"/>
  <c r="D114" i="3" l="1"/>
  <c r="E114" i="3"/>
  <c r="F114" i="3"/>
  <c r="G114" i="3"/>
  <c r="G113" i="3"/>
  <c r="F113" i="3"/>
  <c r="E113" i="3"/>
  <c r="D113" i="3"/>
  <c r="P27" i="10" l="1"/>
  <c r="I26" i="10"/>
  <c r="I27" i="10"/>
  <c r="C28" i="10"/>
  <c r="D28" i="10"/>
  <c r="E28" i="10"/>
  <c r="F28" i="10"/>
  <c r="G28" i="10"/>
  <c r="H28" i="10"/>
  <c r="B28" i="10"/>
  <c r="A27" i="10"/>
  <c r="A26" i="10"/>
  <c r="P26" i="10" s="1"/>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26" i="10" l="1"/>
  <c r="M36" i="7"/>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M19" i="10" l="1"/>
  <c r="P18" i="10"/>
  <c r="M18" i="10"/>
  <c r="P3" i="10"/>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C5"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6" i="9" l="1"/>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<sst xmlns="http://schemas.openxmlformats.org/spreadsheetml/2006/main" count="1232" uniqueCount="1051">
  <si>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</si>
  <si>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</si>
  <si>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</si>
  <si>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</si>
  <si>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</si>
  <si>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</si>
  <si>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</si>
  <si>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</si>
  <si>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</si>
  <si>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</si>
  <si>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</si>
  <si>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</si>
  <si>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</si>
  <si>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</si>
  <si>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</si>
  <si>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</si>
  <si>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</si>
  <si>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</si>
  <si>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</si>
  <si>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</si>
  <si>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</si>
  <si>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</si>
  <si>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</si>
  <si>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</si>
  <si>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</si>
  <si>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</si>
  <si>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</si>
  <si>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</si>
  <si>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</si>
  <si>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</si>
  <si>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</si>
  <si>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</si>
  <si>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</si>
  <si>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</si>
  <si>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</si>
  <si>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</si>
  <si>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</si>
  <si>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</si>
  <si>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</si>
  <si>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</si>
  <si>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</si>
  <si>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</si>
  <si>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</si>
  <si>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</si>
  <si>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</si>
  <si>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</si>
  <si>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</si>
  <si>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</si>
  <si>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</si>
  <si>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</si>
  <si>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</si>
  <si>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</si>
  <si>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</si>
  <si>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</si>
  <si>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</si>
  <si>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</si>
  <si>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</si>
  <si>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</si>
  <si>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</si>
  <si>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</si>
  <si>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</si>
  <si>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</si>
  <si>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</si>
  <si>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</si>
  <si>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</si>
  <si>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</si>
  <si>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</si>
  <si>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</si>
  <si>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</si>
  <si>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</si>
  <si>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</si>
  <si>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</si>
  <si>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</si>
  <si>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</si>
  <si>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</si>
  <si>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</si>
  <si>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</si>
  <si>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</si>
  <si>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</si>
  <si>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</si>
  <si>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</si>
  <si>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</si>
  <si>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</si>
  <si>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</si>
  <si>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</si>
  <si>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</si>
  <si>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</si>
  <si>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</si>
  <si>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</si>
  <si>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</si>
  <si>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</si>
  <si>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</si>
  <si>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</si>
  <si>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</si>
  <si>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</si>
  <si>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</si>
  <si>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</si>
  <si>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</si>
  <si>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</si>
  <si>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</si>
  <si>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</si>
  <si>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</si>
  <si>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</si>
  <si>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</si>
  <si>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</si>
  <si>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</si>
  <si>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</si>
  <si>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</si>
  <si>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</si>
  <si>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</si>
  <si>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</si>
  <si>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</si>
  <si>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</si>
  <si>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</si>
  <si>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</si>
  <si>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</si>
  <si>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</si>
  <si>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</si>
  <si>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</si>
  <si>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</si>
  <si>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</si>
  <si>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</si>
  <si>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</si>
  <si>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</si>
  <si>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</si>
  <si>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</si>
  <si>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</si>
  <si>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</si>
  <si>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</si>
  <si>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</si>
  <si>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</si>
  <si>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</si>
  <si>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</si>
  <si>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</si>
  <si>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</si>
  <si>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</si>
  <si>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</si>
  <si>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</si>
  <si>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</si>
  <si>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</si>
  <si>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</si>
  <si>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</si>
  <si>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</si>
  <si>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</si>
  <si>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</si>
  <si>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</si>
  <si>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</si>
  <si>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</si>
  <si>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</si>
  <si>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</si>
  <si>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</si>
  <si>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</si>
  <si>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</si>
  <si>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</si>
  <si>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</si>
  <si>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</si>
  <si>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</si>
  <si>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</si>
  <si>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</si>
  <si>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</si>
  <si>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</si>
  <si>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</si>
  <si>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</si>
  <si>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</si>
  <si>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</si>
  <si>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</si>
  <si>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</si>
  <si>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</si>
  <si>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</si>
  <si>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</si>
  <si>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</si>
  <si>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</si>
  <si>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</si>
  <si>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</si>
  <si>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</si>
  <si>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</si>
  <si>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</si>
  <si>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</si>
  <si>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</si>
  <si>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</si>
  <si>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</si>
  <si>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</si>
  <si>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</si>
  <si>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</si>
  <si>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</si>
  <si>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</si>
  <si>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</si>
  <si>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</si>
  <si>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</si>
  <si>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</si>
  <si>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</si>
  <si>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</si>
  <si>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</si>
  <si>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</si>
  <si>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</si>
  <si>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</si>
  <si>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</si>
  <si>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</si>
  <si>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</si>
  <si>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</si>
  <si>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</si>
  <si>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</si>
  <si>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</si>
  <si>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</si>
  <si>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</si>
  <si>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</si>
  <si>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</si>
  <si>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</si>
  <si>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</si>
  <si>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</si>
  <si>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</si>
  <si>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</si>
  <si>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</si>
  <si>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</si>
  <si>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</si>
  <si>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</si>
  <si>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</si>
  <si>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</si>
  <si>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</si>
  <si>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</si>
  <si>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</si>
  <si>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</si>
  <si>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</si>
  <si>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</si>
  <si>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</si>
  <si>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</si>
  <si>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</si>
  <si>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</si>
  <si>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</si>
  <si>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</si>
  <si>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</si>
  <si>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</si>
  <si>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</si>
  <si>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</si>
  <si>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</si>
  <si>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</si>
  <si>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</si>
  <si>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</si>
  <si>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</si>
  <si>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</si>
  <si>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</si>
  <si>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</si>
  <si>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</si>
  <si>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</si>
  <si>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</si>
  <si>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</si>
  <si>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</si>
  <si>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</si>
  <si>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</si>
  <si>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</si>
  <si>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</si>
  <si>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</si>
  <si>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</si>
  <si>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</si>
  <si>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</si>
  <si>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</si>
  <si>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</si>
  <si>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</si>
  <si>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</si>
  <si>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</si>
  <si>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</si>
  <si>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</si>
  <si>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</si>
  <si>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</si>
  <si>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</si>
  <si>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</si>
  <si>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</si>
  <si>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</si>
  <si>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</si>
  <si>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</si>
  <si>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</si>
  <si>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</si>
  <si>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</si>
  <si>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</si>
  <si>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</si>
  <si>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</si>
  <si>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</si>
  <si>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</si>
  <si>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</si>
  <si>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</si>
  <si>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</si>
  <si>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</si>
  <si>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</si>
  <si>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</si>
  <si>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</si>
  <si>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</si>
  <si>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</si>
  <si>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</si>
  <si>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</si>
  <si>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</si>
  <si>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</si>
  <si>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</si>
  <si>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</si>
  <si>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</si>
  <si>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</si>
  <si>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</si>
  <si>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</si>
  <si>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</si>
  <si>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</si>
  <si>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</si>
  <si>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</si>
  <si>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</si>
  <si>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</si>
  <si>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</si>
  <si>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</si>
  <si>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</si>
  <si>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</si>
  <si>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</si>
  <si>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</si>
  <si>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</si>
  <si>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</si>
  <si>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</si>
  <si>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</si>
  <si>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</si>
  <si>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</si>
  <si>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</si>
  <si>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</si>
  <si>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</si>
  <si>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</si>
  <si>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</si>
  <si>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</si>
  <si>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</si>
  <si>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</si>
  <si>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</si>
  <si>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</si>
  <si>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</si>
  <si>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</si>
  <si>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</si>
  <si>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</si>
  <si>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</si>
  <si>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</si>
  <si>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</si>
  <si>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</si>
  <si>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</si>
  <si>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</si>
  <si>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</si>
  <si>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</si>
  <si>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</si>
  <si>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</si>
  <si>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</si>
  <si>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</si>
  <si>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</si>
  <si>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</si>
  <si>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</si>
  <si>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</si>
  <si>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</si>
  <si>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</si>
  <si>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</si>
  <si>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</si>
  <si>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</si>
  <si>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</si>
  <si>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</si>
  <si>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</si>
  <si>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</si>
  <si>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</si>
  <si>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</si>
  <si>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</si>
  <si>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</si>
  <si>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</si>
  <si>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</si>
  <si>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</si>
  <si>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</si>
  <si>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</si>
  <si>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</si>
  <si>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</si>
  <si>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</si>
  <si>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</si>
  <si>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</si>
  <si>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</si>
  <si>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</si>
  <si>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</si>
  <si>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</si>
  <si>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</si>
  <si>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</si>
  <si>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</si>
  <si>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</si>
  <si>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</si>
  <si>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</si>
  <si>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</si>
  <si>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</si>
  <si>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</si>
  <si>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</si>
  <si>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</si>
  <si>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</si>
  <si>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</si>
  <si>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</si>
  <si>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</si>
  <si>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</si>
  <si>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</si>
  <si>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</si>
  <si>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</si>
  <si>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</si>
  <si>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</si>
  <si>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</si>
  <si>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</si>
  <si>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</si>
  <si>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</si>
  <si>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</si>
  <si>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</si>
  <si>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</si>
  <si>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</si>
  <si>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</si>
  <si>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</si>
  <si>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</si>
  <si>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</si>
  <si>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</si>
  <si>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</si>
  <si>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</si>
  <si>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</si>
  <si>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</si>
  <si>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</si>
  <si>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</si>
  <si>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</si>
  <si>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</si>
  <si>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</si>
  <si>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</si>
  <si>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</si>
  <si>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</si>
  <si>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</si>
  <si>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</si>
  <si>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</si>
  <si>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</si>
  <si>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</si>
  <si>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</si>
  <si>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</si>
  <si>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</si>
  <si>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</si>
  <si>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</si>
  <si>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</si>
  <si>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</si>
  <si>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</si>
  <si>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</si>
  <si>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</si>
  <si>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</si>
  <si>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</si>
  <si>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</si>
  <si>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</si>
  <si>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</si>
  <si>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</si>
  <si>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</si>
  <si>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</si>
  <si>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</si>
  <si>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</si>
  <si>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</si>
  <si>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</si>
  <si>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</si>
  <si>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</si>
  <si>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</si>
  <si>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</si>
  <si>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</si>
  <si>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</si>
  <si>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</si>
  <si>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</si>
  <si>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</si>
  <si>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</si>
  <si>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</si>
  <si>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</si>
  <si>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</si>
  <si>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</si>
  <si>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</si>
  <si>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</si>
  <si>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</si>
  <si>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</si>
  <si>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</si>
  <si>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</si>
  <si>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</si>
  <si>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</si>
  <si>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</si>
  <si>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</si>
  <si>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</si>
  <si>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</si>
  <si>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</si>
  <si>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</si>
  <si>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</si>
  <si>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</si>
  <si>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</si>
  <si>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</si>
  <si>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</si>
  <si>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</si>
  <si>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</si>
  <si>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</si>
  <si>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</si>
  <si>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</si>
  <si>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</si>
  <si>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</si>
  <si>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</si>
  <si>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</si>
  <si>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</si>
  <si>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</si>
  <si>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</si>
  <si>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</si>
  <si>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</si>
  <si>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</si>
  <si>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</si>
  <si>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</si>
  <si>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</si>
  <si>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</si>
  <si>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</si>
  <si>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</si>
  <si>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</si>
  <si>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</si>
  <si>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</si>
  <si>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</si>
  <si>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</si>
  <si>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</si>
  <si>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</si>
  <si>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</si>
  <si>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</si>
  <si>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</si>
  <si>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</si>
  <si>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</si>
  <si>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</si>
  <si>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</si>
  <si>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</si>
  <si>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</si>
  <si>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</si>
  <si>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</si>
  <si>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</si>
  <si>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</si>
  <si>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</si>
  <si>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</si>
  <si>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</si>
  <si>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</si>
  <si>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</si>
  <si>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</si>
  <si>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</si>
  <si>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</si>
  <si>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</si>
  <si>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</si>
  <si>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</si>
  <si>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</si>
  <si>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</si>
  <si>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</si>
  <si>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</si>
  <si>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</si>
  <si>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</si>
  <si>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</si>
  <si>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</si>
  <si>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</si>
  <si>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</si>
  <si>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</si>
  <si>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</si>
  <si>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</si>
  <si>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</si>
  <si>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</si>
  <si>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</si>
  <si>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</si>
  <si>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</si>
  <si>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</si>
  <si>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</si>
  <si>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</si>
  <si>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</si>
  <si>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</si>
  <si>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</si>
  <si>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</si>
  <si>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</si>
  <si>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</si>
  <si>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</si>
  <si>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</si>
  <si>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</si>
  <si>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</si>
  <si>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</si>
  <si>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</si>
  <si>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</si>
  <si>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</si>
  <si>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</si>
  <si>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</si>
  <si>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</si>
  <si>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</si>
  <si>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</si>
  <si>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</si>
  <si>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</si>
  <si>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</si>
  <si>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</si>
  <si>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</si>
  <si>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</si>
  <si>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</si>
  <si>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</si>
  <si>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</si>
  <si>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</si>
  <si>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</si>
  <si>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</si>
  <si>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</si>
  <si>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</si>
  <si>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</si>
  <si>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</si>
  <si>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</si>
  <si>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</si>
  <si>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</si>
  <si>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</si>
  <si>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</si>
  <si>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</si>
  <si>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</si>
  <si>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</si>
  <si>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</si>
  <si>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</si>
  <si>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</si>
  <si>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</si>
  <si>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</si>
  <si>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</si>
  <si>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</si>
  <si>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</si>
  <si>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</si>
  <si>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</si>
  <si>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</si>
  <si>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</si>
  <si>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</si>
  <si>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</si>
  <si>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</si>
  <si>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</si>
  <si>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</si>
  <si>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</si>
  <si>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</si>
  <si>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</si>
  <si>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</si>
  <si>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</si>
  <si>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</si>
  <si>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</si>
  <si>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</si>
  <si>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</si>
  <si>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</si>
  <si>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</si>
  <si>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</si>
  <si>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</si>
  <si>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</si>
  <si>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</si>
  <si>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</si>
  <si>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</si>
  <si>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</si>
  <si>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</si>
  <si>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</si>
  <si>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</si>
  <si>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</si>
  <si>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</si>
  <si>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</si>
  <si>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</si>
  <si>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</si>
  <si>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</si>
  <si>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</si>
  <si>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</si>
  <si>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</si>
  <si>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</si>
  <si>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</si>
  <si>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</si>
  <si>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</si>
  <si>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</si>
  <si>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</si>
  <si>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</si>
  <si>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</si>
  <si>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</si>
  <si>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</si>
  <si>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</si>
  <si>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</si>
  <si>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</si>
  <si>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</si>
  <si>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</si>
  <si>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</si>
  <si>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</si>
  <si>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</si>
  <si>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</si>
  <si>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</si>
  <si>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</si>
  <si>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</si>
  <si>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</si>
  <si>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</si>
  <si>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</si>
  <si>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</si>
  <si>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</si>
  <si>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</si>
  <si>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</si>
  <si>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</si>
  <si>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</si>
  <si>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</si>
  <si>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</si>
  <si>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</si>
  <si>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</si>
  <si>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</si>
  <si>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</si>
  <si>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</si>
  <si>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</si>
  <si>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</si>
  <si>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</si>
  <si>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</si>
  <si>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</si>
  <si>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</si>
  <si>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</si>
  <si>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</si>
  <si>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</si>
  <si>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</si>
  <si>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</si>
  <si>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</si>
  <si>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</si>
  <si>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</si>
  <si>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</si>
  <si>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</si>
  <si>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</si>
  <si>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</si>
  <si>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</si>
  <si>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</si>
  <si>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</si>
  <si>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</si>
  <si>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</si>
  <si>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</si>
  <si>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</si>
  <si>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</si>
  <si>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</si>
  <si>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</si>
  <si>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</si>
  <si>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</si>
  <si>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</si>
  <si>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</si>
  <si>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</si>
  <si>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</si>
  <si>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</si>
  <si>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</si>
  <si>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</si>
  <si>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</si>
  <si>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</si>
  <si>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</si>
  <si>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</si>
  <si>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</si>
  <si>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</si>
  <si>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</si>
  <si>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</si>
  <si>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</si>
  <si>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</si>
  <si>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</si>
  <si>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</si>
  <si>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</si>
  <si>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</si>
  <si>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</si>
  <si>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</si>
  <si>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</si>
  <si>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</si>
  <si>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</si>
  <si>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</si>
  <si>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</si>
  <si>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</si>
  <si>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</si>
  <si>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</si>
  <si>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</si>
  <si>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</si>
  <si>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</si>
  <si>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</si>
  <si>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</si>
  <si>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</si>
  <si>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</si>
  <si>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</si>
  <si>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</si>
  <si>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</si>
  <si>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</si>
  <si>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</si>
  <si>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</si>
  <si>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</si>
  <si>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</si>
  <si>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</si>
  <si>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</si>
  <si>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</si>
  <si>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</si>
  <si>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</si>
  <si>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</si>
  <si>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</si>
  <si>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</si>
  <si>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</si>
  <si>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</si>
  <si>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</si>
  <si>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</si>
  <si>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</si>
  <si>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</si>
  <si>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</si>
  <si>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</si>
  <si>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</si>
  <si>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</si>
  <si>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</si>
  <si>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</si>
  <si>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</si>
  <si>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</si>
  <si>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</si>
  <si>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</si>
  <si>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</si>
  <si>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</si>
  <si>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</si>
  <si>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</si>
  <si>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</si>
  <si>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</si>
  <si>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</si>
  <si>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</si>
  <si>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</si>
  <si>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</si>
  <si>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</si>
  <si>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</si>
  <si>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</si>
  <si>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</si>
  <si>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</si>
  <si>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</si>
  <si>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</si>
  <si>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</si>
  <si>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</si>
  <si>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</si>
  <si>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</si>
  <si>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</si>
  <si>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</si>
  <si>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</si>
  <si>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</si>
  <si>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</si>
  <si>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</si>
  <si>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</si>
  <si>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</si>
  <si>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</si>
  <si>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</si>
  <si>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</si>
  <si>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</si>
  <si>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</si>
  <si>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</si>
  <si>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</si>
  <si>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</si>
  <si>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</si>
  <si>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</si>
  <si>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</si>
  <si>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</si>
  <si>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</si>
  <si>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</si>
  <si>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</si>
  <si>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</si>
  <si>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</si>
  <si>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</si>
  <si>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</si>
  <si>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</si>
  <si>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</si>
  <si>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</si>
  <si>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</si>
  <si>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</si>
  <si>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</si>
  <si>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</si>
  <si>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</si>
  <si>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</si>
  <si>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</si>
  <si>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</si>
  <si>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</si>
  <si>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</si>
  <si>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</si>
  <si>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</si>
  <si>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</si>
  <si>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</si>
  <si>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</si>
  <si>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</si>
  <si>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</si>
  <si>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</si>
  <si>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</si>
  <si>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</si>
  <si>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</si>
  <si>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</si>
  <si>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</si>
  <si>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</si>
  <si>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</si>
  <si>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</si>
  <si>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</si>
  <si>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</si>
  <si>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</si>
  <si>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</si>
  <si>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</si>
  <si>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</si>
  <si>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</si>
  <si>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</si>
  <si>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</si>
  <si>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</si>
  <si>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</si>
  <si>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</si>
  <si>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</si>
  <si>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</si>
  <si>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</si>
  <si>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</si>
  <si>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</si>
  <si>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</si>
  <si>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</si>
  <si>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</si>
  <si>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</si>
  <si>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</si>
  <si>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</si>
  <si>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</si>
  <si>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</si>
  <si>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</si>
  <si>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</si>
  <si>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</si>
  <si>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</si>
  <si>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</si>
  <si>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</si>
  <si>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</si>
  <si>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</si>
  <si>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</si>
  <si>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</si>
  <si>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</si>
  <si>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</si>
  <si>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</si>
  <si>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</si>
  <si>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</si>
  <si>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</si>
  <si>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</si>
  <si>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</si>
  <si>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</si>
  <si>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</si>
  <si>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</si>
  <si>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</si>
  <si>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</si>
  <si>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</si>
  <si>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</si>
  <si>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</si>
  <si>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</si>
  <si>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</si>
  <si>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</si>
  <si>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</si>
  <si>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</si>
  <si>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</si>
  <si>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</si>
  <si>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</si>
  <si>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</si>
  <si>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</si>
  <si>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</si>
  <si>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</si>
  <si>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</si>
  <si>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</si>
  <si>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</si>
  <si>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</si>
  <si>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</si>
  <si>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</si>
  <si>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</si>
  <si>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</si>
  <si>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</si>
  <si>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</si>
  <si>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</si>
  <si>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</si>
  <si>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</si>
  <si>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</si>
  <si>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</si>
  <si>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</si>
  <si>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</si>
  <si>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</si>
  <si>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</si>
  <si>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</si>
  <si>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</si>
  <si>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</si>
  <si>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</si>
  <si>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</si>
  <si>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</si>
  <si>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</si>
  <si>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</si>
  <si>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</si>
  <si>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</si>
  <si>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</si>
  <si>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</si>
  <si>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</si>
  <si>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</si>
  <si>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</si>
  <si>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</si>
  <si>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</si>
  <si>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</si>
  <si>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</si>
  <si>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</si>
  <si>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</si>
  <si>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</si>
  <si>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</si>
  <si>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</si>
  <si>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</si>
  <si>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</si>
  <si>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</si>
  <si>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</si>
  <si>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</si>
  <si>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</si>
  <si>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</si>
  <si>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</si>
  <si>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</si>
  <si>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</si>
  <si>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</si>
  <si>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</si>
  <si>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</si>
  <si>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</si>
  <si>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</si>
  <si>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</si>
  <si>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</si>
  <si>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</si>
  <si>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</si>
  <si>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</si>
  <si>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</si>
  <si>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</si>
  <si>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</si>
  <si>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</si>
  <si>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</si>
  <si>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</si>
  <si>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</si>
  <si>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</si>
  <si>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</si>
  <si>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</si>
  <si>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</si>
  <si>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</si>
  <si>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</si>
  <si>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</si>
  <si>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</si>
  <si>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</si>
  <si>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</si>
  <si>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</si>
  <si>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</si>
  <si>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</si>
  <si>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</si>
  <si>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</si>
  <si>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</si>
  <si>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</si>
  <si>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</si>
  <si>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</si>
  <si>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</si>
  <si>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</si>
  <si>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</si>
  <si>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</si>
  <si>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</si>
  <si>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</si>
  <si>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</si>
  <si>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</si>
  <si>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</si>
  <si>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</si>
  <si>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</si>
  <si>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</si>
  <si>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</si>
  <si>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</si>
  <si>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</si>
  <si>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</si>
  <si>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</si>
  <si>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</si>
  <si>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</si>
  <si>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</si>
  <si>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</si>
  <si>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</si>
  <si>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</si>
  <si>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</si>
  <si>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</si>
  <si>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</si>
  <si>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</si>
  <si>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</si>
  <si>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</si>
  <si>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</si>
  <si>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</si>
  <si>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</si>
  <si>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</si>
  <si>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</si>
  <si>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</si>
  <si>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</si>
  <si>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</si>
  <si>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</si>
  <si>
    <t>MC Sword</t>
  </si>
  <si>
    <t>Thunderfury, Blessed Blade of the Windseeker</t>
  </si>
  <si>
    <t>Breath of the Dying</t>
  </si>
  <si>
    <t>Dealing Damage: 10% chance to cast Chain Lightning to target, dealing # magical damage</t>
  </si>
  <si>
    <t>Frostmourne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</si>
</sst>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2">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2" activePane="bottomLeft" state="frozen"/>
      <selection pane="bottomLeft" activeCell="L33" sqref="L33"/>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988</v>
      </c>
      <c r="Q1" s="78" t="s">
        <v>415</v>
      </c>
      <c r="R1" s="77" t="s">
        <v>337</v>
      </c>
      <c r="S1" s="77" t="s">
        <v>380</v>
      </c>
      <c r="T1" s="77" t="s">
        <v>995</v>
      </c>
      <c r="U1" s="77" t="s">
        <v>996</v>
      </c>
    </row>
    <row r="2" spans="1:21" x14ac:dyDescent="0.25">
      <c r="A2" s="17">
        <v>1</v>
      </c>
      <c r="B2" s="18" t="s">
        <v>381</v>
      </c>
      <c r="C2" s="18" t="s">
        <v>441</v>
      </c>
      <c r="D2" s="18" t="s">
        <v>440</v>
      </c>
      <c r="J2" s="18" t="s">
        <v>837</v>
      </c>
    </row>
    <row r="3" spans="1:21" x14ac:dyDescent="0.25">
      <c r="A3" s="17">
        <v>2</v>
      </c>
      <c r="B3" s="18" t="s">
        <v>381</v>
      </c>
      <c r="C3" s="18" t="s">
        <v>423</v>
      </c>
      <c r="D3" s="18" t="s">
        <v>424</v>
      </c>
      <c r="M3" s="18" t="s">
        <v>837</v>
      </c>
    </row>
    <row r="4" spans="1:21" x14ac:dyDescent="0.25">
      <c r="A4" s="17">
        <v>3</v>
      </c>
      <c r="B4" s="18" t="s">
        <v>381</v>
      </c>
      <c r="C4" s="18" t="s">
        <v>439</v>
      </c>
      <c r="D4" s="18" t="s">
        <v>442</v>
      </c>
      <c r="K4" s="18" t="s">
        <v>837</v>
      </c>
    </row>
    <row r="5" spans="1:21" x14ac:dyDescent="0.25">
      <c r="A5" s="17">
        <v>4</v>
      </c>
      <c r="B5" s="18" t="s">
        <v>381</v>
      </c>
      <c r="C5" s="18" t="s">
        <v>421</v>
      </c>
      <c r="D5" s="18" t="s">
        <v>422</v>
      </c>
      <c r="N5" s="18" t="s">
        <v>837</v>
      </c>
    </row>
    <row r="6" spans="1:21" x14ac:dyDescent="0.25">
      <c r="A6" s="17">
        <v>5</v>
      </c>
      <c r="B6" s="18" t="s">
        <v>381</v>
      </c>
      <c r="C6" s="18" t="s">
        <v>338</v>
      </c>
      <c r="D6" s="18" t="s">
        <v>339</v>
      </c>
      <c r="E6" s="18" t="s">
        <v>838</v>
      </c>
    </row>
    <row r="7" spans="1:21" x14ac:dyDescent="0.25">
      <c r="A7" s="17">
        <v>6</v>
      </c>
      <c r="B7" s="18" t="s">
        <v>381</v>
      </c>
      <c r="C7" s="18" t="s">
        <v>340</v>
      </c>
      <c r="D7" s="18" t="s">
        <v>341</v>
      </c>
      <c r="F7" s="18" t="s">
        <v>838</v>
      </c>
    </row>
    <row r="8" spans="1:21" x14ac:dyDescent="0.25">
      <c r="A8" s="17">
        <v>7</v>
      </c>
      <c r="B8" s="18" t="s">
        <v>381</v>
      </c>
      <c r="C8" s="18" t="s">
        <v>342</v>
      </c>
      <c r="D8" s="18" t="s">
        <v>343</v>
      </c>
      <c r="G8" s="18" t="s">
        <v>838</v>
      </c>
    </row>
    <row r="9" spans="1:21" x14ac:dyDescent="0.25">
      <c r="A9" s="17">
        <v>8</v>
      </c>
      <c r="B9" s="18" t="s">
        <v>381</v>
      </c>
      <c r="C9" s="18" t="s">
        <v>427</v>
      </c>
      <c r="D9" s="18" t="s">
        <v>426</v>
      </c>
      <c r="H9" s="18" t="s">
        <v>839</v>
      </c>
    </row>
    <row r="10" spans="1:21" s="79" customFormat="1" x14ac:dyDescent="0.25">
      <c r="A10" s="62">
        <v>9</v>
      </c>
      <c r="B10" s="79" t="s">
        <v>381</v>
      </c>
      <c r="C10" s="79" t="s">
        <v>344</v>
      </c>
      <c r="D10" s="79" t="s">
        <v>345</v>
      </c>
      <c r="E10" s="79" t="s">
        <v>840</v>
      </c>
      <c r="I10" s="79" t="s">
        <v>846</v>
      </c>
    </row>
    <row r="11" spans="1:21" s="79" customFormat="1" x14ac:dyDescent="0.25">
      <c r="A11" s="17">
        <v>10</v>
      </c>
      <c r="B11" s="79" t="s">
        <v>381</v>
      </c>
      <c r="C11" s="79" t="s">
        <v>346</v>
      </c>
      <c r="D11" s="79" t="s">
        <v>347</v>
      </c>
      <c r="E11" s="79" t="s">
        <v>840</v>
      </c>
      <c r="J11" s="79" t="s">
        <v>847</v>
      </c>
    </row>
    <row r="12" spans="1:21" s="79" customFormat="1" x14ac:dyDescent="0.25">
      <c r="A12" s="17">
        <v>11</v>
      </c>
      <c r="B12" s="79" t="s">
        <v>381</v>
      </c>
      <c r="C12" s="79" t="s">
        <v>348</v>
      </c>
      <c r="D12" s="79" t="s">
        <v>349</v>
      </c>
      <c r="F12" s="79" t="s">
        <v>840</v>
      </c>
      <c r="J12" s="79" t="s">
        <v>847</v>
      </c>
    </row>
    <row r="13" spans="1:21" s="79" customFormat="1" x14ac:dyDescent="0.25">
      <c r="A13" s="17">
        <v>12</v>
      </c>
      <c r="B13" s="79" t="s">
        <v>381</v>
      </c>
      <c r="C13" s="79" t="s">
        <v>350</v>
      </c>
      <c r="D13" s="79" t="s">
        <v>428</v>
      </c>
      <c r="F13" s="79" t="s">
        <v>840</v>
      </c>
      <c r="I13" s="79" t="s">
        <v>846</v>
      </c>
    </row>
    <row r="14" spans="1:21" s="79" customFormat="1" x14ac:dyDescent="0.25">
      <c r="A14" s="17">
        <v>13</v>
      </c>
      <c r="B14" s="79" t="s">
        <v>381</v>
      </c>
      <c r="C14" s="79" t="s">
        <v>351</v>
      </c>
      <c r="D14" s="79" t="s">
        <v>352</v>
      </c>
      <c r="G14" s="79" t="s">
        <v>840</v>
      </c>
      <c r="N14" s="79" t="s">
        <v>847</v>
      </c>
    </row>
    <row r="15" spans="1:21" s="79" customFormat="1" x14ac:dyDescent="0.25">
      <c r="A15" s="17">
        <v>14</v>
      </c>
      <c r="B15" s="79" t="s">
        <v>381</v>
      </c>
      <c r="C15" s="79" t="s">
        <v>353</v>
      </c>
      <c r="D15" s="79" t="s">
        <v>354</v>
      </c>
      <c r="G15" s="79" t="s">
        <v>840</v>
      </c>
      <c r="O15" s="79" t="s">
        <v>413</v>
      </c>
    </row>
    <row r="16" spans="1:21" s="79" customFormat="1" x14ac:dyDescent="0.25">
      <c r="A16" s="17">
        <v>15</v>
      </c>
      <c r="B16" s="79" t="s">
        <v>381</v>
      </c>
      <c r="C16" s="79" t="s">
        <v>355</v>
      </c>
      <c r="D16" s="79" t="s">
        <v>356</v>
      </c>
      <c r="H16" s="79" t="s">
        <v>841</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847</v>
      </c>
    </row>
    <row r="19" spans="1:19" x14ac:dyDescent="0.25">
      <c r="A19" s="17">
        <v>18</v>
      </c>
      <c r="B19" s="18" t="s">
        <v>381</v>
      </c>
      <c r="C19" s="18" t="s">
        <v>434</v>
      </c>
      <c r="D19" s="18" t="s">
        <v>433</v>
      </c>
      <c r="Q19" s="18" t="s">
        <v>847</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844</v>
      </c>
    </row>
    <row r="22" spans="1:19" x14ac:dyDescent="0.25">
      <c r="A22" s="17">
        <v>21</v>
      </c>
      <c r="B22" s="18" t="s">
        <v>382</v>
      </c>
      <c r="C22" s="18" t="s">
        <v>384</v>
      </c>
      <c r="D22" s="18" t="s">
        <v>383</v>
      </c>
      <c r="E22" s="18" t="s">
        <v>842</v>
      </c>
    </row>
    <row r="23" spans="1:19" x14ac:dyDescent="0.25">
      <c r="A23" s="17">
        <v>22</v>
      </c>
      <c r="B23" s="18" t="s">
        <v>382</v>
      </c>
      <c r="C23" s="18" t="s">
        <v>386</v>
      </c>
      <c r="D23" s="18" t="s">
        <v>385</v>
      </c>
      <c r="E23" s="18" t="s">
        <v>838</v>
      </c>
    </row>
    <row r="24" spans="1:19" x14ac:dyDescent="0.25">
      <c r="A24" s="17">
        <v>23</v>
      </c>
      <c r="B24" s="18" t="s">
        <v>382</v>
      </c>
      <c r="C24" s="18" t="s">
        <v>394</v>
      </c>
      <c r="D24" s="18" t="s">
        <v>387</v>
      </c>
      <c r="F24" s="18" t="s">
        <v>842</v>
      </c>
    </row>
    <row r="25" spans="1:19" x14ac:dyDescent="0.25">
      <c r="A25" s="17">
        <v>24</v>
      </c>
      <c r="B25" s="18" t="s">
        <v>382</v>
      </c>
      <c r="C25" s="18" t="s">
        <v>389</v>
      </c>
      <c r="D25" s="18" t="s">
        <v>388</v>
      </c>
      <c r="F25" s="18" t="s">
        <v>838</v>
      </c>
    </row>
    <row r="26" spans="1:19" x14ac:dyDescent="0.25">
      <c r="A26" s="17">
        <v>25</v>
      </c>
      <c r="B26" s="18" t="s">
        <v>382</v>
      </c>
      <c r="C26" s="18" t="s">
        <v>391</v>
      </c>
      <c r="D26" s="18" t="s">
        <v>390</v>
      </c>
      <c r="G26" s="18" t="s">
        <v>842</v>
      </c>
    </row>
    <row r="27" spans="1:19" x14ac:dyDescent="0.25">
      <c r="A27" s="17">
        <v>26</v>
      </c>
      <c r="B27" s="18" t="s">
        <v>382</v>
      </c>
      <c r="C27" s="18" t="s">
        <v>393</v>
      </c>
      <c r="D27" s="18" t="s">
        <v>392</v>
      </c>
      <c r="G27" s="18" t="s">
        <v>838</v>
      </c>
    </row>
    <row r="28" spans="1:19" x14ac:dyDescent="0.25">
      <c r="A28" s="17">
        <v>27</v>
      </c>
      <c r="B28" s="18" t="s">
        <v>382</v>
      </c>
      <c r="C28" s="18" t="s">
        <v>398</v>
      </c>
      <c r="D28" s="18" t="s">
        <v>395</v>
      </c>
      <c r="H28" s="18" t="s">
        <v>843</v>
      </c>
    </row>
    <row r="29" spans="1:19" x14ac:dyDescent="0.25">
      <c r="A29" s="17">
        <v>28</v>
      </c>
      <c r="B29" s="18" t="s">
        <v>382</v>
      </c>
      <c r="C29" s="18" t="s">
        <v>397</v>
      </c>
      <c r="D29" s="18" t="s">
        <v>396</v>
      </c>
      <c r="H29" s="18" t="s">
        <v>839</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844</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845</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989</v>
      </c>
      <c r="B38" s="18" t="s">
        <v>382</v>
      </c>
      <c r="C38" s="18" t="s">
        <v>990</v>
      </c>
      <c r="P38" s="18" t="s">
        <v>993</v>
      </c>
    </row>
    <row r="39" spans="1:21" x14ac:dyDescent="0.25">
      <c r="A39" s="18" t="s">
        <v>991</v>
      </c>
      <c r="B39" s="18" t="s">
        <v>382</v>
      </c>
      <c r="C39" s="18" t="s">
        <v>992</v>
      </c>
      <c r="P39" s="18" t="s">
        <v>994</v>
      </c>
    </row>
    <row r="40" spans="1:21" x14ac:dyDescent="0.25">
      <c r="A40" s="18" t="s">
        <v>997</v>
      </c>
      <c r="B40" s="18" t="s">
        <v>381</v>
      </c>
      <c r="C40" s="18" t="s">
        <v>998</v>
      </c>
      <c r="T40" s="18" t="s">
        <v>1001</v>
      </c>
    </row>
    <row r="41" spans="1:21" x14ac:dyDescent="0.25">
      <c r="A41" s="18" t="s">
        <v>999</v>
      </c>
      <c r="B41" s="18" t="s">
        <v>381</v>
      </c>
      <c r="C41" s="18" t="s">
        <v>1000</v>
      </c>
      <c r="U41" s="18" t="s">
        <v>1001</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50" activePane="bottomLeft" state="frozen"/>
      <selection pane="bottomLeft" activeCell="F80" sqref="F80"/>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863</v>
      </c>
      <c r="I1" s="82" t="s">
        <v>864</v>
      </c>
      <c r="J1" s="82" t="s">
        <v>865</v>
      </c>
      <c r="K1" s="82" t="s">
        <v>866</v>
      </c>
      <c r="L1" s="82" t="s">
        <v>867</v>
      </c>
      <c r="M1" s="82" t="s">
        <v>868</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971</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972</v>
      </c>
      <c r="G36" s="81" t="s">
        <v>736</v>
      </c>
    </row>
    <row r="37" spans="1:7" x14ac:dyDescent="0.25">
      <c r="A37" s="81">
        <v>58</v>
      </c>
      <c r="B37" s="81">
        <v>3</v>
      </c>
      <c r="C37" s="81">
        <v>211</v>
      </c>
      <c r="D37" s="81">
        <v>0</v>
      </c>
      <c r="E37" s="18" t="s">
        <v>786</v>
      </c>
      <c r="F37" s="18" t="s">
        <v>973</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974</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870</v>
      </c>
      <c r="I50" s="81" t="s">
        <v>871</v>
      </c>
      <c r="J50" s="81" t="s">
        <v>874</v>
      </c>
      <c r="K50" s="81" t="s">
        <v>875</v>
      </c>
      <c r="L50" s="81" t="s">
        <v>877</v>
      </c>
      <c r="M50" s="81" t="s">
        <v>878</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872</v>
      </c>
      <c r="I54" s="81" t="s">
        <v>873</v>
      </c>
      <c r="J54" s="81" t="s">
        <v>876</v>
      </c>
      <c r="K54" s="81" t="s">
        <v>875</v>
      </c>
      <c r="L54" s="81" t="s">
        <v>879</v>
      </c>
      <c r="M54" s="81" t="s">
        <v>880</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881</v>
      </c>
      <c r="I60" s="81" t="s">
        <v>882</v>
      </c>
      <c r="J60" s="81" t="s">
        <v>874</v>
      </c>
      <c r="K60" s="81" t="s">
        <v>874</v>
      </c>
      <c r="L60" s="81" t="s">
        <v>883</v>
      </c>
      <c r="M60" s="81" t="s">
        <v>884</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869</v>
      </c>
      <c r="I62" s="81" t="s">
        <v>885</v>
      </c>
      <c r="J62" s="81" t="s">
        <v>874</v>
      </c>
      <c r="K62" s="81" t="s">
        <v>874</v>
      </c>
      <c r="L62" s="81" t="s">
        <v>886</v>
      </c>
      <c r="M62" s="81" t="s">
        <v>884</v>
      </c>
    </row>
    <row r="63" spans="1:13" x14ac:dyDescent="0.25">
      <c r="A63" s="81">
        <v>49</v>
      </c>
      <c r="B63" s="81">
        <v>2</v>
      </c>
      <c r="C63" s="81">
        <v>406</v>
      </c>
      <c r="D63" s="81">
        <v>0.7</v>
      </c>
      <c r="E63" s="18" t="s">
        <v>593</v>
      </c>
      <c r="F63" s="18" t="s">
        <v>970</v>
      </c>
      <c r="G63" s="81" t="s">
        <v>732</v>
      </c>
    </row>
    <row r="64" spans="1:13" x14ac:dyDescent="0.25">
      <c r="A64" s="81">
        <v>50</v>
      </c>
      <c r="B64" s="81">
        <v>2</v>
      </c>
      <c r="C64" s="81">
        <v>407</v>
      </c>
      <c r="D64" s="81">
        <v>0.7</v>
      </c>
      <c r="E64" s="18" t="s">
        <v>617</v>
      </c>
      <c r="F64" s="18" t="s">
        <v>969</v>
      </c>
      <c r="G64" s="81" t="s">
        <v>733</v>
      </c>
      <c r="H64" s="81" t="s">
        <v>887</v>
      </c>
      <c r="I64" s="81" t="s">
        <v>888</v>
      </c>
      <c r="J64" s="81" t="s">
        <v>876</v>
      </c>
      <c r="K64" s="81" t="s">
        <v>875</v>
      </c>
      <c r="L64" s="81" t="s">
        <v>889</v>
      </c>
      <c r="M64" s="81" t="s">
        <v>891</v>
      </c>
    </row>
    <row r="65" spans="1:13" x14ac:dyDescent="0.25">
      <c r="A65" s="81">
        <v>51</v>
      </c>
      <c r="B65" s="81">
        <v>2</v>
      </c>
      <c r="C65" s="81">
        <v>408</v>
      </c>
      <c r="D65" s="81">
        <v>0.7</v>
      </c>
      <c r="E65" s="18" t="s">
        <v>624</v>
      </c>
      <c r="F65" s="18" t="s">
        <v>981</v>
      </c>
      <c r="G65" s="81" t="s">
        <v>734</v>
      </c>
      <c r="H65" s="81" t="s">
        <v>893</v>
      </c>
      <c r="I65" s="81" t="s">
        <v>892</v>
      </c>
      <c r="J65" s="81" t="s">
        <v>876</v>
      </c>
      <c r="K65" s="81" t="s">
        <v>875</v>
      </c>
      <c r="L65" s="81" t="s">
        <v>894</v>
      </c>
      <c r="M65" s="81" t="s">
        <v>895</v>
      </c>
    </row>
    <row r="66" spans="1:13" x14ac:dyDescent="0.25">
      <c r="A66" s="81">
        <v>52</v>
      </c>
      <c r="B66" s="81">
        <v>2</v>
      </c>
      <c r="C66" s="81">
        <v>409</v>
      </c>
      <c r="D66" s="81">
        <v>0.7</v>
      </c>
      <c r="E66" s="18" t="s">
        <v>629</v>
      </c>
      <c r="F66" s="18" t="s">
        <v>982</v>
      </c>
      <c r="G66" s="81" t="s">
        <v>735</v>
      </c>
      <c r="H66" s="81" t="s">
        <v>897</v>
      </c>
      <c r="I66" s="81" t="s">
        <v>896</v>
      </c>
      <c r="J66" s="81" t="s">
        <v>876</v>
      </c>
      <c r="K66" s="81" t="s">
        <v>874</v>
      </c>
      <c r="L66" s="81" t="s">
        <v>890</v>
      </c>
      <c r="M66" s="81" t="s">
        <v>898</v>
      </c>
    </row>
    <row r="67" spans="1:13" x14ac:dyDescent="0.25">
      <c r="A67" s="81">
        <v>53</v>
      </c>
      <c r="B67" s="81">
        <v>2</v>
      </c>
      <c r="C67" s="81">
        <v>410</v>
      </c>
      <c r="D67" s="81">
        <v>0.7</v>
      </c>
      <c r="E67" s="18" t="s">
        <v>562</v>
      </c>
      <c r="F67" s="18" t="s">
        <v>983</v>
      </c>
      <c r="G67" s="81" t="s">
        <v>737</v>
      </c>
    </row>
    <row r="68" spans="1:13" x14ac:dyDescent="0.25">
      <c r="A68" s="81">
        <v>54</v>
      </c>
      <c r="B68" s="81">
        <v>2</v>
      </c>
      <c r="C68" s="81">
        <v>411</v>
      </c>
      <c r="D68" s="81">
        <v>0.2</v>
      </c>
      <c r="E68" s="18" t="s">
        <v>630</v>
      </c>
      <c r="F68" s="18" t="s">
        <v>966</v>
      </c>
      <c r="G68" s="81" t="s">
        <v>738</v>
      </c>
    </row>
    <row r="69" spans="1:13" x14ac:dyDescent="0.25">
      <c r="A69" s="81">
        <v>55</v>
      </c>
      <c r="B69" s="81">
        <v>2</v>
      </c>
      <c r="C69" s="81">
        <v>412</v>
      </c>
      <c r="D69" s="81">
        <v>0.16</v>
      </c>
      <c r="E69" s="18" t="s">
        <v>631</v>
      </c>
      <c r="F69" s="18" t="s">
        <v>980</v>
      </c>
      <c r="G69" s="81" t="s">
        <v>739</v>
      </c>
      <c r="H69" s="81" t="s">
        <v>899</v>
      </c>
      <c r="I69" s="81" t="s">
        <v>900</v>
      </c>
      <c r="J69" s="81" t="s">
        <v>874</v>
      </c>
      <c r="K69" s="81" t="s">
        <v>874</v>
      </c>
      <c r="L69" s="81" t="s">
        <v>910</v>
      </c>
      <c r="M69" s="81" t="s">
        <v>901</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902</v>
      </c>
      <c r="I71" s="81" t="s">
        <v>903</v>
      </c>
      <c r="J71" s="81" t="s">
        <v>876</v>
      </c>
      <c r="K71" s="81" t="s">
        <v>875</v>
      </c>
      <c r="L71" s="81" t="s">
        <v>904</v>
      </c>
      <c r="M71" s="81" t="s">
        <v>905</v>
      </c>
    </row>
    <row r="72" spans="1:13" x14ac:dyDescent="0.25">
      <c r="A72" s="81">
        <v>60</v>
      </c>
      <c r="B72" s="81">
        <v>2</v>
      </c>
      <c r="C72" s="81">
        <v>417</v>
      </c>
      <c r="D72" s="81">
        <v>0.1</v>
      </c>
      <c r="E72" s="18" t="s">
        <v>583</v>
      </c>
      <c r="F72" s="18" t="s">
        <v>909</v>
      </c>
      <c r="G72" s="81" t="s">
        <v>743</v>
      </c>
      <c r="H72" s="81" t="s">
        <v>911</v>
      </c>
      <c r="I72" s="81" t="s">
        <v>912</v>
      </c>
      <c r="J72" s="81" t="s">
        <v>876</v>
      </c>
      <c r="K72" s="81" t="s">
        <v>875</v>
      </c>
      <c r="L72" s="81" t="s">
        <v>913</v>
      </c>
      <c r="M72" s="81" t="s">
        <v>914</v>
      </c>
    </row>
    <row r="73" spans="1:13" x14ac:dyDescent="0.25">
      <c r="A73" s="81">
        <v>61</v>
      </c>
      <c r="B73" s="81">
        <v>2</v>
      </c>
      <c r="C73" s="81">
        <v>418</v>
      </c>
      <c r="D73" s="81">
        <v>0.1</v>
      </c>
      <c r="E73" s="18" t="s">
        <v>582</v>
      </c>
      <c r="F73" s="18" t="s">
        <v>667</v>
      </c>
      <c r="G73" s="81" t="s">
        <v>744</v>
      </c>
      <c r="H73" s="81" t="s">
        <v>915</v>
      </c>
      <c r="I73" s="81" t="s">
        <v>916</v>
      </c>
      <c r="J73" s="81" t="s">
        <v>876</v>
      </c>
      <c r="K73" s="81" t="s">
        <v>875</v>
      </c>
      <c r="L73" s="81" t="s">
        <v>917</v>
      </c>
      <c r="M73" s="81" t="s">
        <v>918</v>
      </c>
    </row>
    <row r="74" spans="1:13" x14ac:dyDescent="0.25">
      <c r="A74" s="81">
        <v>62</v>
      </c>
      <c r="B74" s="81">
        <v>2</v>
      </c>
      <c r="C74" s="81">
        <v>419</v>
      </c>
      <c r="D74" s="81">
        <v>0.1</v>
      </c>
      <c r="E74" s="18" t="s">
        <v>581</v>
      </c>
      <c r="F74" s="18" t="s">
        <v>668</v>
      </c>
      <c r="G74" s="81" t="s">
        <v>746</v>
      </c>
      <c r="H74" s="81" t="s">
        <v>919</v>
      </c>
      <c r="I74" s="81" t="s">
        <v>920</v>
      </c>
      <c r="J74" s="81" t="s">
        <v>876</v>
      </c>
      <c r="K74" s="81" t="s">
        <v>875</v>
      </c>
      <c r="L74" s="81" t="s">
        <v>921</v>
      </c>
      <c r="M74" s="81" t="s">
        <v>906</v>
      </c>
    </row>
    <row r="75" spans="1:13" x14ac:dyDescent="0.25">
      <c r="A75" s="81">
        <v>63</v>
      </c>
      <c r="B75" s="81">
        <v>2</v>
      </c>
      <c r="C75" s="81">
        <v>420</v>
      </c>
      <c r="D75" s="81">
        <v>0.1</v>
      </c>
      <c r="E75" s="18" t="s">
        <v>792</v>
      </c>
      <c r="F75" s="18" t="s">
        <v>669</v>
      </c>
      <c r="G75" s="81" t="s">
        <v>745</v>
      </c>
      <c r="H75" s="81" t="s">
        <v>922</v>
      </c>
      <c r="I75" s="81" t="s">
        <v>923</v>
      </c>
      <c r="J75" s="81" t="s">
        <v>876</v>
      </c>
      <c r="K75" s="81" t="s">
        <v>875</v>
      </c>
      <c r="L75" s="81" t="s">
        <v>924</v>
      </c>
      <c r="M75" s="81" t="s">
        <v>907</v>
      </c>
    </row>
    <row r="76" spans="1:13" x14ac:dyDescent="0.25">
      <c r="A76" s="81">
        <v>64</v>
      </c>
      <c r="B76" s="81">
        <v>2</v>
      </c>
      <c r="C76" s="81">
        <v>421</v>
      </c>
      <c r="D76" s="81">
        <v>0.1</v>
      </c>
      <c r="E76" s="18" t="s">
        <v>584</v>
      </c>
      <c r="F76" s="18" t="s">
        <v>670</v>
      </c>
      <c r="G76" s="81" t="s">
        <v>747</v>
      </c>
      <c r="H76" s="81" t="s">
        <v>925</v>
      </c>
      <c r="I76" s="81" t="s">
        <v>926</v>
      </c>
      <c r="J76" s="81" t="s">
        <v>876</v>
      </c>
      <c r="K76" s="81" t="s">
        <v>875</v>
      </c>
      <c r="L76" s="81" t="s">
        <v>928</v>
      </c>
      <c r="M76" s="81" t="s">
        <v>927</v>
      </c>
    </row>
    <row r="77" spans="1:13" x14ac:dyDescent="0.25">
      <c r="A77" s="81">
        <v>75</v>
      </c>
      <c r="B77" s="81">
        <v>2</v>
      </c>
      <c r="C77" s="81">
        <v>430</v>
      </c>
      <c r="D77" s="81">
        <v>0.7</v>
      </c>
      <c r="E77" s="18" t="s">
        <v>619</v>
      </c>
      <c r="F77" s="18" t="s">
        <v>975</v>
      </c>
      <c r="G77" s="81" t="s">
        <v>748</v>
      </c>
    </row>
    <row r="78" spans="1:13" x14ac:dyDescent="0.25">
      <c r="A78" s="81">
        <v>87</v>
      </c>
      <c r="B78" s="81">
        <v>2</v>
      </c>
      <c r="C78" s="81">
        <v>450</v>
      </c>
      <c r="D78" s="81">
        <v>0.5</v>
      </c>
      <c r="E78" s="18" t="s">
        <v>571</v>
      </c>
      <c r="F78" s="18" t="s">
        <v>832</v>
      </c>
      <c r="G78" s="81" t="s">
        <v>749</v>
      </c>
    </row>
    <row r="79" spans="1:13" x14ac:dyDescent="0.25">
      <c r="A79" s="81">
        <v>88</v>
      </c>
      <c r="B79" s="81">
        <v>2</v>
      </c>
      <c r="C79" s="81">
        <v>451</v>
      </c>
      <c r="D79" s="81">
        <v>0.7</v>
      </c>
      <c r="E79" s="18" t="s">
        <v>592</v>
      </c>
      <c r="F79" s="18" t="s">
        <v>976</v>
      </c>
      <c r="G79" s="81" t="s">
        <v>750</v>
      </c>
      <c r="H79" s="81" t="s">
        <v>929</v>
      </c>
      <c r="I79" s="81" t="s">
        <v>930</v>
      </c>
      <c r="J79" s="81" t="s">
        <v>876</v>
      </c>
      <c r="K79" s="81" t="s">
        <v>875</v>
      </c>
      <c r="L79" s="81" t="s">
        <v>931</v>
      </c>
      <c r="M79" s="81" t="s">
        <v>891</v>
      </c>
    </row>
    <row r="80" spans="1:13" x14ac:dyDescent="0.25">
      <c r="A80" s="81">
        <v>89</v>
      </c>
      <c r="B80" s="81">
        <v>2</v>
      </c>
      <c r="C80" s="81">
        <v>452</v>
      </c>
      <c r="D80" s="81">
        <v>0.7</v>
      </c>
      <c r="E80" s="18" t="s">
        <v>589</v>
      </c>
      <c r="F80" s="18" t="s">
        <v>1049</v>
      </c>
      <c r="G80" s="81" t="s">
        <v>751</v>
      </c>
    </row>
    <row r="81" spans="1:13" x14ac:dyDescent="0.25">
      <c r="A81" s="81">
        <v>33</v>
      </c>
      <c r="B81" s="81">
        <v>2</v>
      </c>
      <c r="C81" s="81">
        <v>453</v>
      </c>
      <c r="D81" s="81">
        <v>0.3</v>
      </c>
      <c r="E81" s="18" t="s">
        <v>564</v>
      </c>
      <c r="F81" s="18" t="s">
        <v>984</v>
      </c>
      <c r="G81" s="81" t="s">
        <v>765</v>
      </c>
      <c r="H81" s="81" t="s">
        <v>946</v>
      </c>
      <c r="I81" s="81" t="s">
        <v>947</v>
      </c>
      <c r="J81" s="81" t="s">
        <v>874</v>
      </c>
      <c r="K81" s="81" t="s">
        <v>875</v>
      </c>
      <c r="L81" s="81" t="s">
        <v>948</v>
      </c>
      <c r="M81" s="81" t="s">
        <v>949</v>
      </c>
    </row>
    <row r="82" spans="1:13" s="87" customFormat="1" x14ac:dyDescent="0.25">
      <c r="A82" s="87">
        <v>99</v>
      </c>
      <c r="B82" s="87">
        <v>2</v>
      </c>
      <c r="C82" s="87">
        <v>454</v>
      </c>
      <c r="D82" s="87">
        <v>0.7</v>
      </c>
      <c r="E82" s="18"/>
      <c r="F82" s="18" t="s">
        <v>1041</v>
      </c>
      <c r="G82" s="87" t="s">
        <v>1042</v>
      </c>
    </row>
    <row r="83" spans="1:13" x14ac:dyDescent="0.25">
      <c r="A83" s="81">
        <v>77</v>
      </c>
      <c r="B83" s="81">
        <v>2</v>
      </c>
      <c r="C83" s="81">
        <v>460</v>
      </c>
      <c r="D83" s="81">
        <v>0.5</v>
      </c>
      <c r="E83" s="18" t="s">
        <v>569</v>
      </c>
      <c r="F83" s="18" t="s">
        <v>977</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932</v>
      </c>
      <c r="I85" s="81" t="s">
        <v>933</v>
      </c>
      <c r="J85" s="81" t="s">
        <v>876</v>
      </c>
      <c r="K85" s="81" t="s">
        <v>875</v>
      </c>
      <c r="L85" s="81" t="s">
        <v>934</v>
      </c>
      <c r="M85" s="81" t="s">
        <v>908</v>
      </c>
    </row>
    <row r="86" spans="1:13" x14ac:dyDescent="0.25">
      <c r="A86" s="81">
        <v>82</v>
      </c>
      <c r="B86" s="81">
        <v>2</v>
      </c>
      <c r="C86" s="81">
        <v>800</v>
      </c>
      <c r="D86" s="81">
        <v>0.1</v>
      </c>
      <c r="E86" s="18" t="s">
        <v>590</v>
      </c>
      <c r="F86" s="18" t="s">
        <v>978</v>
      </c>
      <c r="G86" s="81" t="s">
        <v>756</v>
      </c>
      <c r="H86" s="81" t="s">
        <v>935</v>
      </c>
      <c r="I86" s="81" t="s">
        <v>936</v>
      </c>
      <c r="J86" s="81" t="s">
        <v>876</v>
      </c>
      <c r="K86" s="81" t="s">
        <v>874</v>
      </c>
      <c r="L86" s="81" t="s">
        <v>456</v>
      </c>
      <c r="M86" s="81" t="s">
        <v>937</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938</v>
      </c>
      <c r="I88" s="81" t="s">
        <v>939</v>
      </c>
      <c r="J88" s="81" t="s">
        <v>874</v>
      </c>
      <c r="K88" s="81" t="s">
        <v>874</v>
      </c>
      <c r="L88" s="81" t="s">
        <v>940</v>
      </c>
      <c r="M88" s="81" t="s">
        <v>941</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942</v>
      </c>
      <c r="I90" s="81" t="s">
        <v>943</v>
      </c>
      <c r="J90" s="81" t="s">
        <v>874</v>
      </c>
      <c r="K90" s="81" t="s">
        <v>875</v>
      </c>
      <c r="L90" s="81" t="s">
        <v>944</v>
      </c>
      <c r="M90" s="81" t="s">
        <v>945</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979</v>
      </c>
      <c r="G93" s="81" t="s">
        <v>764</v>
      </c>
    </row>
    <row r="94" spans="1:13" x14ac:dyDescent="0.25">
      <c r="A94" s="81">
        <v>34</v>
      </c>
      <c r="B94" s="81">
        <v>2</v>
      </c>
      <c r="C94" s="81">
        <v>906</v>
      </c>
      <c r="D94" s="81">
        <v>0.3</v>
      </c>
      <c r="E94" s="18" t="s">
        <v>570</v>
      </c>
      <c r="F94" s="18" t="s">
        <v>612</v>
      </c>
      <c r="G94" s="81" t="s">
        <v>766</v>
      </c>
      <c r="H94" s="81" t="s">
        <v>950</v>
      </c>
      <c r="I94" s="81" t="s">
        <v>951</v>
      </c>
      <c r="J94" s="81" t="s">
        <v>874</v>
      </c>
      <c r="K94" s="81" t="s">
        <v>875</v>
      </c>
      <c r="L94" s="81" t="s">
        <v>952</v>
      </c>
      <c r="M94" s="81" t="s">
        <v>953</v>
      </c>
    </row>
    <row r="95" spans="1:13" x14ac:dyDescent="0.25">
      <c r="A95" s="81">
        <v>35</v>
      </c>
      <c r="B95" s="81">
        <v>2</v>
      </c>
      <c r="C95" s="81">
        <v>907</v>
      </c>
      <c r="D95" s="81">
        <v>0.1</v>
      </c>
      <c r="E95" s="18" t="s">
        <v>563</v>
      </c>
      <c r="F95" s="18" t="s">
        <v>613</v>
      </c>
      <c r="G95" s="81" t="s">
        <v>767</v>
      </c>
      <c r="H95" s="81" t="s">
        <v>956</v>
      </c>
      <c r="I95" s="81" t="s">
        <v>957</v>
      </c>
      <c r="J95" s="81" t="s">
        <v>874</v>
      </c>
      <c r="K95" s="81" t="s">
        <v>875</v>
      </c>
      <c r="L95" s="81" t="s">
        <v>958</v>
      </c>
      <c r="M95" s="81" t="s">
        <v>954</v>
      </c>
    </row>
    <row r="96" spans="1:13" x14ac:dyDescent="0.25">
      <c r="A96" s="81">
        <v>36</v>
      </c>
      <c r="B96" s="81">
        <v>2</v>
      </c>
      <c r="C96" s="81">
        <v>908</v>
      </c>
      <c r="D96" s="81">
        <v>0.1</v>
      </c>
      <c r="E96" s="18" t="s">
        <v>565</v>
      </c>
      <c r="F96" s="18" t="s">
        <v>614</v>
      </c>
      <c r="G96" s="81" t="s">
        <v>768</v>
      </c>
      <c r="H96" s="81" t="s">
        <v>959</v>
      </c>
      <c r="I96" s="81" t="s">
        <v>960</v>
      </c>
      <c r="J96" s="81" t="s">
        <v>874</v>
      </c>
      <c r="K96" s="81" t="s">
        <v>875</v>
      </c>
      <c r="L96" s="81" t="s">
        <v>961</v>
      </c>
      <c r="M96" s="81" t="s">
        <v>955</v>
      </c>
    </row>
    <row r="97" spans="1:13" x14ac:dyDescent="0.25">
      <c r="A97" s="81">
        <v>37</v>
      </c>
      <c r="B97" s="81">
        <v>2</v>
      </c>
      <c r="C97" s="81">
        <v>909</v>
      </c>
      <c r="D97" s="81">
        <v>-0.33</v>
      </c>
      <c r="E97" s="18" t="s">
        <v>797</v>
      </c>
      <c r="F97" s="18" t="s">
        <v>804</v>
      </c>
      <c r="G97" s="81" t="s">
        <v>769</v>
      </c>
      <c r="H97" s="81" t="s">
        <v>962</v>
      </c>
      <c r="I97" s="81" t="s">
        <v>963</v>
      </c>
      <c r="J97" s="81" t="s">
        <v>874</v>
      </c>
      <c r="K97" s="81" t="s">
        <v>875</v>
      </c>
      <c r="L97" s="81" t="s">
        <v>964</v>
      </c>
      <c r="M97" s="81" t="s">
        <v>965</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967</v>
      </c>
      <c r="G99" s="81" t="s">
        <v>968</v>
      </c>
    </row>
    <row r="100" spans="1:13" x14ac:dyDescent="0.25">
      <c r="A100" s="81">
        <v>98</v>
      </c>
      <c r="B100" s="81">
        <v>4</v>
      </c>
      <c r="C100" s="81">
        <v>2001</v>
      </c>
      <c r="D100" s="81">
        <v>0</v>
      </c>
      <c r="F100" s="18" t="s">
        <v>1034</v>
      </c>
      <c r="G100" s="81" t="s">
        <v>1035</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18" activePane="bottomLeft" state="frozen"/>
      <selection pane="bottomLeft" activeCell="G66" sqref="G66"/>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829</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830</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831</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836</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833</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834</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835</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849</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848</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tabSelected="1" zoomScaleNormal="100" workbookViewId="0">
      <pane ySplit="2" topLeftCell="A3" activePane="bottomLeft" state="frozen"/>
      <selection pane="bottomLeft" activeCell="G14" sqref="G14"/>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1043</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1044</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1045</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850</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851</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852</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853</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862</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1033</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1036</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854</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985</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986</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987</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152"/>
  <sheetViews>
    <sheetView zoomScaleNormal="100" workbookViewId="0">
      <pane ySplit="2" topLeftCell="A117" activePane="bottomLeft" state="frozen"/>
      <selection pane="bottomLeft" activeCell="A124" sqref="A124"/>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855</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1048</v>
      </c>
    </row>
    <row r="33" spans="1:7" x14ac:dyDescent="0.25">
      <c r="A33" s="17">
        <v>7</v>
      </c>
      <c r="B33" s="17">
        <v>4</v>
      </c>
      <c r="C33" s="17">
        <v>7</v>
      </c>
      <c r="D33" s="44">
        <f ca="1">OFFSET(Attributes!$A$1,MATCH($A33,Attributes!$A:$A,0)-1,MATCH("Type",Attributes!$1:$1,0)-1)</f>
        <v>1</v>
      </c>
      <c r="E33" s="44" t="str">
        <f ca="1">IFERROR(OFFSET(Attributes!$A$1,MATCH($A33,Attributes!$A:$A,0)-1,MATCH("Abbr",Attributes!$1:$1,0)-1),"")</f>
        <v>ALLSTAT</v>
      </c>
      <c r="F33" s="51" t="str">
        <f ca="1">SUBSTITUTE(OFFSET(Attributes!$A$1,MATCH($A33,Attributes!$A:$A,0)-1,MATCH("Attr CN",Attributes!$1:$1,0)-1),"#",$B33*$B$1&amp;"-"&amp;$C33*$B$1)</f>
        <v>+12-21所有属性</v>
      </c>
      <c r="G33" s="51" t="str">
        <f ca="1">SUBSTITUTE(OFFSET(Attributes!$A$1,MATCH($A33,Attributes!$A:$A,0)-1,MATCH("Attr EN",Attributes!$1:$1,0)-1),"#",$B33&amp;"-"&amp;$C33*$B$1)</f>
        <v>+4-21 All stats</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856</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1037</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857</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858</v>
      </c>
    </row>
    <row r="105" spans="1:7" x14ac:dyDescent="0.25">
      <c r="A105" s="17">
        <v>-3</v>
      </c>
      <c r="G105" s="50" t="s">
        <v>1040</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row r="112" spans="1:7" x14ac:dyDescent="0.25">
      <c r="A112" s="17">
        <v>-3</v>
      </c>
      <c r="G112" s="50" t="s">
        <v>1046</v>
      </c>
    </row>
    <row r="113" spans="1:7" x14ac:dyDescent="0.25">
      <c r="A113" s="17">
        <v>24</v>
      </c>
      <c r="B113" s="17">
        <v>100</v>
      </c>
      <c r="C113" s="17">
        <v>100</v>
      </c>
      <c r="D113" s="44">
        <f ca="1">OFFSET(Attributes!$A$1,MATCH($A113,Attributes!$A:$A,0)-1,MATCH("Type",Attributes!$1:$1,0)-1)</f>
        <v>1</v>
      </c>
      <c r="E113" s="44" t="str">
        <f ca="1">IFERROR(OFFSET(Attributes!$A$1,MATCH($A113,Attributes!$A:$A,0)-1,MATCH("Abbr",Attributes!$1:$1,0)-1),"")</f>
        <v>MS</v>
      </c>
      <c r="F113" s="50" t="str">
        <f ca="1">SUBSTITUTE(OFFSET(Attributes!$A$1,MATCH($A113,Attributes!$A:$A,0)-1,MATCH("Attr CN",Attributes!$1:$1,0)-1),"#",$B113*$B$1&amp;"-"&amp;$C113*$B$1)</f>
        <v>+300-300移动速度</v>
      </c>
      <c r="G113" s="51" t="str">
        <f ca="1">SUBSTITUTE(OFFSET(Attributes!$A$1,MATCH($A113,Attributes!$A:$A,0)-1,MATCH("Attr EN",Attributes!$1:$1,0)-1),"#",$B113&amp;"-"&amp;$C113*$B$1)</f>
        <v>+100-300 Movement speed</v>
      </c>
    </row>
    <row r="114" spans="1:7" x14ac:dyDescent="0.25">
      <c r="A114" s="17">
        <v>71</v>
      </c>
      <c r="B114" s="17">
        <v>3000</v>
      </c>
      <c r="C114" s="17">
        <v>3000</v>
      </c>
      <c r="D114" s="44">
        <f ca="1">OFFSET(Attributes!$A$1,MATCH($A114,Attributes!$A:$A,0)-1,MATCH("Type",Attributes!$1:$1,0)-1)</f>
        <v>2</v>
      </c>
      <c r="E114" s="44" t="str">
        <f ca="1">IFERROR(OFFSET(Attributes!$A$1,MATCH($A114,Attributes!$A:$A,0)-1,MATCH("Abbr",Attributes!$1:$1,0)-1),"")</f>
        <v>LEECHAURA</v>
      </c>
      <c r="F114" s="50" t="str">
        <f ca="1">SUBSTITUTE(OFFSET(Attributes!$A$1,MATCH($A114,Attributes!$A:$A,0)-1,MATCH("Attr CN",Attributes!$1:$1,0)-1),"#",$B114*$B$1&amp;"-"&amp;$C114*$B$1)</f>
        <v>每秒吸取附近所有敌人9000-9000点生命值到自身</v>
      </c>
      <c r="G114" s="51" t="str">
        <f ca="1">SUBSTITUTE(OFFSET(Attributes!$A$1,MATCH($A114,Attributes!$A:$A,0)-1,MATCH("Attr EN",Attributes!$1:$1,0)-1),"#",$B114&amp;"-"&amp;$C114*$B$1)</f>
        <v>Absorb 3000-9000 HP from all enemies nearby every second</v>
      </c>
    </row>
    <row r="116" spans="1:7" x14ac:dyDescent="0.25">
      <c r="A116" s="17">
        <v>-3</v>
      </c>
      <c r="G116" s="50" t="s">
        <v>1047</v>
      </c>
    </row>
    <row r="117" spans="1:7" x14ac:dyDescent="0.25">
      <c r="A117" s="17">
        <v>13</v>
      </c>
      <c r="B117" s="17">
        <v>5</v>
      </c>
      <c r="C117" s="17">
        <v>10</v>
      </c>
      <c r="D117" s="44">
        <f ca="1">OFFSET(Attributes!$A$1,MATCH($A117,Attributes!$A:$A,0)-1,MATCH("Type",Attributes!$1:$1,0)-1)</f>
        <v>1</v>
      </c>
      <c r="E117" s="44" t="str">
        <f ca="1">IFERROR(OFFSET(Attributes!$A$1,MATCH($A117,Attributes!$A:$A,0)-1,MATCH("Abbr",Attributes!$1:$1,0)-1),"")</f>
        <v>AGI</v>
      </c>
      <c r="F117" s="50" t="str">
        <f ca="1">SUBSTITUTE(OFFSET(Attributes!$A$1,MATCH($A117,Attributes!$A:$A,0)-1,MATCH("Attr CN",Attributes!$1:$1,0)-1),"#",$B117*$B$1&amp;"-"&amp;$C117*$B$1)</f>
        <v>+15-30敏捷</v>
      </c>
      <c r="G117" s="51" t="str">
        <f ca="1">SUBSTITUTE(OFFSET(Attributes!$A$1,MATCH($A117,Attributes!$A:$A,0)-1,MATCH("Attr EN",Attributes!$1:$1,0)-1),"#",$B117&amp;"-"&amp;$C117*$B$1)</f>
        <v>+5-30 Agility</v>
      </c>
    </row>
    <row r="118" spans="1:7" x14ac:dyDescent="0.25">
      <c r="A118" s="17">
        <v>21</v>
      </c>
      <c r="B118" s="17">
        <v>75</v>
      </c>
      <c r="C118" s="17">
        <v>150</v>
      </c>
      <c r="D118" s="44">
        <f ca="1">OFFSET(Attributes!$A$1,MATCH($A118,Attributes!$A:$A,0)-1,MATCH("Type",Attributes!$1:$1,0)-1)</f>
        <v>1</v>
      </c>
      <c r="E118" s="44" t="str">
        <f ca="1">IFERROR(OFFSET(Attributes!$A$1,MATCH($A118,Attributes!$A:$A,0)-1,MATCH("Abbr",Attributes!$1:$1,0)-1),"")</f>
        <v>HP</v>
      </c>
      <c r="F118" s="50" t="str">
        <f ca="1">SUBSTITUTE(OFFSET(Attributes!$A$1,MATCH($A118,Attributes!$A:$A,0)-1,MATCH("Attr CN",Attributes!$1:$1,0)-1),"#",$B118*$B$1&amp;"-"&amp;$C118*$B$1)</f>
        <v>+225-450生命上限</v>
      </c>
      <c r="G118" s="51" t="str">
        <f ca="1">SUBSTITUTE(OFFSET(Attributes!$A$1,MATCH($A118,Attributes!$A:$A,0)-1,MATCH("Attr EN",Attributes!$1:$1,0)-1),"#",$B118&amp;"-"&amp;$C118*$B$1)</f>
        <v>+75-450 Max HP</v>
      </c>
    </row>
    <row r="119" spans="1:7" s="110" customFormat="1" x14ac:dyDescent="0.25">
      <c r="A119" s="17">
        <v>11</v>
      </c>
      <c r="B119" s="17">
        <v>0.03</v>
      </c>
      <c r="C119" s="17">
        <v>0.05</v>
      </c>
      <c r="D119" s="44">
        <f ca="1">OFFSET(Attributes!$A$1,MATCH($A119,Attributes!$A:$A,0)-1,MATCH("Type",Attributes!$1:$1,0)-1)</f>
        <v>1</v>
      </c>
      <c r="E119" s="44" t="str">
        <f ca="1">IFERROR(OFFSET(Attributes!$A$1,MATCH($A119,Attributes!$A:$A,0)-1,MATCH("Abbr",Attributes!$1:$1,0)-1),"")</f>
        <v>CRIT</v>
      </c>
      <c r="F119" s="51" t="str">
        <f ca="1">SUBSTITUTE(OFFSET(Attributes!$A$1,MATCH($A119,Attributes!$A:$A,0)-1,MATCH("Attr CN",Attributes!$1:$1,0)-1),"#",$B119*$B$1&amp;"-"&amp;$C119*$B$1)</f>
        <v>+0.09-0.15攻击暴击</v>
      </c>
      <c r="G119" s="51" t="str">
        <f ca="1">SUBSTITUTE(OFFSET(Attributes!$A$1,MATCH($A119,Attributes!$A:$A,0)-1,MATCH("Attr EN",Attributes!$1:$1,0)-1),"#",$B119&amp;"-"&amp;$C119*$B$1)</f>
        <v>+0.03-0.15 Attack critical</v>
      </c>
    </row>
    <row r="120" spans="1:7" x14ac:dyDescent="0.25">
      <c r="A120" s="17">
        <v>57</v>
      </c>
      <c r="B120" s="17">
        <v>10</v>
      </c>
      <c r="C120" s="17">
        <v>30</v>
      </c>
      <c r="D120" s="44">
        <f ca="1">OFFSET(Attributes!$A$1,MATCH($A120,Attributes!$A:$A,0)-1,MATCH("Type",Attributes!$1:$1,0)-1)</f>
        <v>3</v>
      </c>
      <c r="E120" s="44" t="str">
        <f ca="1">IFERROR(OFFSET(Attributes!$A$1,MATCH($A120,Attributes!$A:$A,0)-1,MATCH("Abbr",Attributes!$1:$1,0)-1),"")</f>
        <v>ATK_MD</v>
      </c>
      <c r="F120" s="50" t="str">
        <f ca="1">SUBSTITUTE(OFFSET(Attributes!$A$1,MATCH($A120,Attributes!$A:$A,0)-1,MATCH("Attr CN",Attributes!$1:$1,0)-1),"#",$B120*$B$1&amp;"-"&amp;$C120*$B$1)</f>
        <v>攻击附加30-90点法术伤害</v>
      </c>
      <c r="G120" s="51" t="str">
        <f ca="1">SUBSTITUTE(OFFSET(Attributes!$A$1,MATCH($A120,Attributes!$A:$A,0)-1,MATCH("Attr EN",Attributes!$1:$1,0)-1),"#",$B120&amp;"-"&amp;$C120*$B$1)</f>
        <v>Deals 10-90 extra magical damage per hit</v>
      </c>
    </row>
    <row r="121" spans="1:7" x14ac:dyDescent="0.25">
      <c r="A121" s="17">
        <v>89</v>
      </c>
      <c r="B121" s="17">
        <v>50</v>
      </c>
      <c r="C121" s="17">
        <v>120</v>
      </c>
      <c r="D121" s="44">
        <f ca="1">OFFSET(Attributes!$A$1,MATCH($A121,Attributes!$A:$A,0)-1,MATCH("Type",Attributes!$1:$1,0)-1)</f>
        <v>2</v>
      </c>
      <c r="E121" s="44" t="str">
        <f ca="1">IFERROR(OFFSET(Attributes!$A$1,MATCH($A121,Attributes!$A:$A,0)-1,MATCH("Abbr",Attributes!$1:$1,0)-1),"")</f>
        <v>MD_CHAIN</v>
      </c>
      <c r="F121" s="51" t="str">
        <f ca="1">SUBSTITUTE(OFFSET(Attributes!$A$1,MATCH($A121,Attributes!$A:$A,0)-1,MATCH("Attr CN",Attributes!$1:$1,0)-1),"#",$B121*$B$1&amp;"-"&amp;$C121*$B$1)</f>
        <v>造成法术伤害：有10%的几率施放闪电链，造成150-360点法术伤害</v>
      </c>
      <c r="G121" s="51" t="str">
        <f ca="1">SUBSTITUTE(OFFSET(Attributes!$A$1,MATCH($A121,Attributes!$A:$A,0)-1,MATCH("Attr EN",Attributes!$1:$1,0)-1),"#",$B121&amp;"-"&amp;$C121*$B$1)</f>
        <v>Dealing Damage: 10% chance to cast Chain Lightning to target, dealing 50-360 magical damage</v>
      </c>
    </row>
    <row r="122" spans="1:7" x14ac:dyDescent="0.25">
      <c r="A122" s="17">
        <v>62</v>
      </c>
      <c r="B122" s="17">
        <v>0.03</v>
      </c>
      <c r="C122" s="17">
        <v>7.0000000000000007E-2</v>
      </c>
      <c r="D122" s="44">
        <f ca="1">OFFSET(Attributes!$A$1,MATCH($A122,Attributes!$A:$A,0)-1,MATCH("Type",Attributes!$1:$1,0)-1)</f>
        <v>2</v>
      </c>
      <c r="E122" s="44" t="str">
        <f ca="1">IFERROR(OFFSET(Attributes!$A$1,MATCH($A122,Attributes!$A:$A,0)-1,MATCH("Abbr",Attributes!$1:$1,0)-1),"")</f>
        <v>ATK_DAS</v>
      </c>
      <c r="F122" s="50" t="str">
        <f ca="1">SUBSTITUTE(OFFSET(Attributes!$A$1,MATCH($A122,Attributes!$A:$A,0)-1,MATCH("Attr CN",Attributes!$1:$1,0)-1),"#",$B122*$B$1&amp;"-"&amp;$C122*$B$1)</f>
        <v>命中：降低目标攻击速度0.09-0.21</v>
      </c>
      <c r="G122" s="51" t="str">
        <f ca="1">SUBSTITUTE(OFFSET(Attributes!$A$1,MATCH($A122,Attributes!$A:$A,0)-1,MATCH("Attr EN",Attributes!$1:$1,0)-1),"#",$B122&amp;"-"&amp;$C122*$B$1)</f>
        <v>On Attack: Decrease target attack speed by 0.03-0.21</v>
      </c>
    </row>
    <row r="124" spans="1:7" x14ac:dyDescent="0.25">
      <c r="A124" s="31">
        <v>-2</v>
      </c>
      <c r="B124" s="31"/>
      <c r="C124" s="31"/>
      <c r="D124" s="31"/>
      <c r="E124" s="31"/>
      <c r="F124" s="36" t="s">
        <v>1</v>
      </c>
      <c r="G124" s="49" t="s">
        <v>821</v>
      </c>
    </row>
    <row r="125" spans="1:7" x14ac:dyDescent="0.25">
      <c r="A125" s="31">
        <v>17</v>
      </c>
      <c r="B125" s="31">
        <v>100</v>
      </c>
      <c r="C125" s="31">
        <v>200</v>
      </c>
      <c r="D125" s="30">
        <f ca="1">OFFSET(Attributes!$A$1,MATCH(Legendary!$A125,Attributes!$A:$A,0)-1,MATCH("Type",Attributes!$1:$1,0)-1)</f>
        <v>1</v>
      </c>
      <c r="E125" s="30" t="str">
        <f ca="1">IFERROR(OFFSET(Attributes!$A$1,MATCH(Legendary!$A125,Attributes!$A:$A,0)-1,MATCH("Abbr",Attributes!$1:$1,0)-1),"")</f>
        <v>MP</v>
      </c>
      <c r="F125" s="37" t="s">
        <v>267</v>
      </c>
      <c r="G125" s="49" t="str">
        <f ca="1">SUBSTITUTE(OFFSET(Attributes!$A$1,MATCH($A125,Attributes!$A:$A,0)-1,MATCH("Attr EN",Attributes!$1:$1,0)-1),"#",$B125&amp;"-"&amp;$C125*Relic!$B$1)</f>
        <v>+100-600 Max MP</v>
      </c>
    </row>
    <row r="126" spans="1:7" x14ac:dyDescent="0.25">
      <c r="A126" s="31">
        <v>21</v>
      </c>
      <c r="B126" s="31">
        <v>100</v>
      </c>
      <c r="C126" s="31">
        <v>200</v>
      </c>
      <c r="D126" s="30">
        <f ca="1">OFFSET(Attributes!$A$1,MATCH(Legendary!$A126,Attributes!$A:$A,0)-1,MATCH("Type",Attributes!$1:$1,0)-1)</f>
        <v>1</v>
      </c>
      <c r="E126" s="30" t="str">
        <f ca="1">IFERROR(OFFSET(Attributes!$A$1,MATCH(Legendary!$A126,Attributes!$A:$A,0)-1,MATCH("Abbr",Attributes!$1:$1,0)-1),"")</f>
        <v>HP</v>
      </c>
      <c r="F126" s="37" t="s">
        <v>270</v>
      </c>
      <c r="G126" s="49" t="str">
        <f ca="1">SUBSTITUTE(OFFSET(Attributes!$A$1,MATCH($A126,Attributes!$A:$A,0)-1,MATCH("Attr EN",Attributes!$1:$1,0)-1),"#",$B126&amp;"-"&amp;$C126*Relic!$B$1)</f>
        <v>+100-600 Max HP</v>
      </c>
    </row>
    <row r="127" spans="1:7" x14ac:dyDescent="0.25">
      <c r="A127" s="31">
        <v>1</v>
      </c>
      <c r="B127" s="31">
        <v>0.01</v>
      </c>
      <c r="C127" s="31">
        <v>0.02</v>
      </c>
      <c r="D127" s="30">
        <f ca="1">OFFSET(Attributes!$A$1,MATCH(Legendary!$A127,Attributes!$A:$A,0)-1,MATCH("Type",Attributes!$1:$1,0)-1)</f>
        <v>1</v>
      </c>
      <c r="E127" s="30" t="str">
        <f ca="1">IFERROR(OFFSET(Attributes!$A$1,MATCH(Legendary!$A127,Attributes!$A:$A,0)-1,MATCH("Abbr",Attributes!$1:$1,0)-1),"")</f>
        <v>DR</v>
      </c>
      <c r="F127" s="37" t="s">
        <v>271</v>
      </c>
      <c r="G127" s="22" t="str">
        <f ca="1">SUBSTITUTE(OFFSET(Attributes!$A$1,MATCH($A127,Attributes!$A:$A,0)-1,MATCH("Attr EN",Attributes!$1:$1,0)-1),"#",$B127&amp;"-"&amp;$C127*Relic!$B$1)</f>
        <v>-0.01-0.06 All damage taken</v>
      </c>
    </row>
    <row r="128" spans="1:7" x14ac:dyDescent="0.25">
      <c r="A128" s="31">
        <v>97</v>
      </c>
      <c r="B128" s="31">
        <v>0</v>
      </c>
      <c r="C128" s="31">
        <v>0</v>
      </c>
      <c r="D128" s="30">
        <f ca="1">OFFSET(Attributes!$A$1,MATCH(Legendary!$A128,Attributes!$A:$A,0)-1,MATCH("Type",Attributes!$1:$1,0)-1)</f>
        <v>4</v>
      </c>
      <c r="E128" s="30" t="str">
        <f ca="1">IFERROR(OFFSET(Attributes!$A$1,MATCH(Legendary!$A128,Attributes!$A:$A,0)-1,MATCH("Abbr",Attributes!$1:$1,0)-1),"")</f>
        <v>SET_ARTHAS</v>
      </c>
      <c r="F128" s="39"/>
      <c r="G128" s="49" t="str">
        <f ca="1">SUBSTITUTE(OFFSET(Attributes!$A$1,MATCH($A128,Attributes!$A:$A,0)-1,MATCH("Attr EN",Attributes!$1:$1,0)-1),"#",$B128&amp;"-"&amp;$C128*Relic!$B$1)</f>
        <v>Arthas Corruption set</v>
      </c>
    </row>
    <row r="129" spans="1:8" x14ac:dyDescent="0.25">
      <c r="A129" s="31">
        <v>-11</v>
      </c>
      <c r="B129" s="31"/>
      <c r="C129" s="31"/>
      <c r="D129" s="31"/>
      <c r="E129" s="31"/>
      <c r="F129" s="38" t="s">
        <v>2</v>
      </c>
      <c r="G129" s="49" t="s">
        <v>825</v>
      </c>
    </row>
    <row r="130" spans="1:8" x14ac:dyDescent="0.25">
      <c r="A130" s="31"/>
      <c r="B130" s="31"/>
      <c r="C130" s="31"/>
      <c r="D130" s="31"/>
      <c r="E130" s="31"/>
      <c r="F130" s="34"/>
      <c r="G130" s="49"/>
    </row>
    <row r="131" spans="1:8" x14ac:dyDescent="0.25">
      <c r="A131" s="31">
        <v>-2</v>
      </c>
      <c r="B131" s="31"/>
      <c r="C131" s="31"/>
      <c r="D131" s="31"/>
      <c r="E131" s="31"/>
      <c r="F131" s="36" t="s">
        <v>3</v>
      </c>
      <c r="G131" s="49" t="s">
        <v>822</v>
      </c>
    </row>
    <row r="132" spans="1:8" x14ac:dyDescent="0.25">
      <c r="A132" s="31">
        <v>9</v>
      </c>
      <c r="B132" s="31">
        <v>10</v>
      </c>
      <c r="C132" s="31">
        <v>20</v>
      </c>
      <c r="D132" s="30">
        <f ca="1">OFFSET(Attributes!$A$1,MATCH(Legendary!$A132,Attributes!$A:$A,0)-1,MATCH("Type",Attributes!$1:$1,0)-1)</f>
        <v>1</v>
      </c>
      <c r="E132" s="30" t="str">
        <f ca="1">IFERROR(OFFSET(Attributes!$A$1,MATCH(Legendary!$A132,Attributes!$A:$A,0)-1,MATCH("Abbr",Attributes!$1:$1,0)-1),"")</f>
        <v>AP</v>
      </c>
      <c r="F132" s="37" t="str">
        <f ca="1">SUBSTITUTE(OFFSET(Attributes!$A$1,MATCH($A132,Attributes!$A:$A,0)-1,MATCH("Attr CN",Attributes!$1:$1,0)-1),"#",$B132&amp;"-"&amp;$C132*Relic!$B$1)</f>
        <v>+10-60攻击强度</v>
      </c>
      <c r="G132" s="49" t="str">
        <f ca="1">SUBSTITUTE(OFFSET(Attributes!$A$1,MATCH($A132,Attributes!$A:$A,0)-1,MATCH("Attr EN",Attributes!$1:$1,0)-1),"#",$B132&amp;"-"&amp;$C132*Relic!$B$1)</f>
        <v>+10-60 Attack power</v>
      </c>
    </row>
    <row r="133" spans="1:8" x14ac:dyDescent="0.25">
      <c r="A133" s="31">
        <v>24</v>
      </c>
      <c r="B133" s="31">
        <v>11</v>
      </c>
      <c r="C133" s="31">
        <v>17</v>
      </c>
      <c r="D133" s="30">
        <f ca="1">OFFSET(Attributes!$A$1,MATCH(Legendary!$A133,Attributes!$A:$A,0)-1,MATCH("Type",Attributes!$1:$1,0)-1)</f>
        <v>1</v>
      </c>
      <c r="E133" s="30" t="str">
        <f ca="1">IFERROR(OFFSET(Attributes!$A$1,MATCH(Legendary!$A133,Attributes!$A:$A,0)-1,MATCH("Abbr",Attributes!$1:$1,0)-1),"")</f>
        <v>MS</v>
      </c>
      <c r="F133" s="37" t="s">
        <v>269</v>
      </c>
      <c r="G133" s="49" t="str">
        <f ca="1">SUBSTITUTE(OFFSET(Attributes!$A$1,MATCH($A133,Attributes!$A:$A,0)-1,MATCH("Attr EN",Attributes!$1:$1,0)-1),"#",$B133&amp;"-"&amp;$C133*Relic!$B$1)</f>
        <v>+11-51 Movement speed</v>
      </c>
    </row>
    <row r="134" spans="1:8" x14ac:dyDescent="0.25">
      <c r="A134" s="31">
        <v>67</v>
      </c>
      <c r="B134" s="31">
        <v>0.05</v>
      </c>
      <c r="C134" s="31">
        <v>0.09</v>
      </c>
      <c r="D134" s="30">
        <f ca="1">OFFSET(Attributes!$A$1,MATCH(Legendary!$A134,Attributes!$A:$A,0)-1,MATCH("Type",Attributes!$1:$1,0)-1)</f>
        <v>2</v>
      </c>
      <c r="E134" s="30" t="str">
        <f ca="1">IFERROR(OFFSET(Attributes!$A$1,MATCH(Legendary!$A134,Attributes!$A:$A,0)-1,MATCH("Abbr",Attributes!$1:$1,0)-1),"")</f>
        <v>CRKILLER</v>
      </c>
      <c r="F134" s="35" t="s">
        <v>4</v>
      </c>
      <c r="G134" s="49" t="str">
        <f ca="1">SUBSTITUTE(OFFSET(Attributes!$A$1,MATCH($A134,Attributes!$A:$A,0)-1,MATCH("Attr EN",Attributes!$1:$1,0)-1),"#",$B134&amp;"-"&amp;$C134*Relic!$B$1)</f>
        <v>Deals 0.05-0.27 extra damage to non-hero targets</v>
      </c>
    </row>
    <row r="135" spans="1:8" x14ac:dyDescent="0.25">
      <c r="A135" s="31">
        <v>97</v>
      </c>
      <c r="B135" s="31">
        <v>0</v>
      </c>
      <c r="C135" s="31">
        <v>0</v>
      </c>
      <c r="D135" s="30">
        <f ca="1">OFFSET(Attributes!$A$1,MATCH(Legendary!$A135,Attributes!$A:$A,0)-1,MATCH("Type",Attributes!$1:$1,0)-1)</f>
        <v>4</v>
      </c>
      <c r="E135" s="30" t="str">
        <f ca="1">IFERROR(OFFSET(Attributes!$A$1,MATCH(Legendary!$A135,Attributes!$A:$A,0)-1,MATCH("Abbr",Attributes!$1:$1,0)-1),"")</f>
        <v>SET_ARTHAS</v>
      </c>
      <c r="F135" s="39"/>
      <c r="G135" s="49" t="str">
        <f ca="1">SUBSTITUTE(OFFSET(Attributes!$A$1,MATCH($A135,Attributes!$A:$A,0)-1,MATCH("Attr EN",Attributes!$1:$1,0)-1),"#",$B135&amp;"-"&amp;$C135*Relic!$B$1)</f>
        <v>Arthas Corruption set</v>
      </c>
    </row>
    <row r="136" spans="1:8" ht="28.5" x14ac:dyDescent="0.25">
      <c r="A136" s="31">
        <v>-11</v>
      </c>
      <c r="B136" s="31"/>
      <c r="C136" s="31"/>
      <c r="D136" s="31"/>
      <c r="E136" s="31"/>
      <c r="F136" s="38" t="s">
        <v>5</v>
      </c>
      <c r="G136" s="49" t="s">
        <v>826</v>
      </c>
    </row>
    <row r="137" spans="1:8" x14ac:dyDescent="0.25">
      <c r="A137" s="31"/>
      <c r="B137" s="31"/>
      <c r="C137" s="31"/>
      <c r="D137" s="31"/>
      <c r="E137" s="31"/>
      <c r="F137" s="34"/>
      <c r="G137" s="49"/>
    </row>
    <row r="138" spans="1:8" x14ac:dyDescent="0.25">
      <c r="A138" s="31">
        <v>-3</v>
      </c>
      <c r="B138" s="31"/>
      <c r="C138" s="31"/>
      <c r="D138" s="31"/>
      <c r="E138" s="31"/>
      <c r="F138" s="36" t="s">
        <v>6</v>
      </c>
      <c r="G138" s="49" t="s">
        <v>823</v>
      </c>
    </row>
    <row r="139" spans="1:8" x14ac:dyDescent="0.25">
      <c r="A139" s="31">
        <v>9</v>
      </c>
      <c r="B139" s="31">
        <v>5</v>
      </c>
      <c r="C139" s="31">
        <v>10</v>
      </c>
      <c r="D139" s="30">
        <f ca="1">OFFSET(Attributes!$A$1,MATCH(Legendary!$A139,Attributes!$A:$A,0)-1,MATCH("Type",Attributes!$1:$1,0)-1)</f>
        <v>1</v>
      </c>
      <c r="E139" s="30" t="str">
        <f ca="1">IFERROR(OFFSET(Attributes!$A$1,MATCH(Legendary!$A139,Attributes!$A:$A,0)-1,MATCH("Abbr",Attributes!$1:$1,0)-1),"")</f>
        <v>AP</v>
      </c>
      <c r="F139" s="37" t="str">
        <f ca="1">SUBSTITUTE(OFFSET(Attributes!$A$1,MATCH($A139,Attributes!$A:$A,0)-1,MATCH("Attr CN",Attributes!$1:$1,0)-1),"#",$B139&amp;"-"&amp;$C139*Relic!$B$1)</f>
        <v>+5-30攻击强度</v>
      </c>
      <c r="G139" s="49" t="str">
        <f ca="1">SUBSTITUTE(OFFSET(Attributes!$A$1,MATCH($A139,Attributes!$A:$A,0)-1,MATCH("Attr EN",Attributes!$1:$1,0)-1),"#",$B139&amp;"-"&amp;$C139*Relic!$B$1)</f>
        <v>+5-30 Attack power</v>
      </c>
    </row>
    <row r="140" spans="1:8" ht="28.5" x14ac:dyDescent="0.25">
      <c r="A140" s="31">
        <v>52</v>
      </c>
      <c r="B140" s="31">
        <v>26</v>
      </c>
      <c r="C140" s="31">
        <v>48</v>
      </c>
      <c r="D140" s="30">
        <f ca="1">OFFSET(Attributes!$A$1,MATCH(Legendary!$A140,Attributes!$A:$A,0)-1,MATCH("Type",Attributes!$1:$1,0)-1)</f>
        <v>2</v>
      </c>
      <c r="E140" s="30" t="str">
        <f ca="1">IFERROR(OFFSET(Attributes!$A$1,MATCH(Legendary!$A140,Attributes!$A:$A,0)-1,MATCH("Abbr",Attributes!$1:$1,0)-1),"")</f>
        <v>ATK_BLEED</v>
      </c>
      <c r="F140" s="35" t="s">
        <v>7</v>
      </c>
      <c r="G140" s="49" t="str">
        <f ca="1">SUBSTITUTE(OFFSET(Attributes!$A$1,MATCH($A140,Attributes!$A:$A,0)-1,MATCH("Attr EN",Attributes!$1:$1,0)-1),"#",$B140&amp;"-"&amp;$C140*Relic!$B$1)</f>
        <v>On Attack: 20% chance to deal 26-144 bleed damage</v>
      </c>
    </row>
    <row r="141" spans="1:8" ht="28.5" x14ac:dyDescent="0.25">
      <c r="A141" s="31">
        <v>55</v>
      </c>
      <c r="B141" s="31">
        <v>0.05</v>
      </c>
      <c r="C141" s="31">
        <v>0.1</v>
      </c>
      <c r="D141" s="30">
        <f ca="1">OFFSET(Attributes!$A$1,MATCH(Legendary!$A141,Attributes!$A:$A,0)-1,MATCH("Type",Attributes!$1:$1,0)-1)</f>
        <v>2</v>
      </c>
      <c r="E141" s="30" t="str">
        <f ca="1">IFERROR(OFFSET(Attributes!$A$1,MATCH(Legendary!$A141,Attributes!$A:$A,0)-1,MATCH("Abbr",Attributes!$1:$1,0)-1),"")</f>
        <v>ATK_CRIT</v>
      </c>
      <c r="F141" s="35" t="s">
        <v>8</v>
      </c>
      <c r="G141" s="49" t="str">
        <f ca="1">SUBSTITUTE(OFFSET(Attributes!$A$1,MATCH($A141,Attributes!$A:$A,0)-1,MATCH("Attr EN",Attributes!$1:$1,0)-1),"#",$B141&amp;"-"&amp;$C141*Relic!$B$1)</f>
        <v>On Attack: 0.05-0.3 chance to increase 100% attack critical chance</v>
      </c>
    </row>
    <row r="142" spans="1:8" x14ac:dyDescent="0.25">
      <c r="A142" s="31">
        <v>12</v>
      </c>
      <c r="B142" s="31">
        <v>3</v>
      </c>
      <c r="C142" s="31">
        <v>5</v>
      </c>
      <c r="D142" s="30">
        <f ca="1">OFFSET(Attributes!$A$1,MATCH(Legendary!$A142,Attributes!$A:$A,0)-1,MATCH("Type",Attributes!$1:$1,0)-1)</f>
        <v>1</v>
      </c>
      <c r="E142" s="30" t="str">
        <f ca="1">IFERROR(OFFSET(Attributes!$A$1,MATCH(Legendary!$A142,Attributes!$A:$A,0)-1,MATCH("Abbr",Attributes!$1:$1,0)-1),"")</f>
        <v>IAS</v>
      </c>
      <c r="F142" s="39" t="s">
        <v>818</v>
      </c>
      <c r="G142" s="49" t="str">
        <f ca="1">SUBSTITUTE(OFFSET(Attributes!$A$1,MATCH($A142,Attributes!$A:$A,0)-1,MATCH("Attr EN",Attributes!$1:$1,0)-1),"#",$B142&amp;"-"&amp;$C142*Relic!$B$1)</f>
        <v>+3-15% Attack speed</v>
      </c>
      <c r="H142" s="18" t="s">
        <v>861</v>
      </c>
    </row>
    <row r="143" spans="1:8" x14ac:dyDescent="0.25">
      <c r="A143" s="31">
        <v>97</v>
      </c>
      <c r="B143" s="31">
        <v>0</v>
      </c>
      <c r="C143" s="31">
        <v>0</v>
      </c>
      <c r="D143" s="30">
        <f ca="1">OFFSET(Attributes!$A$1,MATCH(Legendary!$A143,Attributes!$A:$A,0)-1,MATCH("Type",Attributes!$1:$1,0)-1)</f>
        <v>4</v>
      </c>
      <c r="E143" s="30" t="str">
        <f ca="1">IFERROR(OFFSET(Attributes!$A$1,MATCH(Legendary!$A143,Attributes!$A:$A,0)-1,MATCH("Abbr",Attributes!$1:$1,0)-1),"")</f>
        <v>SET_ARTHAS</v>
      </c>
      <c r="F143" s="39"/>
      <c r="G143" s="49" t="str">
        <f ca="1">SUBSTITUTE(OFFSET(Attributes!$A$1,MATCH($A143,Attributes!$A:$A,0)-1,MATCH("Attr EN",Attributes!$1:$1,0)-1),"#",$B143&amp;"-"&amp;$C143*Relic!$B$1)</f>
        <v>Arthas Corruption set</v>
      </c>
    </row>
    <row r="144" spans="1:8" x14ac:dyDescent="0.25">
      <c r="A144" s="31">
        <v>-11</v>
      </c>
      <c r="B144" s="31"/>
      <c r="C144" s="31"/>
      <c r="D144" s="31"/>
      <c r="E144" s="31"/>
      <c r="F144" s="38" t="s">
        <v>9</v>
      </c>
      <c r="G144" s="49" t="s">
        <v>827</v>
      </c>
    </row>
    <row r="145" spans="1:8" x14ac:dyDescent="0.25">
      <c r="A145" s="31"/>
      <c r="B145" s="31"/>
      <c r="C145" s="31"/>
      <c r="D145" s="31"/>
      <c r="E145" s="31"/>
      <c r="F145" s="34"/>
      <c r="G145" s="49"/>
    </row>
    <row r="146" spans="1:8" x14ac:dyDescent="0.25">
      <c r="A146" s="31">
        <v>-3</v>
      </c>
      <c r="B146" s="31"/>
      <c r="C146" s="31"/>
      <c r="D146" s="31"/>
      <c r="E146" s="31"/>
      <c r="F146" s="36" t="s">
        <v>10</v>
      </c>
      <c r="G146" s="49" t="s">
        <v>1050</v>
      </c>
    </row>
    <row r="147" spans="1:8" x14ac:dyDescent="0.25">
      <c r="A147" s="31">
        <v>4</v>
      </c>
      <c r="B147" s="31">
        <v>5</v>
      </c>
      <c r="C147" s="31">
        <v>10</v>
      </c>
      <c r="D147" s="30">
        <f ca="1">OFFSET(Attributes!$A$1,MATCH(Legendary!$A147,Attributes!$A:$A,0)-1,MATCH("Type",Attributes!$1:$1,0)-1)</f>
        <v>1</v>
      </c>
      <c r="E147" s="30" t="str">
        <f ca="1">IFERROR(OFFSET(Attributes!$A$1,MATCH(Legendary!$A147,Attributes!$A:$A,0)-1,MATCH("Abbr",Attributes!$1:$1,0)-1),"")</f>
        <v>STR</v>
      </c>
      <c r="F147" s="37" t="s">
        <v>266</v>
      </c>
      <c r="G147" s="49" t="str">
        <f ca="1">SUBSTITUTE(OFFSET(Attributes!$A$1,MATCH($A147,Attributes!$A:$A,0)-1,MATCH("Attr EN",Attributes!$1:$1,0)-1),"#",$B147&amp;"-"&amp;$C147*Relic!$B$1)</f>
        <v>+5-30 Strength</v>
      </c>
    </row>
    <row r="148" spans="1:8" x14ac:dyDescent="0.25">
      <c r="A148" s="31">
        <v>71</v>
      </c>
      <c r="B148" s="31">
        <v>7</v>
      </c>
      <c r="C148" s="31">
        <v>12</v>
      </c>
      <c r="D148" s="30">
        <f ca="1">OFFSET(Attributes!$A$1,MATCH(Legendary!$A148,Attributes!$A:$A,0)-1,MATCH("Type",Attributes!$1:$1,0)-1)</f>
        <v>2</v>
      </c>
      <c r="E148" s="30" t="str">
        <f ca="1">IFERROR(OFFSET(Attributes!$A$1,MATCH(Legendary!$A148,Attributes!$A:$A,0)-1,MATCH("Abbr",Attributes!$1:$1,0)-1),"")</f>
        <v>LEECHAURA</v>
      </c>
      <c r="F148" s="35" t="s">
        <v>11</v>
      </c>
      <c r="G148" s="49" t="str">
        <f ca="1">SUBSTITUTE(OFFSET(Attributes!$A$1,MATCH($A148,Attributes!$A:$A,0)-1,MATCH("Attr EN",Attributes!$1:$1,0)-1),"#",$B148&amp;"-"&amp;$C148*Relic!$B$1)</f>
        <v>Absorb 7-36 HP from all enemies nearby every second</v>
      </c>
    </row>
    <row r="149" spans="1:8" x14ac:dyDescent="0.25">
      <c r="A149" s="31">
        <v>43</v>
      </c>
      <c r="B149" s="31">
        <v>0.01</v>
      </c>
      <c r="C149" s="31">
        <v>2.5000000000000001E-2</v>
      </c>
      <c r="D149" s="30">
        <f ca="1">OFFSET(Attributes!$A$1,MATCH(Legendary!$A149,Attributes!$A:$A,0)-1,MATCH("Type",Attributes!$1:$1,0)-1)</f>
        <v>3</v>
      </c>
      <c r="E149" s="30" t="str">
        <f ca="1">IFERROR(OFFSET(Attributes!$A$1,MATCH(Legendary!$A149,Attributes!$A:$A,0)-1,MATCH("Abbr",Attributes!$1:$1,0)-1),"")</f>
        <v>ATK_ML</v>
      </c>
      <c r="F149" s="39" t="s">
        <v>819</v>
      </c>
      <c r="G149" s="49" t="str">
        <f ca="1">SUBSTITUTE(OFFSET(Attributes!$A$1,MATCH($A149,Attributes!$A:$A,0)-1,MATCH("Attr EN",Attributes!$1:$1,0)-1),"#",$B149&amp;"-"&amp;$C149*Relic!$B$1)</f>
        <v>+0.01-0.075 Mana stolen per hit</v>
      </c>
      <c r="H149" s="18" t="s">
        <v>859</v>
      </c>
    </row>
    <row r="150" spans="1:8" ht="28.5" x14ac:dyDescent="0.25">
      <c r="A150" s="31">
        <v>58</v>
      </c>
      <c r="B150" s="31">
        <v>24</v>
      </c>
      <c r="C150" s="31">
        <v>55</v>
      </c>
      <c r="D150" s="30">
        <f ca="1">OFFSET(Attributes!$A$1,MATCH(Legendary!$A150,Attributes!$A:$A,0)-1,MATCH("Type",Attributes!$1:$1,0)-1)</f>
        <v>3</v>
      </c>
      <c r="E150" s="30" t="str">
        <f ca="1">IFERROR(OFFSET(Attributes!$A$1,MATCH(Legendary!$A150,Attributes!$A:$A,0)-1,MATCH("Abbr",Attributes!$1:$1,0)-1),"")</f>
        <v>ATK_MDK</v>
      </c>
      <c r="F150" s="39" t="s">
        <v>820</v>
      </c>
      <c r="G150" s="49" t="str">
        <f ca="1">SUBSTITUTE(OFFSET(Attributes!$A$1,MATCH($A150,Attributes!$A:$A,0)-1,MATCH("Attr EN",Attributes!$1:$1,0)-1),"#",$B150&amp;"-"&amp;$C150*Relic!$B$1)</f>
        <v>Deals 24-165 extra magical damage per hit, scaled up by target HP lost</v>
      </c>
      <c r="H150" s="18" t="s">
        <v>860</v>
      </c>
    </row>
    <row r="151" spans="1:8" x14ac:dyDescent="0.25">
      <c r="A151" s="31">
        <v>97</v>
      </c>
      <c r="B151" s="31">
        <v>0</v>
      </c>
      <c r="C151" s="31">
        <v>0</v>
      </c>
      <c r="D151" s="30">
        <f ca="1">OFFSET(Attributes!$A$1,MATCH(Legendary!$A151,Attributes!$A:$A,0)-1,MATCH("Type",Attributes!$1:$1,0)-1)</f>
        <v>4</v>
      </c>
      <c r="E151" s="30" t="str">
        <f ca="1">IFERROR(OFFSET(Attributes!$A$1,MATCH(Legendary!$A151,Attributes!$A:$A,0)-1,MATCH("Abbr",Attributes!$1:$1,0)-1),"")</f>
        <v>SET_ARTHAS</v>
      </c>
      <c r="F151" s="39"/>
      <c r="G151" s="49" t="str">
        <f ca="1">SUBSTITUTE(OFFSET(Attributes!$A$1,MATCH($A151,Attributes!$A:$A,0)-1,MATCH("Attr EN",Attributes!$1:$1,0)-1),"#",$B151&amp;"-"&amp;$C151*Relic!$B$1)</f>
        <v>Arthas Corruption set</v>
      </c>
    </row>
    <row r="152" spans="1:8" x14ac:dyDescent="0.25">
      <c r="A152" s="31">
        <v>-11</v>
      </c>
      <c r="B152" s="31"/>
      <c r="C152" s="31"/>
      <c r="D152" s="31"/>
      <c r="E152" s="31"/>
      <c r="F152" s="38" t="s">
        <v>13</v>
      </c>
      <c r="G152" s="49" t="s">
        <v>828</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opLeftCell="A7" workbookViewId="0">
      <selection activeCell="A8" sqref="A8:H36"/>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824</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861</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859</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860</v>
      </c>
    </row>
    <row r="38" spans="1:8" x14ac:dyDescent="0.25">
      <c r="D38" s="30"/>
      <c r="E38" s="30"/>
      <c r="F38" s="39" t="s">
        <v>0</v>
      </c>
      <c r="G38" s="49" t="s">
        <v>1038</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859</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860</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1039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1004</v>
      </c>
      <c r="B1" s="104"/>
      <c r="C1" s="103" t="s">
        <v>1002</v>
      </c>
      <c r="D1" s="106" t="s">
        <v>1003</v>
      </c>
      <c r="E1" s="106" t="s">
        <v>1005</v>
      </c>
      <c r="F1" s="105"/>
      <c r="G1" s="105" t="s">
        <v>1020</v>
      </c>
      <c r="H1" s="105"/>
      <c r="I1" s="82" t="s">
        <v>863</v>
      </c>
      <c r="J1" s="82" t="s">
        <v>864</v>
      </c>
      <c r="K1" s="82" t="s">
        <v>865</v>
      </c>
      <c r="L1" s="82" t="s">
        <v>866</v>
      </c>
      <c r="M1" s="82" t="s">
        <v>867</v>
      </c>
      <c r="N1" s="82" t="s">
        <v>868</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1006</v>
      </c>
      <c r="D4" s="99" t="s">
        <v>101</v>
      </c>
      <c r="E4" s="99" t="s">
        <v>1014</v>
      </c>
      <c r="F4" s="90" t="s">
        <v>102</v>
      </c>
      <c r="G4" s="90"/>
      <c r="H4" s="90"/>
      <c r="I4" s="101" t="s">
        <v>1021</v>
      </c>
      <c r="J4" s="102" t="s">
        <v>1022</v>
      </c>
      <c r="K4" s="102" t="s">
        <v>874</v>
      </c>
      <c r="L4" s="102" t="s">
        <v>875</v>
      </c>
      <c r="M4" s="102" t="str">
        <f>C4</f>
        <v>Scroll of Frenzy</v>
      </c>
      <c r="N4" s="102" t="s">
        <v>1023</v>
      </c>
    </row>
    <row r="5" spans="1:14" s="102" customFormat="1" x14ac:dyDescent="0.25">
      <c r="A5" s="99" t="s">
        <v>103</v>
      </c>
      <c r="B5" s="100">
        <v>2</v>
      </c>
      <c r="C5" s="99" t="s">
        <v>1007</v>
      </c>
      <c r="D5" s="99" t="s">
        <v>104</v>
      </c>
      <c r="E5" s="99" t="s">
        <v>1013</v>
      </c>
      <c r="F5" s="90" t="s">
        <v>105</v>
      </c>
      <c r="G5" s="90"/>
      <c r="H5" s="90"/>
      <c r="I5" s="101" t="s">
        <v>1024</v>
      </c>
      <c r="J5" s="102" t="s">
        <v>1025</v>
      </c>
      <c r="K5" s="102" t="s">
        <v>874</v>
      </c>
      <c r="L5" s="102" t="s">
        <v>875</v>
      </c>
      <c r="M5" s="102" t="str">
        <f>C5</f>
        <v>Scroll of Protection</v>
      </c>
      <c r="N5" s="102" t="s">
        <v>1026</v>
      </c>
    </row>
    <row r="6" spans="1:14" s="102" customFormat="1" x14ac:dyDescent="0.25">
      <c r="A6" s="99" t="s">
        <v>106</v>
      </c>
      <c r="B6" s="100">
        <v>2</v>
      </c>
      <c r="C6" s="99" t="s">
        <v>1008</v>
      </c>
      <c r="D6" s="99" t="s">
        <v>107</v>
      </c>
      <c r="E6" s="99" t="s">
        <v>1015</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1009</v>
      </c>
      <c r="D12" s="99" t="s">
        <v>127</v>
      </c>
      <c r="E12" s="99" t="s">
        <v>1016</v>
      </c>
      <c r="F12" s="90" t="s">
        <v>128</v>
      </c>
      <c r="G12" s="90"/>
      <c r="H12" s="93" t="s">
        <v>129</v>
      </c>
      <c r="I12" s="101" t="s">
        <v>1027</v>
      </c>
      <c r="J12" s="102" t="s">
        <v>1028</v>
      </c>
      <c r="K12" s="102" t="s">
        <v>874</v>
      </c>
      <c r="L12" s="102" t="s">
        <v>874</v>
      </c>
      <c r="M12" s="102" t="s">
        <v>1029</v>
      </c>
      <c r="N12" s="102" t="s">
        <v>1030</v>
      </c>
    </row>
    <row r="13" spans="1:14" s="102" customFormat="1" x14ac:dyDescent="0.25">
      <c r="A13" s="99" t="s">
        <v>130</v>
      </c>
      <c r="B13" s="100">
        <v>2</v>
      </c>
      <c r="C13" s="99" t="s">
        <v>1010</v>
      </c>
      <c r="D13" s="99" t="s">
        <v>131</v>
      </c>
      <c r="E13" s="99" t="s">
        <v>1017</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1011</v>
      </c>
      <c r="D36" s="99" t="s">
        <v>181</v>
      </c>
      <c r="E36" s="99" t="s">
        <v>1018</v>
      </c>
      <c r="F36" s="90" t="s">
        <v>253</v>
      </c>
      <c r="G36" s="90"/>
      <c r="H36" s="90"/>
      <c r="I36" s="101" t="s">
        <v>1031</v>
      </c>
      <c r="J36" s="102" t="s">
        <v>1032</v>
      </c>
      <c r="K36" s="102" t="s">
        <v>874</v>
      </c>
      <c r="L36" s="102" t="s">
        <v>875</v>
      </c>
      <c r="M36" s="102" t="str">
        <f>C36</f>
        <v>Potion of Invulnerability</v>
      </c>
      <c r="N36" s="102" t="s">
        <v>1026</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1012</v>
      </c>
      <c r="D59" s="99" t="s">
        <v>234</v>
      </c>
      <c r="E59" s="99" t="s">
        <v>1019</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1" t="s">
        <v>522</v>
      </c>
      <c r="B1" s="111"/>
      <c r="C1" s="111"/>
      <c r="D1" s="111"/>
      <c r="E1" s="111"/>
      <c r="F1" s="111"/>
      <c r="G1" s="111"/>
      <c r="H1" s="111"/>
      <c r="I1" s="111"/>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2018-08-12T16:53:33Z</dcterms:modified>
</cp:coreProperties>
</file>