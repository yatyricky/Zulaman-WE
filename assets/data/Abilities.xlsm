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5250AA3D-D42F-4B9D-8331-C726EAA855E8}" xr6:coauthVersionLast="33" xr6:coauthVersionMax="34" xr10:uidLastSave="{00000000-0000-0000-0000-000000000000}"/>
  <bookViews>
    <workbookView xWindow="0" yWindow="0" windowWidth="28800" windowHeight="12225" activeTab="5"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K213" i="10" l="1"/>
  <c r="L213" i="10"/>
  <c r="B213" i="10"/>
  <c r="B214" i="10"/>
  <c r="L214" i="10" s="1"/>
  <c r="K214" i="10" l="1"/>
  <c r="B212" i="10"/>
  <c r="L212" i="10" s="1"/>
  <c r="K212" i="10" l="1"/>
  <c r="W60" i="11"/>
  <c r="R60" i="11"/>
  <c r="T60" i="11" s="1"/>
  <c r="Q60" i="11"/>
  <c r="S60" i="11" s="1"/>
  <c r="P60" i="11"/>
  <c r="B19" i="10"/>
  <c r="B8" i="10"/>
  <c r="L8" i="10" s="1"/>
  <c r="W58"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2" i="10"/>
  <c r="I138" i="10"/>
  <c r="I139" i="10"/>
  <c r="I140" i="10"/>
  <c r="I141" i="10"/>
  <c r="I137" i="10"/>
  <c r="G142" i="10"/>
  <c r="G138" i="10"/>
  <c r="G139" i="10"/>
  <c r="G140" i="10"/>
  <c r="G141" i="10"/>
  <c r="G137" i="10"/>
  <c r="F142" i="10"/>
  <c r="F141" i="10"/>
  <c r="F140" i="10"/>
  <c r="F139" i="10"/>
  <c r="F138" i="10"/>
  <c r="F137" i="10"/>
  <c r="D142" i="10"/>
  <c r="D141" i="10"/>
  <c r="D140" i="10"/>
  <c r="D139" i="10"/>
  <c r="D138" i="10"/>
  <c r="D137" i="10"/>
  <c r="B137" i="10"/>
  <c r="B138" i="10"/>
  <c r="B139" i="10"/>
  <c r="B140" i="10"/>
  <c r="B141" i="10"/>
  <c r="B142" i="10"/>
  <c r="L139" i="10" l="1"/>
  <c r="K137" i="10"/>
  <c r="K138" i="10"/>
  <c r="K139" i="10"/>
  <c r="K142" i="10"/>
  <c r="L141" i="10"/>
  <c r="K140" i="10"/>
  <c r="K141" i="10"/>
  <c r="L142" i="10"/>
  <c r="L140" i="10"/>
  <c r="L138" i="10"/>
  <c r="L137" i="10"/>
  <c r="B211" i="10"/>
  <c r="K211" i="10" s="1"/>
  <c r="B210" i="10"/>
  <c r="K210" i="10" s="1"/>
  <c r="L210" i="10" l="1"/>
  <c r="L211" i="10"/>
  <c r="D2" i="4"/>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B110" i="10" l="1"/>
  <c r="L110" i="10" s="1"/>
  <c r="B109" i="10"/>
  <c r="K109" i="10" s="1"/>
  <c r="B108" i="10"/>
  <c r="K108" i="10" s="1"/>
  <c r="B107" i="10"/>
  <c r="K107" i="10" s="1"/>
  <c r="B106" i="10"/>
  <c r="L106" i="10" s="1"/>
  <c r="W38" i="11"/>
  <c r="W39" i="11"/>
  <c r="R39" i="11"/>
  <c r="T39" i="11" s="1"/>
  <c r="Q39" i="11"/>
  <c r="S39" i="11" s="1"/>
  <c r="P39" i="11"/>
  <c r="R38" i="11"/>
  <c r="T38" i="11" s="1"/>
  <c r="Q38" i="11"/>
  <c r="S38" i="11" s="1"/>
  <c r="P38" i="11"/>
  <c r="K110" i="10" l="1"/>
  <c r="L109" i="10"/>
  <c r="K106" i="10"/>
  <c r="L108" i="10"/>
  <c r="L107" i="10"/>
  <c r="B198" i="10"/>
  <c r="K198" i="10" s="1"/>
  <c r="B205" i="10"/>
  <c r="K205" i="10" s="1"/>
  <c r="L205" i="10" l="1"/>
  <c r="L198" i="10"/>
  <c r="B196" i="10"/>
  <c r="L196" i="10" s="1"/>
  <c r="K196" i="10" l="1"/>
  <c r="B4" i="10"/>
  <c r="L4" i="10" s="1"/>
  <c r="K4" i="10" l="1"/>
  <c r="W86" i="11"/>
  <c r="R86" i="11"/>
  <c r="T86" i="11" s="1"/>
  <c r="Q86" i="11"/>
  <c r="S86" i="11" s="1"/>
  <c r="P86" i="11"/>
  <c r="W83" i="11"/>
  <c r="R83" i="11"/>
  <c r="T83" i="11"/>
  <c r="Q83" i="11"/>
  <c r="S83" i="11" s="1"/>
  <c r="P83" i="11"/>
  <c r="R82" i="11"/>
  <c r="T82" i="11" s="1"/>
  <c r="Q82" i="11"/>
  <c r="S82" i="11" s="1"/>
  <c r="P82" i="11"/>
  <c r="W82" i="11" s="1"/>
  <c r="W2" i="11"/>
  <c r="R2" i="11"/>
  <c r="T2" i="11" s="1"/>
  <c r="Q2" i="11"/>
  <c r="S2" i="11" s="1"/>
  <c r="P2" i="11"/>
  <c r="K195" i="10" l="1"/>
  <c r="L195" i="10"/>
  <c r="C164" i="10" l="1"/>
  <c r="D164" i="10"/>
  <c r="E164" i="10"/>
  <c r="F164" i="10"/>
  <c r="G164" i="10"/>
  <c r="B164" i="10"/>
  <c r="C167" i="10"/>
  <c r="D167" i="10"/>
  <c r="E167" i="10"/>
  <c r="F167" i="10"/>
  <c r="G167" i="10"/>
  <c r="C168" i="10"/>
  <c r="D168" i="10"/>
  <c r="E168" i="10"/>
  <c r="F168" i="10"/>
  <c r="G168" i="10"/>
  <c r="B168" i="10"/>
  <c r="B167" i="10"/>
  <c r="D155" i="10"/>
  <c r="E155" i="10"/>
  <c r="F155" i="10"/>
  <c r="G155" i="10"/>
  <c r="C155" i="10"/>
  <c r="B155" i="10"/>
  <c r="P70" i="11"/>
  <c r="R70" i="11"/>
  <c r="T70" i="11" s="1"/>
  <c r="Q70" i="11"/>
  <c r="S70" i="11" s="1"/>
  <c r="R61" i="11"/>
  <c r="T61" i="11" s="1"/>
  <c r="Q61" i="11"/>
  <c r="S61" i="11" s="1"/>
  <c r="P61" i="11"/>
  <c r="W61" i="11" s="1"/>
  <c r="L164" i="10" l="1"/>
  <c r="W70" i="11"/>
  <c r="K164" i="10"/>
  <c r="K168" i="10"/>
  <c r="L168" i="10"/>
  <c r="L167" i="10"/>
  <c r="K167" i="10"/>
  <c r="K155" i="10"/>
  <c r="L155" i="10"/>
  <c r="R14" i="3"/>
  <c r="Y41" i="3"/>
  <c r="Y39" i="3"/>
  <c r="AA22" i="3"/>
  <c r="Y11" i="3"/>
  <c r="AA26" i="3"/>
  <c r="AA32" i="3"/>
  <c r="AA34" i="3"/>
  <c r="AA5" i="3"/>
  <c r="Y55" i="3"/>
  <c r="AA53" i="3"/>
  <c r="Y44" i="3"/>
  <c r="Y5" i="3"/>
  <c r="X14" i="3"/>
  <c r="AA17" i="3"/>
  <c r="Z14" i="3"/>
  <c r="AA12" i="3"/>
  <c r="Y37" i="3"/>
  <c r="AA2" i="3"/>
  <c r="AA14" i="3"/>
  <c r="Y19" i="3"/>
  <c r="AA9" i="3"/>
  <c r="AA52" i="3"/>
  <c r="AA46" i="3"/>
  <c r="AA51" i="3"/>
  <c r="AA49" i="3"/>
  <c r="AA28" i="3"/>
  <c r="Y15" i="3"/>
  <c r="Y51" i="3"/>
  <c r="Y4" i="3"/>
  <c r="AA48" i="3"/>
  <c r="Y17" i="3"/>
  <c r="Y22" i="3"/>
  <c r="Y2" i="3"/>
  <c r="Y28" i="3"/>
  <c r="AA39" i="3"/>
  <c r="Y36" i="3"/>
  <c r="AA23" i="3"/>
  <c r="Y20" i="3"/>
  <c r="Y42" i="3"/>
  <c r="AA42" i="3"/>
  <c r="Y29" i="3"/>
  <c r="Y47" i="3"/>
  <c r="AA11" i="3"/>
  <c r="Y12" i="3"/>
  <c r="Y23" i="3"/>
  <c r="AA16" i="3"/>
  <c r="AA4" i="3"/>
  <c r="AA40" i="3"/>
  <c r="AA50" i="3"/>
  <c r="Y16" i="3"/>
  <c r="AA35" i="3"/>
  <c r="Y32" i="3"/>
  <c r="AA7" i="3"/>
  <c r="AA18" i="3"/>
  <c r="Y18" i="3"/>
  <c r="AA8" i="3"/>
  <c r="Y33" i="3"/>
  <c r="Y43" i="3"/>
  <c r="Y35" i="3"/>
  <c r="Y40" i="3"/>
  <c r="Y7" i="3"/>
  <c r="AA47" i="3"/>
  <c r="AA29" i="3"/>
  <c r="Y38" i="3"/>
  <c r="Y45" i="3"/>
  <c r="Y56" i="3"/>
  <c r="Y21" i="3"/>
  <c r="Y52" i="3"/>
  <c r="Y6" i="3"/>
  <c r="Y49" i="3"/>
  <c r="AA25" i="3"/>
  <c r="AA37" i="3"/>
  <c r="Y31" i="3"/>
  <c r="AA30" i="3"/>
  <c r="AA33" i="3"/>
  <c r="AA10" i="3"/>
  <c r="Y8" i="3"/>
  <c r="Y34" i="3"/>
  <c r="Y48" i="3"/>
  <c r="AA6" i="3"/>
  <c r="AA41" i="3"/>
  <c r="AA3" i="3"/>
  <c r="AA38" i="3"/>
  <c r="AA54" i="3"/>
  <c r="AA15" i="3"/>
  <c r="AA13" i="3"/>
  <c r="Y46" i="3"/>
  <c r="Y30" i="3"/>
  <c r="AA20" i="3"/>
  <c r="Y53" i="3"/>
  <c r="X26" i="3"/>
  <c r="AA56" i="3"/>
  <c r="Y54" i="3"/>
  <c r="Y25" i="3"/>
  <c r="AA19" i="3"/>
  <c r="AA45" i="3"/>
  <c r="Y26" i="3"/>
  <c r="Y13" i="3"/>
  <c r="Y10" i="3"/>
  <c r="Y14" i="3"/>
  <c r="Y9" i="3"/>
  <c r="AA36" i="3"/>
  <c r="Y3" i="3"/>
  <c r="AA44" i="3"/>
  <c r="Y50" i="3"/>
  <c r="AA21" i="3"/>
  <c r="W14" i="3"/>
  <c r="AA55" i="3"/>
  <c r="AA43" i="3"/>
  <c r="AA31" i="3"/>
  <c r="F192" i="10" l="1"/>
  <c r="L33" i="10"/>
  <c r="B222" i="10"/>
  <c r="B223" i="10"/>
  <c r="L223" i="10" s="1"/>
  <c r="B224" i="10"/>
  <c r="B225" i="10"/>
  <c r="L225" i="10" s="1"/>
  <c r="B226" i="10"/>
  <c r="L226" i="10" s="1"/>
  <c r="B227" i="10"/>
  <c r="L227" i="10" s="1"/>
  <c r="B228" i="10"/>
  <c r="L228" i="10" s="1"/>
  <c r="B229" i="10"/>
  <c r="L229" i="10" s="1"/>
  <c r="B230" i="10"/>
  <c r="B231" i="10"/>
  <c r="L231" i="10" s="1"/>
  <c r="B232" i="10"/>
  <c r="B233" i="10"/>
  <c r="B234" i="10"/>
  <c r="L234" i="10" s="1"/>
  <c r="B235" i="10"/>
  <c r="L235" i="10" s="1"/>
  <c r="B236" i="10"/>
  <c r="L236" i="10" s="1"/>
  <c r="B237" i="10"/>
  <c r="L237" i="10" s="1"/>
  <c r="B238" i="10"/>
  <c r="B239" i="10"/>
  <c r="L239" i="10" s="1"/>
  <c r="B240" i="10"/>
  <c r="B241" i="10"/>
  <c r="L241" i="10" s="1"/>
  <c r="B242" i="10"/>
  <c r="L242" i="10" s="1"/>
  <c r="B243" i="10"/>
  <c r="L243" i="10" s="1"/>
  <c r="B244" i="10"/>
  <c r="L244" i="10" s="1"/>
  <c r="B245" i="10"/>
  <c r="L245" i="10" s="1"/>
  <c r="B246" i="10"/>
  <c r="L246" i="10" s="1"/>
  <c r="B247" i="10"/>
  <c r="L247" i="10" s="1"/>
  <c r="B248" i="10"/>
  <c r="B249" i="10"/>
  <c r="B250" i="10"/>
  <c r="L250" i="10" s="1"/>
  <c r="B251" i="10"/>
  <c r="L251" i="10" s="1"/>
  <c r="B252" i="10"/>
  <c r="L252" i="10" s="1"/>
  <c r="B253" i="10"/>
  <c r="L253" i="10" s="1"/>
  <c r="B254" i="10"/>
  <c r="B255" i="10"/>
  <c r="L255" i="10" s="1"/>
  <c r="B256" i="10"/>
  <c r="B257" i="10"/>
  <c r="B258" i="10"/>
  <c r="L258" i="10" s="1"/>
  <c r="B259" i="10"/>
  <c r="L259" i="10" s="1"/>
  <c r="B260" i="10"/>
  <c r="L260" i="10" s="1"/>
  <c r="B261" i="10"/>
  <c r="L261" i="10" s="1"/>
  <c r="B262" i="10"/>
  <c r="B263" i="10"/>
  <c r="L263" i="10" s="1"/>
  <c r="B264" i="10"/>
  <c r="B265" i="10"/>
  <c r="L265" i="10" s="1"/>
  <c r="B193" i="10"/>
  <c r="B194" i="10"/>
  <c r="L194" i="10" s="1"/>
  <c r="B197" i="10"/>
  <c r="L197" i="10" s="1"/>
  <c r="B199" i="10"/>
  <c r="L199" i="10" s="1"/>
  <c r="B200" i="10"/>
  <c r="B201" i="10"/>
  <c r="L201" i="10" s="1"/>
  <c r="B202" i="10"/>
  <c r="L202" i="10" s="1"/>
  <c r="B203" i="10"/>
  <c r="B204" i="10"/>
  <c r="B206" i="10"/>
  <c r="L206" i="10" s="1"/>
  <c r="B207" i="10"/>
  <c r="L207" i="10" s="1"/>
  <c r="B208" i="10"/>
  <c r="L208" i="10" s="1"/>
  <c r="B209" i="10"/>
  <c r="B215" i="10"/>
  <c r="L215" i="10" s="1"/>
  <c r="B216" i="10"/>
  <c r="B217" i="10"/>
  <c r="B218" i="10"/>
  <c r="L218" i="10" s="1"/>
  <c r="B219" i="10"/>
  <c r="L219" i="10" s="1"/>
  <c r="B220" i="10"/>
  <c r="L220" i="10" s="1"/>
  <c r="B221"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78" i="10"/>
  <c r="L82" i="10"/>
  <c r="L83" i="10"/>
  <c r="L85" i="10"/>
  <c r="L90" i="10"/>
  <c r="L94" i="10"/>
  <c r="L98" i="10"/>
  <c r="L102" i="10"/>
  <c r="L103" i="10"/>
  <c r="L112" i="10"/>
  <c r="L128" i="10"/>
  <c r="L193" i="10"/>
  <c r="L200" i="10"/>
  <c r="L203" i="10"/>
  <c r="L204" i="10"/>
  <c r="L209" i="10"/>
  <c r="L216" i="10"/>
  <c r="L217" i="10"/>
  <c r="L221" i="10"/>
  <c r="L222" i="10"/>
  <c r="L224" i="10"/>
  <c r="L230" i="10"/>
  <c r="L232" i="10"/>
  <c r="L233" i="10"/>
  <c r="L238" i="10"/>
  <c r="L240" i="10"/>
  <c r="L248" i="10"/>
  <c r="L249" i="10"/>
  <c r="L254" i="10"/>
  <c r="L256" i="10"/>
  <c r="L257" i="10"/>
  <c r="L262" i="10"/>
  <c r="L264" i="10"/>
  <c r="L2" i="10"/>
  <c r="G163" i="10" l="1"/>
  <c r="F163" i="10"/>
  <c r="E163" i="10"/>
  <c r="D163" i="10"/>
  <c r="C163" i="10"/>
  <c r="B163" i="10"/>
  <c r="R66" i="11"/>
  <c r="T66" i="11" s="1"/>
  <c r="Q66" i="11"/>
  <c r="S66" i="11" s="1"/>
  <c r="P66" i="11"/>
  <c r="W66" i="11" l="1"/>
  <c r="L163" i="10"/>
  <c r="K163" i="10"/>
  <c r="B186" i="10"/>
  <c r="W81" i="11"/>
  <c r="P81" i="11"/>
  <c r="R81" i="11"/>
  <c r="T81" i="11" s="1"/>
  <c r="Q81" i="11"/>
  <c r="S81" i="11" s="1"/>
  <c r="W80" i="11"/>
  <c r="P80" i="11"/>
  <c r="R80" i="11"/>
  <c r="T80" i="11" s="1"/>
  <c r="Q80" i="11"/>
  <c r="S80" i="11" s="1"/>
  <c r="K186" i="10" l="1"/>
  <c r="L186" i="10"/>
  <c r="P79" i="11"/>
  <c r="W79" i="11" s="1"/>
  <c r="R79" i="11"/>
  <c r="T79" i="11" s="1"/>
  <c r="Q79" i="11"/>
  <c r="S79" i="11" s="1"/>
  <c r="W77" i="11"/>
  <c r="P77" i="11"/>
  <c r="R77" i="11"/>
  <c r="T77" i="11" s="1"/>
  <c r="Q77" i="11"/>
  <c r="S77" i="11" s="1"/>
  <c r="R76" i="11"/>
  <c r="T76" i="11" s="1"/>
  <c r="Q76" i="11"/>
  <c r="S76" i="11" s="1"/>
  <c r="P76" i="11"/>
  <c r="W76" i="11" s="1"/>
  <c r="W75" i="11" l="1"/>
  <c r="R75" i="11"/>
  <c r="T75" i="11" s="1"/>
  <c r="Q75" i="11"/>
  <c r="S75" i="11" s="1"/>
  <c r="P75" i="11"/>
  <c r="R74" i="11" l="1"/>
  <c r="T74" i="11" s="1"/>
  <c r="Q74" i="11"/>
  <c r="S74" i="11" s="1"/>
  <c r="P74" i="11"/>
  <c r="W74" i="11" s="1"/>
  <c r="P85" i="11"/>
  <c r="R85" i="11" l="1"/>
  <c r="T85" i="11" s="1"/>
  <c r="Q85" i="11"/>
  <c r="W85" i="11" s="1"/>
  <c r="S85" i="11" s="1"/>
  <c r="G144" i="10"/>
  <c r="G145" i="10"/>
  <c r="G146" i="10"/>
  <c r="G147" i="10"/>
  <c r="G148" i="10"/>
  <c r="G149" i="10"/>
  <c r="G150" i="10"/>
  <c r="G151" i="10"/>
  <c r="G152" i="10"/>
  <c r="G153" i="10"/>
  <c r="G154" i="10"/>
  <c r="G156" i="10"/>
  <c r="G157" i="10"/>
  <c r="G158" i="10"/>
  <c r="G159" i="10"/>
  <c r="G160" i="10"/>
  <c r="G161" i="10"/>
  <c r="G162" i="10"/>
  <c r="G165" i="10"/>
  <c r="G166" i="10"/>
  <c r="G169" i="10"/>
  <c r="G170" i="10"/>
  <c r="G171" i="10"/>
  <c r="G172" i="10"/>
  <c r="G173" i="10"/>
  <c r="G174" i="10"/>
  <c r="G175" i="10"/>
  <c r="G176" i="10"/>
  <c r="G177" i="10"/>
  <c r="G178" i="10"/>
  <c r="G179" i="10"/>
  <c r="G180" i="10"/>
  <c r="G181" i="10"/>
  <c r="G182" i="10"/>
  <c r="G183" i="10"/>
  <c r="G184" i="10"/>
  <c r="G185" i="10"/>
  <c r="G187" i="10"/>
  <c r="G188" i="10"/>
  <c r="G189" i="10"/>
  <c r="G190" i="10"/>
  <c r="G191" i="10"/>
  <c r="G192" i="10"/>
  <c r="G143" i="10"/>
  <c r="F144" i="10"/>
  <c r="F145" i="10"/>
  <c r="F146" i="10"/>
  <c r="F147" i="10"/>
  <c r="F148" i="10"/>
  <c r="F149" i="10"/>
  <c r="F150" i="10"/>
  <c r="F151" i="10"/>
  <c r="F152" i="10"/>
  <c r="F153" i="10"/>
  <c r="F154" i="10"/>
  <c r="F156" i="10"/>
  <c r="F157" i="10"/>
  <c r="F158" i="10"/>
  <c r="F159" i="10"/>
  <c r="F160" i="10"/>
  <c r="F161" i="10"/>
  <c r="F162" i="10"/>
  <c r="F165" i="10"/>
  <c r="F166" i="10"/>
  <c r="F169" i="10"/>
  <c r="F170" i="10"/>
  <c r="F171" i="10"/>
  <c r="F172" i="10"/>
  <c r="F173" i="10"/>
  <c r="F174" i="10"/>
  <c r="F175" i="10"/>
  <c r="F176" i="10"/>
  <c r="F177" i="10"/>
  <c r="F178" i="10"/>
  <c r="F179" i="10"/>
  <c r="F180" i="10"/>
  <c r="F181" i="10"/>
  <c r="F182" i="10"/>
  <c r="F183" i="10"/>
  <c r="F184" i="10"/>
  <c r="F185" i="10"/>
  <c r="F187" i="10"/>
  <c r="F188" i="10"/>
  <c r="F189" i="10"/>
  <c r="F190" i="10"/>
  <c r="F191" i="10"/>
  <c r="F143" i="10"/>
  <c r="E144" i="10"/>
  <c r="E145" i="10"/>
  <c r="E146" i="10"/>
  <c r="E147" i="10"/>
  <c r="E148" i="10"/>
  <c r="E149" i="10"/>
  <c r="E150" i="10"/>
  <c r="E151" i="10"/>
  <c r="E152" i="10"/>
  <c r="E153" i="10"/>
  <c r="E154" i="10"/>
  <c r="E156" i="10"/>
  <c r="E157" i="10"/>
  <c r="E158" i="10"/>
  <c r="E159" i="10"/>
  <c r="E160" i="10"/>
  <c r="E161" i="10"/>
  <c r="E162" i="10"/>
  <c r="E165" i="10"/>
  <c r="E166" i="10"/>
  <c r="E169" i="10"/>
  <c r="E170" i="10"/>
  <c r="E171" i="10"/>
  <c r="E172" i="10"/>
  <c r="E173" i="10"/>
  <c r="E174" i="10"/>
  <c r="E175" i="10"/>
  <c r="E176" i="10"/>
  <c r="E177" i="10"/>
  <c r="E178" i="10"/>
  <c r="E179" i="10"/>
  <c r="E180" i="10"/>
  <c r="E181" i="10"/>
  <c r="E182" i="10"/>
  <c r="E183" i="10"/>
  <c r="E184" i="10"/>
  <c r="E185" i="10"/>
  <c r="E187" i="10"/>
  <c r="E188" i="10"/>
  <c r="E189" i="10"/>
  <c r="E190" i="10"/>
  <c r="E191" i="10"/>
  <c r="E192" i="10"/>
  <c r="E143" i="10"/>
  <c r="D144" i="10"/>
  <c r="D145" i="10"/>
  <c r="D146" i="10"/>
  <c r="D147" i="10"/>
  <c r="D148" i="10"/>
  <c r="D149" i="10"/>
  <c r="D150" i="10"/>
  <c r="D151" i="10"/>
  <c r="D152" i="10"/>
  <c r="D153" i="10"/>
  <c r="D154" i="10"/>
  <c r="D156" i="10"/>
  <c r="D157" i="10"/>
  <c r="D158" i="10"/>
  <c r="D159" i="10"/>
  <c r="D160" i="10"/>
  <c r="D161" i="10"/>
  <c r="D162" i="10"/>
  <c r="D165" i="10"/>
  <c r="D166" i="10"/>
  <c r="D169" i="10"/>
  <c r="D170" i="10"/>
  <c r="D171" i="10"/>
  <c r="D172" i="10"/>
  <c r="D173" i="10"/>
  <c r="D174" i="10"/>
  <c r="D175" i="10"/>
  <c r="D176" i="10"/>
  <c r="D177" i="10"/>
  <c r="D178" i="10"/>
  <c r="D179" i="10"/>
  <c r="D180" i="10"/>
  <c r="D181" i="10"/>
  <c r="D182" i="10"/>
  <c r="D183" i="10"/>
  <c r="D184" i="10"/>
  <c r="D185" i="10"/>
  <c r="D187" i="10"/>
  <c r="D188" i="10"/>
  <c r="D189" i="10"/>
  <c r="D190" i="10"/>
  <c r="D191" i="10"/>
  <c r="D192" i="10"/>
  <c r="D143" i="10"/>
  <c r="C144" i="10"/>
  <c r="C145" i="10"/>
  <c r="C146" i="10"/>
  <c r="C147" i="10"/>
  <c r="C148" i="10"/>
  <c r="C149" i="10"/>
  <c r="C150" i="10"/>
  <c r="C151" i="10"/>
  <c r="C152" i="10"/>
  <c r="C153" i="10"/>
  <c r="C154" i="10"/>
  <c r="C156" i="10"/>
  <c r="C157" i="10"/>
  <c r="C158" i="10"/>
  <c r="C159" i="10"/>
  <c r="C160" i="10"/>
  <c r="C161" i="10"/>
  <c r="C162" i="10"/>
  <c r="C165" i="10"/>
  <c r="C166" i="10"/>
  <c r="C169" i="10"/>
  <c r="C170" i="10"/>
  <c r="C171" i="10"/>
  <c r="C172" i="10"/>
  <c r="C173" i="10"/>
  <c r="C174" i="10"/>
  <c r="C175" i="10"/>
  <c r="C176" i="10"/>
  <c r="C177" i="10"/>
  <c r="C178" i="10"/>
  <c r="C179" i="10"/>
  <c r="C180" i="10"/>
  <c r="C181" i="10"/>
  <c r="C182" i="10"/>
  <c r="C183" i="10"/>
  <c r="C184" i="10"/>
  <c r="C185" i="10"/>
  <c r="C187" i="10"/>
  <c r="C188" i="10"/>
  <c r="C189" i="10"/>
  <c r="C190" i="10"/>
  <c r="C191" i="10"/>
  <c r="C192" i="10"/>
  <c r="C143" i="10"/>
  <c r="B145" i="10"/>
  <c r="B146" i="10"/>
  <c r="B147" i="10"/>
  <c r="B148" i="10"/>
  <c r="B149" i="10"/>
  <c r="B150" i="10"/>
  <c r="B151" i="10"/>
  <c r="B152" i="10"/>
  <c r="B153" i="10"/>
  <c r="B154" i="10"/>
  <c r="B156" i="10"/>
  <c r="B157" i="10"/>
  <c r="B158" i="10"/>
  <c r="B159" i="10"/>
  <c r="B160" i="10"/>
  <c r="B161" i="10"/>
  <c r="B162" i="10"/>
  <c r="B165" i="10"/>
  <c r="B166" i="10"/>
  <c r="B169" i="10"/>
  <c r="B170" i="10"/>
  <c r="B171" i="10"/>
  <c r="B172" i="10"/>
  <c r="B173" i="10"/>
  <c r="B174" i="10"/>
  <c r="B175" i="10"/>
  <c r="B176" i="10"/>
  <c r="B177" i="10"/>
  <c r="B178" i="10"/>
  <c r="B179" i="10"/>
  <c r="B180" i="10"/>
  <c r="B181" i="10"/>
  <c r="B182" i="10"/>
  <c r="B183" i="10"/>
  <c r="B184" i="10"/>
  <c r="B185" i="10"/>
  <c r="B187" i="10"/>
  <c r="B188" i="10"/>
  <c r="B189" i="10"/>
  <c r="B190" i="10"/>
  <c r="B191" i="10"/>
  <c r="B192" i="10"/>
  <c r="B143" i="10"/>
  <c r="B144" i="10"/>
  <c r="Q84" i="11"/>
  <c r="P84" i="11" s="1"/>
  <c r="R84"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R55" i="11"/>
  <c r="T55" i="11" s="1"/>
  <c r="P56" i="11"/>
  <c r="Q56" i="11"/>
  <c r="S56" i="11" s="1"/>
  <c r="R56" i="11"/>
  <c r="T56" i="11" s="1"/>
  <c r="P57" i="11"/>
  <c r="Q57" i="11"/>
  <c r="S57" i="11" s="1"/>
  <c r="R57" i="11"/>
  <c r="T57" i="11" s="1"/>
  <c r="P59" i="11"/>
  <c r="Q59" i="11"/>
  <c r="S59" i="11" s="1"/>
  <c r="R59" i="11"/>
  <c r="T59" i="11" s="1"/>
  <c r="P62" i="11"/>
  <c r="Q62" i="11"/>
  <c r="S62" i="11" s="1"/>
  <c r="R62" i="11"/>
  <c r="T62" i="11" s="1"/>
  <c r="P63" i="11"/>
  <c r="Q63" i="11"/>
  <c r="S63" i="11" s="1"/>
  <c r="R63" i="11"/>
  <c r="T63" i="11" s="1"/>
  <c r="P64" i="11"/>
  <c r="Q64" i="11"/>
  <c r="S64" i="11" s="1"/>
  <c r="R64" i="11"/>
  <c r="T64" i="11" s="1"/>
  <c r="P65" i="11"/>
  <c r="Q65" i="11"/>
  <c r="S65" i="11" s="1"/>
  <c r="R65" i="11"/>
  <c r="T65" i="11" s="1"/>
  <c r="P67" i="11"/>
  <c r="Q67" i="11"/>
  <c r="S67" i="11" s="1"/>
  <c r="R67" i="11"/>
  <c r="T67" i="11" s="1"/>
  <c r="P68" i="11"/>
  <c r="W68" i="11" s="1"/>
  <c r="Q68" i="11"/>
  <c r="S68" i="11" s="1"/>
  <c r="R68" i="11"/>
  <c r="T68" i="11" s="1"/>
  <c r="P69" i="11"/>
  <c r="Q69" i="11"/>
  <c r="S69" i="11" s="1"/>
  <c r="R69" i="11"/>
  <c r="T69" i="11" s="1"/>
  <c r="P71" i="11"/>
  <c r="Q71" i="11"/>
  <c r="S71" i="11" s="1"/>
  <c r="R71" i="11"/>
  <c r="T71" i="11" s="1"/>
  <c r="P72" i="11"/>
  <c r="Q72" i="11"/>
  <c r="S72" i="11" s="1"/>
  <c r="R72" i="11"/>
  <c r="T72" i="11" s="1"/>
  <c r="P73" i="11"/>
  <c r="Q73" i="11"/>
  <c r="S73" i="11" s="1"/>
  <c r="R73" i="11"/>
  <c r="T73" i="11" s="1"/>
  <c r="P7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78" i="11"/>
  <c r="Q78" i="11"/>
  <c r="S78" i="11" s="1"/>
  <c r="W62" i="11"/>
  <c r="W28" i="11"/>
  <c r="W49" i="11" l="1"/>
  <c r="W57" i="11"/>
  <c r="W84" i="11"/>
  <c r="W34" i="11"/>
  <c r="W11" i="11"/>
  <c r="W10" i="11"/>
  <c r="W4" i="11"/>
  <c r="S84" i="11"/>
  <c r="W18" i="11"/>
  <c r="W8" i="11"/>
  <c r="W24" i="11"/>
  <c r="W15" i="11"/>
  <c r="W20" i="11"/>
  <c r="W25" i="11"/>
  <c r="W36" i="11"/>
  <c r="W3" i="11"/>
  <c r="W51" i="11"/>
  <c r="W37" i="11"/>
  <c r="W59" i="11"/>
  <c r="W71" i="11"/>
  <c r="L178" i="10"/>
  <c r="L170" i="10"/>
  <c r="L158" i="10"/>
  <c r="L149" i="10"/>
  <c r="L185" i="10"/>
  <c r="L177" i="10"/>
  <c r="L169" i="10"/>
  <c r="L157" i="10"/>
  <c r="L148" i="10"/>
  <c r="L189" i="10"/>
  <c r="L143" i="10"/>
  <c r="L184" i="10"/>
  <c r="L176" i="10"/>
  <c r="L166" i="10"/>
  <c r="L156" i="10"/>
  <c r="L147" i="10"/>
  <c r="L192" i="10"/>
  <c r="L183" i="10"/>
  <c r="L175" i="10"/>
  <c r="L165" i="10"/>
  <c r="L154" i="10"/>
  <c r="L146" i="10"/>
  <c r="L191" i="10"/>
  <c r="L182" i="10"/>
  <c r="L174" i="10"/>
  <c r="L162" i="10"/>
  <c r="L153" i="10"/>
  <c r="L145" i="10"/>
  <c r="L190" i="10"/>
  <c r="L181" i="10"/>
  <c r="L173" i="10"/>
  <c r="L161" i="10"/>
  <c r="L152" i="10"/>
  <c r="L144" i="10"/>
  <c r="L187" i="10"/>
  <c r="L180" i="10"/>
  <c r="L172" i="10"/>
  <c r="L160" i="10"/>
  <c r="L151" i="10"/>
  <c r="L188" i="10"/>
  <c r="L179" i="10"/>
  <c r="L171" i="10"/>
  <c r="L159" i="10"/>
  <c r="L150" i="10"/>
  <c r="W9" i="11"/>
  <c r="W22" i="11"/>
  <c r="W30" i="11"/>
  <c r="W73" i="11"/>
  <c r="W63" i="11"/>
  <c r="W53" i="11"/>
  <c r="W5" i="11"/>
  <c r="T84" i="11"/>
  <c r="W16" i="11"/>
  <c r="W23" i="11"/>
  <c r="W33" i="11"/>
  <c r="W69" i="11"/>
  <c r="W17" i="11"/>
  <c r="W52" i="11"/>
  <c r="W72" i="11"/>
  <c r="W13" i="11"/>
  <c r="W31" i="11"/>
  <c r="W32" i="11"/>
  <c r="W29" i="11"/>
  <c r="W50" i="11"/>
  <c r="W55" i="11"/>
  <c r="W65" i="11"/>
  <c r="W21" i="11"/>
  <c r="W12" i="11"/>
  <c r="K183" i="10"/>
  <c r="K175" i="10"/>
  <c r="K192" i="10"/>
  <c r="K190" i="10"/>
  <c r="K180" i="10"/>
  <c r="K173" i="10"/>
  <c r="K185" i="10"/>
  <c r="K178" i="10"/>
  <c r="K188" i="10"/>
  <c r="K181" i="10"/>
  <c r="K187" i="10"/>
  <c r="K179" i="10"/>
  <c r="K172" i="10"/>
  <c r="K184" i="10"/>
  <c r="K177" i="10"/>
  <c r="K191" i="10"/>
  <c r="K182" i="10"/>
  <c r="K176" i="10"/>
  <c r="K189" i="10"/>
  <c r="K174" i="10"/>
  <c r="W78" i="11"/>
  <c r="T78" i="11" s="1"/>
  <c r="W64" i="11"/>
  <c r="W54" i="11"/>
  <c r="W6" i="11"/>
  <c r="W19" i="11"/>
  <c r="W27" i="11"/>
  <c r="W35" i="11"/>
  <c r="W67" i="11"/>
  <c r="W56" i="11"/>
  <c r="W40" i="11"/>
  <c r="S5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X36" i="3"/>
  <c r="X35" i="3"/>
  <c r="X48" i="3"/>
  <c r="X15" i="3"/>
  <c r="X41" i="3"/>
  <c r="X28" i="3"/>
  <c r="X51" i="3"/>
  <c r="X29" i="3"/>
  <c r="X20" i="3"/>
  <c r="X2" i="3"/>
  <c r="X55" i="3"/>
  <c r="X7" i="3"/>
  <c r="X33" i="3"/>
  <c r="X37" i="3"/>
  <c r="X21" i="3"/>
  <c r="X10" i="3"/>
  <c r="X54" i="3"/>
  <c r="X45" i="3"/>
  <c r="X52" i="3"/>
  <c r="X11" i="3"/>
  <c r="X25" i="3"/>
  <c r="X43" i="3"/>
  <c r="X19" i="3"/>
  <c r="X50" i="3"/>
  <c r="X17" i="3"/>
  <c r="X49" i="3"/>
  <c r="X9" i="3"/>
  <c r="X6" i="3"/>
  <c r="X3" i="3"/>
  <c r="X47" i="3"/>
  <c r="X31" i="3"/>
  <c r="X16" i="3"/>
  <c r="X4" i="3"/>
  <c r="X39" i="3"/>
  <c r="X56" i="3"/>
  <c r="X46" i="3"/>
  <c r="X34" i="3"/>
  <c r="X44" i="3"/>
  <c r="X40" i="3"/>
  <c r="X53" i="3"/>
  <c r="X5" i="3"/>
  <c r="X23" i="3"/>
  <c r="X18" i="3"/>
  <c r="X12" i="3"/>
  <c r="X38" i="3"/>
  <c r="X8" i="3"/>
  <c r="X13" i="3"/>
  <c r="X32" i="3"/>
  <c r="X42" i="3"/>
  <c r="X30"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93" i="10"/>
  <c r="K194" i="10"/>
  <c r="K197" i="10"/>
  <c r="K199" i="10"/>
  <c r="K200" i="10"/>
  <c r="K201" i="10"/>
  <c r="K202" i="10"/>
  <c r="K203" i="10"/>
  <c r="K204" i="10"/>
  <c r="K206" i="10"/>
  <c r="K207" i="10"/>
  <c r="K208" i="10"/>
  <c r="K209"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30" i="3"/>
  <c r="Z44" i="3"/>
  <c r="W25" i="3"/>
  <c r="Z17" i="3"/>
  <c r="W47" i="3"/>
  <c r="Z42" i="3"/>
  <c r="W42" i="3"/>
  <c r="W2" i="3"/>
  <c r="W34" i="3"/>
  <c r="Z18" i="3"/>
  <c r="Z19" i="3"/>
  <c r="Z10" i="3"/>
  <c r="Z2" i="3"/>
  <c r="W32" i="3"/>
  <c r="Z28" i="3"/>
  <c r="Z11" i="3"/>
  <c r="W38" i="3"/>
  <c r="Z3" i="3"/>
  <c r="W7" i="3"/>
  <c r="W29" i="3"/>
  <c r="Z47" i="3"/>
  <c r="Z5" i="3"/>
  <c r="Z29" i="3"/>
  <c r="W55" i="3"/>
  <c r="Z48" i="3"/>
  <c r="Z39" i="3"/>
  <c r="Z43" i="3"/>
  <c r="W13" i="3"/>
  <c r="Z50" i="3"/>
  <c r="Z38" i="3"/>
  <c r="Z37" i="3"/>
  <c r="Z12" i="3"/>
  <c r="Z9" i="3"/>
  <c r="W18" i="3"/>
  <c r="W19" i="3"/>
  <c r="W44" i="3"/>
  <c r="Z8" i="3"/>
  <c r="W41" i="3"/>
  <c r="Z56" i="3"/>
  <c r="W6" i="3"/>
  <c r="W21" i="3"/>
  <c r="Z23" i="3"/>
  <c r="W4" i="3"/>
  <c r="W23" i="3"/>
  <c r="Z4" i="3"/>
  <c r="Z40" i="3"/>
  <c r="Z15" i="3"/>
  <c r="W39" i="3"/>
  <c r="W3" i="3"/>
  <c r="W56" i="3"/>
  <c r="W36" i="3"/>
  <c r="Z35" i="3"/>
  <c r="W9" i="3"/>
  <c r="Z25" i="3"/>
  <c r="W31" i="3"/>
  <c r="W5" i="3"/>
  <c r="Z32" i="3"/>
  <c r="Z54" i="3"/>
  <c r="Z33" i="3"/>
  <c r="Z31" i="3"/>
  <c r="Z53" i="3"/>
  <c r="Z30" i="3"/>
  <c r="W53" i="3"/>
  <c r="Z55" i="3"/>
  <c r="W40" i="3"/>
  <c r="Z7" i="3"/>
  <c r="W10" i="3"/>
  <c r="Z49" i="3"/>
  <c r="W28" i="3"/>
  <c r="Z52" i="3"/>
  <c r="Z46" i="3"/>
  <c r="W50" i="3"/>
  <c r="W33" i="3"/>
  <c r="Z41" i="3"/>
  <c r="Z21" i="3"/>
  <c r="W12" i="3"/>
  <c r="W20" i="3"/>
  <c r="W17" i="3"/>
  <c r="W51" i="3"/>
  <c r="W16" i="3"/>
  <c r="W46" i="3"/>
  <c r="W54" i="3"/>
  <c r="Z13" i="3"/>
  <c r="Z6" i="3"/>
  <c r="W8" i="3"/>
  <c r="Z45" i="3"/>
  <c r="W45" i="3"/>
  <c r="W49" i="3"/>
  <c r="W52" i="3"/>
  <c r="Z36" i="3"/>
  <c r="Z51" i="3"/>
  <c r="Z34" i="3"/>
  <c r="W48" i="3"/>
  <c r="W35" i="3"/>
  <c r="W11" i="3"/>
  <c r="Z20" i="3"/>
  <c r="W37" i="3"/>
  <c r="W15" i="3"/>
  <c r="Z16" i="3"/>
  <c r="W43" i="3"/>
  <c r="K170" i="10" l="1"/>
  <c r="K165" i="10"/>
  <c r="K169" i="10"/>
  <c r="K150" i="10"/>
  <c r="K149" i="10"/>
  <c r="K145" i="10"/>
  <c r="K153" i="10"/>
  <c r="K144" i="10"/>
  <c r="K154" i="10"/>
  <c r="K171" i="10"/>
  <c r="K158" i="10"/>
  <c r="K156" i="10"/>
  <c r="K148" i="10"/>
  <c r="K160" i="10"/>
  <c r="K143" i="10"/>
  <c r="K161" i="10"/>
  <c r="K157" i="10"/>
  <c r="K151" i="10"/>
  <c r="K166" i="10"/>
  <c r="K152" i="10"/>
  <c r="K147" i="10"/>
  <c r="K146" i="10"/>
  <c r="K162"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9"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<sst xmlns="http://schemas.openxmlformats.org/spreadsheetml/2006/main" count="4649" uniqueCount="2496">
  <si>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</si>
  <si>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</si>
  <si>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</si>
  <si>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</si>
  <si>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</si>
  <si>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</si>
  <si>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</si>
  <si>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</si>
  <si>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</si>
  <si>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</si>
  <si>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</si>
  <si>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</si>
  <si>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</si>
  <si>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</si>
  <si>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</si>
  <si>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</si>
  <si>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</si>
  <si>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</si>
  <si>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</si>
  <si>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</si>
  <si>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</si>
  <si>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</si>
  <si>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</si>
  <si>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</si>
  <si>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</si>
  <si>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</si>
  <si>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</si>
  <si>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</si>
  <si>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</si>
  <si>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</si>
  <si>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</si>
  <si>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</si>
  <si>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</si>
  <si>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</si>
  <si>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</si>
  <si>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</si>
  <si>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</si>
  <si>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</si>
  <si>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</si>
  <si>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</si>
  <si>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</si>
  <si>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</si>
  <si>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</si>
  <si>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</si>
  <si>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</si>
  <si>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</si>
  <si>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</si>
  <si>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</si>
  <si>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</si>
  <si>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</si>
  <si>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</si>
  <si>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</si>
  <si>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</si>
  <si>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</si>
  <si>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</si>
  <si>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</si>
  <si>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</si>
  <si>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</si>
  <si>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</si>
  <si>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</si>
  <si>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</si>
  <si>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</si>
  <si>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</si>
  <si>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</si>
  <si>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</si>
  <si>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</si>
  <si>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</si>
  <si>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</si>
  <si>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</si>
  <si>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</si>
  <si>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</si>
  <si>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</si>
  <si>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</si>
  <si>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</si>
  <si>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</si>
  <si>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</si>
  <si>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</si>
  <si>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</si>
  <si>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</si>
  <si>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</si>
  <si>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</si>
  <si>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</si>
  <si>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</si>
  <si>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</si>
  <si>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</si>
  <si>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</si>
  <si>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</si>
  <si>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</si>
  <si>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</si>
  <si>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</si>
  <si>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</si>
  <si>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</si>
  <si>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</si>
  <si>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</si>
  <si>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</si>
  <si>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</si>
  <si>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</si>
  <si>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</si>
  <si>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</si>
  <si>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</si>
  <si>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</si>
  <si>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</si>
  <si>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</si>
  <si>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</si>
  <si>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</si>
  <si>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</si>
  <si>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</si>
  <si>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</si>
  <si>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</si>
  <si>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</si>
  <si>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</si>
  <si>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</si>
  <si>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</si>
  <si>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</si>
  <si>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</si>
  <si>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</si>
  <si>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</si>
  <si>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</si>
  <si>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</si>
  <si>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</si>
  <si>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</si>
  <si>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</si>
  <si>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</si>
  <si>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</si>
  <si>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</si>
  <si>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</si>
  <si>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</si>
  <si>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</si>
  <si>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</si>
  <si>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</si>
  <si>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</si>
  <si>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</si>
  <si>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</si>
  <si>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</si>
  <si>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</si>
  <si>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</si>
  <si>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</si>
  <si>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</si>
  <si>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</si>
  <si>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</si>
  <si>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</si>
  <si>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</si>
  <si>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</si>
  <si>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</si>
  <si>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</si>
  <si>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</si>
  <si>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</si>
  <si>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</si>
  <si>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</si>
  <si>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</si>
  <si>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</si>
  <si>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</si>
  <si>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</si>
  <si>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</si>
  <si>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</si>
  <si>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</si>
  <si>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</si>
  <si>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</si>
  <si>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</si>
  <si>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</si>
  <si>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</si>
  <si>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</si>
  <si>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</si>
  <si>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</si>
  <si>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</si>
  <si>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</si>
  <si>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</si>
  <si>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</si>
  <si>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</si>
  <si>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</si>
  <si>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</si>
  <si>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</si>
  <si>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</si>
  <si>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</si>
  <si>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</si>
  <si>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</si>
  <si>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</si>
  <si>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</si>
  <si>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</si>
  <si>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</si>
  <si>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</si>
  <si>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</si>
  <si>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</si>
  <si>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</si>
  <si>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</si>
  <si>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</si>
  <si>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</si>
  <si>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</si>
  <si>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</si>
  <si>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</si>
  <si>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</si>
  <si>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</si>
  <si>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</si>
  <si>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</si>
  <si>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</si>
  <si>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</si>
  <si>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</si>
  <si>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</si>
  <si>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</si>
  <si>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</si>
  <si>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</si>
  <si>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</si>
  <si>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</si>
  <si>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</si>
  <si>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</si>
  <si>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</si>
  <si>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</si>
  <si>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</si>
  <si>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</si>
  <si>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</si>
  <si>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</si>
  <si>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</si>
  <si>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</si>
  <si>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</si>
  <si>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</si>
  <si>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</si>
  <si>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</si>
  <si>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</si>
  <si>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</si>
  <si>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</si>
  <si>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</si>
  <si>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</si>
  <si>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</si>
  <si>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</si>
  <si>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</si>
  <si>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</si>
  <si>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</si>
  <si>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</si>
  <si>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</si>
  <si>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</si>
  <si>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</si>
  <si>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</si>
  <si>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</si>
  <si>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</si>
  <si>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</si>
  <si>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</si>
  <si>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</si>
  <si>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</si>
  <si>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</si>
  <si>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</si>
  <si>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</si>
  <si>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</si>
  <si>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</si>
  <si>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</si>
  <si>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</si>
  <si>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</si>
  <si>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</si>
  <si>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</si>
  <si>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</si>
  <si>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</si>
  <si>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</si>
  <si>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</si>
  <si>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</si>
  <si>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</si>
  <si>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</si>
  <si>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</si>
  <si>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</si>
  <si>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</si>
  <si>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</si>
  <si>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</si>
  <si>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</si>
  <si>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</si>
  <si>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</si>
  <si>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</si>
  <si>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</si>
  <si>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</si>
  <si>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</si>
  <si>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</si>
  <si>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</si>
  <si>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</si>
  <si>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</si>
  <si>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</si>
  <si>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</si>
  <si>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</si>
  <si>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</si>
  <si>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</si>
  <si>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</si>
  <si>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</si>
  <si>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</si>
  <si>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</si>
  <si>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</si>
  <si>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</si>
  <si>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</si>
  <si>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</si>
  <si>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</si>
  <si>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</si>
  <si>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</si>
  <si>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</si>
  <si>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</si>
  <si>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</si>
  <si>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</si>
  <si>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</si>
  <si>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</si>
  <si>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</si>
  <si>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</si>
  <si>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</si>
  <si>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</si>
  <si>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</si>
  <si>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</si>
  <si>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</si>
  <si>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</si>
  <si>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</si>
  <si>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</si>
  <si>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</si>
  <si>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</si>
  <si>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</si>
  <si>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</si>
  <si>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</si>
  <si>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</si>
  <si>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</si>
  <si>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</si>
  <si>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</si>
  <si>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</si>
  <si>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</si>
  <si>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</si>
  <si>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</si>
  <si>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</si>
  <si>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</si>
  <si>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</si>
  <si>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</si>
  <si>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</si>
  <si>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</si>
  <si>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</si>
  <si>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</si>
  <si>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</si>
  <si>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</si>
  <si>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</si>
  <si>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</si>
  <si>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</si>
  <si>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</si>
  <si>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</si>
  <si>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</si>
  <si>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</si>
  <si>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</si>
  <si>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</si>
  <si>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</si>
  <si>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</si>
  <si>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</si>
  <si>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</si>
  <si>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</si>
  <si>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</si>
  <si>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</si>
  <si>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</si>
  <si>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</si>
  <si>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</si>
  <si>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</si>
  <si>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</si>
  <si>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</si>
  <si>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</si>
  <si>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</si>
  <si>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</si>
  <si>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</si>
  <si>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</si>
  <si>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</si>
  <si>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</si>
  <si>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</si>
  <si>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</si>
  <si>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</si>
  <si>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</si>
  <si>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</si>
  <si>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</si>
  <si>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</si>
  <si>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</si>
  <si>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</si>
  <si>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</si>
  <si>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</si>
  <si>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</si>
  <si>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</si>
  <si>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</si>
  <si>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</si>
  <si>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</si>
  <si>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</si>
  <si>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</si>
  <si>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</si>
  <si>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</si>
  <si>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</si>
  <si>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</si>
  <si>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</si>
  <si>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</si>
  <si>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</si>
  <si>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</si>
  <si>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</si>
  <si>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</si>
  <si>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</si>
  <si>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</si>
  <si>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</si>
  <si>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</si>
  <si>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</si>
  <si>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</si>
  <si>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</si>
  <si>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</si>
  <si>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</si>
  <si>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</si>
  <si>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</si>
  <si>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</si>
  <si>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</si>
  <si>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</si>
  <si>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</si>
  <si>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</si>
  <si>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</si>
  <si>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</si>
  <si>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</si>
  <si>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</si>
  <si>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</si>
  <si>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</si>
  <si>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</si>
  <si>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</si>
  <si>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</si>
  <si>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</si>
  <si>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</si>
  <si>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</si>
  <si>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</si>
  <si>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</si>
  <si>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</si>
  <si>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</si>
  <si>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</si>
  <si>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</si>
  <si>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</si>
  <si>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</si>
  <si>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</si>
  <si>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</si>
  <si>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</si>
  <si>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</si>
  <si>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</si>
  <si>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</si>
  <si>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</si>
  <si>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</si>
  <si>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</si>
  <si>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</si>
  <si>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</si>
  <si>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</si>
  <si>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</si>
  <si>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</si>
  <si>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</si>
  <si>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</si>
  <si>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</si>
  <si>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</si>
  <si>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</si>
  <si>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</si>
  <si>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</si>
  <si>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</si>
  <si>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</si>
  <si>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</si>
  <si>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</si>
  <si>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</si>
  <si>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</si>
  <si>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</si>
  <si>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</si>
  <si>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</si>
  <si>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</si>
  <si>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</si>
  <si>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</si>
  <si>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</si>
  <si>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</si>
  <si>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</si>
  <si>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</si>
  <si>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</si>
  <si>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</si>
  <si>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</si>
  <si>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</si>
  <si>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</si>
  <si>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</si>
  <si>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</si>
  <si>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</si>
  <si>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</si>
  <si>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</si>
  <si>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</si>
  <si>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</si>
  <si>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</si>
  <si>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</si>
  <si>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</si>
  <si>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</si>
  <si>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</si>
  <si>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</si>
  <si>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</si>
  <si>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</si>
  <si>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</si>
  <si>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</si>
  <si>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</si>
  <si>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</si>
  <si>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</si>
  <si>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</si>
  <si>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</si>
  <si>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</si>
  <si>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</si>
  <si>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</si>
  <si>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</si>
  <si>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</si>
  <si>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</si>
  <si>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</si>
  <si>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</si>
  <si>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</si>
  <si>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</si>
  <si>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</si>
  <si>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</si>
  <si>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</si>
  <si>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</si>
  <si>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</si>
  <si>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</si>
  <si>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</si>
  <si>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</si>
  <si>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</si>
  <si>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</si>
  <si>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</si>
  <si>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</si>
  <si>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</si>
  <si>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</si>
  <si>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</si>
  <si>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</si>
  <si>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</si>
  <si>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</si>
  <si>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</si>
  <si>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</si>
  <si>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</si>
  <si>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</si>
  <si>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</si>
  <si>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</si>
  <si>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</si>
  <si>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</si>
  <si>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</si>
  <si>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</si>
  <si>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</si>
  <si>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</si>
  <si>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</si>
  <si>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</si>
  <si>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</si>
  <si>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</si>
  <si>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</si>
  <si>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</si>
  <si>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</si>
  <si>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</si>
  <si>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</si>
  <si>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</si>
  <si>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</si>
  <si>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</si>
  <si>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</si>
  <si>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</si>
  <si>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</si>
  <si>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</si>
  <si>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</si>
  <si>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</si>
  <si>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</si>
  <si>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</si>
  <si>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</si>
  <si>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</si>
  <si>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</si>
  <si>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</si>
  <si>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</si>
  <si>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</si>
  <si>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</si>
  <si>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</si>
  <si>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</si>
  <si>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</si>
  <si>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</si>
  <si>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</si>
  <si>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</si>
  <si>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</si>
  <si>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</si>
  <si>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</si>
  <si>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</si>
  <si>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</si>
  <si>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</si>
  <si>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</si>
  <si>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</si>
  <si>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</si>
  <si>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</si>
  <si>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</si>
  <si>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</si>
  <si>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</si>
  <si>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</si>
  <si>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</si>
  <si>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</si>
  <si>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</si>
  <si>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</si>
  <si>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</si>
  <si>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</si>
  <si>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</si>
  <si>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</si>
  <si>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</si>
  <si>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</si>
  <si>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</si>
  <si>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</si>
  <si>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</si>
  <si>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</si>
  <si>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</si>
  <si>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</si>
  <si>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</si>
  <si>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</si>
  <si>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</si>
  <si>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</si>
  <si>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</si>
  <si>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</si>
  <si>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</si>
  <si>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</si>
  <si>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</si>
  <si>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</si>
  <si>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</si>
  <si>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</si>
  <si>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</si>
  <si>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</si>
  <si>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</si>
  <si>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</si>
  <si>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</si>
  <si>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</si>
  <si>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</si>
  <si>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</si>
  <si>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</si>
  <si>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</si>
  <si>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</si>
  <si>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</si>
  <si>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</si>
  <si>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</si>
  <si>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</si>
  <si>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</si>
  <si>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</si>
  <si>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</si>
  <si>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</si>
  <si>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</si>
  <si>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</si>
  <si>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</si>
  <si>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</si>
  <si>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</si>
  <si>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</si>
  <si>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</si>
  <si>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</si>
  <si>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</si>
  <si>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</si>
  <si>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</si>
  <si>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</si>
  <si>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</si>
  <si>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</si>
  <si>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</si>
  <si>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</si>
  <si>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</si>
  <si>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</si>
  <si>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</si>
  <si>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</si>
  <si>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</si>
  <si>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</si>
  <si>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</si>
  <si>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</si>
  <si>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</si>
  <si>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</si>
  <si>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</si>
  <si>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</si>
  <si>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</si>
  <si>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</si>
  <si>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</si>
  <si>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</si>
  <si>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</si>
  <si>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</si>
  <si>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</si>
  <si>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</si>
  <si>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</si>
  <si>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</si>
  <si>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</si>
  <si>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</si>
  <si>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</si>
  <si>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</si>
  <si>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</si>
  <si>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</si>
  <si>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</si>
  <si>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</si>
  <si>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</si>
  <si>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</si>
  <si>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</si>
  <si>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</si>
  <si>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</si>
  <si>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</si>
  <si>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</si>
  <si>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</si>
  <si>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</si>
  <si>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</si>
  <si>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</si>
  <si>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</si>
  <si>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</si>
  <si>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</si>
  <si>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</si>
  <si>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</si>
  <si>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</si>
  <si>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</si>
  <si>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</si>
  <si>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</si>
  <si>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</si>
  <si>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</si>
  <si>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</si>
  <si>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</si>
  <si>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</si>
  <si>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</si>
  <si>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</si>
  <si>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</si>
  <si>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</si>
  <si>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</si>
  <si>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</si>
  <si>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</si>
  <si>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</si>
  <si>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</si>
  <si>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</si>
  <si>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</si>
  <si>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</si>
  <si>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</si>
  <si>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</si>
  <si>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</si>
  <si>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</si>
  <si>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</si>
  <si>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</si>
  <si>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</si>
  <si>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</si>
  <si>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</si>
  <si>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</si>
  <si>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</si>
  <si>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</si>
  <si>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</si>
  <si>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</si>
  <si>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</si>
  <si>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</si>
  <si>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</si>
  <si>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</si>
  <si>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</si>
  <si>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</si>
  <si>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</si>
  <si>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</si>
  <si>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</si>
  <si>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</si>
  <si>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</si>
  <si>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</si>
  <si>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</si>
  <si>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</si>
  <si>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</si>
  <si>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</si>
  <si>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</si>
  <si>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</si>
  <si>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</si>
  <si>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</si>
  <si>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</si>
  <si>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</si>
  <si>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</si>
  <si>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</si>
  <si>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</si>
  <si>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</si>
  <si>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</si>
  <si>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</si>
  <si>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</si>
  <si>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</si>
  <si>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</si>
  <si>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</si>
  <si>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</si>
  <si>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</si>
  <si>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</si>
  <si>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</si>
  <si>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</si>
  <si>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</si>
  <si>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</si>
  <si>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</si>
  <si>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</si>
  <si>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</si>
  <si>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</si>
  <si>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</si>
  <si>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</si>
  <si>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</si>
  <si>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</si>
  <si>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</si>
  <si>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</si>
  <si>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</si>
  <si>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</si>
  <si>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</si>
  <si>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</si>
  <si>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</si>
  <si>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</si>
  <si>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</si>
  <si>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</si>
  <si>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</si>
  <si>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</si>
  <si>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</si>
  <si>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</si>
  <si>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</si>
  <si>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</si>
  <si>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</si>
  <si>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</si>
  <si>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</si>
  <si>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</si>
  <si>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</si>
  <si>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</si>
  <si>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</si>
  <si>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</si>
  <si>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</si>
  <si>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</si>
  <si>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</si>
  <si>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</si>
  <si>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</si>
  <si>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</si>
  <si>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</si>
  <si>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</si>
  <si>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</si>
  <si>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</si>
  <si>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</si>
  <si>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</si>
  <si>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</si>
  <si>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</si>
  <si>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</si>
  <si>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</si>
  <si>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</si>
  <si>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</si>
  <si>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</si>
  <si>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</si>
  <si>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</si>
  <si>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</si>
  <si>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</si>
  <si>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</si>
  <si>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</si>
  <si>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</si>
  <si>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</si>
  <si>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</si>
  <si>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</si>
  <si>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</si>
  <si>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</si>
  <si>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</si>
  <si>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</si>
  <si>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</si>
  <si>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</si>
  <si>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</si>
  <si>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</si>
  <si>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</si>
  <si>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</si>
  <si>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</si>
  <si>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</si>
  <si>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</si>
  <si>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</si>
  <si>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</si>
  <si>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</si>
  <si>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</si>
  <si>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</si>
  <si>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</si>
  <si>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</si>
  <si>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</si>
  <si>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</si>
  <si>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</si>
  <si>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</si>
  <si>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</si>
  <si>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</si>
  <si>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</si>
  <si>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</si>
  <si>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</si>
  <si>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</si>
  <si>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</si>
  <si>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</si>
  <si>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</si>
  <si>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</si>
  <si>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</si>
  <si>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</si>
  <si>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</si>
  <si>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</si>
  <si>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</si>
  <si>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</si>
  <si>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</si>
  <si>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</si>
  <si>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</si>
  <si>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</si>
  <si>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</si>
  <si>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</si>
  <si>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</si>
  <si>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</si>
  <si>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</si>
  <si>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</si>
  <si>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</si>
  <si>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</si>
  <si>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</si>
  <si>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</si>
  <si>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</si>
  <si>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</si>
  <si>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</si>
  <si>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</si>
  <si>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</si>
  <si>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</si>
  <si>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</si>
  <si>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</si>
  <si>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</si>
  <si>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</si>
  <si>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</si>
  <si>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</si>
  <si>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</si>
  <si>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</si>
  <si>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</si>
  <si>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</si>
  <si>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</si>
  <si>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</si>
  <si>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</si>
  <si>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</si>
  <si>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</si>
  <si>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</si>
  <si>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</si>
  <si>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</si>
  <si>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</si>
  <si>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</si>
  <si>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</si>
  <si>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</si>
  <si>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</si>
  <si>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</si>
  <si>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</si>
  <si>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</si>
  <si>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</si>
  <si>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</si>
  <si>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</si>
  <si>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</si>
  <si>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</si>
  <si>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</si>
  <si>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</si>
  <si>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</si>
  <si>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</si>
  <si>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</si>
  <si>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</si>
  <si>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</si>
  <si>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</si>
  <si>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</si>
  <si>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</si>
  <si>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</si>
  <si>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</si>
  <si>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</si>
  <si>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</si>
  <si>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</si>
  <si>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</si>
  <si>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</si>
  <si>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</si>
  <si>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</si>
  <si>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</si>
  <si>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</si>
  <si>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</si>
  <si>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</si>
  <si>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</si>
  <si>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</si>
  <si>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</si>
  <si>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</si>
  <si>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</si>
  <si>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</si>
  <si>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</si>
  <si>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</si>
  <si>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</si>
  <si>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</si>
  <si>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</si>
  <si>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</si>
  <si>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</si>
  <si>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</si>
  <si>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</si>
  <si>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</si>
  <si>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</si>
  <si>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</si>
  <si>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</si>
  <si>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</si>
  <si>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</si>
  <si>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</si>
  <si>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</si>
  <si>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</si>
  <si>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</si>
  <si>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</si>
  <si>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</si>
  <si>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</si>
  <si>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</si>
  <si>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</si>
  <si>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</si>
  <si>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</si>
  <si>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</si>
  <si>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</si>
  <si>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</si>
  <si>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</si>
  <si>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</si>
  <si>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</si>
  <si>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</si>
  <si>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</si>
  <si>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</si>
  <si>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</si>
  <si>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</si>
  <si>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</si>
  <si>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</si>
  <si>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</si>
  <si>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</si>
  <si>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</si>
  <si>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</si>
  <si>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</si>
  <si>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</si>
  <si>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</si>
  <si>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</si>
  <si>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</si>
  <si>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</si>
  <si>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</si>
  <si>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</si>
  <si>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</si>
  <si>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</si>
  <si>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</si>
  <si>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</si>
  <si>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</si>
  <si>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</si>
  <si>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</si>
  <si>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</si>
  <si>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</si>
  <si>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</si>
  <si>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</si>
  <si>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</si>
  <si>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</si>
  <si>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</si>
  <si>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</si>
  <si>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</si>
  <si>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</si>
  <si>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</si>
  <si>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</si>
  <si>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</si>
  <si>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</si>
  <si>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</si>
  <si>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</si>
  <si>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</si>
  <si>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</si>
  <si>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</si>
  <si>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</si>
  <si>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</si>
  <si>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</si>
  <si>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</si>
  <si>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</si>
  <si>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</si>
  <si>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</si>
  <si>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</si>
  <si>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</si>
  <si>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</si>
  <si>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</si>
  <si>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</si>
  <si>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</si>
  <si>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</si>
  <si>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</si>
  <si>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</si>
  <si>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</si>
  <si>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</si>
  <si>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</si>
  <si>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</si>
  <si>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</si>
  <si>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</si>
  <si>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</si>
  <si>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</si>
  <si>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</si>
  <si>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</si>
  <si>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</si>
  <si>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</si>
  <si>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</si>
  <si>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</si>
  <si>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</si>
  <si>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</si>
  <si>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</si>
  <si>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</si>
  <si>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</si>
  <si>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</si>
  <si>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</si>
  <si>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</si>
  <si>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</si>
  <si>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</si>
  <si>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</si>
  <si>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</si>
  <si>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</si>
  <si>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</si>
  <si>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</si>
  <si>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</si>
  <si>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</si>
  <si>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</si>
  <si>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</si>
  <si>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</si>
  <si>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</si>
  <si>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</si>
  <si>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</si>
  <si>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</si>
  <si>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</si>
  <si>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</si>
  <si>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</si>
  <si>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</si>
  <si>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</si>
  <si>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</si>
  <si>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</si>
  <si>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</si>
  <si>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</si>
  <si>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</si>
  <si>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</si>
  <si>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</si>
  <si>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</si>
  <si>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</si>
  <si>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</si>
  <si>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</si>
  <si>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</si>
  <si>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</si>
  <si>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</si>
  <si>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</si>
  <si>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</si>
  <si>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</si>
  <si>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</si>
  <si>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</si>
  <si>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</si>
  <si>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</si>
  <si>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</si>
  <si>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</si>
  <si>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</si>
  <si>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</si>
  <si>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</si>
  <si>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</si>
  <si>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</si>
  <si>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</si>
  <si>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</si>
  <si>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</si>
  <si>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</si>
  <si>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</si>
  <si>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</si>
  <si>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</si>
  <si>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</si>
  <si>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</si>
  <si>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</si>
  <si>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</si>
  <si>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</si>
  <si>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</si>
  <si>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</si>
  <si>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</si>
  <si>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</si>
  <si>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</si>
  <si>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</si>
  <si>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</si>
  <si>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</si>
  <si>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</si>
  <si>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</si>
  <si>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</si>
  <si>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</si>
  <si>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</si>
  <si>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</si>
  <si>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</si>
  <si>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</si>
  <si>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</si>
  <si>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</si>
  <si>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</si>
  <si>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</si>
  <si>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</si>
  <si>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</si>
  <si>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</si>
  <si>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</si>
  <si>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</si>
  <si>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</si>
  <si>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</si>
  <si>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</si>
  <si>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</si>
  <si>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</si>
  <si>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</si>
  <si>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</si>
  <si>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</si>
  <si>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</si>
  <si>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</si>
  <si>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</si>
  <si>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</si>
  <si>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</si>
  <si>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</si>
  <si>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</si>
  <si>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</si>
  <si>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</si>
  <si>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</si>
  <si>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</si>
  <si>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</si>
  <si>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</si>
  <si>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</si>
  <si>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</si>
  <si>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</si>
  <si>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</si>
  <si>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</si>
  <si>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</si>
  <si>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</si>
  <si>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</si>
  <si>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</si>
  <si>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</si>
  <si>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</si>
  <si>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</si>
  <si>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</si>
  <si>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</si>
  <si>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</si>
  <si>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</si>
  <si>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</si>
  <si>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</si>
  <si>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</si>
  <si>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</si>
  <si>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</si>
  <si>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</si>
  <si>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</si>
  <si>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</si>
  <si>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</si>
  <si>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</si>
  <si>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</si>
  <si>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</si>
  <si>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</si>
  <si>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</si>
  <si>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</si>
  <si>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</si>
  <si>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</si>
  <si>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</si>
  <si>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</si>
  <si>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</si>
  <si>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</si>
  <si>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</si>
  <si>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</si>
  <si>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</si>
  <si>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</si>
  <si>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</si>
  <si>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</si>
  <si>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</si>
  <si>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</si>
  <si>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</si>
  <si>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</si>
  <si>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</si>
  <si>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</si>
  <si>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</si>
  <si>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</si>
  <si>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</si>
  <si>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</si>
  <si>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</si>
  <si>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</si>
  <si>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</si>
  <si>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</si>
  <si>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</si>
  <si>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</si>
  <si>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</si>
  <si>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</si>
  <si>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</si>
  <si>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</si>
  <si>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</si>
  <si>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</si>
  <si>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</si>
  <si>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</si>
  <si>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</si>
  <si>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</si>
  <si>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</si>
  <si>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</si>
  <si>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</si>
  <si>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</si>
  <si>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</si>
  <si>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</si>
  <si>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</si>
  <si>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</si>
  <si>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</si>
  <si>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</si>
  <si>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</si>
  <si>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</si>
  <si>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</si>
  <si>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</si>
  <si>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</si>
  <si>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</si>
  <si>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</si>
  <si>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</si>
  <si>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</si>
  <si>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</si>
  <si>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</si>
  <si>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</si>
  <si>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</si>
  <si>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</si>
  <si>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</si>
  <si>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</si>
  <si>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</si>
  <si>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</si>
  <si>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</si>
  <si>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</si>
  <si>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</si>
  <si>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</si>
  <si>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</si>
  <si>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</si>
  <si>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</si>
  <si>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</si>
  <si>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</si>
  <si>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</si>
  <si>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</si>
  <si>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</si>
  <si>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</si>
  <si>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</si>
  <si>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</si>
  <si>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</si>
  <si>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</si>
  <si>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</si>
  <si>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</si>
  <si>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</si>
  <si>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</si>
  <si>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</si>
  <si>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</si>
  <si>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</si>
  <si>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</si>
  <si>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</si>
  <si>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</si>
  <si>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</si>
  <si>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</si>
  <si>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</si>
  <si>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</si>
  <si>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</si>
  <si>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</si>
  <si>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</si>
  <si>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</si>
  <si>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</si>
  <si>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</si>
  <si>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</si>
  <si>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</si>
  <si>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</si>
  <si>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</si>
  <si>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</si>
  <si>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</si>
  <si>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</si>
  <si>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</si>
  <si>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</si>
  <si>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</si>
  <si>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</si>
  <si>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</si>
  <si>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</si>
  <si>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</si>
  <si>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</si>
  <si>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</si>
  <si>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</si>
  <si>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</si>
  <si>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</si>
  <si>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</si>
  <si>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</si>
  <si>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</si>
  <si>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</si>
  <si>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</si>
  <si>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</si>
  <si>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</si>
  <si>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</si>
  <si>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</si>
  <si>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</si>
  <si>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</si>
  <si>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</si>
  <si>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</si>
  <si>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</si>
  <si>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</si>
  <si>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</si>
  <si>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</si>
  <si>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</si>
  <si>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</si>
  <si>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</si>
  <si>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</si>
  <si>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</si>
  <si>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</si>
  <si>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</si>
  <si>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</si>
  <si>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</si>
  <si>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</si>
  <si>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</si>
  <si>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</si>
  <si>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</si>
  <si>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</si>
  <si>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</si>
  <si>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</si>
  <si>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</si>
  <si>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</si>
  <si>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</si>
  <si>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</si>
  <si>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</si>
  <si>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</si>
  <si>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</si>
  <si>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</si>
  <si>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</si>
  <si>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</si>
  <si>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</si>
  <si>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</si>
  <si>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</si>
  <si>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</si>
  <si>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</si>
  <si>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</si>
  <si>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</si>
  <si>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</si>
  <si>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</si>
  <si>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</si>
  <si>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</si>
  <si>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</si>
  <si>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</si>
  <si>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</si>
  <si>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</si>
  <si>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</si>
  <si>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</si>
  <si>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</si>
  <si>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</si>
  <si>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</si>
  <si>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</si>
  <si>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</si>
  <si>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</si>
  <si>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</si>
  <si>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</si>
  <si>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</si>
  <si>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</si>
  <si>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</si>
  <si>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</si>
  <si>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</si>
  <si>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</si>
  <si>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</si>
  <si>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</si>
  <si>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</si>
  <si>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</si>
  <si>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</si>
  <si>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</si>
  <si>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</si>
  <si>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</si>
  <si>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</si>
  <si>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</si>
  <si>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</si>
  <si>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</si>
  <si>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</si>
  <si>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</si>
  <si>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</si>
  <si>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</si>
  <si>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</si>
  <si>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</si>
  <si>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</si>
  <si>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</si>
  <si>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</si>
  <si>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</si>
  <si>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</si>
  <si>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</si>
  <si>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</si>
  <si>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</si>
  <si>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</si>
  <si>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</si>
  <si>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</si>
  <si>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</si>
  <si>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</si>
  <si>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</si>
  <si>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</si>
  <si>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</si>
  <si>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</si>
  <si>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</si>
  <si>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</si>
  <si>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</si>
  <si>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</si>
  <si>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</si>
  <si>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</si>
  <si>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</si>
  <si>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</si>
  <si>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</si>
  <si>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</si>
  <si>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</si>
  <si>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</si>
  <si>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</si>
  <si>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</si>
  <si>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</si>
  <si>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</si>
  <si>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</si>
  <si>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</si>
  <si>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</si>
  <si>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</si>
  <si>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</si>
  <si>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</si>
  <si>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</si>
  <si>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</si>
  <si>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</si>
  <si>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</si>
  <si>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</si>
  <si>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</si>
  <si>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</si>
  <si>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</si>
  <si>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</si>
  <si>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</si>
  <si>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</si>
  <si>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</si>
  <si>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</si>
  <si>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</si>
  <si>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</si>
  <si>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</si>
  <si>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</si>
  <si>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</si>
  <si>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</si>
  <si>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</si>
  <si>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</si>
  <si>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</si>
  <si>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</si>
  <si>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</si>
  <si>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</si>
  <si>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</si>
  <si>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</si>
  <si>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</si>
  <si>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</si>
  <si>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</si>
  <si>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</si>
  <si>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</si>
  <si>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</si>
  <si>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</si>
  <si>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</si>
  <si>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</si>
  <si>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</si>
  <si>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</si>
  <si>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</si>
  <si>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</si>
  <si>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</si>
  <si>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</si>
  <si>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</si>
  <si>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</si>
  <si>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</si>
  <si>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</si>
  <si>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</si>
  <si>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</si>
  <si>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</si>
  <si>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</si>
  <si>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</si>
  <si>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</si>
  <si>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</si>
  <si>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</si>
  <si>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</si>
  <si>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</si>
  <si>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</si>
  <si>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</si>
  <si>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</si>
  <si>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</si>
  <si>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</si>
  <si>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</si>
  <si>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</si>
  <si>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</si>
  <si>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</si>
  <si>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</si>
  <si>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</si>
  <si>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</si>
  <si>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</si>
  <si>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</si>
  <si>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</si>
  <si>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</si>
  <si>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</si>
  <si>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</si>
  <si>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</si>
  <si>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</si>
  <si>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</si>
  <si>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</si>
  <si>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</si>
  <si>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</si>
  <si>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</si>
  <si>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</si>
  <si>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</si>
  <si>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</si>
  <si>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</si>
  <si>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</si>
  <si>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</si>
  <si>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</si>
  <si>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</si>
  <si>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</si>
  <si>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</si>
  <si>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</si>
  <si>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</si>
  <si>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</si>
  <si>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</si>
  <si>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</si>
  <si>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</si>
  <si>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</si>
  <si>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</si>
  <si>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</si>
  <si>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</si>
  <si>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</si>
  <si>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</si>
  <si>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</si>
  <si>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</si>
  <si>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</si>
  <si>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</si>
  <si>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</si>
  <si>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</si>
  <si>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</si>
  <si>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</si>
  <si>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</si>
  <si>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</si>
  <si>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</si>
  <si>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</si>
  <si>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</si>
  <si>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</si>
  <si>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</si>
  <si>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</si>
  <si>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</si>
  <si>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</si>
  <si>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</si>
  <si>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</si>
  <si>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</si>
  <si>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</si>
  <si>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</si>
  <si>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</si>
  <si>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</si>
  <si>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</si>
  <si>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</si>
  <si>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</si>
  <si>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</si>
  <si>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</si>
  <si>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</si>
  <si>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</si>
  <si>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</si>
  <si>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</si>
  <si>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</si>
  <si>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</si>
  <si>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</si>
  <si>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</si>
  <si>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</si>
  <si>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</si>
  <si>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</si>
  <si>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</si>
  <si>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</si>
  <si>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</si>
  <si>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</si>
  <si>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</si>
  <si>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</si>
  <si>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</si>
  <si>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</si>
  <si>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</si>
  <si>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</si>
  <si>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</si>
  <si>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</si>
  <si>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</si>
  <si>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</si>
  <si>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</si>
  <si>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</si>
  <si>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</si>
  <si>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</si>
  <si>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</si>
  <si>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</si>
  <si>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</si>
  <si>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</si>
  <si>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</si>
  <si>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</si>
  <si>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</si>
  <si>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</si>
  <si>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</si>
  <si>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</si>
  <si>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</si>
  <si>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</si>
  <si>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</si>
  <si>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</si>
  <si>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</si>
  <si>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</si>
  <si>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</si>
  <si>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</si>
  <si>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</si>
  <si>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</si>
  <si>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</si>
  <si>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</si>
  <si>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</si>
  <si>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</si>
  <si>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</si>
  <si>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</si>
  <si>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</si>
  <si>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</si>
  <si>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</si>
  <si>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</si>
  <si>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</si>
  <si>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</si>
  <si>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</si>
  <si>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</si>
  <si>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</si>
  <si>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</si>
  <si>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</si>
  <si>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</si>
  <si>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</si>
  <si>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</si>
  <si>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</si>
  <si>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</si>
  <si>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</si>
  <si>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</si>
  <si>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</si>
  <si>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</si>
  <si>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</si>
  <si>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</si>
  <si>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</si>
  <si>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</si>
  <si>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</si>
  <si>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</si>
  <si>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</si>
  <si>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</si>
  <si>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</si>
  <si>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</si>
  <si>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</si>
  <si>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</si>
  <si>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</si>
  <si>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</si>
  <si>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</si>
  <si>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</si>
  <si>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</si>
  <si>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</si>
  <si>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</si>
  <si>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</si>
  <si>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</si>
  <si>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</si>
  <si>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</si>
  <si>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</si>
  <si>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</si>
  <si>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</si>
  <si>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</si>
  <si>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</si>
  <si>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</si>
  <si>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</si>
  <si>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</si>
  <si>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</si>
  <si>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</si>
  <si>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</si>
  <si>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</si>
  <si>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</si>
  <si>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</si>
  <si>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</si>
  <si>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</si>
  <si>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</si>
  <si>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</si>
  <si>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</si>
  <si>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</si>
  <si>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</si>
  <si>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</si>
  <si>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</si>
  <si>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</si>
  <si>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</si>
  <si>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</si>
  <si>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</si>
  <si>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</si>
  <si>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</si>
  <si>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</si>
  <si>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</si>
  <si>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</si>
  <si>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</si>
  <si>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</si>
  <si>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</si>
  <si>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</si>
  <si>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</si>
  <si>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</si>
  <si>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</si>
  <si>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</si>
  <si>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</si>
  <si>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</si>
  <si>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</si>
  <si>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</si>
  <si>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</si>
  <si>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</si>
  <si>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</si>
  <si>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</si>
  <si>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</si>
  <si>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</si>
  <si>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</si>
  <si>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</si>
  <si>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</si>
  <si>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</si>
  <si>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</si>
  <si>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</si>
  <si>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</si>
  <si>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</si>
  <si>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</si>
  <si>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</si>
  <si>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</si>
  <si>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</si>
  <si>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</si>
  <si>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</si>
  <si>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</si>
  <si>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</si>
  <si>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</si>
  <si>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</si>
  <si>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</si>
  <si>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</si>
  <si>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</si>
  <si>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</si>
  <si>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</si>
  <si>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</si>
  <si>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</si>
  <si>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</si>
  <si>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</si>
  <si>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</si>
  <si>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</si>
  <si>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</si>
  <si>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</si>
  <si>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</si>
  <si>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</si>
  <si>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</si>
  <si>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</si>
  <si>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</si>
  <si>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</si>
  <si>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</si>
  <si>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</si>
  <si>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</si>
  <si>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</si>
  <si>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</si>
  <si>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</si>
  <si>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</si>
  <si>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</si>
  <si>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</si>
  <si>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</si>
  <si>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</si>
  <si>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</si>
  <si>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</si>
  <si>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</si>
  <si>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</si>
  <si>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</si>
  <si>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</si>
  <si>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</si>
  <si>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</si>
  <si>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</si>
  <si>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</si>
  <si>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</si>
  <si>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</si>
  <si>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</si>
  <si>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</si>
  <si>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</si>
  <si>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</si>
  <si>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</si>
  <si>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</si>
  <si>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</si>
  <si>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</si>
  <si>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</si>
  <si>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</si>
  <si>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</si>
  <si>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</si>
  <si>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</si>
  <si>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</si>
  <si>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</si>
  <si>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</si>
  <si>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</si>
  <si>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</si>
  <si>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</si>
  <si>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</si>
  <si>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</si>
  <si>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</si>
  <si>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</si>
  <si>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</si>
  <si>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</si>
  <si>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</si>
  <si>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</si>
  <si>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</si>
  <si>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</si>
  <si>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</si>
  <si>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</si>
  <si>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</si>
  <si>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</si>
  <si>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</si>
  <si>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</si>
  <si>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</si>
  <si>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</si>
  <si>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</si>
  <si>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</si>
  <si>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</si>
  <si>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</si>
  <si>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</si>
  <si>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</si>
  <si>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</si>
  <si>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</si>
  <si>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</si>
  <si>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</si>
  <si>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</si>
  <si>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</si>
  <si>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</si>
  <si>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</si>
  <si>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</si>
  <si>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</si>
  <si>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</si>
  <si>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</si>
  <si>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</si>
  <si>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</si>
  <si>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</si>
  <si>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</si>
  <si>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</si>
  <si>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</si>
  <si>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</si>
  <si>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</si>
  <si>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</si>
  <si>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</si>
  <si>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</si>
  <si>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</si>
  <si>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</si>
  <si>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</si>
  <si>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</si>
  <si>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</si>
  <si>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</si>
  <si>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</si>
  <si>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</si>
  <si>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</si>
  <si>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</si>
  <si>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</si>
  <si>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</si>
  <si>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</si>
  <si>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</si>
  <si>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</si>
  <si>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</si>
  <si>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</si>
  <si>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</si>
  <si>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</si>
  <si>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</si>
  <si>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</si>
  <si>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</si>
  <si>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</si>
  <si>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</si>
  <si>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</si>
  <si>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</si>
  <si>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</si>
  <si>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</si>
  <si>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</si>
  <si>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</si>
  <si>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</si>
  <si>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</si>
  <si>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</si>
  <si>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</si>
  <si>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</si>
  <si>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</si>
  <si>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</si>
  <si>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</si>
  <si>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</si>
  <si>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</si>
  <si>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</si>
  <si>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</si>
  <si>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</si>
  <si>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</si>
  <si>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</si>
  <si>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</si>
  <si>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</si>
  <si>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</si>
  <si>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</si>
  <si>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</si>
  <si>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</si>
  <si>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</si>
  <si>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</si>
  <si>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</si>
  <si>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</si>
  <si>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</si>
  <si>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</si>
  <si>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</si>
  <si>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</si>
  <si>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</si>
  <si>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</si>
  <si>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</si>
  <si>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</si>
  <si>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</si>
  <si>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</si>
  <si>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</si>
  <si>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</si>
  <si>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</si>
  <si>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</si>
  <si>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</si>
  <si>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</si>
  <si>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</si>
  <si>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</si>
  <si>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</si>
  <si>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</si>
  <si>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</si>
  <si>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</si>
  <si>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</si>
  <si>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</si>
  <si>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</si>
  <si>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</si>
  <si>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</si>
  <si>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</si>
  <si>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</si>
  <si>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</si>
  <si>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</si>
  <si>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</si>
  <si>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</si>
  <si>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</si>
  <si>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</si>
  <si>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</si>
  <si>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</si>
  <si>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</si>
  <si>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</si>
  <si>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</si>
  <si>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</si>
  <si>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</si>
  <si>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</si>
  <si>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</si>
  <si>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</si>
  <si>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</si>
  <si>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</si>
  <si>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</si>
  <si>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</si>
  <si>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</si>
  <si>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</si>
  <si>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</si>
  <si>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</si>
  <si>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</si>
  <si>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</si>
  <si>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</si>
  <si>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</si>
  <si>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</si>
  <si>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</si>
  <si>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</si>
  <si>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</si>
  <si>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</si>
  <si>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</si>
  <si>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</si>
  <si>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</si>
  <si>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</si>
  <si>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</si>
  <si>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</si>
  <si>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</si>
  <si>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</si>
  <si>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</si>
  <si>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</si>
  <si>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</si>
  <si>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</si>
  <si>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</si>
  <si>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</si>
  <si>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</si>
  <si>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</si>
  <si>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</si>
  <si>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</si>
  <si>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</si>
  <si>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</si>
  <si>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</si>
  <si>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</si>
  <si>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</si>
  <si>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</si>
  <si>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</si>
  <si>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</si>
  <si>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</si>
  <si>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</si>
  <si>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</si>
  <si>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</si>
  <si>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</si>
  <si>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</si>
  <si>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</si>
  <si>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</si>
  <si>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</si>
  <si>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</si>
  <si>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</si>
  <si>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</si>
  <si>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</si>
  <si>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</si>
  <si>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</si>
  <si>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</si>
  <si>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</si>
  <si>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</si>
  <si>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</si>
  <si>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</si>
  <si>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</si>
  <si>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</si>
  <si>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</si>
  <si>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</si>
  <si>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</si>
  <si>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</si>
  <si>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</si>
  <si>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</si>
  <si>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</si>
  <si>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</si>
  <si>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</si>
  <si>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</si>
  <si>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</si>
  <si>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</si>
  <si>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</si>
  <si>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</si>
  <si>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</si>
  <si>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</si>
  <si>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</si>
  <si>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</si>
  <si>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</si>
  <si>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</si>
  <si>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</si>
  <si>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</si>
  <si>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</si>
  <si>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</si>
  <si>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</si>
  <si>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</si>
  <si>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</si>
  <si>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</si>
  <si>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</si>
  <si>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</si>
  <si>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</si>
  <si>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</si>
  <si>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</si>
  <si>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</si>
  <si>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</si>
  <si>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</si>
  <si>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</si>
  <si>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</si>
  <si>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</si>
  <si>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</si>
  <si>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</si>
  <si>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</si>
  <si>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</si>
  <si>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</si>
  <si>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</si>
  <si>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</si>
  <si>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</si>
  <si>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</si>
  <si>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</si>
  <si>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</si>
  <si>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</si>
  <si>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</si>
  <si>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</si>
  <si>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</si>
  <si>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</si>
  <si>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</si>
  <si>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</si>
  <si>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</si>
  <si>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</si>
  <si>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</si>
  <si>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</si>
  <si>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</si>
  <si>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</si>
  <si>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</si>
  <si>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</si>
  <si>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</si>
  <si>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</si>
  <si>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</si>
  <si>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</si>
  <si>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</si>
  <si>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</si>
  <si>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</si>
  <si>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</si>
  <si>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</si>
  <si>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</si>
  <si>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</si>
  <si>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</si>
  <si>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</si>
  <si>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</si>
  <si>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</si>
  <si>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</si>
  <si>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</si>
  <si>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</si>
  <si>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</si>
  <si>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</si>
  <si>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</si>
  <si>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</si>
  <si>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</si>
  <si>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</si>
  <si>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</si>
  <si>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</si>
  <si>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</si>
  <si>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</si>
  <si>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</si>
  <si>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</si>
  <si>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</si>
  <si>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</si>
  <si>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</si>
  <si>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</si>
  <si>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</si>
  <si>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</si>
  <si>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</si>
  <si>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</si>
  <si>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</si>
  <si>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</si>
  <si>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</si>
  <si>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</si>
  <si>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</si>
  <si>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</si>
  <si>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</si>
  <si>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</si>
  <si>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</si>
  <si>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</si>
  <si>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</si>
  <si>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</si>
  <si>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</si>
  <si>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</si>
  <si>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</si>
  <si>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</si>
  <si>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</si>
  <si>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</si>
  <si>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</si>
  <si>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</si>
  <si>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</si>
  <si>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</si>
  <si>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</si>
  <si>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</si>
  <si>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</si>
  <si>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</si>
  <si>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</si>
  <si>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</si>
  <si>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</si>
  <si>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</si>
  <si>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</si>
  <si>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</si>
  <si>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</si>
  <si>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</si>
  <si>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</si>
  <si>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</si>
  <si>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</si>
  <si>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</si>
  <si>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</si>
  <si>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</si>
  <si>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</si>
  <si>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</si>
  <si>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</si>
  <si>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</si>
  <si>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</si>
  <si>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</si>
  <si>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</si>
  <si>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</si>
  <si>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</si>
  <si>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</si>
  <si>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</si>
  <si>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</si>
  <si>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</si>
  <si>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</si>
  <si>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</si>
  <si>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</si>
  <si>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</si>
  <si>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</si>
  <si>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</si>
  <si>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</si>
  <si>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</si>
  <si>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</si>
  <si>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</si>
  <si>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</si>
  <si>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</si>
  <si>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</si>
  <si>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</si>
  <si>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</si>
  <si>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</si>
  <si>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</si>
  <si>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</si>
  <si>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</si>
  <si>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</si>
  <si>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</si>
  <si>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</si>
  <si>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</si>
  <si>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</si>
  <si>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</si>
  <si>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</si>
  <si>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</si>
  <si>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</si>
  <si>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</si>
  <si>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</si>
  <si>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</si>
  <si>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</si>
  <si>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</si>
  <si>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</si>
  <si>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</si>
  <si>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</si>
  <si>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</si>
  <si>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</si>
  <si>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</si>
  <si>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</si>
  <si>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</si>
  <si>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</si>
  <si>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</si>
  <si>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</si>
  <si>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</si>
  <si>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</si>
  <si>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</si>
  <si>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</si>
  <si>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</si>
  <si>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</si>
  <si>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</si>
  <si>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</si>
  <si>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</si>
  <si>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</si>
  <si>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</si>
  <si>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</si>
  <si>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</si>
  <si>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</si>
  <si>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</si>
  <si>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</si>
  <si>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</si>
  <si>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</si>
  <si>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</si>
  <si>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</si>
  <si>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</si>
  <si>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</si>
  <si>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</si>
  <si>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</si>
  <si>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</si>
  <si>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</si>
  <si>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</si>
  <si>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</si>
  <si>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</si>
  <si>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</si>
  <si>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</si>
  <si>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</si>
  <si>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</si>
  <si>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</si>
  <si>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</si>
  <si>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</si>
  <si>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</si>
  <si>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</si>
  <si>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</si>
  <si>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</si>
  <si>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</si>
  <si>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</si>
  <si>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</si>
  <si>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</si>
  <si>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</si>
  <si>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</si>
  <si>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</si>
  <si>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</si>
  <si>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</si>
  <si>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</si>
  <si>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</si>
  <si>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</si>
  <si>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</si>
  <si>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</si>
  <si>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</si>
  <si>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</si>
  <si>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</si>
  <si>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</si>
  <si>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</si>
  <si>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</si>
  <si>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</si>
  <si>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</si>
  <si>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</si>
  <si>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</si>
  <si>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</si>
  <si>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</si>
  <si>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</si>
  <si>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</si>
  <si>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</si>
  <si>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</si>
  <si>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</si>
  <si>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</si>
  <si>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</si>
  <si>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</si>
  <si>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</si>
  <si>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</si>
  <si>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</si>
  <si>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</si>
  <si>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</si>
  <si>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</si>
  <si>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</si>
  <si>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</si>
  <si>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</si>
  <si>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</si>
  <si>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</si>
  <si>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</si>
  <si>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</si>
  <si>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</si>
  <si>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</si>
  <si>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</si>
  <si>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</si>
  <si>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</si>
  <si>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</si>
  <si>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</si>
  <si>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</si>
  <si>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</si>
  <si>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</si>
  <si>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</si>
  <si>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</si>
  <si>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</si>
  <si>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</si>
  <si>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</si>
  <si>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</si>
  <si>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</si>
  <si>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</si>
  <si>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</si>
  <si>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</si>
  <si>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</si>
  <si>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</si>
  <si>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</si>
  <si>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</si>
  <si>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</si>
  <si>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</si>
  <si>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</si>
  <si>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</si>
  <si>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</si>
  <si>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</si>
  <si>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</si>
  <si>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</si>
  <si>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</si>
  <si>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</si>
  <si>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</si>
  <si>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</si>
  <si>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</si>
  <si>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</si>
  <si>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</si>
  <si>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</si>
  <si>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</si>
  <si>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</si>
  <si>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</si>
  <si>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</si>
  <si>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</si>
  <si>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</si>
  <si>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</si>
  <si>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</si>
  <si>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</si>
  <si>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</si>
  <si>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</si>
  <si>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</si>
  <si>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</si>
  <si>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</si>
  <si>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</si>
  <si>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</si>
  <si>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</si>
  <si>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</si>
  <si>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</si>
  <si>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</si>
  <si>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</si>
  <si>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</si>
  <si>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</si>
  <si>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</si>
  <si>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</si>
  <si>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</si>
  <si>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</si>
  <si>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</si>
  <si>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</si>
  <si>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</si>
  <si>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</si>
  <si>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</si>
  <si>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</si>
  <si>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</si>
  <si>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</si>
  <si>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</si>
  <si>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</si>
  <si>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</si>
  <si>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</si>
  <si>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</si>
  <si>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</si>
  <si>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</si>
  <si>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</si>
  <si>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</si>
  <si>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</si>
  <si>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</si>
  <si>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</si>
  <si>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</si>
  <si>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</si>
  <si>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</si>
  <si>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</si>
  <si>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</si>
  <si>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</si>
  <si>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</si>
  <si>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</si>
  <si>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</si>
  <si>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</si>
  <si>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</si>
  <si>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</si>
  <si>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</si>
  <si>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</si>
  <si>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</si>
  <si>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</si>
  <si>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</si>
  <si>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</si>
  <si>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</si>
  <si>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</si>
  <si>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</si>
  <si>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</si>
  <si>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</si>
  <si>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</si>
  <si>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</si>
  <si>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</si>
  <si>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</si>
  <si>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</si>
  <si>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</si>
  <si>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</si>
  <si>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</si>
  <si>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</si>
  <si>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</si>
  <si>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</si>
  <si>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</si>
  <si>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</si>
  <si>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</si>
  <si>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</si>
  <si>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</si>
  <si>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</si>
  <si>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</si>
  <si>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</si>
  <si>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</si>
  <si>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</si>
  <si>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</si>
  <si>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</si>
  <si>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</si>
  <si>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</si>
  <si>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</si>
  <si>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</si>
  <si>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</si>
  <si>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</si>
  <si>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</si>
  <si>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</si>
  <si>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</si>
  <si>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</si>
  <si>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</si>
  <si>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</si>
  <si>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</si>
  <si>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</si>
  <si>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</si>
  <si>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</si>
  <si>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</si>
  <si>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</si>
  <si>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</si>
  <si>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</si>
  <si>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</si>
  <si>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</si>
  <si>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</si>
  <si>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</si>
  <si>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</si>
  <si>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</si>
  <si>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</si>
  <si>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</si>
  <si>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</si>
  <si>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</si>
  <si>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</si>
  <si>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</si>
  <si>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</si>
  <si>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</si>
  <si>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</si>
  <si>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</si>
  <si>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</si>
  <si>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</si>
  <si>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</si>
  <si>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</si>
  <si>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</si>
  <si>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</si>
  <si>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</si>
  <si>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</si>
  <si>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</si>
  <si>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</si>
  <si>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</si>
  <si>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</si>
  <si>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</si>
  <si>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</si>
  <si>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</si>
  <si>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Attack speed &amp; movement speed + 30%, AP + 30%.</t>
  </si>
  <si>
    <t>Thorns Aura</t>
  </si>
  <si>
    <t>Reflect 20% damage.</t>
  </si>
  <si>
    <t>Vampric Aura</t>
  </si>
  <si>
    <t>100% life steal.</t>
  </si>
  <si>
    <t>Rock</t>
  </si>
  <si>
    <t>Fanatic</t>
  </si>
  <si>
    <t>Bramble</t>
  </si>
  <si>
    <t>Vampire</t>
  </si>
  <si>
    <t>Champion Thorns</t>
  </si>
  <si>
    <t>UTID_CHMP_NAGA_ROYAL_GUARD</t>
  </si>
  <si>
    <t>Bleed</t>
  </si>
  <si>
    <t>Leech Aura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</si>
</sst>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0" borderId="0" applyNumberFormat="0" applyBorder="0" applyAlignment="0" applyProtection="0"/>
  </cellStyleXfs>
  <cellXfs count="21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1" borderId="0" xfId="0" applyFont="1" applyFill="1" applyAlignment="1"/>
    <xf numFmtId="0" fontId="19" fillId="51"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3" fillId="61" borderId="0" xfId="0" applyFont="1" applyFill="1" applyAlignment="1"/>
    <xf numFmtId="0" fontId="13" fillId="59"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7"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2" borderId="0" xfId="0" applyFont="1" applyFill="1" applyBorder="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62"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left" vertical="center" wrapText="1"/>
    </xf>
    <xf numFmtId="0" fontId="25" fillId="64" borderId="0" xfId="2" applyFont="1" applyFill="1" applyAlignment="1">
      <alignment horizontal="left" vertical="center"/>
    </xf>
    <xf numFmtId="0" fontId="23" fillId="65" borderId="0" xfId="0" applyFont="1" applyFill="1" applyAlignment="1">
      <alignmen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8" borderId="0" xfId="0" applyFont="1" applyFill="1" applyBorder="1" applyAlignment="1">
      <alignment horizontal="center" vertical="center"/>
    </xf>
    <xf numFmtId="0" fontId="22" fillId="49"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8"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0" borderId="0" xfId="0" applyFont="1" applyFill="1" applyAlignment="1"/>
    <xf numFmtId="0" fontId="20" fillId="0" borderId="0" xfId="0" applyFont="1" applyFill="1" applyAlignment="1"/>
    <xf numFmtId="0" fontId="13" fillId="14" borderId="0" xfId="0" applyFont="1" applyFill="1" applyAlignment="1"/>
    <xf numFmtId="0" fontId="13" fillId="51"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7" borderId="0" xfId="0" applyFont="1" applyFill="1" applyAlignment="1">
      <alignment horizontal="left" vertical="center"/>
    </xf>
    <xf numFmtId="0" fontId="11" fillId="67" borderId="0" xfId="0" applyFont="1" applyFill="1" applyBorder="1" applyAlignment="1">
      <alignment horizontal="right" vertical="center"/>
    </xf>
    <xf numFmtId="0" fontId="11" fillId="68" borderId="0" xfId="0" applyFont="1" applyFill="1" applyBorder="1" applyAlignment="1">
      <alignment horizontal="right" vertical="center"/>
    </xf>
    <xf numFmtId="0" fontId="11" fillId="67" borderId="0" xfId="0" applyFont="1" applyFill="1" applyAlignment="1">
      <alignment horizontal="right" vertical="center"/>
    </xf>
    <xf numFmtId="0" fontId="11" fillId="68" borderId="0" xfId="0" applyFont="1" applyFill="1" applyAlignment="1">
      <alignment horizontal="right" vertical="center"/>
    </xf>
    <xf numFmtId="0" fontId="15" fillId="68"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6" borderId="0" xfId="0" applyFont="1" applyFill="1" applyAlignment="1"/>
    <xf numFmtId="0" fontId="11" fillId="52" borderId="0" xfId="0" applyFont="1" applyFill="1" applyAlignment="1"/>
    <xf numFmtId="0" fontId="11" fillId="53"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4"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0" borderId="0" xfId="0" applyFont="1" applyAlignment="1">
      <alignment horizontal="left"/>
    </xf>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9" borderId="0" xfId="0" applyFont="1" applyFill="1" applyAlignment="1"/>
    <xf numFmtId="0" fontId="19" fillId="70" borderId="0" xfId="0" applyFont="1" applyFill="1" applyAlignment="1"/>
    <xf numFmtId="0" fontId="13" fillId="57" borderId="0" xfId="0" applyFont="1" applyFill="1" applyAlignment="1"/>
    <xf numFmtId="0" fontId="27" fillId="71" borderId="0" xfId="0" applyFont="1" applyFill="1" applyAlignment="1"/>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7">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M1" workbookViewId="0">
      <pane ySplit="1" topLeftCell="A62" activePane="bottomLeft" state="frozen"/>
      <selection activeCell="B1" sqref="B1"/>
      <selection pane="bottomLeft" activeCell="Q81" sqref="Q81"/>
    </sheetView>
  </sheetViews>
  <sheetFormatPr defaultColWidth="17.28515625" defaultRowHeight="14.25"/>
  <cols>
    <col min="1" max="1" width="13.140625" style="145" hidden="1" customWidth="1"/>
    <col min="2" max="2" width="11.5703125" style="145" customWidth="1"/>
    <col min="3" max="3" width="11" style="145" hidden="1" customWidth="1"/>
    <col min="4" max="4" width="13.42578125" style="147" customWidth="1"/>
    <col min="5" max="5" width="3" style="145" customWidth="1"/>
    <col min="6" max="6" width="48.5703125" style="145" hidden="1" customWidth="1"/>
    <col min="7" max="7" width="30.7109375" style="145" customWidth="1"/>
    <col min="8" max="8" width="50.5703125" style="145" hidden="1" customWidth="1"/>
    <col min="9" max="9" width="50.7109375" style="145" hidden="1" customWidth="1"/>
    <col min="10" max="10" width="30.7109375" style="145" customWidth="1"/>
    <col min="11" max="11" width="40.7109375" style="145" hidden="1" customWidth="1"/>
    <col min="12" max="12" width="30.7109375" style="145" customWidth="1"/>
    <col min="13" max="14" width="5.140625" style="145" customWidth="1"/>
    <col min="15" max="16" width="2.42578125" style="145" customWidth="1"/>
    <col min="17" max="17" width="11.5703125" style="145" customWidth="1"/>
    <col min="18" max="18" width="9.42578125" style="145" customWidth="1"/>
    <col min="19" max="20" width="5" style="145" customWidth="1"/>
    <col min="21" max="21" width="4.7109375" style="145" customWidth="1"/>
    <col min="22" max="22" width="4.7109375" style="151" customWidth="1"/>
    <col min="23" max="23" width="4.7109375" style="152" customWidth="1"/>
    <col min="24" max="24" width="4.7109375" style="151" customWidth="1"/>
    <col min="25" max="25" width="4.7109375" style="152" customWidth="1"/>
    <col min="26" max="26" width="4.7109375" style="151" customWidth="1"/>
    <col min="27" max="27" width="4.7109375" style="152" customWidth="1"/>
    <col min="28" max="28" width="4.7109375" style="151" customWidth="1"/>
    <col min="29" max="29" width="5.85546875" style="178" bestFit="1" customWidth="1"/>
    <col min="30" max="30" width="5.7109375" style="178" bestFit="1" customWidth="1"/>
    <col min="31" max="31" width="4.42578125" style="178" customWidth="1"/>
    <col min="32" max="32" width="3.5703125" style="178" customWidth="1"/>
    <col min="33" max="33" width="6.5703125" style="178" customWidth="1"/>
    <col min="34" max="35" width="5.85546875" style="178" customWidth="1"/>
    <col min="36" max="36" width="2.7109375" style="145" customWidth="1"/>
    <col min="37" max="37" width="11.140625" style="145" customWidth="1"/>
    <col min="38" max="41" width="3" style="145" customWidth="1"/>
    <col min="42" max="42" width="8.140625" style="145" customWidth="1"/>
    <col min="43" max="44" width="11.140625" style="145" customWidth="1"/>
    <col min="45" max="46" width="3.5703125" style="145" customWidth="1"/>
    <col min="47" max="16384" width="17.28515625" style="130"/>
  </cols>
  <sheetData>
    <row r="1" spans="1:46" s="23" customFormat="1">
      <c r="A1" s="142" t="s">
        <v>1919</v>
      </c>
      <c r="B1" s="142" t="s">
        <v>1782</v>
      </c>
      <c r="C1" s="142" t="s">
        <v>1921</v>
      </c>
      <c r="D1" s="142" t="s">
        <v>1920</v>
      </c>
      <c r="E1" s="175" t="s">
        <v>1985</v>
      </c>
      <c r="F1" s="142" t="s">
        <v>1922</v>
      </c>
      <c r="G1" s="142" t="s">
        <v>1923</v>
      </c>
      <c r="H1" s="142" t="s">
        <v>1925</v>
      </c>
      <c r="I1" s="142" t="s">
        <v>1924</v>
      </c>
      <c r="J1" s="142" t="s">
        <v>1872</v>
      </c>
      <c r="K1" s="142" t="s">
        <v>1926</v>
      </c>
      <c r="L1" s="142" t="s">
        <v>1927</v>
      </c>
      <c r="M1" s="142" t="s">
        <v>2241</v>
      </c>
      <c r="N1" s="142" t="s">
        <v>2242</v>
      </c>
      <c r="O1" s="142" t="s">
        <v>2237</v>
      </c>
      <c r="P1" s="142" t="s">
        <v>2238</v>
      </c>
      <c r="Q1" s="142" t="s">
        <v>2235</v>
      </c>
      <c r="R1" s="142" t="s">
        <v>2236</v>
      </c>
      <c r="S1" s="142" t="s">
        <v>1836</v>
      </c>
      <c r="T1" s="142" t="s">
        <v>1837</v>
      </c>
      <c r="U1" s="142" t="s">
        <v>1838</v>
      </c>
      <c r="V1" s="148" t="s">
        <v>581</v>
      </c>
      <c r="W1" s="153" t="s">
        <v>582</v>
      </c>
      <c r="X1" s="148" t="s">
        <v>583</v>
      </c>
      <c r="Y1" s="153" t="s">
        <v>584</v>
      </c>
      <c r="Z1" s="148" t="s">
        <v>585</v>
      </c>
      <c r="AA1" s="153" t="s">
        <v>586</v>
      </c>
      <c r="AB1" s="148" t="s">
        <v>0</v>
      </c>
      <c r="AC1" s="176" t="s">
        <v>1986</v>
      </c>
      <c r="AD1" s="176" t="s">
        <v>2016</v>
      </c>
      <c r="AE1" s="176" t="s">
        <v>2079</v>
      </c>
      <c r="AF1" s="176" t="s">
        <v>2080</v>
      </c>
      <c r="AG1" s="176" t="s">
        <v>2082</v>
      </c>
      <c r="AH1" s="176" t="s">
        <v>2083</v>
      </c>
      <c r="AI1" s="176" t="s">
        <v>2084</v>
      </c>
      <c r="AJ1" s="142" t="s">
        <v>1047</v>
      </c>
      <c r="AK1" s="142" t="s">
        <v>2081</v>
      </c>
      <c r="AL1" s="142" t="s">
        <v>2139</v>
      </c>
      <c r="AM1" s="142" t="s">
        <v>2140</v>
      </c>
      <c r="AN1" s="142" t="s">
        <v>2141</v>
      </c>
      <c r="AO1" s="142" t="s">
        <v>2142</v>
      </c>
      <c r="AP1" s="142" t="s">
        <v>2085</v>
      </c>
      <c r="AQ1" s="142" t="s">
        <v>2143</v>
      </c>
      <c r="AR1" s="142" t="s">
        <v>2154</v>
      </c>
      <c r="AS1" s="142" t="s">
        <v>2158</v>
      </c>
      <c r="AT1" s="142" t="s">
        <v>2159</v>
      </c>
    </row>
    <row r="2" spans="1:46">
      <c r="A2" s="143" t="s">
        <v>1</v>
      </c>
      <c r="B2" s="143" t="s">
        <v>1783</v>
      </c>
      <c r="C2" s="141" t="s">
        <v>2</v>
      </c>
      <c r="D2" s="141" t="s">
        <v>576</v>
      </c>
      <c r="E2" s="141">
        <v>1</v>
      </c>
      <c r="F2" s="143" t="s">
        <v>602</v>
      </c>
      <c r="G2" s="143" t="s">
        <v>1781</v>
      </c>
      <c r="H2" s="143" t="s">
        <v>3</v>
      </c>
      <c r="I2" s="143"/>
      <c r="J2" s="143" t="s">
        <v>1865</v>
      </c>
      <c r="K2" s="143" t="s">
        <v>603</v>
      </c>
      <c r="L2" s="143" t="s">
        <v>1928</v>
      </c>
      <c r="M2" s="143" t="s">
        <v>2243</v>
      </c>
      <c r="N2" s="143" t="s">
        <v>2240</v>
      </c>
      <c r="O2" s="143" t="s">
        <v>607</v>
      </c>
      <c r="P2" s="143" t="s">
        <v>607</v>
      </c>
      <c r="Q2" s="143" t="s">
        <v>576</v>
      </c>
      <c r="R2" s="143" t="s">
        <v>2239</v>
      </c>
      <c r="S2" s="143">
        <v>0.45</v>
      </c>
      <c r="T2" s="143"/>
      <c r="U2" s="143"/>
      <c r="V2" s="149"/>
      <c r="W2" s="150"/>
      <c r="X2" s="149"/>
      <c r="Y2" s="150"/>
      <c r="Z2" s="149">
        <v>30</v>
      </c>
      <c r="AA2" s="150">
        <v>5</v>
      </c>
      <c r="AB2" s="149">
        <v>7</v>
      </c>
      <c r="AC2" s="177" t="s">
        <v>1987</v>
      </c>
      <c r="AD2" s="177" t="s">
        <v>2075</v>
      </c>
      <c r="AE2" s="177">
        <v>0</v>
      </c>
      <c r="AF2" s="177">
        <v>0</v>
      </c>
      <c r="AG2" s="177">
        <v>1.67</v>
      </c>
      <c r="AH2" s="177">
        <v>0</v>
      </c>
      <c r="AI2" s="177">
        <v>5</v>
      </c>
      <c r="AJ2" s="143" t="s">
        <v>1048</v>
      </c>
      <c r="AK2" s="143" t="s">
        <v>2047</v>
      </c>
      <c r="AL2" s="143">
        <v>0</v>
      </c>
      <c r="AM2" s="143">
        <v>2</v>
      </c>
      <c r="AN2" s="143">
        <v>0</v>
      </c>
      <c r="AO2" s="143">
        <v>0</v>
      </c>
      <c r="AP2" s="143" t="s">
        <v>2086</v>
      </c>
      <c r="AQ2" s="143" t="s">
        <v>2144</v>
      </c>
      <c r="AR2" s="143"/>
      <c r="AS2" s="143">
        <v>1</v>
      </c>
      <c r="AT2" s="143"/>
    </row>
    <row r="3" spans="1:46">
      <c r="A3" s="143"/>
      <c r="B3" s="143"/>
      <c r="C3" s="141"/>
      <c r="D3" s="141"/>
      <c r="E3" s="141">
        <v>2</v>
      </c>
      <c r="F3" s="130"/>
      <c r="G3" s="130"/>
      <c r="H3" s="143" t="s">
        <v>4</v>
      </c>
      <c r="I3" s="143"/>
      <c r="J3" s="143" t="s">
        <v>1865</v>
      </c>
      <c r="K3" s="143" t="s">
        <v>604</v>
      </c>
      <c r="L3" s="143" t="s">
        <v>1928</v>
      </c>
      <c r="M3" s="143"/>
      <c r="N3" s="143"/>
      <c r="O3" s="143"/>
      <c r="P3" s="143"/>
      <c r="Q3" s="143"/>
      <c r="R3" s="143"/>
      <c r="S3" s="143">
        <v>0.6</v>
      </c>
      <c r="T3" s="143"/>
      <c r="U3" s="143"/>
      <c r="V3" s="149"/>
      <c r="W3" s="150"/>
      <c r="X3" s="149"/>
      <c r="Y3" s="150"/>
      <c r="Z3" s="149">
        <v>30</v>
      </c>
      <c r="AA3" s="150">
        <v>5</v>
      </c>
      <c r="AB3" s="149">
        <v>7</v>
      </c>
      <c r="AC3" s="177"/>
      <c r="AD3" s="177"/>
      <c r="AE3" s="177"/>
      <c r="AF3" s="177"/>
      <c r="AG3" s="177"/>
      <c r="AH3" s="177"/>
      <c r="AI3" s="177"/>
      <c r="AJ3" s="143"/>
      <c r="AK3" s="143"/>
      <c r="AL3" s="143"/>
      <c r="AM3" s="143"/>
      <c r="AN3" s="143"/>
      <c r="AO3" s="143"/>
      <c r="AP3" s="143"/>
      <c r="AQ3" s="143"/>
      <c r="AR3" s="143"/>
      <c r="AS3" s="143"/>
      <c r="AT3" s="143"/>
    </row>
    <row r="4" spans="1:46">
      <c r="A4" s="143"/>
      <c r="B4" s="143"/>
      <c r="C4" s="141"/>
      <c r="D4" s="141"/>
      <c r="E4" s="141">
        <v>3</v>
      </c>
      <c r="F4" s="130"/>
      <c r="G4" s="130"/>
      <c r="H4" s="143" t="s">
        <v>5</v>
      </c>
      <c r="I4" s="143"/>
      <c r="J4" s="143" t="s">
        <v>1865</v>
      </c>
      <c r="K4" s="143" t="s">
        <v>605</v>
      </c>
      <c r="L4" s="143" t="s">
        <v>1928</v>
      </c>
      <c r="M4" s="143"/>
      <c r="N4" s="143"/>
      <c r="O4" s="143"/>
      <c r="P4" s="143"/>
      <c r="Q4" s="143"/>
      <c r="R4" s="143"/>
      <c r="S4" s="143">
        <v>0.75</v>
      </c>
      <c r="T4" s="143"/>
      <c r="U4" s="143"/>
      <c r="V4" s="149"/>
      <c r="W4" s="150"/>
      <c r="X4" s="149"/>
      <c r="Y4" s="150"/>
      <c r="Z4" s="149">
        <v>30</v>
      </c>
      <c r="AA4" s="150">
        <v>5</v>
      </c>
      <c r="AB4" s="149">
        <v>7</v>
      </c>
      <c r="AC4" s="177"/>
      <c r="AD4" s="177"/>
      <c r="AE4" s="177"/>
      <c r="AF4" s="177"/>
      <c r="AG4" s="177"/>
      <c r="AH4" s="177"/>
      <c r="AI4" s="177"/>
      <c r="AJ4" s="143"/>
      <c r="AK4" s="143"/>
      <c r="AL4" s="143"/>
      <c r="AM4" s="143"/>
      <c r="AN4" s="143"/>
      <c r="AO4" s="143"/>
      <c r="AP4" s="143"/>
      <c r="AQ4" s="143"/>
      <c r="AR4" s="143"/>
      <c r="AS4" s="143"/>
      <c r="AT4" s="143"/>
    </row>
    <row r="5" spans="1:46">
      <c r="A5" s="143"/>
      <c r="B5" s="143"/>
      <c r="C5" s="143" t="s">
        <v>8</v>
      </c>
      <c r="D5" s="144" t="s">
        <v>577</v>
      </c>
      <c r="E5" s="141">
        <v>1</v>
      </c>
      <c r="F5" s="143" t="s">
        <v>1323</v>
      </c>
      <c r="G5" s="143" t="s">
        <v>1805</v>
      </c>
      <c r="H5" s="143" t="s">
        <v>9</v>
      </c>
      <c r="I5" s="143"/>
      <c r="J5" s="143" t="s">
        <v>1866</v>
      </c>
      <c r="K5" s="143" t="s">
        <v>1302</v>
      </c>
      <c r="L5" s="143" t="s">
        <v>1929</v>
      </c>
      <c r="M5" s="143"/>
      <c r="N5" s="143"/>
      <c r="O5" s="143"/>
      <c r="P5" s="143"/>
      <c r="Q5" s="143"/>
      <c r="R5" s="143"/>
      <c r="S5" s="143">
        <v>50</v>
      </c>
      <c r="T5" s="143"/>
      <c r="U5" s="143"/>
      <c r="V5" s="149"/>
      <c r="W5" s="150"/>
      <c r="X5" s="149"/>
      <c r="Y5" s="150">
        <v>250</v>
      </c>
      <c r="Z5" s="149">
        <v>20</v>
      </c>
      <c r="AA5" s="150">
        <v>8</v>
      </c>
      <c r="AB5" s="149">
        <v>8</v>
      </c>
      <c r="AC5" s="177" t="s">
        <v>1988</v>
      </c>
      <c r="AD5" s="177" t="s">
        <v>2075</v>
      </c>
      <c r="AE5" s="177">
        <v>0</v>
      </c>
      <c r="AF5" s="177">
        <v>0</v>
      </c>
      <c r="AG5" s="177">
        <v>1.34</v>
      </c>
      <c r="AH5" s="177">
        <v>0</v>
      </c>
      <c r="AI5" s="177">
        <v>1</v>
      </c>
      <c r="AJ5" s="143" t="s">
        <v>1301</v>
      </c>
      <c r="AK5" s="143" t="s">
        <v>2048</v>
      </c>
      <c r="AL5" s="143">
        <v>1</v>
      </c>
      <c r="AM5" s="143">
        <v>2</v>
      </c>
      <c r="AN5" s="143">
        <v>1</v>
      </c>
      <c r="AO5" s="143">
        <v>0</v>
      </c>
      <c r="AP5" s="143" t="s">
        <v>2087</v>
      </c>
      <c r="AQ5" s="143" t="s">
        <v>2145</v>
      </c>
      <c r="AR5" s="143"/>
      <c r="AS5" s="143">
        <v>1</v>
      </c>
      <c r="AT5" s="143"/>
    </row>
    <row r="6" spans="1:46">
      <c r="A6" s="143"/>
      <c r="B6" s="143"/>
      <c r="C6" s="143"/>
      <c r="D6" s="144"/>
      <c r="E6" s="141">
        <v>2</v>
      </c>
      <c r="F6" s="130"/>
      <c r="G6" s="130"/>
      <c r="H6" s="143" t="s">
        <v>10</v>
      </c>
      <c r="I6" s="143"/>
      <c r="J6" s="143" t="s">
        <v>1866</v>
      </c>
      <c r="K6" s="143" t="s">
        <v>1303</v>
      </c>
      <c r="L6" s="143" t="s">
        <v>1929</v>
      </c>
      <c r="M6" s="143"/>
      <c r="N6" s="143"/>
      <c r="O6" s="143"/>
      <c r="P6" s="143"/>
      <c r="Q6" s="143"/>
      <c r="R6" s="143"/>
      <c r="S6" s="143">
        <v>100</v>
      </c>
      <c r="T6" s="143"/>
      <c r="U6" s="143"/>
      <c r="V6" s="149"/>
      <c r="W6" s="150"/>
      <c r="X6" s="149"/>
      <c r="Y6" s="150">
        <v>250</v>
      </c>
      <c r="Z6" s="149">
        <v>20</v>
      </c>
      <c r="AA6" s="150">
        <v>8</v>
      </c>
      <c r="AB6" s="149">
        <v>8</v>
      </c>
      <c r="AC6" s="177"/>
      <c r="AD6" s="177"/>
      <c r="AE6" s="177"/>
      <c r="AF6" s="177"/>
      <c r="AG6" s="177"/>
      <c r="AH6" s="177"/>
      <c r="AI6" s="177"/>
      <c r="AJ6" s="143"/>
      <c r="AK6" s="143"/>
      <c r="AL6" s="143"/>
      <c r="AM6" s="143"/>
      <c r="AN6" s="143"/>
      <c r="AO6" s="143"/>
      <c r="AP6" s="143"/>
      <c r="AQ6" s="143"/>
      <c r="AR6" s="143"/>
      <c r="AS6" s="143"/>
      <c r="AT6" s="143"/>
    </row>
    <row r="7" spans="1:46">
      <c r="A7" s="143"/>
      <c r="B7" s="143"/>
      <c r="C7" s="143"/>
      <c r="D7" s="144"/>
      <c r="E7" s="141">
        <v>3</v>
      </c>
      <c r="F7" s="130"/>
      <c r="G7" s="130"/>
      <c r="H7" s="143" t="s">
        <v>11</v>
      </c>
      <c r="I7" s="143"/>
      <c r="J7" s="143" t="s">
        <v>1866</v>
      </c>
      <c r="K7" s="143" t="s">
        <v>1304</v>
      </c>
      <c r="L7" s="143" t="s">
        <v>1929</v>
      </c>
      <c r="M7" s="143"/>
      <c r="N7" s="143"/>
      <c r="O7" s="143"/>
      <c r="P7" s="143"/>
      <c r="Q7" s="143"/>
      <c r="R7" s="143"/>
      <c r="S7" s="143">
        <v>150</v>
      </c>
      <c r="T7" s="143"/>
      <c r="U7" s="143"/>
      <c r="V7" s="149"/>
      <c r="W7" s="150"/>
      <c r="X7" s="149"/>
      <c r="Y7" s="150">
        <v>250</v>
      </c>
      <c r="Z7" s="149">
        <v>20</v>
      </c>
      <c r="AA7" s="150">
        <v>8</v>
      </c>
      <c r="AB7" s="149">
        <v>8</v>
      </c>
      <c r="AC7" s="177"/>
      <c r="AD7" s="177"/>
      <c r="AE7" s="177"/>
      <c r="AF7" s="177"/>
      <c r="AG7" s="177"/>
      <c r="AH7" s="177"/>
      <c r="AI7" s="177"/>
      <c r="AJ7" s="143"/>
      <c r="AK7" s="143"/>
      <c r="AL7" s="143"/>
      <c r="AM7" s="143"/>
      <c r="AN7" s="143"/>
      <c r="AO7" s="143"/>
      <c r="AP7" s="143"/>
      <c r="AQ7" s="143"/>
      <c r="AR7" s="143"/>
      <c r="AS7" s="143"/>
      <c r="AT7" s="143"/>
    </row>
    <row r="8" spans="1:46">
      <c r="A8" s="143"/>
      <c r="B8" s="143"/>
      <c r="C8" s="143" t="s">
        <v>13</v>
      </c>
      <c r="D8" s="144" t="s">
        <v>578</v>
      </c>
      <c r="E8" s="141">
        <v>1</v>
      </c>
      <c r="F8" s="143" t="s">
        <v>1305</v>
      </c>
      <c r="G8" s="143" t="s">
        <v>1806</v>
      </c>
      <c r="H8" s="143" t="s">
        <v>1324</v>
      </c>
      <c r="I8" s="143"/>
      <c r="J8" s="143" t="s">
        <v>1867</v>
      </c>
      <c r="K8" s="143" t="s">
        <v>1306</v>
      </c>
      <c r="L8" s="143" t="s">
        <v>1930</v>
      </c>
      <c r="M8" s="143" t="s">
        <v>2244</v>
      </c>
      <c r="N8" s="143" t="s">
        <v>2245</v>
      </c>
      <c r="O8" s="143" t="s">
        <v>606</v>
      </c>
      <c r="P8" s="143" t="s">
        <v>608</v>
      </c>
      <c r="Q8" s="143" t="s">
        <v>578</v>
      </c>
      <c r="R8" s="143" t="s">
        <v>2246</v>
      </c>
      <c r="S8" s="143">
        <v>40</v>
      </c>
      <c r="T8" s="143">
        <v>0.04</v>
      </c>
      <c r="U8" s="143"/>
      <c r="V8" s="149"/>
      <c r="W8" s="150"/>
      <c r="X8" s="149">
        <v>400</v>
      </c>
      <c r="Y8" s="150"/>
      <c r="Z8" s="149"/>
      <c r="AA8" s="150">
        <v>5</v>
      </c>
      <c r="AB8" s="149">
        <v>2</v>
      </c>
      <c r="AC8" s="177" t="s">
        <v>1989</v>
      </c>
      <c r="AD8" s="177" t="s">
        <v>2075</v>
      </c>
      <c r="AE8" s="177">
        <v>0</v>
      </c>
      <c r="AF8" s="177">
        <v>0</v>
      </c>
      <c r="AG8" s="177">
        <v>1.34</v>
      </c>
      <c r="AH8" s="177">
        <v>1</v>
      </c>
      <c r="AI8" s="177">
        <v>1</v>
      </c>
      <c r="AJ8" s="143" t="s">
        <v>1309</v>
      </c>
      <c r="AK8" s="143" t="s">
        <v>2049</v>
      </c>
      <c r="AL8" s="143">
        <v>2</v>
      </c>
      <c r="AM8" s="143">
        <v>2</v>
      </c>
      <c r="AN8" s="143">
        <v>2</v>
      </c>
      <c r="AO8" s="143">
        <v>0</v>
      </c>
      <c r="AP8" s="143" t="s">
        <v>2088</v>
      </c>
      <c r="AQ8" s="143" t="s">
        <v>2145</v>
      </c>
      <c r="AR8" s="143" t="s">
        <v>2155</v>
      </c>
      <c r="AS8" s="143">
        <v>1</v>
      </c>
      <c r="AT8" s="143"/>
    </row>
    <row r="9" spans="1:46">
      <c r="A9" s="143"/>
      <c r="B9" s="143"/>
      <c r="C9" s="143"/>
      <c r="D9" s="144"/>
      <c r="E9" s="141">
        <v>2</v>
      </c>
      <c r="F9" s="130"/>
      <c r="G9" s="143"/>
      <c r="H9" s="143" t="s">
        <v>1325</v>
      </c>
      <c r="I9" s="143"/>
      <c r="J9" s="143" t="s">
        <v>1867</v>
      </c>
      <c r="K9" s="143" t="s">
        <v>1307</v>
      </c>
      <c r="L9" s="143" t="s">
        <v>1930</v>
      </c>
      <c r="M9" s="143"/>
      <c r="N9" s="143"/>
      <c r="O9" s="143"/>
      <c r="P9" s="143"/>
      <c r="Q9" s="143"/>
      <c r="R9" s="143"/>
      <c r="S9" s="143">
        <v>80</v>
      </c>
      <c r="T9" s="143">
        <v>0.08</v>
      </c>
      <c r="U9" s="143"/>
      <c r="V9" s="149"/>
      <c r="W9" s="150"/>
      <c r="X9" s="149">
        <v>400</v>
      </c>
      <c r="Y9" s="150"/>
      <c r="Z9" s="149"/>
      <c r="AA9" s="150">
        <v>5</v>
      </c>
      <c r="AB9" s="149">
        <v>2</v>
      </c>
      <c r="AC9" s="177"/>
      <c r="AD9" s="177"/>
      <c r="AE9" s="177"/>
      <c r="AF9" s="177"/>
      <c r="AG9" s="177"/>
      <c r="AH9" s="177"/>
      <c r="AI9" s="177"/>
      <c r="AJ9" s="143"/>
      <c r="AK9" s="143"/>
      <c r="AL9" s="143"/>
      <c r="AM9" s="143"/>
      <c r="AN9" s="143"/>
      <c r="AO9" s="143"/>
      <c r="AP9" s="143"/>
      <c r="AQ9" s="143"/>
      <c r="AR9" s="143" t="s">
        <v>2155</v>
      </c>
      <c r="AS9" s="143"/>
      <c r="AT9" s="143"/>
    </row>
    <row r="10" spans="1:46">
      <c r="A10" s="143"/>
      <c r="B10" s="143"/>
      <c r="C10" s="143"/>
      <c r="D10" s="144"/>
      <c r="E10" s="141">
        <v>3</v>
      </c>
      <c r="F10" s="130"/>
      <c r="G10" s="143"/>
      <c r="H10" s="143" t="s">
        <v>1326</v>
      </c>
      <c r="I10" s="143"/>
      <c r="J10" s="143" t="s">
        <v>1867</v>
      </c>
      <c r="K10" s="143" t="s">
        <v>1308</v>
      </c>
      <c r="L10" s="143" t="s">
        <v>1930</v>
      </c>
      <c r="M10" s="143"/>
      <c r="N10" s="143"/>
      <c r="O10" s="143"/>
      <c r="P10" s="143"/>
      <c r="Q10" s="143"/>
      <c r="R10" s="143"/>
      <c r="S10" s="143">
        <v>120</v>
      </c>
      <c r="T10" s="143">
        <v>0.12</v>
      </c>
      <c r="U10" s="143"/>
      <c r="V10" s="149"/>
      <c r="W10" s="150"/>
      <c r="X10" s="149">
        <v>400</v>
      </c>
      <c r="Y10" s="150"/>
      <c r="Z10" s="149"/>
      <c r="AA10" s="150">
        <v>5</v>
      </c>
      <c r="AB10" s="149">
        <v>2</v>
      </c>
      <c r="AC10" s="177"/>
      <c r="AD10" s="177"/>
      <c r="AE10" s="177"/>
      <c r="AF10" s="177"/>
      <c r="AG10" s="177"/>
      <c r="AH10" s="177"/>
      <c r="AI10" s="177"/>
      <c r="AJ10" s="143"/>
      <c r="AK10" s="143"/>
      <c r="AL10" s="143"/>
      <c r="AM10" s="143"/>
      <c r="AN10" s="143"/>
      <c r="AO10" s="143"/>
      <c r="AP10" s="143"/>
      <c r="AQ10" s="143"/>
      <c r="AR10" s="143" t="s">
        <v>2155</v>
      </c>
      <c r="AS10" s="143"/>
      <c r="AT10" s="143"/>
    </row>
    <row r="11" spans="1:46">
      <c r="A11" s="143"/>
      <c r="B11" s="143"/>
      <c r="C11" s="143" t="s">
        <v>14</v>
      </c>
      <c r="D11" s="144" t="s">
        <v>579</v>
      </c>
      <c r="E11" s="141">
        <v>1</v>
      </c>
      <c r="F11" s="143" t="s">
        <v>1310</v>
      </c>
      <c r="G11" s="143" t="s">
        <v>1807</v>
      </c>
      <c r="H11" s="143" t="s">
        <v>1311</v>
      </c>
      <c r="I11" s="143"/>
      <c r="J11" s="143" t="s">
        <v>1870</v>
      </c>
      <c r="K11" s="143" t="s">
        <v>1314</v>
      </c>
      <c r="L11" s="143" t="s">
        <v>1931</v>
      </c>
      <c r="M11" s="143" t="s">
        <v>2247</v>
      </c>
      <c r="N11" s="143" t="s">
        <v>2248</v>
      </c>
      <c r="O11" s="143" t="s">
        <v>606</v>
      </c>
      <c r="P11" s="143" t="s">
        <v>608</v>
      </c>
      <c r="Q11" s="143" t="s">
        <v>579</v>
      </c>
      <c r="R11" s="143" t="s">
        <v>2249</v>
      </c>
      <c r="S11" s="143">
        <v>0.5</v>
      </c>
      <c r="T11" s="143"/>
      <c r="U11" s="143"/>
      <c r="V11" s="149"/>
      <c r="W11" s="150"/>
      <c r="X11" s="149">
        <v>600</v>
      </c>
      <c r="Y11" s="150"/>
      <c r="Z11" s="149"/>
      <c r="AA11" s="150">
        <v>5</v>
      </c>
      <c r="AB11" s="149">
        <v>14</v>
      </c>
      <c r="AC11" s="177" t="s">
        <v>1990</v>
      </c>
      <c r="AD11" s="177" t="s">
        <v>2075</v>
      </c>
      <c r="AE11" s="177">
        <v>0</v>
      </c>
      <c r="AF11" s="177">
        <v>0</v>
      </c>
      <c r="AG11" s="177">
        <v>1.34</v>
      </c>
      <c r="AH11" s="177">
        <v>1</v>
      </c>
      <c r="AI11" s="177">
        <v>5</v>
      </c>
      <c r="AJ11" s="143" t="s">
        <v>1317</v>
      </c>
      <c r="AK11" s="143" t="s">
        <v>1770</v>
      </c>
      <c r="AL11" s="143">
        <v>3</v>
      </c>
      <c r="AM11" s="143">
        <v>2</v>
      </c>
      <c r="AN11" s="143">
        <v>3</v>
      </c>
      <c r="AO11" s="143">
        <v>0</v>
      </c>
      <c r="AP11" s="143" t="s">
        <v>2089</v>
      </c>
      <c r="AQ11" s="143" t="s">
        <v>2145</v>
      </c>
      <c r="AR11" s="143" t="s">
        <v>2155</v>
      </c>
      <c r="AS11" s="143">
        <v>1</v>
      </c>
      <c r="AT11" s="143"/>
    </row>
    <row r="12" spans="1:46">
      <c r="A12" s="143"/>
      <c r="B12" s="143"/>
      <c r="C12" s="143"/>
      <c r="D12" s="144"/>
      <c r="E12" s="141">
        <v>2</v>
      </c>
      <c r="F12" s="130"/>
      <c r="G12" s="143"/>
      <c r="H12" s="143" t="s">
        <v>1312</v>
      </c>
      <c r="I12" s="143"/>
      <c r="J12" s="143" t="s">
        <v>1870</v>
      </c>
      <c r="K12" s="143" t="s">
        <v>1315</v>
      </c>
      <c r="L12" s="143" t="s">
        <v>1931</v>
      </c>
      <c r="M12" s="143"/>
      <c r="N12" s="143"/>
      <c r="O12" s="143"/>
      <c r="P12" s="143"/>
      <c r="Q12" s="143"/>
      <c r="R12" s="143"/>
      <c r="S12" s="143">
        <v>0.6</v>
      </c>
      <c r="T12" s="143"/>
      <c r="U12" s="143"/>
      <c r="V12" s="149"/>
      <c r="W12" s="150"/>
      <c r="X12" s="149">
        <v>600</v>
      </c>
      <c r="Y12" s="150"/>
      <c r="Z12" s="149"/>
      <c r="AA12" s="150">
        <v>5</v>
      </c>
      <c r="AB12" s="149">
        <v>12</v>
      </c>
      <c r="AC12" s="177"/>
      <c r="AD12" s="177"/>
      <c r="AE12" s="177"/>
      <c r="AF12" s="177"/>
      <c r="AG12" s="177"/>
      <c r="AH12" s="177"/>
      <c r="AI12" s="177"/>
      <c r="AJ12" s="143"/>
      <c r="AK12" s="143"/>
      <c r="AL12" s="143"/>
      <c r="AM12" s="143"/>
      <c r="AN12" s="143"/>
      <c r="AO12" s="143"/>
      <c r="AP12" s="143"/>
      <c r="AQ12" s="143"/>
      <c r="AR12" s="143" t="s">
        <v>2155</v>
      </c>
      <c r="AS12" s="143"/>
      <c r="AT12" s="143"/>
    </row>
    <row r="13" spans="1:46">
      <c r="A13" s="143"/>
      <c r="B13" s="143"/>
      <c r="C13" s="143"/>
      <c r="D13" s="144"/>
      <c r="E13" s="141">
        <v>3</v>
      </c>
      <c r="F13" s="130"/>
      <c r="G13" s="143"/>
      <c r="H13" s="143" t="s">
        <v>1313</v>
      </c>
      <c r="I13" s="143"/>
      <c r="J13" s="143" t="s">
        <v>1870</v>
      </c>
      <c r="K13" s="143" t="s">
        <v>1316</v>
      </c>
      <c r="L13" s="143" t="s">
        <v>1931</v>
      </c>
      <c r="M13" s="143"/>
      <c r="N13" s="143"/>
      <c r="O13" s="143"/>
      <c r="P13" s="143"/>
      <c r="Q13" s="143"/>
      <c r="R13" s="143"/>
      <c r="S13" s="143">
        <v>0.7</v>
      </c>
      <c r="T13" s="143"/>
      <c r="U13" s="143"/>
      <c r="V13" s="149"/>
      <c r="W13" s="150"/>
      <c r="X13" s="149">
        <v>600</v>
      </c>
      <c r="Y13" s="150"/>
      <c r="Z13" s="149"/>
      <c r="AA13" s="150">
        <v>5</v>
      </c>
      <c r="AB13" s="149">
        <v>10</v>
      </c>
      <c r="AC13" s="177"/>
      <c r="AD13" s="177"/>
      <c r="AE13" s="177"/>
      <c r="AF13" s="177"/>
      <c r="AG13" s="177"/>
      <c r="AH13" s="177"/>
      <c r="AI13" s="177"/>
      <c r="AJ13" s="143"/>
      <c r="AK13" s="143"/>
      <c r="AL13" s="143"/>
      <c r="AM13" s="143"/>
      <c r="AN13" s="143"/>
      <c r="AO13" s="143"/>
      <c r="AP13" s="143"/>
      <c r="AQ13" s="143"/>
      <c r="AR13" s="143" t="s">
        <v>2155</v>
      </c>
      <c r="AS13" s="143"/>
      <c r="AT13" s="143"/>
    </row>
    <row r="14" spans="1:46">
      <c r="A14" s="143"/>
      <c r="B14" s="143"/>
      <c r="C14" s="143" t="s">
        <v>15</v>
      </c>
      <c r="D14" s="144" t="s">
        <v>580</v>
      </c>
      <c r="E14" s="141">
        <v>1</v>
      </c>
      <c r="F14" s="143" t="s">
        <v>1318</v>
      </c>
      <c r="G14" s="143" t="s">
        <v>1809</v>
      </c>
      <c r="H14" s="143" t="s">
        <v>1745</v>
      </c>
      <c r="I14" s="143"/>
      <c r="J14" s="143" t="s">
        <v>1868</v>
      </c>
      <c r="K14" s="143" t="s">
        <v>1319</v>
      </c>
      <c r="L14" s="143" t="s">
        <v>1932</v>
      </c>
      <c r="M14" s="143" t="s">
        <v>2253</v>
      </c>
      <c r="N14" s="143" t="s">
        <v>2252</v>
      </c>
      <c r="O14" s="143" t="s">
        <v>607</v>
      </c>
      <c r="P14" s="143" t="s">
        <v>608</v>
      </c>
      <c r="Q14" s="143" t="s">
        <v>2250</v>
      </c>
      <c r="R14" s="143" t="s">
        <v>2251</v>
      </c>
      <c r="S14" s="143">
        <v>0.2</v>
      </c>
      <c r="T14" s="143"/>
      <c r="U14" s="143"/>
      <c r="V14" s="149"/>
      <c r="W14" s="150"/>
      <c r="X14" s="149"/>
      <c r="Y14" s="150"/>
      <c r="Z14" s="149"/>
      <c r="AA14" s="150">
        <v>8</v>
      </c>
      <c r="AB14" s="149">
        <v>30</v>
      </c>
      <c r="AC14" s="177" t="s">
        <v>1991</v>
      </c>
      <c r="AD14" s="177" t="s">
        <v>2075</v>
      </c>
      <c r="AE14" s="177">
        <v>0</v>
      </c>
      <c r="AF14" s="177">
        <v>0</v>
      </c>
      <c r="AG14" s="177">
        <v>1.34</v>
      </c>
      <c r="AH14" s="177">
        <v>0</v>
      </c>
      <c r="AI14" s="177">
        <v>5</v>
      </c>
      <c r="AJ14" s="143" t="s">
        <v>2077</v>
      </c>
      <c r="AK14" s="143" t="s">
        <v>2050</v>
      </c>
      <c r="AL14" s="143">
        <v>1</v>
      </c>
      <c r="AM14" s="143">
        <v>1</v>
      </c>
      <c r="AN14" s="143">
        <v>0</v>
      </c>
      <c r="AO14" s="143">
        <v>1</v>
      </c>
      <c r="AP14" s="143" t="s">
        <v>2090</v>
      </c>
      <c r="AQ14" s="143" t="s">
        <v>2146</v>
      </c>
      <c r="AR14" s="143"/>
      <c r="AS14" s="143">
        <v>1</v>
      </c>
      <c r="AT14" s="143"/>
    </row>
    <row r="15" spans="1:46">
      <c r="A15" s="143"/>
      <c r="B15" s="143"/>
      <c r="C15" s="143"/>
      <c r="D15" s="144"/>
      <c r="E15" s="141">
        <v>2</v>
      </c>
      <c r="F15" s="130"/>
      <c r="G15" s="143"/>
      <c r="H15" s="143" t="s">
        <v>16</v>
      </c>
      <c r="I15" s="143"/>
      <c r="J15" s="143" t="s">
        <v>1868</v>
      </c>
      <c r="K15" s="143" t="s">
        <v>1320</v>
      </c>
      <c r="L15" s="143" t="s">
        <v>1932</v>
      </c>
      <c r="M15" s="143"/>
      <c r="N15" s="143"/>
      <c r="O15" s="143"/>
      <c r="P15" s="143"/>
      <c r="Q15" s="143"/>
      <c r="R15" s="143"/>
      <c r="S15" s="143">
        <v>0.35</v>
      </c>
      <c r="T15" s="143"/>
      <c r="U15" s="143"/>
      <c r="V15" s="149"/>
      <c r="W15" s="150"/>
      <c r="X15" s="149"/>
      <c r="Y15" s="150"/>
      <c r="Z15" s="149"/>
      <c r="AA15" s="150">
        <v>8</v>
      </c>
      <c r="AB15" s="149">
        <v>30</v>
      </c>
      <c r="AC15" s="177"/>
      <c r="AD15" s="177"/>
      <c r="AE15" s="177"/>
      <c r="AF15" s="177"/>
      <c r="AG15" s="177"/>
      <c r="AH15" s="177"/>
      <c r="AI15" s="177"/>
      <c r="AJ15" s="143"/>
      <c r="AK15" s="143"/>
      <c r="AL15" s="143"/>
      <c r="AM15" s="143"/>
      <c r="AN15" s="143"/>
      <c r="AO15" s="143"/>
      <c r="AP15" s="143"/>
      <c r="AQ15" s="143"/>
      <c r="AR15" s="143"/>
      <c r="AS15" s="143"/>
      <c r="AT15" s="143"/>
    </row>
    <row r="16" spans="1:46">
      <c r="A16" s="143"/>
      <c r="B16" s="143"/>
      <c r="C16" s="143"/>
      <c r="D16" s="144"/>
      <c r="E16" s="141">
        <v>3</v>
      </c>
      <c r="F16" s="130"/>
      <c r="G16" s="143"/>
      <c r="H16" s="143" t="s">
        <v>17</v>
      </c>
      <c r="I16" s="143"/>
      <c r="J16" s="143" t="s">
        <v>1868</v>
      </c>
      <c r="K16" s="143" t="s">
        <v>1321</v>
      </c>
      <c r="L16" s="143" t="s">
        <v>1932</v>
      </c>
      <c r="M16" s="143"/>
      <c r="N16" s="143"/>
      <c r="O16" s="143"/>
      <c r="P16" s="143"/>
      <c r="Q16" s="143"/>
      <c r="R16" s="143"/>
      <c r="S16" s="143">
        <v>0.5</v>
      </c>
      <c r="T16" s="143"/>
      <c r="U16" s="143"/>
      <c r="V16" s="149"/>
      <c r="W16" s="150"/>
      <c r="X16" s="149"/>
      <c r="Y16" s="150"/>
      <c r="Z16" s="149"/>
      <c r="AA16" s="150">
        <v>8</v>
      </c>
      <c r="AB16" s="149">
        <v>30</v>
      </c>
      <c r="AC16" s="177"/>
      <c r="AD16" s="177"/>
      <c r="AE16" s="177"/>
      <c r="AF16" s="177"/>
      <c r="AG16" s="177"/>
      <c r="AH16" s="177"/>
      <c r="AI16" s="177"/>
      <c r="AJ16" s="143"/>
      <c r="AK16" s="143"/>
      <c r="AL16" s="143"/>
      <c r="AM16" s="143"/>
      <c r="AN16" s="143"/>
      <c r="AO16" s="143"/>
      <c r="AP16" s="143"/>
      <c r="AQ16" s="143"/>
      <c r="AR16" s="143"/>
      <c r="AS16" s="143"/>
      <c r="AT16" s="143"/>
    </row>
    <row r="17" spans="1:46">
      <c r="A17" s="145" t="s">
        <v>18</v>
      </c>
      <c r="B17" s="145" t="s">
        <v>1784</v>
      </c>
      <c r="C17" s="143" t="s">
        <v>19</v>
      </c>
      <c r="D17" s="141" t="s">
        <v>888</v>
      </c>
      <c r="E17" s="141">
        <v>1</v>
      </c>
      <c r="F17" s="143" t="s">
        <v>1322</v>
      </c>
      <c r="G17" s="143" t="s">
        <v>1808</v>
      </c>
      <c r="H17" s="143" t="s">
        <v>1327</v>
      </c>
      <c r="I17" s="143"/>
      <c r="J17" s="143" t="s">
        <v>1869</v>
      </c>
      <c r="K17" s="143" t="s">
        <v>1330</v>
      </c>
      <c r="L17" s="143" t="s">
        <v>1933</v>
      </c>
      <c r="M17" s="143" t="s">
        <v>2254</v>
      </c>
      <c r="N17" s="143" t="s">
        <v>2255</v>
      </c>
      <c r="O17" s="143" t="s">
        <v>606</v>
      </c>
      <c r="P17" s="143" t="s">
        <v>607</v>
      </c>
      <c r="Q17" s="143" t="s">
        <v>888</v>
      </c>
      <c r="R17" s="143" t="s">
        <v>2256</v>
      </c>
      <c r="S17" s="143">
        <v>100</v>
      </c>
      <c r="T17" s="143">
        <v>50</v>
      </c>
      <c r="U17" s="143"/>
      <c r="V17" s="149"/>
      <c r="W17" s="150"/>
      <c r="X17" s="149">
        <v>128</v>
      </c>
      <c r="Y17" s="150"/>
      <c r="Z17" s="149"/>
      <c r="AA17" s="150">
        <v>16</v>
      </c>
      <c r="AB17" s="149">
        <v>1</v>
      </c>
      <c r="AC17" s="177" t="s">
        <v>1992</v>
      </c>
      <c r="AD17" s="177" t="s">
        <v>2075</v>
      </c>
      <c r="AE17" s="177">
        <v>0</v>
      </c>
      <c r="AF17" s="177">
        <v>0</v>
      </c>
      <c r="AG17" s="177">
        <v>1.17</v>
      </c>
      <c r="AH17" s="177">
        <v>1</v>
      </c>
      <c r="AI17" s="177">
        <v>5</v>
      </c>
      <c r="AJ17" s="143" t="s">
        <v>1048</v>
      </c>
      <c r="AK17" s="143" t="s">
        <v>2051</v>
      </c>
      <c r="AL17" s="143">
        <v>0</v>
      </c>
      <c r="AM17" s="143">
        <v>2</v>
      </c>
      <c r="AN17" s="143">
        <v>0</v>
      </c>
      <c r="AO17" s="143">
        <v>0</v>
      </c>
      <c r="AP17" s="143" t="s">
        <v>2091</v>
      </c>
      <c r="AQ17" s="143" t="s">
        <v>2147</v>
      </c>
      <c r="AR17" s="143" t="s">
        <v>2155</v>
      </c>
      <c r="AS17" s="143">
        <v>1</v>
      </c>
      <c r="AT17" s="143"/>
    </row>
    <row r="18" spans="1:46">
      <c r="C18" s="141"/>
      <c r="D18" s="141"/>
      <c r="E18" s="141">
        <v>2</v>
      </c>
      <c r="F18" s="130"/>
      <c r="G18" s="143"/>
      <c r="H18" s="143" t="s">
        <v>1328</v>
      </c>
      <c r="I18" s="143"/>
      <c r="J18" s="143" t="s">
        <v>1869</v>
      </c>
      <c r="K18" s="143" t="s">
        <v>1331</v>
      </c>
      <c r="L18" s="143" t="s">
        <v>1933</v>
      </c>
      <c r="M18" s="143"/>
      <c r="N18" s="143"/>
      <c r="O18" s="143"/>
      <c r="P18" s="143"/>
      <c r="Q18" s="143"/>
      <c r="R18" s="143"/>
      <c r="S18" s="143">
        <v>200</v>
      </c>
      <c r="T18" s="143">
        <v>100</v>
      </c>
      <c r="U18" s="143"/>
      <c r="V18" s="149"/>
      <c r="W18" s="150"/>
      <c r="X18" s="149">
        <v>128</v>
      </c>
      <c r="Y18" s="150"/>
      <c r="Z18" s="149"/>
      <c r="AA18" s="150">
        <v>16</v>
      </c>
      <c r="AB18" s="149">
        <v>1</v>
      </c>
      <c r="AC18" s="177"/>
      <c r="AD18" s="177"/>
      <c r="AE18" s="177"/>
      <c r="AF18" s="177"/>
      <c r="AG18" s="177"/>
      <c r="AH18" s="177"/>
      <c r="AI18" s="177"/>
      <c r="AJ18" s="143"/>
      <c r="AK18" s="143"/>
      <c r="AL18" s="143"/>
      <c r="AM18" s="143"/>
      <c r="AN18" s="143"/>
      <c r="AO18" s="143"/>
      <c r="AP18" s="143"/>
      <c r="AQ18" s="143"/>
      <c r="AR18" s="143" t="s">
        <v>2155</v>
      </c>
      <c r="AS18" s="143"/>
      <c r="AT18" s="143"/>
    </row>
    <row r="19" spans="1:46">
      <c r="C19" s="141"/>
      <c r="D19" s="141"/>
      <c r="E19" s="141">
        <v>3</v>
      </c>
      <c r="F19" s="130"/>
      <c r="G19" s="143"/>
      <c r="H19" s="143" t="s">
        <v>1329</v>
      </c>
      <c r="I19" s="143"/>
      <c r="J19" s="143" t="s">
        <v>1869</v>
      </c>
      <c r="K19" s="143" t="s">
        <v>1332</v>
      </c>
      <c r="L19" s="143" t="s">
        <v>1933</v>
      </c>
      <c r="M19" s="143"/>
      <c r="N19" s="143"/>
      <c r="O19" s="143"/>
      <c r="P19" s="143"/>
      <c r="Q19" s="143"/>
      <c r="R19" s="143"/>
      <c r="S19" s="143">
        <v>300</v>
      </c>
      <c r="T19" s="143">
        <v>150</v>
      </c>
      <c r="U19" s="143"/>
      <c r="V19" s="149"/>
      <c r="W19" s="150"/>
      <c r="X19" s="149">
        <v>128</v>
      </c>
      <c r="Y19" s="150"/>
      <c r="Z19" s="149"/>
      <c r="AA19" s="150">
        <v>16</v>
      </c>
      <c r="AB19" s="149">
        <v>1</v>
      </c>
      <c r="AC19" s="177"/>
      <c r="AD19" s="177"/>
      <c r="AE19" s="177"/>
      <c r="AF19" s="177"/>
      <c r="AG19" s="177"/>
      <c r="AH19" s="177"/>
      <c r="AI19" s="177"/>
      <c r="AJ19" s="143"/>
      <c r="AK19" s="143"/>
      <c r="AL19" s="143"/>
      <c r="AM19" s="143"/>
      <c r="AN19" s="143"/>
      <c r="AO19" s="143"/>
      <c r="AP19" s="143"/>
      <c r="AQ19" s="143"/>
      <c r="AR19" s="143" t="s">
        <v>2155</v>
      </c>
      <c r="AS19" s="143"/>
      <c r="AT19" s="143"/>
    </row>
    <row r="20" spans="1:46">
      <c r="C20" s="143" t="s">
        <v>20</v>
      </c>
      <c r="D20" s="144" t="s">
        <v>760</v>
      </c>
      <c r="E20" s="141">
        <v>1</v>
      </c>
      <c r="F20" s="143" t="s">
        <v>1333</v>
      </c>
      <c r="G20" s="143" t="s">
        <v>1811</v>
      </c>
      <c r="H20" s="143" t="s">
        <v>21</v>
      </c>
      <c r="I20" s="143"/>
      <c r="J20" s="143" t="s">
        <v>1870</v>
      </c>
      <c r="K20" s="143" t="s">
        <v>1334</v>
      </c>
      <c r="L20" s="143" t="s">
        <v>1934</v>
      </c>
      <c r="M20" s="143" t="s">
        <v>2258</v>
      </c>
      <c r="N20" s="143" t="s">
        <v>2257</v>
      </c>
      <c r="O20" s="143" t="s">
        <v>606</v>
      </c>
      <c r="P20" s="143" t="s">
        <v>607</v>
      </c>
      <c r="Q20" s="143" t="s">
        <v>760</v>
      </c>
      <c r="R20" s="143" t="s">
        <v>2249</v>
      </c>
      <c r="S20" s="143">
        <v>0.05</v>
      </c>
      <c r="T20" s="143"/>
      <c r="U20" s="143"/>
      <c r="V20" s="149"/>
      <c r="W20" s="150"/>
      <c r="X20" s="149"/>
      <c r="Y20" s="150">
        <v>600</v>
      </c>
      <c r="Z20" s="149"/>
      <c r="AA20" s="150">
        <v>10</v>
      </c>
      <c r="AB20" s="149">
        <v>5</v>
      </c>
      <c r="AC20" s="177" t="s">
        <v>2020</v>
      </c>
      <c r="AD20" s="177" t="s">
        <v>2075</v>
      </c>
      <c r="AE20" s="177">
        <v>0</v>
      </c>
      <c r="AF20" s="177">
        <v>0</v>
      </c>
      <c r="AG20" s="177">
        <v>1.17</v>
      </c>
      <c r="AH20" s="177">
        <v>0</v>
      </c>
      <c r="AI20" s="177">
        <v>5</v>
      </c>
      <c r="AJ20" s="143" t="s">
        <v>1301</v>
      </c>
      <c r="AK20" s="143" t="s">
        <v>1752</v>
      </c>
      <c r="AL20" s="143">
        <v>1</v>
      </c>
      <c r="AM20" s="143">
        <v>2</v>
      </c>
      <c r="AN20" s="143">
        <v>1</v>
      </c>
      <c r="AO20" s="143">
        <v>0</v>
      </c>
      <c r="AP20" s="143" t="s">
        <v>2092</v>
      </c>
      <c r="AQ20" s="143" t="s">
        <v>2147</v>
      </c>
      <c r="AR20" s="143"/>
      <c r="AS20" s="143">
        <v>1</v>
      </c>
      <c r="AT20" s="143"/>
    </row>
    <row r="21" spans="1:46">
      <c r="C21" s="143"/>
      <c r="D21" s="144"/>
      <c r="E21" s="141">
        <v>2</v>
      </c>
      <c r="F21" s="130"/>
      <c r="G21" s="143"/>
      <c r="H21" s="143" t="s">
        <v>22</v>
      </c>
      <c r="I21" s="143"/>
      <c r="J21" s="143" t="s">
        <v>1870</v>
      </c>
      <c r="K21" s="143" t="s">
        <v>1335</v>
      </c>
      <c r="L21" s="143" t="s">
        <v>1934</v>
      </c>
      <c r="M21" s="143"/>
      <c r="N21" s="143"/>
      <c r="O21" s="143"/>
      <c r="P21" s="143"/>
      <c r="Q21" s="143"/>
      <c r="R21" s="143"/>
      <c r="S21" s="143">
        <v>0.1</v>
      </c>
      <c r="T21" s="143"/>
      <c r="U21" s="143"/>
      <c r="V21" s="149"/>
      <c r="W21" s="150"/>
      <c r="X21" s="149"/>
      <c r="Y21" s="150">
        <v>600</v>
      </c>
      <c r="Z21" s="149"/>
      <c r="AA21" s="150">
        <v>10</v>
      </c>
      <c r="AB21" s="149">
        <v>5</v>
      </c>
      <c r="AC21" s="177"/>
      <c r="AD21" s="177"/>
      <c r="AE21" s="177"/>
      <c r="AF21" s="177"/>
      <c r="AG21" s="177"/>
      <c r="AH21" s="177"/>
      <c r="AI21" s="177"/>
      <c r="AJ21" s="143"/>
      <c r="AK21" s="143"/>
      <c r="AL21" s="143"/>
      <c r="AM21" s="143"/>
      <c r="AN21" s="143"/>
      <c r="AO21" s="143"/>
      <c r="AP21" s="143"/>
      <c r="AQ21" s="143"/>
      <c r="AR21" s="143"/>
      <c r="AS21" s="143"/>
      <c r="AT21" s="143"/>
    </row>
    <row r="22" spans="1:46">
      <c r="C22" s="143"/>
      <c r="D22" s="144"/>
      <c r="E22" s="141">
        <v>3</v>
      </c>
      <c r="F22" s="130"/>
      <c r="G22" s="143"/>
      <c r="H22" s="143" t="s">
        <v>23</v>
      </c>
      <c r="I22" s="143"/>
      <c r="J22" s="143" t="s">
        <v>1870</v>
      </c>
      <c r="K22" s="143" t="s">
        <v>1336</v>
      </c>
      <c r="L22" s="143" t="s">
        <v>1934</v>
      </c>
      <c r="M22" s="143"/>
      <c r="N22" s="143"/>
      <c r="O22" s="143"/>
      <c r="P22" s="143"/>
      <c r="Q22" s="143"/>
      <c r="R22" s="143"/>
      <c r="S22" s="143">
        <v>0.15</v>
      </c>
      <c r="T22" s="143"/>
      <c r="U22" s="143"/>
      <c r="V22" s="149"/>
      <c r="W22" s="150"/>
      <c r="X22" s="149"/>
      <c r="Y22" s="150">
        <v>600</v>
      </c>
      <c r="Z22" s="149"/>
      <c r="AA22" s="150">
        <v>10</v>
      </c>
      <c r="AB22" s="149">
        <v>5</v>
      </c>
      <c r="AC22" s="177"/>
      <c r="AD22" s="177"/>
      <c r="AE22" s="177"/>
      <c r="AF22" s="177"/>
      <c r="AG22" s="177"/>
      <c r="AH22" s="177"/>
      <c r="AI22" s="177"/>
      <c r="AJ22" s="143"/>
      <c r="AK22" s="143"/>
      <c r="AL22" s="143"/>
      <c r="AM22" s="143"/>
      <c r="AN22" s="143"/>
      <c r="AO22" s="143"/>
      <c r="AP22" s="143"/>
      <c r="AQ22" s="143"/>
      <c r="AR22" s="143"/>
      <c r="AS22" s="143"/>
      <c r="AT22" s="143"/>
    </row>
    <row r="23" spans="1:46">
      <c r="C23" s="143" t="s">
        <v>24</v>
      </c>
      <c r="D23" s="144" t="s">
        <v>886</v>
      </c>
      <c r="E23" s="141">
        <v>1</v>
      </c>
      <c r="F23" s="143" t="s">
        <v>25</v>
      </c>
      <c r="G23" s="143" t="s">
        <v>1810</v>
      </c>
      <c r="H23" s="143" t="s">
        <v>1338</v>
      </c>
      <c r="I23" s="143"/>
      <c r="J23" s="143" t="s">
        <v>1871</v>
      </c>
      <c r="K23" s="143" t="s">
        <v>1337</v>
      </c>
      <c r="L23" s="143" t="s">
        <v>1935</v>
      </c>
      <c r="M23" s="143"/>
      <c r="N23" s="143"/>
      <c r="O23" s="143"/>
      <c r="P23" s="143"/>
      <c r="Q23" s="143"/>
      <c r="R23" s="143"/>
      <c r="S23" s="143">
        <v>0.03</v>
      </c>
      <c r="T23" s="143">
        <v>60</v>
      </c>
      <c r="U23" s="143"/>
      <c r="V23" s="149"/>
      <c r="W23" s="150"/>
      <c r="X23" s="149"/>
      <c r="Y23" s="150"/>
      <c r="Z23" s="149">
        <v>0.5</v>
      </c>
      <c r="AA23" s="150"/>
      <c r="AB23" s="149">
        <v>1</v>
      </c>
      <c r="AC23" s="177" t="s">
        <v>1993</v>
      </c>
      <c r="AD23" s="177" t="s">
        <v>2075</v>
      </c>
      <c r="AE23" s="177">
        <v>0</v>
      </c>
      <c r="AF23" s="177">
        <v>0</v>
      </c>
      <c r="AG23" s="177">
        <v>1.17</v>
      </c>
      <c r="AH23" s="177">
        <v>0</v>
      </c>
      <c r="AI23" s="177">
        <v>5</v>
      </c>
      <c r="AJ23" s="143" t="s">
        <v>1309</v>
      </c>
      <c r="AK23" s="143" t="s">
        <v>2052</v>
      </c>
      <c r="AL23" s="143">
        <v>2</v>
      </c>
      <c r="AM23" s="143">
        <v>2</v>
      </c>
      <c r="AN23" s="143">
        <v>2</v>
      </c>
      <c r="AO23" s="143">
        <v>0</v>
      </c>
      <c r="AP23" s="143" t="s">
        <v>2093</v>
      </c>
      <c r="AQ23" s="143" t="s">
        <v>2147</v>
      </c>
      <c r="AR23" s="143"/>
      <c r="AS23" s="143">
        <v>1</v>
      </c>
      <c r="AT23" s="143"/>
    </row>
    <row r="24" spans="1:46">
      <c r="C24" s="143"/>
      <c r="D24" s="144"/>
      <c r="E24" s="141">
        <v>2</v>
      </c>
      <c r="F24" s="130"/>
      <c r="G24" s="143"/>
      <c r="H24" s="143" t="s">
        <v>1339</v>
      </c>
      <c r="I24" s="143"/>
      <c r="J24" s="143" t="s">
        <v>1871</v>
      </c>
      <c r="K24" s="143" t="s">
        <v>1341</v>
      </c>
      <c r="L24" s="143" t="s">
        <v>1935</v>
      </c>
      <c r="M24" s="143"/>
      <c r="N24" s="143"/>
      <c r="O24" s="143"/>
      <c r="P24" s="143"/>
      <c r="Q24" s="143"/>
      <c r="R24" s="143"/>
      <c r="S24" s="143">
        <v>0.06</v>
      </c>
      <c r="T24" s="143">
        <v>120</v>
      </c>
      <c r="U24" s="143"/>
      <c r="V24" s="149"/>
      <c r="W24" s="150"/>
      <c r="X24" s="149"/>
      <c r="Y24" s="150"/>
      <c r="Z24" s="149">
        <v>0.5</v>
      </c>
      <c r="AA24" s="150"/>
      <c r="AB24" s="149">
        <v>1</v>
      </c>
      <c r="AC24" s="177"/>
      <c r="AD24" s="177"/>
      <c r="AE24" s="177"/>
      <c r="AF24" s="177"/>
      <c r="AG24" s="177"/>
      <c r="AH24" s="177"/>
      <c r="AI24" s="177"/>
      <c r="AJ24" s="143"/>
      <c r="AK24" s="143"/>
      <c r="AL24" s="143"/>
      <c r="AM24" s="143"/>
      <c r="AN24" s="143"/>
      <c r="AO24" s="143"/>
      <c r="AP24" s="143"/>
      <c r="AQ24" s="143"/>
      <c r="AR24" s="143"/>
      <c r="AS24" s="143"/>
      <c r="AT24" s="143"/>
    </row>
    <row r="25" spans="1:46">
      <c r="C25" s="143"/>
      <c r="D25" s="144"/>
      <c r="E25" s="141">
        <v>3</v>
      </c>
      <c r="F25" s="130"/>
      <c r="G25" s="143"/>
      <c r="H25" s="143" t="s">
        <v>1340</v>
      </c>
      <c r="I25" s="143"/>
      <c r="J25" s="143" t="s">
        <v>1871</v>
      </c>
      <c r="K25" s="143" t="s">
        <v>1342</v>
      </c>
      <c r="L25" s="143" t="s">
        <v>1935</v>
      </c>
      <c r="M25" s="143"/>
      <c r="N25" s="143"/>
      <c r="O25" s="143"/>
      <c r="P25" s="143"/>
      <c r="Q25" s="143"/>
      <c r="R25" s="143"/>
      <c r="S25" s="143">
        <v>0.09</v>
      </c>
      <c r="T25" s="143">
        <v>240</v>
      </c>
      <c r="U25" s="143"/>
      <c r="V25" s="149"/>
      <c r="W25" s="150"/>
      <c r="X25" s="149"/>
      <c r="Y25" s="150"/>
      <c r="Z25" s="149">
        <v>0.5</v>
      </c>
      <c r="AA25" s="150"/>
      <c r="AB25" s="149">
        <v>1</v>
      </c>
      <c r="AC25" s="177"/>
      <c r="AD25" s="177"/>
      <c r="AE25" s="177"/>
      <c r="AF25" s="177"/>
      <c r="AG25" s="177"/>
      <c r="AH25" s="177"/>
      <c r="AI25" s="177"/>
      <c r="AJ25" s="143"/>
      <c r="AK25" s="143"/>
      <c r="AL25" s="143"/>
      <c r="AM25" s="143"/>
      <c r="AN25" s="143"/>
      <c r="AO25" s="143"/>
      <c r="AP25" s="143"/>
      <c r="AQ25" s="143"/>
      <c r="AR25" s="143"/>
      <c r="AS25" s="143"/>
      <c r="AT25" s="143"/>
    </row>
    <row r="26" spans="1:46">
      <c r="C26" s="143" t="s">
        <v>26</v>
      </c>
      <c r="D26" s="144" t="s">
        <v>759</v>
      </c>
      <c r="E26" s="141">
        <v>1</v>
      </c>
      <c r="F26" s="143" t="s">
        <v>1343</v>
      </c>
      <c r="G26" s="143" t="s">
        <v>1812</v>
      </c>
      <c r="H26" s="143" t="s">
        <v>1344</v>
      </c>
      <c r="I26" s="143"/>
      <c r="J26" s="143" t="s">
        <v>1873</v>
      </c>
      <c r="K26" s="143" t="s">
        <v>1347</v>
      </c>
      <c r="L26" s="143" t="s">
        <v>1936</v>
      </c>
      <c r="M26" s="143" t="s">
        <v>2260</v>
      </c>
      <c r="N26" s="143" t="s">
        <v>2259</v>
      </c>
      <c r="O26" s="143" t="s">
        <v>607</v>
      </c>
      <c r="P26" s="143" t="s">
        <v>607</v>
      </c>
      <c r="Q26" s="143" t="s">
        <v>759</v>
      </c>
      <c r="R26" s="143" t="s">
        <v>2261</v>
      </c>
      <c r="S26" s="143">
        <v>0.02</v>
      </c>
      <c r="T26" s="143">
        <v>0.12</v>
      </c>
      <c r="U26" s="143"/>
      <c r="V26" s="149"/>
      <c r="W26" s="150"/>
      <c r="X26" s="149"/>
      <c r="Y26" s="150"/>
      <c r="Z26" s="149"/>
      <c r="AA26" s="150">
        <v>5</v>
      </c>
      <c r="AB26" s="149">
        <v>15</v>
      </c>
      <c r="AC26" s="177" t="s">
        <v>1994</v>
      </c>
      <c r="AD26" s="177" t="s">
        <v>2075</v>
      </c>
      <c r="AE26" s="177">
        <v>0</v>
      </c>
      <c r="AF26" s="177">
        <v>0</v>
      </c>
      <c r="AG26" s="177">
        <v>1.17</v>
      </c>
      <c r="AH26" s="177">
        <v>0</v>
      </c>
      <c r="AI26" s="177">
        <v>5</v>
      </c>
      <c r="AJ26" s="143" t="s">
        <v>1317</v>
      </c>
      <c r="AK26" s="143" t="s">
        <v>2053</v>
      </c>
      <c r="AL26" s="143">
        <v>3</v>
      </c>
      <c r="AM26" s="143">
        <v>2</v>
      </c>
      <c r="AN26" s="143">
        <v>3</v>
      </c>
      <c r="AO26" s="143">
        <v>0</v>
      </c>
      <c r="AP26" s="143" t="s">
        <v>2094</v>
      </c>
      <c r="AQ26" s="143" t="s">
        <v>2147</v>
      </c>
      <c r="AR26" s="143"/>
      <c r="AS26" s="143">
        <v>1</v>
      </c>
      <c r="AT26" s="143"/>
    </row>
    <row r="27" spans="1:46">
      <c r="C27" s="143"/>
      <c r="D27" s="144"/>
      <c r="E27" s="141">
        <v>2</v>
      </c>
      <c r="F27" s="130"/>
      <c r="G27" s="143"/>
      <c r="H27" s="143" t="s">
        <v>1345</v>
      </c>
      <c r="I27" s="143"/>
      <c r="J27" s="143" t="s">
        <v>1873</v>
      </c>
      <c r="K27" s="143" t="s">
        <v>1348</v>
      </c>
      <c r="L27" s="143" t="s">
        <v>1936</v>
      </c>
      <c r="M27" s="143"/>
      <c r="N27" s="143"/>
      <c r="O27" s="143"/>
      <c r="P27" s="143"/>
      <c r="Q27" s="143"/>
      <c r="R27" s="143"/>
      <c r="S27" s="143">
        <v>0.04</v>
      </c>
      <c r="T27" s="143">
        <v>0.18</v>
      </c>
      <c r="U27" s="143"/>
      <c r="V27" s="149"/>
      <c r="W27" s="150"/>
      <c r="X27" s="149"/>
      <c r="Y27" s="150"/>
      <c r="Z27" s="149"/>
      <c r="AA27" s="150">
        <v>5</v>
      </c>
      <c r="AB27" s="149">
        <v>15</v>
      </c>
      <c r="AC27" s="177"/>
      <c r="AD27" s="177"/>
      <c r="AE27" s="177"/>
      <c r="AF27" s="177"/>
      <c r="AG27" s="177"/>
      <c r="AH27" s="177"/>
      <c r="AI27" s="177"/>
      <c r="AJ27" s="143"/>
      <c r="AK27" s="143"/>
      <c r="AL27" s="143"/>
      <c r="AM27" s="143"/>
      <c r="AN27" s="143"/>
      <c r="AO27" s="143"/>
      <c r="AP27" s="143"/>
      <c r="AQ27" s="143"/>
      <c r="AR27" s="143"/>
      <c r="AS27" s="143"/>
      <c r="AT27" s="143"/>
    </row>
    <row r="28" spans="1:46">
      <c r="C28" s="143"/>
      <c r="D28" s="144"/>
      <c r="E28" s="141">
        <v>3</v>
      </c>
      <c r="F28" s="130"/>
      <c r="G28" s="143"/>
      <c r="H28" s="143" t="s">
        <v>1346</v>
      </c>
      <c r="I28" s="143"/>
      <c r="J28" s="143" t="s">
        <v>1873</v>
      </c>
      <c r="K28" s="143" t="s">
        <v>1349</v>
      </c>
      <c r="L28" s="143" t="s">
        <v>1936</v>
      </c>
      <c r="M28" s="143"/>
      <c r="N28" s="143"/>
      <c r="O28" s="143"/>
      <c r="P28" s="143"/>
      <c r="Q28" s="143"/>
      <c r="R28" s="143"/>
      <c r="S28" s="143">
        <v>0.06</v>
      </c>
      <c r="T28" s="143">
        <v>0.24</v>
      </c>
      <c r="U28" s="143"/>
      <c r="V28" s="149"/>
      <c r="W28" s="150"/>
      <c r="X28" s="149"/>
      <c r="Y28" s="150"/>
      <c r="Z28" s="149"/>
      <c r="AA28" s="150">
        <v>5</v>
      </c>
      <c r="AB28" s="149">
        <v>15</v>
      </c>
      <c r="AC28" s="177"/>
      <c r="AD28" s="177"/>
      <c r="AE28" s="177"/>
      <c r="AF28" s="177"/>
      <c r="AG28" s="177"/>
      <c r="AH28" s="177"/>
      <c r="AI28" s="177"/>
      <c r="AJ28" s="143"/>
      <c r="AK28" s="143"/>
      <c r="AL28" s="143"/>
      <c r="AM28" s="143"/>
      <c r="AN28" s="143"/>
      <c r="AO28" s="143"/>
      <c r="AP28" s="143"/>
      <c r="AQ28" s="143"/>
      <c r="AR28" s="143"/>
      <c r="AS28" s="143"/>
      <c r="AT28" s="143"/>
    </row>
    <row r="29" spans="1:46">
      <c r="C29" s="143" t="s">
        <v>28</v>
      </c>
      <c r="D29" s="144" t="s">
        <v>885</v>
      </c>
      <c r="E29" s="141">
        <v>1</v>
      </c>
      <c r="F29" s="143" t="s">
        <v>1746</v>
      </c>
      <c r="G29" s="143" t="s">
        <v>1813</v>
      </c>
      <c r="H29" s="143" t="s">
        <v>1747</v>
      </c>
      <c r="I29" s="143"/>
      <c r="J29" s="143" t="s">
        <v>1874</v>
      </c>
      <c r="K29" s="143" t="s">
        <v>1350</v>
      </c>
      <c r="L29" s="143" t="s">
        <v>1937</v>
      </c>
      <c r="M29" s="143" t="s">
        <v>2262</v>
      </c>
      <c r="N29" s="143" t="s">
        <v>2263</v>
      </c>
      <c r="O29" s="143" t="s">
        <v>607</v>
      </c>
      <c r="P29" s="143" t="s">
        <v>607</v>
      </c>
      <c r="Q29" s="143" t="s">
        <v>885</v>
      </c>
      <c r="R29" s="143" t="s">
        <v>2264</v>
      </c>
      <c r="S29" s="143">
        <v>0.3</v>
      </c>
      <c r="T29" s="143"/>
      <c r="U29" s="143"/>
      <c r="V29" s="149"/>
      <c r="W29" s="150"/>
      <c r="X29" s="149"/>
      <c r="Y29" s="150"/>
      <c r="Z29" s="149"/>
      <c r="AA29" s="150">
        <v>5</v>
      </c>
      <c r="AB29" s="149">
        <v>60</v>
      </c>
      <c r="AC29" s="177" t="s">
        <v>1995</v>
      </c>
      <c r="AD29" s="177" t="s">
        <v>2075</v>
      </c>
      <c r="AE29" s="177">
        <v>0</v>
      </c>
      <c r="AF29" s="177">
        <v>0</v>
      </c>
      <c r="AG29" s="177">
        <v>1.17</v>
      </c>
      <c r="AH29" s="177">
        <v>0</v>
      </c>
      <c r="AI29" s="177">
        <v>5</v>
      </c>
      <c r="AJ29" s="143" t="s">
        <v>2077</v>
      </c>
      <c r="AK29" s="143" t="s">
        <v>2054</v>
      </c>
      <c r="AL29" s="143">
        <v>1</v>
      </c>
      <c r="AM29" s="143">
        <v>1</v>
      </c>
      <c r="AN29" s="143">
        <v>0</v>
      </c>
      <c r="AO29" s="143">
        <v>1</v>
      </c>
      <c r="AP29" s="143" t="s">
        <v>2095</v>
      </c>
      <c r="AQ29" s="143" t="s">
        <v>2147</v>
      </c>
      <c r="AR29" s="143"/>
      <c r="AS29" s="143">
        <v>1</v>
      </c>
      <c r="AT29" s="143"/>
    </row>
    <row r="30" spans="1:46">
      <c r="C30" s="143"/>
      <c r="D30" s="144"/>
      <c r="E30" s="141">
        <v>2</v>
      </c>
      <c r="F30" s="130"/>
      <c r="G30" s="143"/>
      <c r="H30" s="143" t="s">
        <v>1748</v>
      </c>
      <c r="I30" s="143"/>
      <c r="J30" s="143" t="s">
        <v>1874</v>
      </c>
      <c r="K30" s="143" t="s">
        <v>1351</v>
      </c>
      <c r="L30" s="143" t="s">
        <v>1937</v>
      </c>
      <c r="M30" s="143"/>
      <c r="N30" s="143"/>
      <c r="O30" s="143"/>
      <c r="P30" s="143"/>
      <c r="Q30" s="143"/>
      <c r="R30" s="143"/>
      <c r="S30" s="143">
        <v>0.4</v>
      </c>
      <c r="T30" s="143"/>
      <c r="U30" s="143"/>
      <c r="V30" s="149"/>
      <c r="W30" s="150"/>
      <c r="X30" s="149"/>
      <c r="Y30" s="150"/>
      <c r="Z30" s="149"/>
      <c r="AA30" s="150">
        <v>8</v>
      </c>
      <c r="AB30" s="149">
        <v>60</v>
      </c>
      <c r="AC30" s="177"/>
      <c r="AD30" s="177"/>
      <c r="AE30" s="177"/>
      <c r="AF30" s="177"/>
      <c r="AG30" s="177"/>
      <c r="AH30" s="177"/>
      <c r="AI30" s="177"/>
      <c r="AJ30" s="143"/>
      <c r="AK30" s="143"/>
      <c r="AL30" s="143"/>
      <c r="AM30" s="143"/>
      <c r="AN30" s="143"/>
      <c r="AO30" s="143"/>
      <c r="AP30" s="143"/>
      <c r="AQ30" s="143"/>
      <c r="AR30" s="143"/>
      <c r="AS30" s="143"/>
      <c r="AT30" s="143"/>
    </row>
    <row r="31" spans="1:46">
      <c r="C31" s="143"/>
      <c r="D31" s="144"/>
      <c r="E31" s="141">
        <v>3</v>
      </c>
      <c r="F31" s="130"/>
      <c r="G31" s="143"/>
      <c r="H31" s="143" t="s">
        <v>1749</v>
      </c>
      <c r="I31" s="143"/>
      <c r="J31" s="143" t="s">
        <v>1874</v>
      </c>
      <c r="K31" s="143" t="s">
        <v>1352</v>
      </c>
      <c r="L31" s="143" t="s">
        <v>1937</v>
      </c>
      <c r="M31" s="143"/>
      <c r="N31" s="143"/>
      <c r="O31" s="143"/>
      <c r="P31" s="143"/>
      <c r="Q31" s="143"/>
      <c r="R31" s="143"/>
      <c r="S31" s="143">
        <v>0.5</v>
      </c>
      <c r="T31" s="143"/>
      <c r="U31" s="143"/>
      <c r="V31" s="149"/>
      <c r="W31" s="150"/>
      <c r="X31" s="149"/>
      <c r="Y31" s="150"/>
      <c r="Z31" s="149"/>
      <c r="AA31" s="150">
        <v>11</v>
      </c>
      <c r="AB31" s="149">
        <v>60</v>
      </c>
      <c r="AC31" s="177"/>
      <c r="AD31" s="177"/>
      <c r="AE31" s="177"/>
      <c r="AF31" s="177"/>
      <c r="AG31" s="177"/>
      <c r="AH31" s="177"/>
      <c r="AI31" s="177"/>
      <c r="AJ31" s="143"/>
      <c r="AK31" s="143"/>
      <c r="AL31" s="143"/>
      <c r="AM31" s="143"/>
      <c r="AN31" s="143"/>
      <c r="AO31" s="143"/>
      <c r="AP31" s="143"/>
      <c r="AQ31" s="143"/>
      <c r="AR31" s="143"/>
      <c r="AS31" s="143"/>
      <c r="AT31" s="143"/>
    </row>
    <row r="32" spans="1:46">
      <c r="A32" s="143" t="s">
        <v>37</v>
      </c>
      <c r="B32" s="143" t="s">
        <v>1785</v>
      </c>
      <c r="C32" s="143" t="s">
        <v>38</v>
      </c>
      <c r="D32" s="141" t="s">
        <v>1432</v>
      </c>
      <c r="E32" s="141">
        <v>1</v>
      </c>
      <c r="F32" s="143" t="s">
        <v>1353</v>
      </c>
      <c r="G32" s="143" t="s">
        <v>1814</v>
      </c>
      <c r="H32" s="143" t="s">
        <v>1354</v>
      </c>
      <c r="I32" s="143"/>
      <c r="J32" s="143" t="s">
        <v>1875</v>
      </c>
      <c r="K32" s="143" t="s">
        <v>1357</v>
      </c>
      <c r="L32" s="143" t="s">
        <v>1938</v>
      </c>
      <c r="M32" s="143" t="s">
        <v>2265</v>
      </c>
      <c r="N32" s="143" t="s">
        <v>2266</v>
      </c>
      <c r="O32" s="143" t="s">
        <v>607</v>
      </c>
      <c r="P32" s="143" t="s">
        <v>608</v>
      </c>
      <c r="Q32" s="143" t="s">
        <v>1432</v>
      </c>
      <c r="R32" s="143" t="s">
        <v>2268</v>
      </c>
      <c r="S32" s="143">
        <v>35</v>
      </c>
      <c r="T32" s="143">
        <v>100</v>
      </c>
      <c r="U32" s="143"/>
      <c r="V32" s="149"/>
      <c r="W32" s="150"/>
      <c r="X32" s="149">
        <v>800</v>
      </c>
      <c r="Y32" s="150"/>
      <c r="Z32" s="149">
        <v>50</v>
      </c>
      <c r="AA32" s="150">
        <v>7</v>
      </c>
      <c r="AB32" s="149">
        <v>1</v>
      </c>
      <c r="AC32" s="177" t="s">
        <v>1996</v>
      </c>
      <c r="AD32" s="177" t="s">
        <v>2075</v>
      </c>
      <c r="AE32" s="177">
        <v>0</v>
      </c>
      <c r="AF32" s="177">
        <v>0</v>
      </c>
      <c r="AG32" s="177">
        <v>2.67</v>
      </c>
      <c r="AH32" s="177">
        <v>1</v>
      </c>
      <c r="AI32" s="177">
        <v>1</v>
      </c>
      <c r="AJ32" s="143" t="s">
        <v>1048</v>
      </c>
      <c r="AK32" s="143" t="s">
        <v>2054</v>
      </c>
      <c r="AL32" s="143">
        <v>0</v>
      </c>
      <c r="AM32" s="143">
        <v>2</v>
      </c>
      <c r="AN32" s="143">
        <v>0</v>
      </c>
      <c r="AO32" s="143">
        <v>0</v>
      </c>
      <c r="AP32" s="143" t="s">
        <v>2096</v>
      </c>
      <c r="AQ32" s="143" t="s">
        <v>2145</v>
      </c>
      <c r="AR32" s="143" t="s">
        <v>2156</v>
      </c>
      <c r="AS32" s="143">
        <v>1</v>
      </c>
      <c r="AT32" s="143"/>
    </row>
    <row r="33" spans="1:46">
      <c r="A33" s="143"/>
      <c r="B33" s="143"/>
      <c r="C33" s="141"/>
      <c r="D33" s="141"/>
      <c r="E33" s="141">
        <v>2</v>
      </c>
      <c r="F33" s="130"/>
      <c r="G33" s="143"/>
      <c r="H33" s="143" t="s">
        <v>1355</v>
      </c>
      <c r="I33" s="143"/>
      <c r="J33" s="143" t="s">
        <v>1875</v>
      </c>
      <c r="K33" s="143" t="s">
        <v>1358</v>
      </c>
      <c r="L33" s="143" t="s">
        <v>1938</v>
      </c>
      <c r="M33" s="143"/>
      <c r="N33" s="143"/>
      <c r="O33" s="143"/>
      <c r="P33" s="143"/>
      <c r="Q33" s="143"/>
      <c r="R33" s="143"/>
      <c r="S33" s="143">
        <v>70</v>
      </c>
      <c r="T33" s="143">
        <v>200</v>
      </c>
      <c r="U33" s="143"/>
      <c r="V33" s="149"/>
      <c r="W33" s="150"/>
      <c r="X33" s="149">
        <v>800</v>
      </c>
      <c r="Y33" s="150"/>
      <c r="Z33" s="149">
        <v>50</v>
      </c>
      <c r="AA33" s="150">
        <v>7</v>
      </c>
      <c r="AB33" s="149">
        <v>1</v>
      </c>
      <c r="AC33" s="177"/>
      <c r="AD33" s="177"/>
      <c r="AE33" s="177"/>
      <c r="AF33" s="177"/>
      <c r="AG33" s="177"/>
      <c r="AH33" s="177"/>
      <c r="AI33" s="177"/>
      <c r="AJ33" s="143"/>
      <c r="AK33" s="143"/>
      <c r="AL33" s="143"/>
      <c r="AM33" s="143"/>
      <c r="AN33" s="143"/>
      <c r="AO33" s="143"/>
      <c r="AP33" s="143"/>
      <c r="AQ33" s="143"/>
      <c r="AR33" s="143" t="s">
        <v>2156</v>
      </c>
      <c r="AS33" s="143"/>
      <c r="AT33" s="143"/>
    </row>
    <row r="34" spans="1:46">
      <c r="A34" s="143"/>
      <c r="B34" s="143"/>
      <c r="C34" s="141"/>
      <c r="D34" s="141"/>
      <c r="E34" s="141">
        <v>3</v>
      </c>
      <c r="F34" s="130"/>
      <c r="G34" s="143"/>
      <c r="H34" s="143" t="s">
        <v>1356</v>
      </c>
      <c r="I34" s="143"/>
      <c r="J34" s="143" t="s">
        <v>1875</v>
      </c>
      <c r="K34" s="143" t="s">
        <v>1359</v>
      </c>
      <c r="L34" s="143" t="s">
        <v>1938</v>
      </c>
      <c r="M34" s="143"/>
      <c r="N34" s="143"/>
      <c r="O34" s="143"/>
      <c r="P34" s="143"/>
      <c r="Q34" s="143"/>
      <c r="R34" s="143"/>
      <c r="S34" s="143">
        <v>105</v>
      </c>
      <c r="T34" s="143">
        <v>300</v>
      </c>
      <c r="U34" s="143"/>
      <c r="V34" s="149"/>
      <c r="W34" s="150"/>
      <c r="X34" s="149">
        <v>800</v>
      </c>
      <c r="Y34" s="150"/>
      <c r="Z34" s="149">
        <v>50</v>
      </c>
      <c r="AA34" s="150">
        <v>7</v>
      </c>
      <c r="AB34" s="149">
        <v>1</v>
      </c>
      <c r="AC34" s="177"/>
      <c r="AD34" s="177"/>
      <c r="AE34" s="177"/>
      <c r="AF34" s="177"/>
      <c r="AG34" s="177"/>
      <c r="AH34" s="177"/>
      <c r="AI34" s="177"/>
      <c r="AJ34" s="143"/>
      <c r="AK34" s="143"/>
      <c r="AL34" s="143"/>
      <c r="AM34" s="143"/>
      <c r="AN34" s="143"/>
      <c r="AO34" s="143"/>
      <c r="AP34" s="143"/>
      <c r="AQ34" s="143"/>
      <c r="AR34" s="143" t="s">
        <v>2156</v>
      </c>
      <c r="AS34" s="143"/>
      <c r="AT34" s="143"/>
    </row>
    <row r="35" spans="1:46">
      <c r="A35" s="143"/>
      <c r="B35" s="143"/>
      <c r="C35" s="143" t="s">
        <v>39</v>
      </c>
      <c r="D35" s="144" t="s">
        <v>884</v>
      </c>
      <c r="E35" s="141">
        <v>1</v>
      </c>
      <c r="F35" s="143" t="s">
        <v>1360</v>
      </c>
      <c r="G35" s="143" t="s">
        <v>1815</v>
      </c>
      <c r="H35" s="143" t="s">
        <v>40</v>
      </c>
      <c r="I35" s="143"/>
      <c r="J35" s="143" t="s">
        <v>1876</v>
      </c>
      <c r="K35" s="143" t="s">
        <v>1361</v>
      </c>
      <c r="L35" s="143" t="s">
        <v>1939</v>
      </c>
      <c r="M35" s="143" t="s">
        <v>2269</v>
      </c>
      <c r="N35" s="143" t="s">
        <v>2270</v>
      </c>
      <c r="O35" s="143" t="s">
        <v>607</v>
      </c>
      <c r="P35" s="143" t="s">
        <v>608</v>
      </c>
      <c r="Q35" s="143" t="s">
        <v>884</v>
      </c>
      <c r="R35" s="143" t="s">
        <v>2267</v>
      </c>
      <c r="S35" s="143">
        <v>80</v>
      </c>
      <c r="T35" s="143">
        <v>0.2</v>
      </c>
      <c r="U35" s="143"/>
      <c r="V35" s="149"/>
      <c r="W35" s="150"/>
      <c r="X35" s="149">
        <v>800</v>
      </c>
      <c r="Y35" s="150"/>
      <c r="Z35" s="149">
        <v>75</v>
      </c>
      <c r="AA35" s="150">
        <v>12</v>
      </c>
      <c r="AB35" s="149">
        <v>1</v>
      </c>
      <c r="AC35" s="177" t="s">
        <v>1997</v>
      </c>
      <c r="AD35" s="177" t="s">
        <v>2075</v>
      </c>
      <c r="AE35" s="177">
        <v>0</v>
      </c>
      <c r="AF35" s="177">
        <v>0</v>
      </c>
      <c r="AG35" s="177">
        <v>2.67</v>
      </c>
      <c r="AH35" s="177">
        <v>1</v>
      </c>
      <c r="AI35" s="177">
        <v>1</v>
      </c>
      <c r="AJ35" s="143" t="s">
        <v>1301</v>
      </c>
      <c r="AK35" s="143" t="s">
        <v>2055</v>
      </c>
      <c r="AL35" s="143">
        <v>1</v>
      </c>
      <c r="AM35" s="143">
        <v>2</v>
      </c>
      <c r="AN35" s="143">
        <v>1</v>
      </c>
      <c r="AO35" s="143">
        <v>0</v>
      </c>
      <c r="AP35" s="143" t="s">
        <v>2097</v>
      </c>
      <c r="AQ35" s="143" t="s">
        <v>2145</v>
      </c>
      <c r="AR35" s="143" t="s">
        <v>2156</v>
      </c>
      <c r="AS35" s="143">
        <v>1</v>
      </c>
      <c r="AT35" s="143"/>
    </row>
    <row r="36" spans="1:46">
      <c r="A36" s="143"/>
      <c r="B36" s="143"/>
      <c r="C36" s="143"/>
      <c r="D36" s="144"/>
      <c r="E36" s="141">
        <v>2</v>
      </c>
      <c r="F36" s="130"/>
      <c r="G36" s="143"/>
      <c r="H36" s="143" t="s">
        <v>41</v>
      </c>
      <c r="I36" s="143"/>
      <c r="J36" s="143" t="s">
        <v>1876</v>
      </c>
      <c r="K36" s="143" t="s">
        <v>1362</v>
      </c>
      <c r="L36" s="143" t="s">
        <v>1939</v>
      </c>
      <c r="M36" s="143"/>
      <c r="N36" s="143"/>
      <c r="O36" s="143"/>
      <c r="P36" s="143"/>
      <c r="Q36" s="143"/>
      <c r="R36" s="143"/>
      <c r="S36" s="143">
        <v>140</v>
      </c>
      <c r="T36" s="143">
        <v>0.4</v>
      </c>
      <c r="U36" s="143"/>
      <c r="V36" s="149"/>
      <c r="W36" s="150"/>
      <c r="X36" s="149">
        <v>800</v>
      </c>
      <c r="Y36" s="150"/>
      <c r="Z36" s="149">
        <v>110</v>
      </c>
      <c r="AA36" s="150">
        <v>12</v>
      </c>
      <c r="AB36" s="149">
        <v>1</v>
      </c>
      <c r="AC36" s="177"/>
      <c r="AD36" s="177"/>
      <c r="AE36" s="177"/>
      <c r="AF36" s="177"/>
      <c r="AG36" s="177"/>
      <c r="AH36" s="177"/>
      <c r="AI36" s="177"/>
      <c r="AJ36" s="143"/>
      <c r="AK36" s="143"/>
      <c r="AL36" s="143"/>
      <c r="AM36" s="143"/>
      <c r="AN36" s="143"/>
      <c r="AO36" s="143"/>
      <c r="AP36" s="143"/>
      <c r="AQ36" s="143"/>
      <c r="AR36" s="143" t="s">
        <v>2156</v>
      </c>
      <c r="AS36" s="143"/>
      <c r="AT36" s="143"/>
    </row>
    <row r="37" spans="1:46">
      <c r="A37" s="143"/>
      <c r="B37" s="143"/>
      <c r="C37" s="143"/>
      <c r="D37" s="144"/>
      <c r="E37" s="141">
        <v>3</v>
      </c>
      <c r="F37" s="130"/>
      <c r="G37" s="143"/>
      <c r="H37" s="143" t="s">
        <v>1365</v>
      </c>
      <c r="I37" s="143"/>
      <c r="J37" s="143" t="s">
        <v>1876</v>
      </c>
      <c r="K37" s="143" t="s">
        <v>1363</v>
      </c>
      <c r="L37" s="143" t="s">
        <v>1939</v>
      </c>
      <c r="M37" s="143"/>
      <c r="N37" s="143"/>
      <c r="O37" s="143"/>
      <c r="P37" s="143"/>
      <c r="Q37" s="143"/>
      <c r="R37" s="143"/>
      <c r="S37" s="143">
        <v>200</v>
      </c>
      <c r="T37" s="143">
        <v>0.6</v>
      </c>
      <c r="U37" s="143"/>
      <c r="V37" s="149"/>
      <c r="W37" s="150"/>
      <c r="X37" s="149">
        <v>800</v>
      </c>
      <c r="Y37" s="150"/>
      <c r="Z37" s="149">
        <v>145</v>
      </c>
      <c r="AA37" s="150">
        <v>12</v>
      </c>
      <c r="AB37" s="149">
        <v>1</v>
      </c>
      <c r="AC37" s="177"/>
      <c r="AD37" s="177"/>
      <c r="AE37" s="177"/>
      <c r="AF37" s="177"/>
      <c r="AG37" s="177"/>
      <c r="AH37" s="177"/>
      <c r="AI37" s="177"/>
      <c r="AJ37" s="143"/>
      <c r="AK37" s="143"/>
      <c r="AL37" s="143"/>
      <c r="AM37" s="143"/>
      <c r="AN37" s="143"/>
      <c r="AO37" s="143"/>
      <c r="AP37" s="143"/>
      <c r="AQ37" s="143"/>
      <c r="AR37" s="143" t="s">
        <v>2156</v>
      </c>
      <c r="AS37" s="143"/>
      <c r="AT37" s="143"/>
    </row>
    <row r="38" spans="1:46">
      <c r="A38" s="143"/>
      <c r="B38" s="143"/>
      <c r="C38" s="143" t="s">
        <v>42</v>
      </c>
      <c r="D38" s="144" t="s">
        <v>881</v>
      </c>
      <c r="E38" s="141">
        <v>1</v>
      </c>
      <c r="F38" s="143" t="s">
        <v>1364</v>
      </c>
      <c r="G38" s="143" t="s">
        <v>1816</v>
      </c>
      <c r="H38" s="143" t="s">
        <v>1366</v>
      </c>
      <c r="I38" s="143"/>
      <c r="J38" s="143" t="s">
        <v>1877</v>
      </c>
      <c r="K38" s="143" t="s">
        <v>1369</v>
      </c>
      <c r="L38" s="143" t="s">
        <v>1940</v>
      </c>
      <c r="M38" s="143" t="s">
        <v>2271</v>
      </c>
      <c r="N38" s="143" t="s">
        <v>2273</v>
      </c>
      <c r="O38" s="143" t="s">
        <v>607</v>
      </c>
      <c r="P38" s="143" t="s">
        <v>608</v>
      </c>
      <c r="Q38" s="143" t="s">
        <v>881</v>
      </c>
      <c r="R38" s="143" t="s">
        <v>2274</v>
      </c>
      <c r="S38" s="143">
        <v>200</v>
      </c>
      <c r="T38" s="143">
        <v>100</v>
      </c>
      <c r="U38" s="143">
        <v>35</v>
      </c>
      <c r="V38" s="149">
        <v>3</v>
      </c>
      <c r="W38" s="150"/>
      <c r="X38" s="149">
        <v>800</v>
      </c>
      <c r="Y38" s="150"/>
      <c r="Z38" s="149">
        <v>100</v>
      </c>
      <c r="AA38" s="150">
        <v>25</v>
      </c>
      <c r="AB38" s="149">
        <v>1</v>
      </c>
      <c r="AC38" s="177" t="s">
        <v>1998</v>
      </c>
      <c r="AD38" s="177" t="s">
        <v>2075</v>
      </c>
      <c r="AE38" s="177">
        <v>0</v>
      </c>
      <c r="AF38" s="177">
        <v>0</v>
      </c>
      <c r="AG38" s="177">
        <v>5</v>
      </c>
      <c r="AH38" s="177">
        <v>1</v>
      </c>
      <c r="AI38" s="177">
        <v>1</v>
      </c>
      <c r="AJ38" s="143" t="s">
        <v>1309</v>
      </c>
      <c r="AK38" s="143" t="s">
        <v>270</v>
      </c>
      <c r="AL38" s="143">
        <v>2</v>
      </c>
      <c r="AM38" s="143">
        <v>2</v>
      </c>
      <c r="AN38" s="143">
        <v>2</v>
      </c>
      <c r="AO38" s="143">
        <v>0</v>
      </c>
      <c r="AP38" s="143" t="s">
        <v>2098</v>
      </c>
      <c r="AQ38" s="143" t="s">
        <v>2145</v>
      </c>
      <c r="AR38" s="143" t="s">
        <v>2156</v>
      </c>
      <c r="AS38" s="143">
        <v>1</v>
      </c>
      <c r="AT38" s="143"/>
    </row>
    <row r="39" spans="1:46">
      <c r="A39" s="143"/>
      <c r="B39" s="143"/>
      <c r="C39" s="143"/>
      <c r="D39" s="144"/>
      <c r="E39" s="141">
        <v>2</v>
      </c>
      <c r="F39" s="130"/>
      <c r="G39" s="143"/>
      <c r="H39" s="143" t="s">
        <v>1367</v>
      </c>
      <c r="I39" s="143"/>
      <c r="J39" s="143" t="s">
        <v>1877</v>
      </c>
      <c r="K39" s="143" t="s">
        <v>1370</v>
      </c>
      <c r="L39" s="143" t="s">
        <v>1940</v>
      </c>
      <c r="M39" s="143"/>
      <c r="N39" s="143"/>
      <c r="O39" s="143"/>
      <c r="P39" s="143"/>
      <c r="Q39" s="143"/>
      <c r="R39" s="143"/>
      <c r="S39" s="143">
        <v>350</v>
      </c>
      <c r="T39" s="143">
        <v>200</v>
      </c>
      <c r="U39" s="143">
        <v>25</v>
      </c>
      <c r="V39" s="149">
        <v>3</v>
      </c>
      <c r="W39" s="150"/>
      <c r="X39" s="149">
        <v>800</v>
      </c>
      <c r="Y39" s="150"/>
      <c r="Z39" s="149">
        <v>120</v>
      </c>
      <c r="AA39" s="150">
        <v>25</v>
      </c>
      <c r="AB39" s="149">
        <v>1</v>
      </c>
      <c r="AC39" s="177"/>
      <c r="AD39" s="177"/>
      <c r="AE39" s="177"/>
      <c r="AF39" s="177"/>
      <c r="AG39" s="177"/>
      <c r="AH39" s="177"/>
      <c r="AI39" s="177"/>
      <c r="AJ39" s="143"/>
      <c r="AK39" s="143"/>
      <c r="AL39" s="143"/>
      <c r="AM39" s="143"/>
      <c r="AN39" s="143"/>
      <c r="AO39" s="143"/>
      <c r="AP39" s="143"/>
      <c r="AQ39" s="143"/>
      <c r="AR39" s="143" t="s">
        <v>2156</v>
      </c>
      <c r="AS39" s="143"/>
      <c r="AT39" s="143"/>
    </row>
    <row r="40" spans="1:46">
      <c r="A40" s="143"/>
      <c r="B40" s="143"/>
      <c r="C40" s="143"/>
      <c r="D40" s="144"/>
      <c r="E40" s="141">
        <v>3</v>
      </c>
      <c r="F40" s="130"/>
      <c r="G40" s="143"/>
      <c r="H40" s="143" t="s">
        <v>1368</v>
      </c>
      <c r="I40" s="143"/>
      <c r="J40" s="143" t="s">
        <v>1877</v>
      </c>
      <c r="K40" s="143" t="s">
        <v>1371</v>
      </c>
      <c r="L40" s="143" t="s">
        <v>1940</v>
      </c>
      <c r="M40" s="143"/>
      <c r="N40" s="143"/>
      <c r="O40" s="143"/>
      <c r="P40" s="143"/>
      <c r="Q40" s="143"/>
      <c r="R40" s="143"/>
      <c r="S40" s="143">
        <v>500</v>
      </c>
      <c r="T40" s="143">
        <v>300</v>
      </c>
      <c r="U40" s="143">
        <v>15</v>
      </c>
      <c r="V40" s="149">
        <v>3</v>
      </c>
      <c r="W40" s="150"/>
      <c r="X40" s="149">
        <v>800</v>
      </c>
      <c r="Y40" s="150"/>
      <c r="Z40" s="149">
        <v>140</v>
      </c>
      <c r="AA40" s="150">
        <v>25</v>
      </c>
      <c r="AB40" s="149">
        <v>1</v>
      </c>
      <c r="AC40" s="177"/>
      <c r="AD40" s="177"/>
      <c r="AE40" s="177"/>
      <c r="AF40" s="177"/>
      <c r="AG40" s="177"/>
      <c r="AH40" s="177"/>
      <c r="AI40" s="177"/>
      <c r="AJ40" s="143"/>
      <c r="AK40" s="143"/>
      <c r="AL40" s="143"/>
      <c r="AM40" s="143"/>
      <c r="AN40" s="143"/>
      <c r="AO40" s="143"/>
      <c r="AP40" s="143"/>
      <c r="AQ40" s="143"/>
      <c r="AR40" s="143" t="s">
        <v>2156</v>
      </c>
      <c r="AS40" s="143"/>
      <c r="AT40" s="143"/>
    </row>
    <row r="41" spans="1:46">
      <c r="A41" s="143"/>
      <c r="B41" s="143"/>
      <c r="C41" s="143" t="s">
        <v>43</v>
      </c>
      <c r="D41" s="144" t="s">
        <v>2277</v>
      </c>
      <c r="E41" s="141">
        <v>1</v>
      </c>
      <c r="F41" s="143" t="s">
        <v>44</v>
      </c>
      <c r="G41" s="143" t="s">
        <v>1878</v>
      </c>
      <c r="H41" s="143" t="s">
        <v>45</v>
      </c>
      <c r="I41" s="143"/>
      <c r="J41" s="143" t="s">
        <v>1879</v>
      </c>
      <c r="K41" s="143" t="s">
        <v>1373</v>
      </c>
      <c r="L41" s="143" t="s">
        <v>1878</v>
      </c>
      <c r="M41" s="143" t="s">
        <v>2275</v>
      </c>
      <c r="N41" s="143" t="s">
        <v>2276</v>
      </c>
      <c r="O41" s="143" t="s">
        <v>607</v>
      </c>
      <c r="P41" s="143" t="s">
        <v>608</v>
      </c>
      <c r="Q41" s="143" t="s">
        <v>2277</v>
      </c>
      <c r="R41" s="143" t="s">
        <v>2261</v>
      </c>
      <c r="S41" s="143">
        <v>0</v>
      </c>
      <c r="T41" s="143"/>
      <c r="U41" s="143"/>
      <c r="V41" s="149"/>
      <c r="W41" s="150"/>
      <c r="X41" s="149">
        <v>800</v>
      </c>
      <c r="Y41" s="150"/>
      <c r="Z41" s="149">
        <v>150</v>
      </c>
      <c r="AA41" s="150"/>
      <c r="AB41" s="149">
        <v>11</v>
      </c>
      <c r="AC41" s="177" t="s">
        <v>2021</v>
      </c>
      <c r="AD41" s="177" t="s">
        <v>2075</v>
      </c>
      <c r="AE41" s="177">
        <v>0</v>
      </c>
      <c r="AF41" s="177">
        <v>0</v>
      </c>
      <c r="AG41" s="177">
        <v>2.67</v>
      </c>
      <c r="AH41" s="177">
        <v>1</v>
      </c>
      <c r="AI41" s="177">
        <v>1</v>
      </c>
      <c r="AJ41" s="143" t="s">
        <v>1317</v>
      </c>
      <c r="AK41" s="143" t="s">
        <v>2056</v>
      </c>
      <c r="AL41" s="143">
        <v>3</v>
      </c>
      <c r="AM41" s="143">
        <v>2</v>
      </c>
      <c r="AN41" s="143">
        <v>3</v>
      </c>
      <c r="AO41" s="143">
        <v>0</v>
      </c>
      <c r="AP41" s="143" t="s">
        <v>2099</v>
      </c>
      <c r="AQ41" s="143" t="s">
        <v>2145</v>
      </c>
      <c r="AR41" s="143" t="s">
        <v>2156</v>
      </c>
      <c r="AS41" s="143">
        <v>1</v>
      </c>
      <c r="AT41" s="143"/>
    </row>
    <row r="42" spans="1:46">
      <c r="A42" s="143"/>
      <c r="B42" s="143"/>
      <c r="C42" s="143"/>
      <c r="D42" s="144"/>
      <c r="E42" s="141">
        <v>2</v>
      </c>
      <c r="F42" s="130"/>
      <c r="G42" s="143"/>
      <c r="H42" s="143" t="s">
        <v>1372</v>
      </c>
      <c r="I42" s="143"/>
      <c r="J42" s="143" t="s">
        <v>2397</v>
      </c>
      <c r="K42" s="143" t="s">
        <v>1375</v>
      </c>
      <c r="L42" s="143" t="s">
        <v>2399</v>
      </c>
      <c r="M42" s="143"/>
      <c r="N42" s="143"/>
      <c r="O42" s="143"/>
      <c r="P42" s="143"/>
      <c r="Q42" s="143"/>
      <c r="R42" s="143"/>
      <c r="S42" s="143">
        <v>0.1</v>
      </c>
      <c r="T42" s="143"/>
      <c r="U42" s="143"/>
      <c r="V42" s="149"/>
      <c r="W42" s="150"/>
      <c r="X42" s="149">
        <v>800</v>
      </c>
      <c r="Y42" s="150"/>
      <c r="Z42" s="149">
        <v>150</v>
      </c>
      <c r="AA42" s="150"/>
      <c r="AB42" s="149">
        <v>11</v>
      </c>
      <c r="AC42" s="177"/>
      <c r="AD42" s="177"/>
      <c r="AE42" s="177"/>
      <c r="AF42" s="177"/>
      <c r="AG42" s="177"/>
      <c r="AH42" s="177"/>
      <c r="AI42" s="177"/>
      <c r="AJ42" s="143"/>
      <c r="AK42" s="143"/>
      <c r="AL42" s="143"/>
      <c r="AM42" s="143"/>
      <c r="AN42" s="143"/>
      <c r="AO42" s="143"/>
      <c r="AP42" s="143"/>
      <c r="AQ42" s="143"/>
      <c r="AR42" s="143" t="s">
        <v>2156</v>
      </c>
      <c r="AS42" s="143"/>
      <c r="AT42" s="143"/>
    </row>
    <row r="43" spans="1:46">
      <c r="A43" s="143"/>
      <c r="B43" s="143"/>
      <c r="C43" s="143"/>
      <c r="D43" s="144"/>
      <c r="E43" s="141">
        <v>3</v>
      </c>
      <c r="F43" s="130"/>
      <c r="G43" s="143"/>
      <c r="H43" s="143" t="s">
        <v>1376</v>
      </c>
      <c r="I43" s="143"/>
      <c r="J43" s="143" t="s">
        <v>2398</v>
      </c>
      <c r="K43" s="143" t="s">
        <v>1374</v>
      </c>
      <c r="L43" s="143" t="s">
        <v>2400</v>
      </c>
      <c r="M43" s="143"/>
      <c r="N43" s="143"/>
      <c r="O43" s="143"/>
      <c r="P43" s="143"/>
      <c r="Q43" s="143"/>
      <c r="R43" s="143"/>
      <c r="S43" s="143">
        <v>0.2</v>
      </c>
      <c r="T43" s="143"/>
      <c r="U43" s="143"/>
      <c r="V43" s="149"/>
      <c r="W43" s="150"/>
      <c r="X43" s="149">
        <v>800</v>
      </c>
      <c r="Y43" s="150"/>
      <c r="Z43" s="149">
        <v>150</v>
      </c>
      <c r="AA43" s="150"/>
      <c r="AB43" s="149">
        <v>11</v>
      </c>
      <c r="AC43" s="177"/>
      <c r="AD43" s="177"/>
      <c r="AE43" s="177"/>
      <c r="AF43" s="177"/>
      <c r="AG43" s="177"/>
      <c r="AH43" s="177"/>
      <c r="AI43" s="177"/>
      <c r="AJ43" s="143"/>
      <c r="AK43" s="143"/>
      <c r="AL43" s="143"/>
      <c r="AM43" s="143"/>
      <c r="AN43" s="143"/>
      <c r="AO43" s="143"/>
      <c r="AP43" s="143"/>
      <c r="AQ43" s="143"/>
      <c r="AR43" s="143" t="s">
        <v>2156</v>
      </c>
      <c r="AS43" s="143"/>
      <c r="AT43" s="143"/>
    </row>
    <row r="44" spans="1:46">
      <c r="A44" s="143"/>
      <c r="B44" s="143"/>
      <c r="C44" s="143" t="s">
        <v>46</v>
      </c>
      <c r="D44" s="144" t="s">
        <v>758</v>
      </c>
      <c r="E44" s="141">
        <v>1</v>
      </c>
      <c r="F44" s="143" t="s">
        <v>1377</v>
      </c>
      <c r="G44" s="143" t="s">
        <v>1941</v>
      </c>
      <c r="H44" s="143" t="s">
        <v>47</v>
      </c>
      <c r="I44" s="143"/>
      <c r="J44" s="143" t="s">
        <v>1880</v>
      </c>
      <c r="K44" s="143" t="s">
        <v>1378</v>
      </c>
      <c r="L44" s="143" t="s">
        <v>1942</v>
      </c>
      <c r="M44" s="143" t="s">
        <v>2279</v>
      </c>
      <c r="N44" s="143" t="s">
        <v>2280</v>
      </c>
      <c r="O44" s="143" t="s">
        <v>607</v>
      </c>
      <c r="P44" s="143" t="s">
        <v>607</v>
      </c>
      <c r="Q44" s="143" t="s">
        <v>2281</v>
      </c>
      <c r="R44" s="143" t="s">
        <v>2282</v>
      </c>
      <c r="S44" s="143">
        <v>200</v>
      </c>
      <c r="T44" s="143"/>
      <c r="U44" s="143"/>
      <c r="V44" s="149"/>
      <c r="W44" s="150">
        <v>8</v>
      </c>
      <c r="X44" s="149"/>
      <c r="Y44" s="150">
        <v>1200</v>
      </c>
      <c r="Z44" s="149">
        <v>200</v>
      </c>
      <c r="AA44" s="150"/>
      <c r="AB44" s="149">
        <v>40</v>
      </c>
      <c r="AC44" s="177" t="s">
        <v>1999</v>
      </c>
      <c r="AD44" s="177" t="s">
        <v>2075</v>
      </c>
      <c r="AE44" s="177">
        <v>0</v>
      </c>
      <c r="AF44" s="177">
        <v>0</v>
      </c>
      <c r="AG44" s="177">
        <v>0</v>
      </c>
      <c r="AH44" s="177">
        <v>0</v>
      </c>
      <c r="AI44" s="177">
        <v>1</v>
      </c>
      <c r="AJ44" s="143" t="s">
        <v>2077</v>
      </c>
      <c r="AK44" s="143" t="s">
        <v>2057</v>
      </c>
      <c r="AL44" s="143">
        <v>1</v>
      </c>
      <c r="AM44" s="143">
        <v>1</v>
      </c>
      <c r="AN44" s="143">
        <v>0</v>
      </c>
      <c r="AO44" s="143">
        <v>1</v>
      </c>
      <c r="AP44" s="143" t="s">
        <v>2100</v>
      </c>
      <c r="AQ44" s="143" t="s">
        <v>2070</v>
      </c>
      <c r="AR44" s="143"/>
      <c r="AS44" s="143">
        <v>1</v>
      </c>
      <c r="AT44" s="143"/>
    </row>
    <row r="45" spans="1:46">
      <c r="A45" s="143"/>
      <c r="B45" s="143"/>
      <c r="C45" s="143"/>
      <c r="D45" s="144"/>
      <c r="E45" s="141">
        <v>2</v>
      </c>
      <c r="F45" s="130"/>
      <c r="G45" s="143"/>
      <c r="H45" s="143" t="s">
        <v>48</v>
      </c>
      <c r="I45" s="143"/>
      <c r="J45" s="143" t="s">
        <v>1880</v>
      </c>
      <c r="K45" s="143" t="s">
        <v>1379</v>
      </c>
      <c r="L45" s="143" t="s">
        <v>1942</v>
      </c>
      <c r="M45" s="143"/>
      <c r="N45" s="143"/>
      <c r="O45" s="143"/>
      <c r="P45" s="143"/>
      <c r="Q45" s="143"/>
      <c r="R45" s="143"/>
      <c r="S45" s="143">
        <v>300</v>
      </c>
      <c r="T45" s="143"/>
      <c r="U45" s="143"/>
      <c r="V45" s="149"/>
      <c r="W45" s="150">
        <v>8</v>
      </c>
      <c r="X45" s="149"/>
      <c r="Y45" s="150">
        <v>1200</v>
      </c>
      <c r="Z45" s="149">
        <v>250</v>
      </c>
      <c r="AA45" s="150"/>
      <c r="AB45" s="149">
        <v>40</v>
      </c>
      <c r="AC45" s="177"/>
      <c r="AD45" s="177"/>
      <c r="AE45" s="177"/>
      <c r="AF45" s="177"/>
      <c r="AG45" s="177"/>
      <c r="AH45" s="177"/>
      <c r="AI45" s="177"/>
      <c r="AJ45" s="143"/>
      <c r="AK45" s="143"/>
      <c r="AL45" s="143"/>
      <c r="AM45" s="143"/>
      <c r="AN45" s="143"/>
      <c r="AO45" s="143"/>
      <c r="AP45" s="143"/>
      <c r="AQ45" s="143"/>
      <c r="AR45" s="143"/>
      <c r="AS45" s="143"/>
      <c r="AT45" s="143"/>
    </row>
    <row r="46" spans="1:46">
      <c r="A46" s="143"/>
      <c r="B46" s="143"/>
      <c r="C46" s="143"/>
      <c r="D46" s="144"/>
      <c r="E46" s="141">
        <v>3</v>
      </c>
      <c r="F46" s="130"/>
      <c r="G46" s="143"/>
      <c r="H46" s="143" t="s">
        <v>50</v>
      </c>
      <c r="I46" s="143"/>
      <c r="J46" s="143" t="s">
        <v>1880</v>
      </c>
      <c r="K46" s="143" t="s">
        <v>1380</v>
      </c>
      <c r="L46" s="143" t="s">
        <v>1942</v>
      </c>
      <c r="M46" s="143"/>
      <c r="N46" s="143"/>
      <c r="O46" s="143"/>
      <c r="P46" s="143"/>
      <c r="Q46" s="143"/>
      <c r="R46" s="143"/>
      <c r="S46" s="143">
        <v>400</v>
      </c>
      <c r="T46" s="143"/>
      <c r="U46" s="143"/>
      <c r="V46" s="149"/>
      <c r="W46" s="150">
        <v>8</v>
      </c>
      <c r="X46" s="149"/>
      <c r="Y46" s="150">
        <v>1200</v>
      </c>
      <c r="Z46" s="149">
        <v>300</v>
      </c>
      <c r="AA46" s="150"/>
      <c r="AB46" s="149">
        <v>40</v>
      </c>
      <c r="AC46" s="177"/>
      <c r="AD46" s="177"/>
      <c r="AE46" s="177"/>
      <c r="AF46" s="177"/>
      <c r="AG46" s="177"/>
      <c r="AH46" s="177"/>
      <c r="AI46" s="177"/>
      <c r="AJ46" s="143"/>
      <c r="AK46" s="143"/>
      <c r="AL46" s="143"/>
      <c r="AM46" s="143"/>
      <c r="AN46" s="143"/>
      <c r="AO46" s="143"/>
      <c r="AP46" s="143"/>
      <c r="AQ46" s="143"/>
      <c r="AR46" s="143"/>
      <c r="AS46" s="143"/>
      <c r="AT46" s="143"/>
    </row>
    <row r="47" spans="1:46">
      <c r="A47" s="145" t="s">
        <v>55</v>
      </c>
      <c r="B47" s="145" t="s">
        <v>1786</v>
      </c>
      <c r="C47" s="143" t="s">
        <v>80</v>
      </c>
      <c r="D47" s="141" t="s">
        <v>1436</v>
      </c>
      <c r="E47" s="141">
        <v>1</v>
      </c>
      <c r="F47" s="143" t="s">
        <v>1604</v>
      </c>
      <c r="G47" s="143" t="s">
        <v>1817</v>
      </c>
      <c r="H47" s="143" t="s">
        <v>81</v>
      </c>
      <c r="I47" s="143"/>
      <c r="J47" s="143" t="s">
        <v>1881</v>
      </c>
      <c r="K47" s="143" t="s">
        <v>1605</v>
      </c>
      <c r="L47" s="143" t="s">
        <v>1943</v>
      </c>
      <c r="M47" s="143" t="s">
        <v>2283</v>
      </c>
      <c r="N47" s="143" t="s">
        <v>2284</v>
      </c>
      <c r="O47" s="143" t="s">
        <v>607</v>
      </c>
      <c r="P47" s="143" t="s">
        <v>607</v>
      </c>
      <c r="Q47" s="143" t="s">
        <v>2285</v>
      </c>
      <c r="R47" s="143" t="s">
        <v>2286</v>
      </c>
      <c r="S47" s="143">
        <v>100</v>
      </c>
      <c r="T47" s="143">
        <v>0.1</v>
      </c>
      <c r="U47" s="143"/>
      <c r="V47" s="149"/>
      <c r="W47" s="150"/>
      <c r="X47" s="149">
        <v>800</v>
      </c>
      <c r="Y47" s="150"/>
      <c r="Z47" s="149">
        <v>50</v>
      </c>
      <c r="AA47" s="150"/>
      <c r="AB47" s="149">
        <v>3.5</v>
      </c>
      <c r="AC47" s="177" t="s">
        <v>2000</v>
      </c>
      <c r="AD47" s="177" t="s">
        <v>2075</v>
      </c>
      <c r="AE47" s="177">
        <v>0</v>
      </c>
      <c r="AF47" s="177">
        <v>0</v>
      </c>
      <c r="AG47" s="177">
        <v>2.17</v>
      </c>
      <c r="AH47" s="177">
        <v>1</v>
      </c>
      <c r="AI47" s="177">
        <v>1</v>
      </c>
      <c r="AJ47" s="143" t="s">
        <v>1048</v>
      </c>
      <c r="AK47" s="143" t="s">
        <v>2058</v>
      </c>
      <c r="AL47" s="143">
        <v>0</v>
      </c>
      <c r="AM47" s="143">
        <v>2</v>
      </c>
      <c r="AN47" s="143">
        <v>0</v>
      </c>
      <c r="AO47" s="143">
        <v>0</v>
      </c>
      <c r="AP47" s="143" t="s">
        <v>2101</v>
      </c>
      <c r="AQ47" s="143" t="s">
        <v>2145</v>
      </c>
      <c r="AR47" s="143" t="s">
        <v>2156</v>
      </c>
      <c r="AS47" s="143">
        <v>1</v>
      </c>
      <c r="AT47" s="143"/>
    </row>
    <row r="48" spans="1:46">
      <c r="C48" s="141"/>
      <c r="D48" s="141"/>
      <c r="E48" s="141">
        <v>2</v>
      </c>
      <c r="F48" s="130"/>
      <c r="G48" s="143"/>
      <c r="H48" s="143" t="s">
        <v>82</v>
      </c>
      <c r="I48" s="143"/>
      <c r="J48" s="143" t="s">
        <v>1881</v>
      </c>
      <c r="K48" s="143" t="s">
        <v>1606</v>
      </c>
      <c r="L48" s="143" t="s">
        <v>1943</v>
      </c>
      <c r="M48" s="143"/>
      <c r="N48" s="143"/>
      <c r="O48" s="143"/>
      <c r="P48" s="143"/>
      <c r="Q48" s="143"/>
      <c r="R48" s="143"/>
      <c r="S48" s="143">
        <v>175</v>
      </c>
      <c r="T48" s="143">
        <v>0.2</v>
      </c>
      <c r="U48" s="143"/>
      <c r="V48" s="149"/>
      <c r="W48" s="150"/>
      <c r="X48" s="149">
        <v>800</v>
      </c>
      <c r="Y48" s="150"/>
      <c r="Z48" s="149">
        <v>50</v>
      </c>
      <c r="AA48" s="150"/>
      <c r="AB48" s="149">
        <v>3.5</v>
      </c>
      <c r="AC48" s="177"/>
      <c r="AD48" s="177"/>
      <c r="AE48" s="177"/>
      <c r="AF48" s="177"/>
      <c r="AG48" s="177"/>
      <c r="AH48" s="177"/>
      <c r="AI48" s="177"/>
      <c r="AJ48" s="143"/>
      <c r="AK48" s="143"/>
      <c r="AL48" s="143"/>
      <c r="AM48" s="143"/>
      <c r="AN48" s="143"/>
      <c r="AO48" s="143"/>
      <c r="AP48" s="143"/>
      <c r="AQ48" s="143"/>
      <c r="AR48" s="143" t="s">
        <v>2156</v>
      </c>
      <c r="AS48" s="143"/>
      <c r="AT48" s="143"/>
    </row>
    <row r="49" spans="1:46">
      <c r="C49" s="141"/>
      <c r="D49" s="141"/>
      <c r="E49" s="141">
        <v>3</v>
      </c>
      <c r="F49" s="130"/>
      <c r="G49" s="143"/>
      <c r="H49" s="143" t="s">
        <v>85</v>
      </c>
      <c r="I49" s="143"/>
      <c r="J49" s="143" t="s">
        <v>1881</v>
      </c>
      <c r="K49" s="143" t="s">
        <v>1607</v>
      </c>
      <c r="L49" s="143" t="s">
        <v>1943</v>
      </c>
      <c r="M49" s="143"/>
      <c r="N49" s="143"/>
      <c r="O49" s="143"/>
      <c r="P49" s="143"/>
      <c r="Q49" s="143"/>
      <c r="R49" s="143"/>
      <c r="S49" s="143">
        <v>250</v>
      </c>
      <c r="T49" s="143">
        <v>0.3</v>
      </c>
      <c r="U49" s="143"/>
      <c r="V49" s="149"/>
      <c r="W49" s="150"/>
      <c r="X49" s="149">
        <v>800</v>
      </c>
      <c r="Y49" s="150"/>
      <c r="Z49" s="149">
        <v>50</v>
      </c>
      <c r="AA49" s="150"/>
      <c r="AB49" s="149">
        <v>3.5</v>
      </c>
      <c r="AC49" s="177"/>
      <c r="AD49" s="177"/>
      <c r="AE49" s="177"/>
      <c r="AF49" s="177"/>
      <c r="AG49" s="177"/>
      <c r="AH49" s="177"/>
      <c r="AI49" s="177"/>
      <c r="AJ49" s="143"/>
      <c r="AK49" s="143"/>
      <c r="AL49" s="143"/>
      <c r="AM49" s="143"/>
      <c r="AN49" s="143"/>
      <c r="AO49" s="143"/>
      <c r="AP49" s="143"/>
      <c r="AQ49" s="143"/>
      <c r="AR49" s="143" t="s">
        <v>2156</v>
      </c>
      <c r="AS49" s="143"/>
      <c r="AT49" s="143"/>
    </row>
    <row r="50" spans="1:46">
      <c r="C50" s="143" t="s">
        <v>86</v>
      </c>
      <c r="D50" s="144" t="s">
        <v>756</v>
      </c>
      <c r="E50" s="141">
        <v>1</v>
      </c>
      <c r="F50" s="143" t="s">
        <v>87</v>
      </c>
      <c r="G50" s="143" t="s">
        <v>1818</v>
      </c>
      <c r="H50" s="143" t="s">
        <v>88</v>
      </c>
      <c r="I50" s="143"/>
      <c r="J50" s="143" t="s">
        <v>1882</v>
      </c>
      <c r="K50" s="143" t="s">
        <v>1433</v>
      </c>
      <c r="L50" s="143" t="s">
        <v>1944</v>
      </c>
      <c r="M50" s="143"/>
      <c r="N50" s="143"/>
      <c r="O50" s="143"/>
      <c r="P50" s="143"/>
      <c r="Q50" s="143"/>
      <c r="R50" s="143"/>
      <c r="S50" s="143">
        <v>200</v>
      </c>
      <c r="T50" s="143"/>
      <c r="U50" s="143"/>
      <c r="V50" s="149">
        <v>2.6</v>
      </c>
      <c r="W50" s="150"/>
      <c r="X50" s="149">
        <v>800</v>
      </c>
      <c r="Y50" s="150"/>
      <c r="Z50" s="149">
        <v>100</v>
      </c>
      <c r="AA50" s="150"/>
      <c r="AB50" s="149">
        <v>1</v>
      </c>
      <c r="AC50" s="177" t="s">
        <v>2001</v>
      </c>
      <c r="AD50" s="177" t="s">
        <v>2075</v>
      </c>
      <c r="AE50" s="177">
        <v>0</v>
      </c>
      <c r="AF50" s="177">
        <v>0</v>
      </c>
      <c r="AG50" s="177">
        <v>0</v>
      </c>
      <c r="AH50" s="177">
        <v>1</v>
      </c>
      <c r="AI50" s="177">
        <v>1</v>
      </c>
      <c r="AJ50" s="143" t="s">
        <v>1301</v>
      </c>
      <c r="AK50" s="143" t="s">
        <v>2059</v>
      </c>
      <c r="AL50" s="143">
        <v>1</v>
      </c>
      <c r="AM50" s="143">
        <v>2</v>
      </c>
      <c r="AN50" s="143">
        <v>1</v>
      </c>
      <c r="AO50" s="143">
        <v>0</v>
      </c>
      <c r="AP50" s="143" t="s">
        <v>2102</v>
      </c>
      <c r="AQ50" s="143" t="s">
        <v>582</v>
      </c>
      <c r="AR50" s="143" t="s">
        <v>2156</v>
      </c>
      <c r="AS50" s="143">
        <v>1</v>
      </c>
      <c r="AT50" s="143"/>
    </row>
    <row r="51" spans="1:46">
      <c r="C51" s="143"/>
      <c r="D51" s="144"/>
      <c r="E51" s="141">
        <v>2</v>
      </c>
      <c r="F51" s="130"/>
      <c r="G51" s="143"/>
      <c r="H51" s="143" t="s">
        <v>89</v>
      </c>
      <c r="I51" s="143"/>
      <c r="J51" s="143" t="s">
        <v>1882</v>
      </c>
      <c r="K51" s="143" t="s">
        <v>1434</v>
      </c>
      <c r="L51" s="143" t="s">
        <v>1944</v>
      </c>
      <c r="M51" s="143"/>
      <c r="N51" s="143"/>
      <c r="O51" s="143"/>
      <c r="P51" s="143"/>
      <c r="Q51" s="143"/>
      <c r="R51" s="143"/>
      <c r="S51" s="143">
        <v>400</v>
      </c>
      <c r="T51" s="143"/>
      <c r="U51" s="143"/>
      <c r="V51" s="149">
        <v>2.6</v>
      </c>
      <c r="W51" s="150"/>
      <c r="X51" s="149">
        <v>800</v>
      </c>
      <c r="Y51" s="150"/>
      <c r="Z51" s="149">
        <v>115</v>
      </c>
      <c r="AA51" s="150"/>
      <c r="AB51" s="149">
        <v>1</v>
      </c>
      <c r="AC51" s="177"/>
      <c r="AD51" s="177"/>
      <c r="AE51" s="177"/>
      <c r="AF51" s="177"/>
      <c r="AG51" s="177"/>
      <c r="AH51" s="177"/>
      <c r="AI51" s="177"/>
      <c r="AJ51" s="143"/>
      <c r="AK51" s="143"/>
      <c r="AL51" s="143"/>
      <c r="AM51" s="143"/>
      <c r="AN51" s="143"/>
      <c r="AO51" s="143"/>
      <c r="AP51" s="143"/>
      <c r="AQ51" s="143"/>
      <c r="AR51" s="143" t="s">
        <v>2156</v>
      </c>
      <c r="AS51" s="143"/>
      <c r="AT51" s="143"/>
    </row>
    <row r="52" spans="1:46">
      <c r="C52" s="143"/>
      <c r="D52" s="144"/>
      <c r="E52" s="141">
        <v>3</v>
      </c>
      <c r="F52" s="130"/>
      <c r="G52" s="143"/>
      <c r="H52" s="143" t="s">
        <v>90</v>
      </c>
      <c r="I52" s="143"/>
      <c r="J52" s="143" t="s">
        <v>1882</v>
      </c>
      <c r="K52" s="143" t="s">
        <v>1435</v>
      </c>
      <c r="L52" s="143" t="s">
        <v>1944</v>
      </c>
      <c r="M52" s="143"/>
      <c r="N52" s="143"/>
      <c r="O52" s="143"/>
      <c r="P52" s="143"/>
      <c r="Q52" s="143"/>
      <c r="R52" s="143"/>
      <c r="S52" s="143">
        <v>600</v>
      </c>
      <c r="T52" s="143"/>
      <c r="U52" s="143"/>
      <c r="V52" s="149">
        <v>2.6</v>
      </c>
      <c r="W52" s="150"/>
      <c r="X52" s="149">
        <v>800</v>
      </c>
      <c r="Y52" s="150"/>
      <c r="Z52" s="149">
        <v>130</v>
      </c>
      <c r="AA52" s="150"/>
      <c r="AB52" s="149">
        <v>1</v>
      </c>
      <c r="AC52" s="177"/>
      <c r="AD52" s="177"/>
      <c r="AE52" s="177"/>
      <c r="AF52" s="177"/>
      <c r="AG52" s="177"/>
      <c r="AH52" s="177"/>
      <c r="AI52" s="177"/>
      <c r="AJ52" s="143"/>
      <c r="AK52" s="143"/>
      <c r="AL52" s="143"/>
      <c r="AM52" s="143"/>
      <c r="AN52" s="143"/>
      <c r="AO52" s="143"/>
      <c r="AP52" s="143"/>
      <c r="AQ52" s="143"/>
      <c r="AR52" s="143" t="s">
        <v>2156</v>
      </c>
      <c r="AS52" s="143"/>
      <c r="AT52" s="143"/>
    </row>
    <row r="53" spans="1:46">
      <c r="C53" s="143" t="s">
        <v>91</v>
      </c>
      <c r="D53" s="144" t="s">
        <v>755</v>
      </c>
      <c r="E53" s="141">
        <v>1</v>
      </c>
      <c r="F53" s="143" t="s">
        <v>92</v>
      </c>
      <c r="G53" s="143" t="s">
        <v>1819</v>
      </c>
      <c r="H53" s="143" t="s">
        <v>93</v>
      </c>
      <c r="I53" s="143"/>
      <c r="J53" s="143" t="s">
        <v>1946</v>
      </c>
      <c r="K53" s="143" t="s">
        <v>1437</v>
      </c>
      <c r="L53" s="143" t="s">
        <v>1945</v>
      </c>
      <c r="M53" s="143" t="s">
        <v>2401</v>
      </c>
      <c r="N53" s="143" t="s">
        <v>2402</v>
      </c>
      <c r="O53" s="143" t="s">
        <v>607</v>
      </c>
      <c r="P53" s="143" t="s">
        <v>608</v>
      </c>
      <c r="Q53" s="143" t="s">
        <v>2296</v>
      </c>
      <c r="R53" s="143" t="s">
        <v>2297</v>
      </c>
      <c r="S53" s="143">
        <v>0.1</v>
      </c>
      <c r="T53" s="143"/>
      <c r="U53" s="143"/>
      <c r="V53" s="149"/>
      <c r="W53" s="150"/>
      <c r="X53" s="149">
        <v>800</v>
      </c>
      <c r="Y53" s="150"/>
      <c r="Z53" s="149">
        <v>100</v>
      </c>
      <c r="AA53" s="150">
        <v>6</v>
      </c>
      <c r="AB53" s="149">
        <v>15</v>
      </c>
      <c r="AC53" s="177" t="s">
        <v>2002</v>
      </c>
      <c r="AD53" s="177" t="s">
        <v>2075</v>
      </c>
      <c r="AE53" s="177">
        <v>0</v>
      </c>
      <c r="AF53" s="177">
        <v>0</v>
      </c>
      <c r="AG53" s="177">
        <v>2.17</v>
      </c>
      <c r="AH53" s="177">
        <v>1</v>
      </c>
      <c r="AI53" s="177">
        <v>1</v>
      </c>
      <c r="AJ53" s="143" t="s">
        <v>1309</v>
      </c>
      <c r="AK53" s="143" t="s">
        <v>2060</v>
      </c>
      <c r="AL53" s="143">
        <v>2</v>
      </c>
      <c r="AM53" s="143">
        <v>2</v>
      </c>
      <c r="AN53" s="143">
        <v>2</v>
      </c>
      <c r="AO53" s="143">
        <v>0</v>
      </c>
      <c r="AP53" s="143" t="s">
        <v>2103</v>
      </c>
      <c r="AQ53" s="143" t="s">
        <v>2145</v>
      </c>
      <c r="AR53" s="143" t="s">
        <v>2156</v>
      </c>
      <c r="AS53" s="143">
        <v>1</v>
      </c>
      <c r="AT53" s="143"/>
    </row>
    <row r="54" spans="1:46">
      <c r="C54" s="143"/>
      <c r="D54" s="144"/>
      <c r="E54" s="141">
        <v>2</v>
      </c>
      <c r="F54" s="130"/>
      <c r="G54" s="143"/>
      <c r="H54" s="143" t="s">
        <v>94</v>
      </c>
      <c r="I54" s="143"/>
      <c r="J54" s="143" t="s">
        <v>1946</v>
      </c>
      <c r="K54" s="143" t="s">
        <v>1438</v>
      </c>
      <c r="L54" s="143" t="s">
        <v>1945</v>
      </c>
      <c r="M54" s="143"/>
      <c r="N54" s="143"/>
      <c r="O54" s="143"/>
      <c r="P54" s="143"/>
      <c r="Q54" s="143"/>
      <c r="R54" s="143"/>
      <c r="S54" s="143">
        <v>0.2</v>
      </c>
      <c r="T54" s="143"/>
      <c r="U54" s="143"/>
      <c r="V54" s="149"/>
      <c r="W54" s="150"/>
      <c r="X54" s="149">
        <v>800</v>
      </c>
      <c r="Y54" s="150"/>
      <c r="Z54" s="149">
        <v>150</v>
      </c>
      <c r="AA54" s="150">
        <v>6</v>
      </c>
      <c r="AB54" s="149">
        <v>15</v>
      </c>
      <c r="AC54" s="177"/>
      <c r="AD54" s="177"/>
      <c r="AE54" s="177"/>
      <c r="AF54" s="177"/>
      <c r="AG54" s="177"/>
      <c r="AH54" s="177"/>
      <c r="AI54" s="177"/>
      <c r="AJ54" s="143"/>
      <c r="AK54" s="143"/>
      <c r="AL54" s="143"/>
      <c r="AM54" s="143"/>
      <c r="AN54" s="143"/>
      <c r="AO54" s="143"/>
      <c r="AP54" s="143"/>
      <c r="AQ54" s="143"/>
      <c r="AR54" s="143" t="s">
        <v>2156</v>
      </c>
      <c r="AS54" s="143"/>
      <c r="AT54" s="143"/>
    </row>
    <row r="55" spans="1:46">
      <c r="C55" s="143"/>
      <c r="D55" s="144"/>
      <c r="E55" s="141">
        <v>3</v>
      </c>
      <c r="F55" s="130"/>
      <c r="G55" s="143"/>
      <c r="H55" s="143" t="s">
        <v>95</v>
      </c>
      <c r="I55" s="143"/>
      <c r="J55" s="143" t="s">
        <v>1947</v>
      </c>
      <c r="K55" s="143" t="s">
        <v>1439</v>
      </c>
      <c r="L55" s="143" t="s">
        <v>1948</v>
      </c>
      <c r="M55" s="143"/>
      <c r="N55" s="143"/>
      <c r="O55" s="143"/>
      <c r="P55" s="143"/>
      <c r="Q55" s="143"/>
      <c r="R55" s="143"/>
      <c r="S55" s="143">
        <v>0.3</v>
      </c>
      <c r="T55" s="143"/>
      <c r="U55" s="143"/>
      <c r="V55" s="149"/>
      <c r="W55" s="150"/>
      <c r="X55" s="149">
        <v>800</v>
      </c>
      <c r="Y55" s="150"/>
      <c r="Z55" s="149">
        <v>200</v>
      </c>
      <c r="AA55" s="150">
        <v>6</v>
      </c>
      <c r="AB55" s="149">
        <v>15</v>
      </c>
      <c r="AC55" s="177"/>
      <c r="AD55" s="177"/>
      <c r="AE55" s="177"/>
      <c r="AF55" s="177"/>
      <c r="AG55" s="177"/>
      <c r="AH55" s="177"/>
      <c r="AI55" s="177"/>
      <c r="AJ55" s="143"/>
      <c r="AK55" s="143"/>
      <c r="AL55" s="143"/>
      <c r="AM55" s="143"/>
      <c r="AN55" s="143"/>
      <c r="AO55" s="143"/>
      <c r="AP55" s="143"/>
      <c r="AQ55" s="143"/>
      <c r="AR55" s="143" t="s">
        <v>2156</v>
      </c>
      <c r="AS55" s="143"/>
      <c r="AT55" s="143"/>
    </row>
    <row r="56" spans="1:46">
      <c r="C56" s="143" t="s">
        <v>96</v>
      </c>
      <c r="D56" s="144" t="s">
        <v>870</v>
      </c>
      <c r="E56" s="141">
        <v>1</v>
      </c>
      <c r="F56" s="143" t="s">
        <v>1608</v>
      </c>
      <c r="G56" s="143" t="s">
        <v>1820</v>
      </c>
      <c r="H56" s="143" t="s">
        <v>1603</v>
      </c>
      <c r="I56" s="143"/>
      <c r="J56" s="143" t="s">
        <v>1883</v>
      </c>
      <c r="K56" s="143" t="s">
        <v>1609</v>
      </c>
      <c r="L56" s="143" t="s">
        <v>1949</v>
      </c>
      <c r="M56" s="143" t="s">
        <v>2287</v>
      </c>
      <c r="N56" s="143" t="s">
        <v>2288</v>
      </c>
      <c r="O56" s="143" t="s">
        <v>607</v>
      </c>
      <c r="P56" s="143" t="s">
        <v>608</v>
      </c>
      <c r="Q56" s="143" t="s">
        <v>870</v>
      </c>
      <c r="R56" s="143" t="s">
        <v>2291</v>
      </c>
      <c r="S56" s="143">
        <v>1</v>
      </c>
      <c r="T56" s="143">
        <v>0.5</v>
      </c>
      <c r="U56" s="143"/>
      <c r="V56" s="149"/>
      <c r="W56" s="150"/>
      <c r="X56" s="149"/>
      <c r="Y56" s="150"/>
      <c r="Z56" s="149">
        <v>50</v>
      </c>
      <c r="AA56" s="150">
        <v>10</v>
      </c>
      <c r="AB56" s="149">
        <v>40</v>
      </c>
      <c r="AC56" s="177" t="s">
        <v>2003</v>
      </c>
      <c r="AD56" s="177" t="s">
        <v>2075</v>
      </c>
      <c r="AE56" s="177">
        <v>0</v>
      </c>
      <c r="AF56" s="177">
        <v>0</v>
      </c>
      <c r="AG56" s="177">
        <v>2.17</v>
      </c>
      <c r="AH56" s="177">
        <v>0</v>
      </c>
      <c r="AI56" s="177">
        <v>1</v>
      </c>
      <c r="AJ56" s="143" t="s">
        <v>1317</v>
      </c>
      <c r="AK56" s="143" t="s">
        <v>2061</v>
      </c>
      <c r="AL56" s="143">
        <v>1</v>
      </c>
      <c r="AM56" s="143">
        <v>1</v>
      </c>
      <c r="AN56" s="143">
        <v>0</v>
      </c>
      <c r="AO56" s="143">
        <v>1</v>
      </c>
      <c r="AP56" s="143" t="s">
        <v>2104</v>
      </c>
      <c r="AQ56" s="143" t="s">
        <v>2145</v>
      </c>
      <c r="AR56" s="143"/>
      <c r="AS56" s="143">
        <v>1</v>
      </c>
      <c r="AT56" s="143"/>
    </row>
    <row r="57" spans="1:46">
      <c r="C57" s="143"/>
      <c r="D57" s="144"/>
      <c r="E57" s="141">
        <v>2</v>
      </c>
      <c r="F57" s="130"/>
      <c r="G57" s="143"/>
      <c r="H57" s="143" t="s">
        <v>1603</v>
      </c>
      <c r="I57" s="143"/>
      <c r="J57" s="143" t="s">
        <v>1883</v>
      </c>
      <c r="K57" s="143" t="s">
        <v>1609</v>
      </c>
      <c r="L57" s="143" t="s">
        <v>1949</v>
      </c>
      <c r="M57" s="143" t="s">
        <v>2289</v>
      </c>
      <c r="N57" s="143" t="s">
        <v>2290</v>
      </c>
      <c r="O57" s="143" t="s">
        <v>607</v>
      </c>
      <c r="P57" s="143" t="s">
        <v>608</v>
      </c>
      <c r="Q57" s="143" t="s">
        <v>2292</v>
      </c>
      <c r="R57" s="143" t="s">
        <v>2293</v>
      </c>
      <c r="S57" s="143">
        <v>1</v>
      </c>
      <c r="T57" s="143">
        <v>0.5</v>
      </c>
      <c r="U57" s="143"/>
      <c r="V57" s="149"/>
      <c r="W57" s="150"/>
      <c r="X57" s="149"/>
      <c r="Y57" s="150"/>
      <c r="Z57" s="149">
        <v>50</v>
      </c>
      <c r="AA57" s="150">
        <v>15</v>
      </c>
      <c r="AB57" s="149">
        <v>40</v>
      </c>
      <c r="AC57" s="177"/>
      <c r="AD57" s="177"/>
      <c r="AE57" s="177"/>
      <c r="AF57" s="177"/>
      <c r="AG57" s="177"/>
      <c r="AH57" s="177"/>
      <c r="AI57" s="177"/>
      <c r="AJ57" s="143"/>
      <c r="AK57" s="143"/>
      <c r="AL57" s="143"/>
      <c r="AM57" s="143"/>
      <c r="AN57" s="143"/>
      <c r="AO57" s="143"/>
      <c r="AP57" s="143"/>
      <c r="AQ57" s="143"/>
      <c r="AR57" s="143"/>
      <c r="AS57" s="143"/>
      <c r="AT57" s="143"/>
    </row>
    <row r="58" spans="1:46">
      <c r="C58" s="143"/>
      <c r="D58" s="144"/>
      <c r="E58" s="141">
        <v>3</v>
      </c>
      <c r="F58" s="130"/>
      <c r="G58" s="143"/>
      <c r="H58" s="143" t="s">
        <v>1603</v>
      </c>
      <c r="I58" s="143"/>
      <c r="J58" s="143" t="s">
        <v>1883</v>
      </c>
      <c r="K58" s="143" t="s">
        <v>1609</v>
      </c>
      <c r="L58" s="143" t="s">
        <v>1949</v>
      </c>
      <c r="M58" s="143"/>
      <c r="N58" s="143"/>
      <c r="O58" s="143"/>
      <c r="P58" s="143"/>
      <c r="Q58" s="143"/>
      <c r="R58" s="143"/>
      <c r="S58" s="143">
        <v>1</v>
      </c>
      <c r="T58" s="143">
        <v>0.5</v>
      </c>
      <c r="U58" s="143"/>
      <c r="V58" s="149"/>
      <c r="W58" s="150"/>
      <c r="X58" s="149"/>
      <c r="Y58" s="150"/>
      <c r="Z58" s="149">
        <v>50</v>
      </c>
      <c r="AA58" s="150">
        <v>20</v>
      </c>
      <c r="AB58" s="149">
        <v>40</v>
      </c>
      <c r="AC58" s="177"/>
      <c r="AD58" s="177"/>
      <c r="AE58" s="177"/>
      <c r="AF58" s="177"/>
      <c r="AG58" s="177"/>
      <c r="AH58" s="177"/>
      <c r="AI58" s="177"/>
      <c r="AJ58" s="143"/>
      <c r="AK58" s="143"/>
      <c r="AL58" s="143"/>
      <c r="AM58" s="143"/>
      <c r="AN58" s="143"/>
      <c r="AO58" s="143"/>
      <c r="AP58" s="143"/>
      <c r="AQ58" s="143"/>
      <c r="AR58" s="143"/>
      <c r="AS58" s="143"/>
      <c r="AT58" s="143"/>
    </row>
    <row r="59" spans="1:46">
      <c r="C59" s="143" t="s">
        <v>98</v>
      </c>
      <c r="D59" s="144" t="s">
        <v>1440</v>
      </c>
      <c r="E59" s="141">
        <v>1</v>
      </c>
      <c r="F59" s="143" t="s">
        <v>99</v>
      </c>
      <c r="G59" s="143" t="s">
        <v>1821</v>
      </c>
      <c r="H59" s="143" t="s">
        <v>100</v>
      </c>
      <c r="I59" s="143"/>
      <c r="J59" s="143" t="s">
        <v>1884</v>
      </c>
      <c r="K59" s="143" t="s">
        <v>1441</v>
      </c>
      <c r="L59" s="143" t="s">
        <v>1950</v>
      </c>
      <c r="M59" s="143" t="s">
        <v>2294</v>
      </c>
      <c r="N59" s="143" t="s">
        <v>2295</v>
      </c>
      <c r="O59" s="143" t="s">
        <v>607</v>
      </c>
      <c r="P59" s="143" t="s">
        <v>608</v>
      </c>
      <c r="Q59" s="143" t="s">
        <v>2296</v>
      </c>
      <c r="R59" s="143" t="s">
        <v>2297</v>
      </c>
      <c r="S59" s="143">
        <v>0.5</v>
      </c>
      <c r="T59" s="143"/>
      <c r="U59" s="143"/>
      <c r="V59" s="149"/>
      <c r="W59" s="150"/>
      <c r="X59" s="149">
        <v>800</v>
      </c>
      <c r="Y59" s="150"/>
      <c r="Z59" s="149">
        <v>10</v>
      </c>
      <c r="AA59" s="150">
        <v>15</v>
      </c>
      <c r="AB59" s="149">
        <v>10</v>
      </c>
      <c r="AC59" s="177" t="s">
        <v>2004</v>
      </c>
      <c r="AD59" s="177" t="s">
        <v>2075</v>
      </c>
      <c r="AE59" s="177">
        <v>0</v>
      </c>
      <c r="AF59" s="177">
        <v>0</v>
      </c>
      <c r="AG59" s="177">
        <v>2.17</v>
      </c>
      <c r="AH59" s="177">
        <v>1</v>
      </c>
      <c r="AI59" s="177">
        <v>1</v>
      </c>
      <c r="AJ59" s="143" t="s">
        <v>2077</v>
      </c>
      <c r="AK59" s="143" t="s">
        <v>2062</v>
      </c>
      <c r="AL59" s="143">
        <v>3</v>
      </c>
      <c r="AM59" s="143">
        <v>2</v>
      </c>
      <c r="AN59" s="143">
        <v>3</v>
      </c>
      <c r="AO59" s="143">
        <v>0</v>
      </c>
      <c r="AP59" s="143" t="s">
        <v>2105</v>
      </c>
      <c r="AQ59" s="143" t="s">
        <v>2145</v>
      </c>
      <c r="AR59" s="143" t="s">
        <v>2156</v>
      </c>
      <c r="AS59" s="143">
        <v>1</v>
      </c>
      <c r="AT59" s="143"/>
    </row>
    <row r="60" spans="1:46">
      <c r="C60" s="143"/>
      <c r="D60" s="144"/>
      <c r="E60" s="141">
        <v>2</v>
      </c>
      <c r="F60" s="130"/>
      <c r="G60" s="143"/>
      <c r="H60" s="143" t="s">
        <v>101</v>
      </c>
      <c r="I60" s="143"/>
      <c r="J60" s="143" t="s">
        <v>1884</v>
      </c>
      <c r="K60" s="143" t="s">
        <v>1442</v>
      </c>
      <c r="L60" s="143" t="s">
        <v>1950</v>
      </c>
      <c r="M60" s="143"/>
      <c r="N60" s="143"/>
      <c r="O60" s="143"/>
      <c r="P60" s="143"/>
      <c r="Q60" s="143"/>
      <c r="R60" s="143"/>
      <c r="S60" s="143">
        <v>0.65</v>
      </c>
      <c r="T60" s="143"/>
      <c r="U60" s="143"/>
      <c r="V60" s="149"/>
      <c r="W60" s="150"/>
      <c r="X60" s="149">
        <v>800</v>
      </c>
      <c r="Y60" s="150"/>
      <c r="Z60" s="149">
        <v>10</v>
      </c>
      <c r="AA60" s="150">
        <v>20</v>
      </c>
      <c r="AB60" s="149">
        <v>10</v>
      </c>
      <c r="AC60" s="177"/>
      <c r="AD60" s="177"/>
      <c r="AE60" s="177"/>
      <c r="AF60" s="177"/>
      <c r="AG60" s="177"/>
      <c r="AH60" s="177"/>
      <c r="AI60" s="177"/>
      <c r="AJ60" s="143"/>
      <c r="AK60" s="143"/>
      <c r="AL60" s="143"/>
      <c r="AM60" s="143"/>
      <c r="AN60" s="143"/>
      <c r="AO60" s="143"/>
      <c r="AP60" s="143"/>
      <c r="AQ60" s="143"/>
      <c r="AR60" s="143" t="s">
        <v>2156</v>
      </c>
      <c r="AS60" s="143"/>
      <c r="AT60" s="143"/>
    </row>
    <row r="61" spans="1:46">
      <c r="C61" s="143"/>
      <c r="D61" s="144"/>
      <c r="E61" s="141">
        <v>3</v>
      </c>
      <c r="F61" s="130"/>
      <c r="G61" s="143"/>
      <c r="H61" s="143" t="s">
        <v>102</v>
      </c>
      <c r="I61" s="143"/>
      <c r="J61" s="143" t="s">
        <v>1884</v>
      </c>
      <c r="K61" s="143" t="s">
        <v>1443</v>
      </c>
      <c r="L61" s="143" t="s">
        <v>1950</v>
      </c>
      <c r="M61" s="143"/>
      <c r="N61" s="143"/>
      <c r="O61" s="143"/>
      <c r="P61" s="143"/>
      <c r="Q61" s="143"/>
      <c r="R61" s="143"/>
      <c r="S61" s="143">
        <v>0.8</v>
      </c>
      <c r="T61" s="143"/>
      <c r="U61" s="143"/>
      <c r="V61" s="149"/>
      <c r="W61" s="150"/>
      <c r="X61" s="149">
        <v>800</v>
      </c>
      <c r="Y61" s="150"/>
      <c r="Z61" s="149">
        <v>10</v>
      </c>
      <c r="AA61" s="150">
        <v>25</v>
      </c>
      <c r="AB61" s="149">
        <v>10</v>
      </c>
      <c r="AC61" s="177"/>
      <c r="AD61" s="177"/>
      <c r="AE61" s="177"/>
      <c r="AF61" s="177"/>
      <c r="AG61" s="177"/>
      <c r="AH61" s="177"/>
      <c r="AI61" s="177"/>
      <c r="AJ61" s="143"/>
      <c r="AK61" s="143"/>
      <c r="AL61" s="143"/>
      <c r="AM61" s="143"/>
      <c r="AN61" s="143"/>
      <c r="AO61" s="143"/>
      <c r="AP61" s="143"/>
      <c r="AQ61" s="143"/>
      <c r="AR61" s="143" t="s">
        <v>2156</v>
      </c>
      <c r="AS61" s="143"/>
      <c r="AT61" s="143"/>
    </row>
    <row r="62" spans="1:46">
      <c r="A62" s="143" t="s">
        <v>104</v>
      </c>
      <c r="B62" s="143" t="s">
        <v>1787</v>
      </c>
      <c r="C62" s="143" t="s">
        <v>106</v>
      </c>
      <c r="D62" s="141" t="s">
        <v>754</v>
      </c>
      <c r="E62" s="141">
        <v>1</v>
      </c>
      <c r="F62" s="143" t="s">
        <v>1381</v>
      </c>
      <c r="G62" s="143" t="s">
        <v>1853</v>
      </c>
      <c r="H62" s="143" t="s">
        <v>107</v>
      </c>
      <c r="I62" s="143"/>
      <c r="J62" s="143" t="s">
        <v>1885</v>
      </c>
      <c r="K62" s="143" t="s">
        <v>1382</v>
      </c>
      <c r="L62" s="143" t="s">
        <v>1951</v>
      </c>
      <c r="M62" s="143" t="s">
        <v>2298</v>
      </c>
      <c r="N62" s="143" t="s">
        <v>2299</v>
      </c>
      <c r="O62" s="143" t="s">
        <v>607</v>
      </c>
      <c r="P62" s="143" t="s">
        <v>608</v>
      </c>
      <c r="Q62" s="143" t="s">
        <v>754</v>
      </c>
      <c r="R62" s="143" t="s">
        <v>2302</v>
      </c>
      <c r="S62" s="143">
        <v>150</v>
      </c>
      <c r="T62" s="143">
        <v>0.04</v>
      </c>
      <c r="U62" s="143"/>
      <c r="V62" s="149"/>
      <c r="W62" s="150"/>
      <c r="X62" s="149">
        <v>800</v>
      </c>
      <c r="Y62" s="150"/>
      <c r="Z62" s="149">
        <v>75</v>
      </c>
      <c r="AA62" s="150">
        <v>12</v>
      </c>
      <c r="AB62" s="149">
        <v>1</v>
      </c>
      <c r="AC62" s="177" t="s">
        <v>2005</v>
      </c>
      <c r="AD62" s="177" t="s">
        <v>2075</v>
      </c>
      <c r="AE62" s="177">
        <v>0</v>
      </c>
      <c r="AF62" s="177">
        <v>0</v>
      </c>
      <c r="AG62" s="177">
        <v>1.17</v>
      </c>
      <c r="AH62" s="177">
        <v>1</v>
      </c>
      <c r="AI62" s="177">
        <v>1</v>
      </c>
      <c r="AJ62" s="143" t="s">
        <v>1048</v>
      </c>
      <c r="AK62" s="143" t="s">
        <v>265</v>
      </c>
      <c r="AL62" s="143">
        <v>0</v>
      </c>
      <c r="AM62" s="143">
        <v>2</v>
      </c>
      <c r="AN62" s="143">
        <v>0</v>
      </c>
      <c r="AO62" s="143">
        <v>0</v>
      </c>
      <c r="AP62" s="143" t="s">
        <v>2104</v>
      </c>
      <c r="AQ62" s="143" t="s">
        <v>2148</v>
      </c>
      <c r="AR62" s="143" t="s">
        <v>2156</v>
      </c>
      <c r="AS62" s="143">
        <v>1</v>
      </c>
      <c r="AT62" s="143"/>
    </row>
    <row r="63" spans="1:46">
      <c r="A63" s="143"/>
      <c r="B63" s="143"/>
      <c r="C63" s="141"/>
      <c r="D63" s="141"/>
      <c r="E63" s="141">
        <v>2</v>
      </c>
      <c r="F63" s="130"/>
      <c r="G63" s="143"/>
      <c r="H63" s="143" t="s">
        <v>108</v>
      </c>
      <c r="I63" s="143"/>
      <c r="J63" s="143" t="s">
        <v>1885</v>
      </c>
      <c r="K63" s="143" t="s">
        <v>1383</v>
      </c>
      <c r="L63" s="143" t="s">
        <v>1951</v>
      </c>
      <c r="M63" s="143" t="s">
        <v>2300</v>
      </c>
      <c r="N63" s="143" t="s">
        <v>2301</v>
      </c>
      <c r="O63" s="143" t="s">
        <v>607</v>
      </c>
      <c r="P63" s="143" t="s">
        <v>608</v>
      </c>
      <c r="Q63" s="143" t="s">
        <v>2303</v>
      </c>
      <c r="R63" s="143" t="s">
        <v>2304</v>
      </c>
      <c r="S63" s="143">
        <v>200</v>
      </c>
      <c r="T63" s="143">
        <v>0.08</v>
      </c>
      <c r="U63" s="143"/>
      <c r="V63" s="149"/>
      <c r="W63" s="150"/>
      <c r="X63" s="149">
        <v>800</v>
      </c>
      <c r="Y63" s="150"/>
      <c r="Z63" s="149">
        <v>100</v>
      </c>
      <c r="AA63" s="150">
        <v>12</v>
      </c>
      <c r="AB63" s="149">
        <v>1</v>
      </c>
      <c r="AC63" s="177"/>
      <c r="AD63" s="177"/>
      <c r="AE63" s="177"/>
      <c r="AF63" s="177"/>
      <c r="AG63" s="177"/>
      <c r="AH63" s="177"/>
      <c r="AI63" s="177"/>
      <c r="AJ63" s="143"/>
      <c r="AK63" s="143"/>
      <c r="AL63" s="143"/>
      <c r="AM63" s="143"/>
      <c r="AN63" s="143"/>
      <c r="AO63" s="143"/>
      <c r="AP63" s="143"/>
      <c r="AQ63" s="143"/>
      <c r="AR63" s="143" t="s">
        <v>2156</v>
      </c>
      <c r="AS63" s="143"/>
      <c r="AT63" s="143"/>
    </row>
    <row r="64" spans="1:46">
      <c r="A64" s="143"/>
      <c r="B64" s="143"/>
      <c r="C64" s="141"/>
      <c r="D64" s="141"/>
      <c r="E64" s="141">
        <v>3</v>
      </c>
      <c r="F64" s="130"/>
      <c r="G64" s="143"/>
      <c r="H64" s="143" t="s">
        <v>109</v>
      </c>
      <c r="I64" s="143"/>
      <c r="J64" s="143" t="s">
        <v>1885</v>
      </c>
      <c r="K64" s="143" t="s">
        <v>1384</v>
      </c>
      <c r="L64" s="143" t="s">
        <v>1951</v>
      </c>
      <c r="M64" s="143"/>
      <c r="N64" s="143"/>
      <c r="O64" s="143"/>
      <c r="P64" s="143"/>
      <c r="Q64" s="143"/>
      <c r="R64" s="143"/>
      <c r="S64" s="143">
        <v>250</v>
      </c>
      <c r="T64" s="143">
        <v>0.12</v>
      </c>
      <c r="U64" s="143"/>
      <c r="V64" s="149"/>
      <c r="W64" s="150"/>
      <c r="X64" s="149">
        <v>800</v>
      </c>
      <c r="Y64" s="150"/>
      <c r="Z64" s="149">
        <v>125</v>
      </c>
      <c r="AA64" s="150">
        <v>12</v>
      </c>
      <c r="AB64" s="149">
        <v>1</v>
      </c>
      <c r="AC64" s="177"/>
      <c r="AD64" s="177"/>
      <c r="AE64" s="177"/>
      <c r="AF64" s="177"/>
      <c r="AG64" s="177"/>
      <c r="AH64" s="177"/>
      <c r="AI64" s="177"/>
      <c r="AJ64" s="143"/>
      <c r="AK64" s="143"/>
      <c r="AL64" s="143"/>
      <c r="AM64" s="143"/>
      <c r="AN64" s="143"/>
      <c r="AO64" s="143"/>
      <c r="AP64" s="143"/>
      <c r="AQ64" s="143"/>
      <c r="AR64" s="143" t="s">
        <v>2156</v>
      </c>
      <c r="AS64" s="143"/>
      <c r="AT64" s="143"/>
    </row>
    <row r="65" spans="1:46">
      <c r="A65" s="143"/>
      <c r="B65" s="143"/>
      <c r="C65" s="143" t="s">
        <v>110</v>
      </c>
      <c r="D65" s="144" t="s">
        <v>865</v>
      </c>
      <c r="E65" s="141">
        <v>1</v>
      </c>
      <c r="F65" s="143" t="s">
        <v>111</v>
      </c>
      <c r="G65" s="143" t="s">
        <v>2305</v>
      </c>
      <c r="H65" s="143" t="s">
        <v>112</v>
      </c>
      <c r="I65" s="143"/>
      <c r="J65" s="143" t="s">
        <v>1882</v>
      </c>
      <c r="K65" s="143" t="s">
        <v>1385</v>
      </c>
      <c r="L65" s="143" t="s">
        <v>2306</v>
      </c>
      <c r="M65" s="143" t="s">
        <v>2307</v>
      </c>
      <c r="N65" s="143" t="s">
        <v>2308</v>
      </c>
      <c r="O65" s="143" t="s">
        <v>607</v>
      </c>
      <c r="P65" s="143" t="s">
        <v>608</v>
      </c>
      <c r="Q65" s="143" t="s">
        <v>2309</v>
      </c>
      <c r="R65" s="143" t="s">
        <v>2278</v>
      </c>
      <c r="S65" s="143">
        <v>250</v>
      </c>
      <c r="T65" s="143"/>
      <c r="U65" s="143"/>
      <c r="V65" s="149">
        <v>3</v>
      </c>
      <c r="W65" s="150"/>
      <c r="X65" s="149">
        <v>800</v>
      </c>
      <c r="Y65" s="150">
        <v>250</v>
      </c>
      <c r="Z65" s="149">
        <v>100</v>
      </c>
      <c r="AA65" s="150"/>
      <c r="AB65" s="149">
        <v>1</v>
      </c>
      <c r="AC65" s="177" t="s">
        <v>2006</v>
      </c>
      <c r="AD65" s="177" t="s">
        <v>2075</v>
      </c>
      <c r="AE65" s="177">
        <v>0</v>
      </c>
      <c r="AF65" s="177">
        <v>0</v>
      </c>
      <c r="AG65" s="177">
        <v>0</v>
      </c>
      <c r="AH65" s="177">
        <v>2</v>
      </c>
      <c r="AI65" s="177">
        <v>3</v>
      </c>
      <c r="AJ65" s="143" t="s">
        <v>1301</v>
      </c>
      <c r="AK65" s="143" t="s">
        <v>1065</v>
      </c>
      <c r="AL65" s="143">
        <v>1</v>
      </c>
      <c r="AM65" s="143">
        <v>2</v>
      </c>
      <c r="AN65" s="143">
        <v>1</v>
      </c>
      <c r="AO65" s="143">
        <v>0</v>
      </c>
      <c r="AP65" s="143" t="s">
        <v>2106</v>
      </c>
      <c r="AQ65" s="143" t="s">
        <v>2148</v>
      </c>
      <c r="AR65" s="143"/>
      <c r="AS65" s="143">
        <v>1</v>
      </c>
      <c r="AT65" s="143"/>
    </row>
    <row r="66" spans="1:46">
      <c r="A66" s="143"/>
      <c r="B66" s="143"/>
      <c r="C66" s="143"/>
      <c r="D66" s="144"/>
      <c r="E66" s="141">
        <v>2</v>
      </c>
      <c r="F66" s="130"/>
      <c r="G66" s="143"/>
      <c r="H66" s="143" t="s">
        <v>113</v>
      </c>
      <c r="I66" s="143"/>
      <c r="J66" s="143" t="s">
        <v>1882</v>
      </c>
      <c r="K66" s="143" t="s">
        <v>1386</v>
      </c>
      <c r="L66" s="143" t="s">
        <v>2306</v>
      </c>
      <c r="M66" s="143"/>
      <c r="N66" s="143"/>
      <c r="O66" s="143"/>
      <c r="P66" s="143"/>
      <c r="Q66" s="143"/>
      <c r="R66" s="143"/>
      <c r="S66" s="143">
        <v>375</v>
      </c>
      <c r="T66" s="143"/>
      <c r="U66" s="143"/>
      <c r="V66" s="149">
        <v>3</v>
      </c>
      <c r="W66" s="150"/>
      <c r="X66" s="149">
        <v>800</v>
      </c>
      <c r="Y66" s="150">
        <v>300</v>
      </c>
      <c r="Z66" s="149">
        <v>100</v>
      </c>
      <c r="AA66" s="150"/>
      <c r="AB66" s="149">
        <v>1</v>
      </c>
      <c r="AC66" s="177"/>
      <c r="AD66" s="177"/>
      <c r="AE66" s="177"/>
      <c r="AF66" s="177"/>
      <c r="AG66" s="177"/>
      <c r="AH66" s="177"/>
      <c r="AI66" s="177"/>
      <c r="AJ66" s="143"/>
      <c r="AK66" s="143"/>
      <c r="AL66" s="143"/>
      <c r="AM66" s="143"/>
      <c r="AN66" s="143"/>
      <c r="AO66" s="143"/>
      <c r="AP66" s="143"/>
      <c r="AQ66" s="143"/>
      <c r="AR66" s="143"/>
      <c r="AS66" s="143"/>
      <c r="AT66" s="143"/>
    </row>
    <row r="67" spans="1:46">
      <c r="A67" s="143"/>
      <c r="B67" s="143"/>
      <c r="C67" s="143"/>
      <c r="D67" s="144"/>
      <c r="E67" s="141">
        <v>3</v>
      </c>
      <c r="F67" s="130"/>
      <c r="G67" s="143"/>
      <c r="H67" s="143" t="s">
        <v>114</v>
      </c>
      <c r="I67" s="143"/>
      <c r="J67" s="143" t="s">
        <v>1882</v>
      </c>
      <c r="K67" s="143" t="s">
        <v>1387</v>
      </c>
      <c r="L67" s="143" t="s">
        <v>2306</v>
      </c>
      <c r="M67" s="143"/>
      <c r="N67" s="143"/>
      <c r="O67" s="143"/>
      <c r="P67" s="143"/>
      <c r="Q67" s="143"/>
      <c r="R67" s="143"/>
      <c r="S67" s="143">
        <v>500</v>
      </c>
      <c r="T67" s="143"/>
      <c r="U67" s="143"/>
      <c r="V67" s="149">
        <v>3</v>
      </c>
      <c r="W67" s="150"/>
      <c r="X67" s="149">
        <v>800</v>
      </c>
      <c r="Y67" s="150">
        <v>350</v>
      </c>
      <c r="Z67" s="149">
        <v>100</v>
      </c>
      <c r="AA67" s="150"/>
      <c r="AB67" s="149">
        <v>1</v>
      </c>
      <c r="AC67" s="177"/>
      <c r="AD67" s="177"/>
      <c r="AE67" s="177"/>
      <c r="AF67" s="177"/>
      <c r="AG67" s="177"/>
      <c r="AH67" s="177"/>
      <c r="AI67" s="177"/>
      <c r="AJ67" s="143"/>
      <c r="AK67" s="143"/>
      <c r="AL67" s="143"/>
      <c r="AM67" s="143"/>
      <c r="AN67" s="143"/>
      <c r="AO67" s="143"/>
      <c r="AP67" s="143"/>
      <c r="AQ67" s="143"/>
      <c r="AR67" s="143"/>
      <c r="AS67" s="143"/>
      <c r="AT67" s="143"/>
    </row>
    <row r="68" spans="1:46">
      <c r="A68" s="143"/>
      <c r="B68" s="143"/>
      <c r="C68" s="143" t="s">
        <v>115</v>
      </c>
      <c r="D68" s="144" t="s">
        <v>753</v>
      </c>
      <c r="E68" s="141">
        <v>1</v>
      </c>
      <c r="F68" s="143" t="s">
        <v>116</v>
      </c>
      <c r="G68" s="143" t="s">
        <v>1822</v>
      </c>
      <c r="H68" s="143" t="s">
        <v>117</v>
      </c>
      <c r="I68" s="143"/>
      <c r="J68" s="143" t="s">
        <v>1886</v>
      </c>
      <c r="K68" s="143" t="s">
        <v>1388</v>
      </c>
      <c r="L68" s="143" t="s">
        <v>1952</v>
      </c>
      <c r="M68" s="143" t="s">
        <v>2310</v>
      </c>
      <c r="N68" s="143" t="s">
        <v>2311</v>
      </c>
      <c r="O68" s="143" t="s">
        <v>607</v>
      </c>
      <c r="P68" s="143" t="s">
        <v>608</v>
      </c>
      <c r="Q68" s="143" t="s">
        <v>753</v>
      </c>
      <c r="R68" s="143" t="s">
        <v>2312</v>
      </c>
      <c r="S68" s="143">
        <v>750</v>
      </c>
      <c r="T68" s="143"/>
      <c r="U68" s="143"/>
      <c r="V68" s="149"/>
      <c r="W68" s="150"/>
      <c r="X68" s="149">
        <v>800</v>
      </c>
      <c r="Y68" s="150"/>
      <c r="Z68" s="149">
        <v>100</v>
      </c>
      <c r="AA68" s="150">
        <v>20</v>
      </c>
      <c r="AB68" s="149">
        <v>4</v>
      </c>
      <c r="AC68" s="177" t="s">
        <v>2007</v>
      </c>
      <c r="AD68" s="177" t="s">
        <v>2075</v>
      </c>
      <c r="AE68" s="177">
        <v>0</v>
      </c>
      <c r="AF68" s="177">
        <v>0</v>
      </c>
      <c r="AG68" s="177">
        <v>1.17</v>
      </c>
      <c r="AH68" s="177">
        <v>1</v>
      </c>
      <c r="AI68" s="177">
        <v>1</v>
      </c>
      <c r="AJ68" s="143" t="s">
        <v>1309</v>
      </c>
      <c r="AK68" s="143" t="s">
        <v>2047</v>
      </c>
      <c r="AL68" s="143">
        <v>2</v>
      </c>
      <c r="AM68" s="143">
        <v>2</v>
      </c>
      <c r="AN68" s="143">
        <v>2</v>
      </c>
      <c r="AO68" s="143">
        <v>0</v>
      </c>
      <c r="AP68" s="143" t="s">
        <v>2107</v>
      </c>
      <c r="AQ68" s="143" t="s">
        <v>2148</v>
      </c>
      <c r="AR68" s="143" t="s">
        <v>2156</v>
      </c>
      <c r="AS68" s="143">
        <v>1</v>
      </c>
      <c r="AT68" s="143"/>
    </row>
    <row r="69" spans="1:46">
      <c r="A69" s="143"/>
      <c r="B69" s="143"/>
      <c r="C69" s="143"/>
      <c r="D69" s="144"/>
      <c r="E69" s="141">
        <v>2</v>
      </c>
      <c r="F69" s="130"/>
      <c r="G69" s="143"/>
      <c r="H69" s="143" t="s">
        <v>118</v>
      </c>
      <c r="I69" s="143"/>
      <c r="J69" s="143" t="s">
        <v>1886</v>
      </c>
      <c r="K69" s="143" t="s">
        <v>1389</v>
      </c>
      <c r="L69" s="143" t="s">
        <v>1952</v>
      </c>
      <c r="M69" s="143" t="s">
        <v>2272</v>
      </c>
      <c r="N69" s="143" t="s">
        <v>2313</v>
      </c>
      <c r="O69" s="143" t="s">
        <v>606</v>
      </c>
      <c r="P69" s="143" t="s">
        <v>607</v>
      </c>
      <c r="Q69" s="143" t="s">
        <v>2314</v>
      </c>
      <c r="R69" s="143" t="s">
        <v>2315</v>
      </c>
      <c r="S69" s="143">
        <v>1500</v>
      </c>
      <c r="T69" s="143"/>
      <c r="U69" s="143"/>
      <c r="V69" s="149"/>
      <c r="W69" s="150"/>
      <c r="X69" s="149">
        <v>800</v>
      </c>
      <c r="Y69" s="150"/>
      <c r="Z69" s="149">
        <v>125</v>
      </c>
      <c r="AA69" s="150">
        <v>20</v>
      </c>
      <c r="AB69" s="149">
        <v>4</v>
      </c>
      <c r="AC69" s="177"/>
      <c r="AD69" s="177"/>
      <c r="AE69" s="177"/>
      <c r="AF69" s="177"/>
      <c r="AG69" s="177"/>
      <c r="AH69" s="177"/>
      <c r="AI69" s="177"/>
      <c r="AJ69" s="143"/>
      <c r="AK69" s="143"/>
      <c r="AL69" s="143"/>
      <c r="AM69" s="143"/>
      <c r="AN69" s="143"/>
      <c r="AO69" s="143"/>
      <c r="AP69" s="143"/>
      <c r="AQ69" s="143"/>
      <c r="AR69" s="143" t="s">
        <v>2156</v>
      </c>
      <c r="AS69" s="143"/>
      <c r="AT69" s="143"/>
    </row>
    <row r="70" spans="1:46">
      <c r="A70" s="143"/>
      <c r="B70" s="143"/>
      <c r="C70" s="143"/>
      <c r="D70" s="144"/>
      <c r="E70" s="141">
        <v>3</v>
      </c>
      <c r="F70" s="130"/>
      <c r="G70" s="143"/>
      <c r="H70" s="143" t="s">
        <v>119</v>
      </c>
      <c r="I70" s="143"/>
      <c r="J70" s="143" t="s">
        <v>1886</v>
      </c>
      <c r="K70" s="143" t="s">
        <v>1390</v>
      </c>
      <c r="L70" s="143" t="s">
        <v>1952</v>
      </c>
      <c r="M70" s="143"/>
      <c r="N70" s="143"/>
      <c r="O70" s="143"/>
      <c r="P70" s="143"/>
      <c r="Q70" s="143"/>
      <c r="R70" s="143"/>
      <c r="S70" s="143">
        <v>2250</v>
      </c>
      <c r="T70" s="143"/>
      <c r="U70" s="143"/>
      <c r="V70" s="149"/>
      <c r="W70" s="150"/>
      <c r="X70" s="149">
        <v>800</v>
      </c>
      <c r="Y70" s="150"/>
      <c r="Z70" s="149">
        <v>150</v>
      </c>
      <c r="AA70" s="150">
        <v>20</v>
      </c>
      <c r="AB70" s="149">
        <v>4</v>
      </c>
      <c r="AC70" s="177"/>
      <c r="AD70" s="177"/>
      <c r="AE70" s="177"/>
      <c r="AF70" s="177"/>
      <c r="AG70" s="177"/>
      <c r="AH70" s="177"/>
      <c r="AI70" s="177"/>
      <c r="AJ70" s="143"/>
      <c r="AK70" s="143"/>
      <c r="AL70" s="143"/>
      <c r="AM70" s="143"/>
      <c r="AN70" s="143"/>
      <c r="AO70" s="143"/>
      <c r="AP70" s="143"/>
      <c r="AQ70" s="143"/>
      <c r="AR70" s="143" t="s">
        <v>2156</v>
      </c>
      <c r="AS70" s="143"/>
      <c r="AT70" s="143"/>
    </row>
    <row r="71" spans="1:46">
      <c r="A71" s="143"/>
      <c r="B71" s="143"/>
      <c r="C71" s="143" t="s">
        <v>120</v>
      </c>
      <c r="D71" s="144" t="s">
        <v>861</v>
      </c>
      <c r="E71" s="141">
        <v>1</v>
      </c>
      <c r="F71" s="143" t="s">
        <v>1391</v>
      </c>
      <c r="G71" s="143" t="s">
        <v>1823</v>
      </c>
      <c r="H71" s="143" t="s">
        <v>1392</v>
      </c>
      <c r="I71" s="143"/>
      <c r="J71" s="143" t="s">
        <v>1887</v>
      </c>
      <c r="K71" s="143" t="s">
        <v>1395</v>
      </c>
      <c r="L71" s="143" t="s">
        <v>1953</v>
      </c>
      <c r="M71" s="143" t="s">
        <v>2316</v>
      </c>
      <c r="N71" s="143" t="s">
        <v>2317</v>
      </c>
      <c r="O71" s="143" t="s">
        <v>607</v>
      </c>
      <c r="P71" s="143" t="s">
        <v>608</v>
      </c>
      <c r="Q71" s="143" t="s">
        <v>861</v>
      </c>
      <c r="R71" s="143" t="s">
        <v>2318</v>
      </c>
      <c r="S71" s="143">
        <v>1.5</v>
      </c>
      <c r="T71" s="143">
        <v>3</v>
      </c>
      <c r="U71" s="143"/>
      <c r="V71" s="149"/>
      <c r="W71" s="150"/>
      <c r="X71" s="149">
        <v>800</v>
      </c>
      <c r="Y71" s="150"/>
      <c r="Z71" s="149">
        <v>75</v>
      </c>
      <c r="AA71" s="150">
        <v>20</v>
      </c>
      <c r="AB71" s="149">
        <v>9</v>
      </c>
      <c r="AC71" s="177" t="s">
        <v>2008</v>
      </c>
      <c r="AD71" s="177" t="s">
        <v>2075</v>
      </c>
      <c r="AE71" s="177">
        <v>0</v>
      </c>
      <c r="AF71" s="177">
        <v>0</v>
      </c>
      <c r="AG71" s="177">
        <v>1.17</v>
      </c>
      <c r="AH71" s="177">
        <v>1</v>
      </c>
      <c r="AI71" s="177">
        <v>1</v>
      </c>
      <c r="AJ71" s="143" t="s">
        <v>1317</v>
      </c>
      <c r="AK71" s="143" t="s">
        <v>285</v>
      </c>
      <c r="AL71" s="143">
        <v>3</v>
      </c>
      <c r="AM71" s="143">
        <v>2</v>
      </c>
      <c r="AN71" s="143">
        <v>3</v>
      </c>
      <c r="AO71" s="143">
        <v>0</v>
      </c>
      <c r="AP71" s="143" t="s">
        <v>2108</v>
      </c>
      <c r="AQ71" s="143" t="s">
        <v>2148</v>
      </c>
      <c r="AR71" s="143" t="s">
        <v>2156</v>
      </c>
      <c r="AS71" s="143">
        <v>1</v>
      </c>
      <c r="AT71" s="143"/>
    </row>
    <row r="72" spans="1:46">
      <c r="A72" s="143"/>
      <c r="B72" s="143"/>
      <c r="C72" s="143"/>
      <c r="D72" s="144"/>
      <c r="E72" s="141">
        <v>2</v>
      </c>
      <c r="F72" s="130"/>
      <c r="G72" s="143"/>
      <c r="H72" s="143" t="s">
        <v>1393</v>
      </c>
      <c r="I72" s="143"/>
      <c r="J72" s="143" t="s">
        <v>1887</v>
      </c>
      <c r="K72" s="143" t="s">
        <v>1396</v>
      </c>
      <c r="L72" s="143" t="s">
        <v>1953</v>
      </c>
      <c r="M72" s="143"/>
      <c r="N72" s="143"/>
      <c r="O72" s="143"/>
      <c r="P72" s="143"/>
      <c r="Q72" s="143"/>
      <c r="R72" s="143"/>
      <c r="S72" s="143">
        <v>2</v>
      </c>
      <c r="T72" s="143">
        <v>4</v>
      </c>
      <c r="U72" s="143"/>
      <c r="V72" s="149"/>
      <c r="W72" s="150"/>
      <c r="X72" s="149">
        <v>800</v>
      </c>
      <c r="Y72" s="150"/>
      <c r="Z72" s="149">
        <v>85</v>
      </c>
      <c r="AA72" s="150">
        <v>20</v>
      </c>
      <c r="AB72" s="149">
        <v>7</v>
      </c>
      <c r="AC72" s="177"/>
      <c r="AD72" s="177"/>
      <c r="AE72" s="177"/>
      <c r="AF72" s="177"/>
      <c r="AG72" s="177"/>
      <c r="AH72" s="177"/>
      <c r="AI72" s="177"/>
      <c r="AJ72" s="143"/>
      <c r="AK72" s="143"/>
      <c r="AL72" s="143"/>
      <c r="AM72" s="143"/>
      <c r="AN72" s="143"/>
      <c r="AO72" s="143"/>
      <c r="AP72" s="143"/>
      <c r="AQ72" s="143"/>
      <c r="AR72" s="143" t="s">
        <v>2156</v>
      </c>
      <c r="AS72" s="143"/>
      <c r="AT72" s="143"/>
    </row>
    <row r="73" spans="1:46">
      <c r="A73" s="143"/>
      <c r="B73" s="143"/>
      <c r="C73" s="143"/>
      <c r="D73" s="144"/>
      <c r="E73" s="141">
        <v>3</v>
      </c>
      <c r="F73" s="130"/>
      <c r="G73" s="143"/>
      <c r="H73" s="143" t="s">
        <v>1394</v>
      </c>
      <c r="I73" s="143"/>
      <c r="J73" s="143" t="s">
        <v>1888</v>
      </c>
      <c r="K73" s="143" t="s">
        <v>1397</v>
      </c>
      <c r="L73" s="143" t="s">
        <v>1954</v>
      </c>
      <c r="M73" s="143"/>
      <c r="N73" s="143"/>
      <c r="O73" s="143"/>
      <c r="P73" s="143"/>
      <c r="Q73" s="143"/>
      <c r="R73" s="143"/>
      <c r="S73" s="143">
        <v>2.5</v>
      </c>
      <c r="T73" s="143">
        <v>5</v>
      </c>
      <c r="U73" s="143"/>
      <c r="V73" s="149"/>
      <c r="W73" s="150"/>
      <c r="X73" s="149">
        <v>800</v>
      </c>
      <c r="Y73" s="150"/>
      <c r="Z73" s="149">
        <v>95</v>
      </c>
      <c r="AA73" s="150">
        <v>20</v>
      </c>
      <c r="AB73" s="149">
        <v>5</v>
      </c>
      <c r="AC73" s="177"/>
      <c r="AD73" s="177"/>
      <c r="AE73" s="177"/>
      <c r="AF73" s="177"/>
      <c r="AG73" s="177"/>
      <c r="AH73" s="177"/>
      <c r="AI73" s="177"/>
      <c r="AJ73" s="143"/>
      <c r="AK73" s="143"/>
      <c r="AL73" s="143"/>
      <c r="AM73" s="143"/>
      <c r="AN73" s="143"/>
      <c r="AO73" s="143"/>
      <c r="AP73" s="143"/>
      <c r="AQ73" s="143"/>
      <c r="AR73" s="143" t="s">
        <v>2156</v>
      </c>
      <c r="AS73" s="143"/>
      <c r="AT73" s="143"/>
    </row>
    <row r="74" spans="1:46">
      <c r="A74" s="143"/>
      <c r="B74" s="143"/>
      <c r="C74" s="143" t="s">
        <v>122</v>
      </c>
      <c r="D74" s="144" t="s">
        <v>858</v>
      </c>
      <c r="E74" s="141">
        <v>1</v>
      </c>
      <c r="F74" s="143" t="s">
        <v>1398</v>
      </c>
      <c r="G74" s="143" t="s">
        <v>1824</v>
      </c>
      <c r="H74" s="143" t="s">
        <v>1399</v>
      </c>
      <c r="I74" s="143"/>
      <c r="J74" s="143" t="s">
        <v>1889</v>
      </c>
      <c r="K74" s="143" t="s">
        <v>1398</v>
      </c>
      <c r="L74" s="143" t="s">
        <v>1824</v>
      </c>
      <c r="M74" s="143" t="s">
        <v>2403</v>
      </c>
      <c r="N74" s="143" t="s">
        <v>2404</v>
      </c>
      <c r="O74" s="143" t="s">
        <v>607</v>
      </c>
      <c r="P74" s="143" t="s">
        <v>608</v>
      </c>
      <c r="Q74" s="143" t="s">
        <v>2405</v>
      </c>
      <c r="R74" s="143" t="s">
        <v>2406</v>
      </c>
      <c r="S74" s="143">
        <v>0</v>
      </c>
      <c r="T74" s="143"/>
      <c r="U74" s="143"/>
      <c r="V74" s="149"/>
      <c r="W74" s="150"/>
      <c r="X74" s="149">
        <v>800</v>
      </c>
      <c r="Y74" s="150"/>
      <c r="Z74" s="149">
        <v>45</v>
      </c>
      <c r="AA74" s="150"/>
      <c r="AB74" s="149">
        <v>3</v>
      </c>
      <c r="AC74" s="177" t="s">
        <v>2009</v>
      </c>
      <c r="AD74" s="177" t="s">
        <v>2075</v>
      </c>
      <c r="AE74" s="177">
        <v>0</v>
      </c>
      <c r="AF74" s="177">
        <v>0</v>
      </c>
      <c r="AG74" s="177">
        <v>1.17</v>
      </c>
      <c r="AH74" s="177">
        <v>1</v>
      </c>
      <c r="AI74" s="177">
        <v>5</v>
      </c>
      <c r="AJ74" s="143" t="s">
        <v>2077</v>
      </c>
      <c r="AK74" s="143" t="s">
        <v>2053</v>
      </c>
      <c r="AL74" s="143">
        <v>1</v>
      </c>
      <c r="AM74" s="143">
        <v>1</v>
      </c>
      <c r="AN74" s="143">
        <v>0</v>
      </c>
      <c r="AO74" s="143">
        <v>1</v>
      </c>
      <c r="AP74" s="143" t="s">
        <v>2109</v>
      </c>
      <c r="AQ74" s="143" t="s">
        <v>2148</v>
      </c>
      <c r="AR74" s="130"/>
      <c r="AS74" s="143">
        <v>1</v>
      </c>
      <c r="AT74" s="143"/>
    </row>
    <row r="75" spans="1:46">
      <c r="A75" s="143"/>
      <c r="B75" s="143"/>
      <c r="C75" s="143"/>
      <c r="D75" s="144"/>
      <c r="E75" s="141">
        <v>2</v>
      </c>
      <c r="F75" s="130"/>
      <c r="G75" s="143"/>
      <c r="H75" s="143" t="s">
        <v>1400</v>
      </c>
      <c r="I75" s="143"/>
      <c r="J75" s="143" t="s">
        <v>1890</v>
      </c>
      <c r="K75" s="143" t="s">
        <v>1402</v>
      </c>
      <c r="L75" s="143" t="s">
        <v>1955</v>
      </c>
      <c r="M75" s="143"/>
      <c r="N75" s="143"/>
      <c r="O75" s="143"/>
      <c r="P75" s="143"/>
      <c r="Q75" s="143"/>
      <c r="R75" s="143"/>
      <c r="S75" s="143">
        <v>0.15</v>
      </c>
      <c r="T75" s="143"/>
      <c r="U75" s="143"/>
      <c r="V75" s="149"/>
      <c r="W75" s="150"/>
      <c r="X75" s="149">
        <v>800</v>
      </c>
      <c r="Y75" s="150"/>
      <c r="Z75" s="149">
        <v>60</v>
      </c>
      <c r="AA75" s="150"/>
      <c r="AB75" s="149">
        <v>3</v>
      </c>
      <c r="AC75" s="177"/>
      <c r="AD75" s="177"/>
      <c r="AE75" s="177"/>
      <c r="AF75" s="177"/>
      <c r="AG75" s="177"/>
      <c r="AH75" s="177"/>
      <c r="AI75" s="177"/>
      <c r="AJ75" s="143"/>
      <c r="AK75" s="143"/>
      <c r="AL75" s="143"/>
      <c r="AM75" s="143"/>
      <c r="AN75" s="143"/>
      <c r="AO75" s="143"/>
      <c r="AP75" s="143"/>
      <c r="AQ75" s="143"/>
      <c r="AR75" s="130"/>
      <c r="AS75" s="130"/>
      <c r="AT75" s="130"/>
    </row>
    <row r="76" spans="1:46">
      <c r="A76" s="143"/>
      <c r="B76" s="143"/>
      <c r="C76" s="143"/>
      <c r="D76" s="144"/>
      <c r="E76" s="141">
        <v>3</v>
      </c>
      <c r="F76" s="130"/>
      <c r="G76" s="143"/>
      <c r="H76" s="143" t="s">
        <v>1401</v>
      </c>
      <c r="I76" s="143"/>
      <c r="J76" s="143" t="s">
        <v>1890</v>
      </c>
      <c r="K76" s="143" t="s">
        <v>1403</v>
      </c>
      <c r="L76" s="143" t="s">
        <v>1955</v>
      </c>
      <c r="M76" s="143"/>
      <c r="N76" s="143"/>
      <c r="O76" s="143"/>
      <c r="P76" s="143"/>
      <c r="Q76" s="143"/>
      <c r="R76" s="143"/>
      <c r="S76" s="143">
        <v>0.3</v>
      </c>
      <c r="T76" s="143"/>
      <c r="U76" s="143"/>
      <c r="V76" s="149"/>
      <c r="W76" s="150"/>
      <c r="X76" s="149">
        <v>800</v>
      </c>
      <c r="Y76" s="150"/>
      <c r="Z76" s="149">
        <v>75</v>
      </c>
      <c r="AA76" s="150"/>
      <c r="AB76" s="149">
        <v>3</v>
      </c>
      <c r="AC76" s="177"/>
      <c r="AD76" s="177"/>
      <c r="AE76" s="177"/>
      <c r="AF76" s="177"/>
      <c r="AG76" s="177"/>
      <c r="AH76" s="177"/>
      <c r="AI76" s="177"/>
      <c r="AJ76" s="143"/>
      <c r="AK76" s="143"/>
      <c r="AL76" s="143"/>
      <c r="AM76" s="143"/>
      <c r="AN76" s="143"/>
      <c r="AO76" s="143"/>
      <c r="AP76" s="143"/>
      <c r="AQ76" s="143"/>
      <c r="AR76" s="130"/>
      <c r="AS76" s="130"/>
      <c r="AT76" s="130"/>
    </row>
    <row r="77" spans="1:46">
      <c r="A77" s="143" t="s">
        <v>126</v>
      </c>
      <c r="B77" s="143" t="s">
        <v>1788</v>
      </c>
      <c r="C77" s="143" t="s">
        <v>139</v>
      </c>
      <c r="D77" s="141" t="s">
        <v>1635</v>
      </c>
      <c r="E77" s="141">
        <v>1</v>
      </c>
      <c r="F77" s="143" t="s">
        <v>140</v>
      </c>
      <c r="G77" s="143" t="s">
        <v>1839</v>
      </c>
      <c r="H77" s="143" t="s">
        <v>1404</v>
      </c>
      <c r="I77" s="143"/>
      <c r="J77" s="143" t="s">
        <v>1891</v>
      </c>
      <c r="K77" s="143" t="s">
        <v>1407</v>
      </c>
      <c r="L77" s="143" t="s">
        <v>1956</v>
      </c>
      <c r="M77" s="143"/>
      <c r="N77" s="143"/>
      <c r="O77" s="143"/>
      <c r="P77" s="143"/>
      <c r="Q77" s="143"/>
      <c r="R77" s="143"/>
      <c r="S77" s="143">
        <v>1.2</v>
      </c>
      <c r="T77" s="143">
        <v>0</v>
      </c>
      <c r="U77" s="143">
        <v>0</v>
      </c>
      <c r="V77" s="149"/>
      <c r="W77" s="150"/>
      <c r="X77" s="149">
        <v>820</v>
      </c>
      <c r="Y77" s="150"/>
      <c r="Z77" s="149">
        <v>4</v>
      </c>
      <c r="AA77" s="150"/>
      <c r="AB77" s="149">
        <v>5</v>
      </c>
      <c r="AC77" s="177" t="s">
        <v>2011</v>
      </c>
      <c r="AD77" s="177" t="s">
        <v>2075</v>
      </c>
      <c r="AE77" s="177">
        <v>0</v>
      </c>
      <c r="AF77" s="177">
        <v>0</v>
      </c>
      <c r="AG77" s="177">
        <v>1.34</v>
      </c>
      <c r="AH77" s="177">
        <v>1</v>
      </c>
      <c r="AI77" s="177">
        <v>5</v>
      </c>
      <c r="AJ77" s="143" t="s">
        <v>1048</v>
      </c>
      <c r="AK77" s="143" t="s">
        <v>2063</v>
      </c>
      <c r="AL77" s="143">
        <v>0</v>
      </c>
      <c r="AM77" s="143">
        <v>2</v>
      </c>
      <c r="AN77" s="143">
        <v>0</v>
      </c>
      <c r="AO77" s="143">
        <v>0</v>
      </c>
      <c r="AP77" s="143" t="s">
        <v>2110</v>
      </c>
      <c r="AQ77" s="143" t="s">
        <v>2147</v>
      </c>
      <c r="AR77" s="143" t="s">
        <v>2155</v>
      </c>
      <c r="AS77" s="143">
        <v>1</v>
      </c>
      <c r="AT77" s="143"/>
    </row>
    <row r="78" spans="1:46">
      <c r="A78" s="143"/>
      <c r="B78" s="143"/>
      <c r="C78" s="141"/>
      <c r="D78" s="141"/>
      <c r="E78" s="141">
        <v>2</v>
      </c>
      <c r="F78" s="130"/>
      <c r="G78" s="143"/>
      <c r="H78" s="143" t="s">
        <v>1405</v>
      </c>
      <c r="I78" s="143"/>
      <c r="J78" s="143" t="s">
        <v>1892</v>
      </c>
      <c r="K78" s="143" t="s">
        <v>1408</v>
      </c>
      <c r="L78" s="143" t="s">
        <v>1957</v>
      </c>
      <c r="M78" s="143"/>
      <c r="N78" s="143"/>
      <c r="O78" s="143"/>
      <c r="P78" s="143"/>
      <c r="Q78" s="143"/>
      <c r="R78" s="143"/>
      <c r="S78" s="143">
        <v>1.6</v>
      </c>
      <c r="T78" s="143">
        <v>0.4</v>
      </c>
      <c r="U78" s="143">
        <v>0</v>
      </c>
      <c r="V78" s="149"/>
      <c r="W78" s="150"/>
      <c r="X78" s="149">
        <v>820</v>
      </c>
      <c r="Y78" s="150"/>
      <c r="Z78" s="149">
        <v>5</v>
      </c>
      <c r="AA78" s="150"/>
      <c r="AB78" s="149">
        <v>5</v>
      </c>
      <c r="AC78" s="177"/>
      <c r="AD78" s="177"/>
      <c r="AE78" s="177"/>
      <c r="AF78" s="177"/>
      <c r="AG78" s="177"/>
      <c r="AH78" s="177"/>
      <c r="AI78" s="177"/>
      <c r="AJ78" s="143"/>
      <c r="AK78" s="143"/>
      <c r="AL78" s="143"/>
      <c r="AM78" s="143"/>
      <c r="AN78" s="143"/>
      <c r="AO78" s="143"/>
      <c r="AP78" s="143"/>
      <c r="AQ78" s="143"/>
      <c r="AR78" s="143" t="s">
        <v>2155</v>
      </c>
      <c r="AS78" s="143"/>
      <c r="AT78" s="143"/>
    </row>
    <row r="79" spans="1:46">
      <c r="A79" s="143"/>
      <c r="B79" s="143"/>
      <c r="C79" s="141"/>
      <c r="D79" s="141"/>
      <c r="E79" s="141">
        <v>3</v>
      </c>
      <c r="F79" s="130"/>
      <c r="G79" s="143"/>
      <c r="H79" s="143" t="s">
        <v>1406</v>
      </c>
      <c r="I79" s="143"/>
      <c r="J79" s="143" t="s">
        <v>1893</v>
      </c>
      <c r="K79" s="143" t="s">
        <v>1409</v>
      </c>
      <c r="L79" s="143" t="s">
        <v>1958</v>
      </c>
      <c r="M79" s="143"/>
      <c r="N79" s="143"/>
      <c r="O79" s="143"/>
      <c r="P79" s="143"/>
      <c r="Q79" s="143"/>
      <c r="R79" s="143"/>
      <c r="S79" s="143">
        <v>2</v>
      </c>
      <c r="T79" s="143">
        <v>0.8</v>
      </c>
      <c r="U79" s="143">
        <v>0.4</v>
      </c>
      <c r="V79" s="149"/>
      <c r="W79" s="150"/>
      <c r="X79" s="149">
        <v>820</v>
      </c>
      <c r="Y79" s="150"/>
      <c r="Z79" s="149">
        <v>6</v>
      </c>
      <c r="AA79" s="150"/>
      <c r="AB79" s="149">
        <v>5</v>
      </c>
      <c r="AC79" s="177"/>
      <c r="AD79" s="177"/>
      <c r="AE79" s="177"/>
      <c r="AF79" s="177"/>
      <c r="AG79" s="177"/>
      <c r="AH79" s="177"/>
      <c r="AI79" s="177"/>
      <c r="AJ79" s="143"/>
      <c r="AK79" s="143"/>
      <c r="AL79" s="143"/>
      <c r="AM79" s="143"/>
      <c r="AN79" s="143"/>
      <c r="AO79" s="143"/>
      <c r="AP79" s="143"/>
      <c r="AQ79" s="143"/>
      <c r="AR79" s="143" t="s">
        <v>2155</v>
      </c>
      <c r="AS79" s="143"/>
      <c r="AT79" s="143"/>
    </row>
    <row r="80" spans="1:46">
      <c r="A80" s="143"/>
      <c r="B80" s="143"/>
      <c r="C80" s="143" t="s">
        <v>141</v>
      </c>
      <c r="D80" s="144" t="s">
        <v>855</v>
      </c>
      <c r="E80" s="141">
        <v>1</v>
      </c>
      <c r="F80" s="143" t="s">
        <v>1410</v>
      </c>
      <c r="G80" s="143" t="s">
        <v>1825</v>
      </c>
      <c r="H80" s="143" t="s">
        <v>1411</v>
      </c>
      <c r="I80" s="143"/>
      <c r="J80" s="143" t="s">
        <v>1894</v>
      </c>
      <c r="K80" s="143" t="s">
        <v>1414</v>
      </c>
      <c r="L80" s="143" t="s">
        <v>1959</v>
      </c>
      <c r="M80" s="143" t="s">
        <v>2319</v>
      </c>
      <c r="N80" s="143" t="s">
        <v>2320</v>
      </c>
      <c r="O80" s="143" t="s">
        <v>606</v>
      </c>
      <c r="P80" s="143" t="s">
        <v>607</v>
      </c>
      <c r="Q80" s="143" t="s">
        <v>2323</v>
      </c>
      <c r="R80" s="143" t="s">
        <v>2324</v>
      </c>
      <c r="S80" s="143">
        <v>2</v>
      </c>
      <c r="T80" s="143"/>
      <c r="U80" s="143"/>
      <c r="V80" s="149"/>
      <c r="W80" s="150"/>
      <c r="X80" s="149"/>
      <c r="Y80" s="150"/>
      <c r="Z80" s="149"/>
      <c r="AA80" s="150">
        <v>4</v>
      </c>
      <c r="AB80" s="149">
        <v>13</v>
      </c>
      <c r="AC80" s="177" t="s">
        <v>2010</v>
      </c>
      <c r="AD80" s="177" t="s">
        <v>2075</v>
      </c>
      <c r="AE80" s="177">
        <v>0</v>
      </c>
      <c r="AF80" s="177">
        <v>0</v>
      </c>
      <c r="AG80" s="177">
        <v>1</v>
      </c>
      <c r="AH80" s="177">
        <v>0</v>
      </c>
      <c r="AI80" s="177">
        <v>5</v>
      </c>
      <c r="AJ80" s="143" t="s">
        <v>1301</v>
      </c>
      <c r="AK80" s="143" t="s">
        <v>283</v>
      </c>
      <c r="AL80" s="143">
        <v>1</v>
      </c>
      <c r="AM80" s="143">
        <v>2</v>
      </c>
      <c r="AN80" s="143">
        <v>1</v>
      </c>
      <c r="AO80" s="143">
        <v>0</v>
      </c>
      <c r="AP80" s="143" t="s">
        <v>2111</v>
      </c>
      <c r="AQ80" s="143" t="s">
        <v>2148</v>
      </c>
      <c r="AR80" s="143"/>
      <c r="AS80" s="143">
        <v>1</v>
      </c>
      <c r="AT80" s="143"/>
    </row>
    <row r="81" spans="1:46">
      <c r="A81" s="143"/>
      <c r="B81" s="143"/>
      <c r="C81" s="143"/>
      <c r="D81" s="144"/>
      <c r="E81" s="141">
        <v>2</v>
      </c>
      <c r="F81" s="130"/>
      <c r="G81" s="143"/>
      <c r="H81" s="143" t="s">
        <v>1412</v>
      </c>
      <c r="I81" s="143"/>
      <c r="J81" s="143" t="s">
        <v>1894</v>
      </c>
      <c r="K81" s="143" t="s">
        <v>1415</v>
      </c>
      <c r="L81" s="143" t="s">
        <v>1959</v>
      </c>
      <c r="M81" s="143" t="s">
        <v>2321</v>
      </c>
      <c r="N81" s="143" t="s">
        <v>2322</v>
      </c>
      <c r="O81" s="143" t="s">
        <v>606</v>
      </c>
      <c r="P81" s="143" t="s">
        <v>607</v>
      </c>
      <c r="Q81" s="143" t="s">
        <v>2323</v>
      </c>
      <c r="R81" s="143" t="s">
        <v>2324</v>
      </c>
      <c r="S81" s="143">
        <v>3</v>
      </c>
      <c r="T81" s="143"/>
      <c r="U81" s="143"/>
      <c r="V81" s="149"/>
      <c r="W81" s="150"/>
      <c r="X81" s="149"/>
      <c r="Y81" s="150"/>
      <c r="Z81" s="149"/>
      <c r="AA81" s="150">
        <v>8</v>
      </c>
      <c r="AB81" s="149">
        <v>13</v>
      </c>
      <c r="AC81" s="177"/>
      <c r="AD81" s="177"/>
      <c r="AE81" s="177"/>
      <c r="AF81" s="177"/>
      <c r="AG81" s="177"/>
      <c r="AH81" s="177"/>
      <c r="AI81" s="177"/>
      <c r="AJ81" s="143"/>
      <c r="AK81" s="143"/>
      <c r="AL81" s="143"/>
      <c r="AM81" s="143"/>
      <c r="AN81" s="143"/>
      <c r="AO81" s="143"/>
      <c r="AP81" s="143"/>
      <c r="AQ81" s="143"/>
      <c r="AR81" s="143"/>
      <c r="AS81" s="143"/>
      <c r="AT81" s="143"/>
    </row>
    <row r="82" spans="1:46">
      <c r="A82" s="143"/>
      <c r="B82" s="143"/>
      <c r="C82" s="143"/>
      <c r="D82" s="144"/>
      <c r="E82" s="141">
        <v>3</v>
      </c>
      <c r="F82" s="130"/>
      <c r="G82" s="143"/>
      <c r="H82" s="143" t="s">
        <v>1413</v>
      </c>
      <c r="I82" s="143"/>
      <c r="J82" s="143" t="s">
        <v>1894</v>
      </c>
      <c r="K82" s="143" t="s">
        <v>1416</v>
      </c>
      <c r="L82" s="143" t="s">
        <v>1959</v>
      </c>
      <c r="M82" s="143"/>
      <c r="N82" s="143"/>
      <c r="O82" s="143"/>
      <c r="P82" s="143"/>
      <c r="Q82" s="143"/>
      <c r="R82" s="143"/>
      <c r="S82" s="143">
        <v>4</v>
      </c>
      <c r="T82" s="143"/>
      <c r="U82" s="143"/>
      <c r="V82" s="149"/>
      <c r="W82" s="150"/>
      <c r="X82" s="149"/>
      <c r="Y82" s="150"/>
      <c r="Z82" s="149"/>
      <c r="AA82" s="150">
        <v>12</v>
      </c>
      <c r="AB82" s="149">
        <v>13</v>
      </c>
      <c r="AC82" s="177"/>
      <c r="AD82" s="177"/>
      <c r="AE82" s="177"/>
      <c r="AF82" s="177"/>
      <c r="AG82" s="177"/>
      <c r="AH82" s="177"/>
      <c r="AI82" s="177"/>
      <c r="AJ82" s="143"/>
      <c r="AK82" s="143"/>
      <c r="AL82" s="143"/>
      <c r="AM82" s="143"/>
      <c r="AN82" s="143"/>
      <c r="AO82" s="143"/>
      <c r="AP82" s="143"/>
      <c r="AQ82" s="143"/>
      <c r="AR82" s="143"/>
      <c r="AS82" s="143"/>
      <c r="AT82" s="143"/>
    </row>
    <row r="83" spans="1:46">
      <c r="A83" s="143"/>
      <c r="B83" s="143"/>
      <c r="C83" s="143" t="s">
        <v>142</v>
      </c>
      <c r="D83" s="144" t="s">
        <v>751</v>
      </c>
      <c r="E83" s="141">
        <v>1</v>
      </c>
      <c r="F83" s="143" t="s">
        <v>1417</v>
      </c>
      <c r="G83" s="143" t="s">
        <v>1826</v>
      </c>
      <c r="H83" s="143" t="s">
        <v>1418</v>
      </c>
      <c r="I83" s="143"/>
      <c r="J83" s="143" t="s">
        <v>1895</v>
      </c>
      <c r="K83" s="143" t="s">
        <v>1421</v>
      </c>
      <c r="L83" s="143" t="s">
        <v>1960</v>
      </c>
      <c r="M83" s="143" t="s">
        <v>2325</v>
      </c>
      <c r="N83" s="143" t="s">
        <v>2326</v>
      </c>
      <c r="O83" s="143" t="s">
        <v>606</v>
      </c>
      <c r="P83" s="143" t="s">
        <v>607</v>
      </c>
      <c r="Q83" s="143" t="s">
        <v>2327</v>
      </c>
      <c r="R83" s="143" t="s">
        <v>2328</v>
      </c>
      <c r="S83" s="143">
        <v>0.9</v>
      </c>
      <c r="T83" s="143">
        <v>0.4</v>
      </c>
      <c r="U83" s="143"/>
      <c r="V83" s="149"/>
      <c r="W83" s="150"/>
      <c r="X83" s="149">
        <v>800</v>
      </c>
      <c r="Y83" s="150">
        <v>300</v>
      </c>
      <c r="Z83" s="149"/>
      <c r="AA83" s="150">
        <v>30</v>
      </c>
      <c r="AB83" s="149">
        <v>16</v>
      </c>
      <c r="AC83" s="177" t="s">
        <v>2012</v>
      </c>
      <c r="AD83" s="177" t="s">
        <v>2075</v>
      </c>
      <c r="AE83" s="177">
        <v>0</v>
      </c>
      <c r="AF83" s="177">
        <v>0</v>
      </c>
      <c r="AG83" s="177">
        <v>1</v>
      </c>
      <c r="AH83" s="177">
        <v>2</v>
      </c>
      <c r="AI83" s="177">
        <v>7</v>
      </c>
      <c r="AJ83" s="143" t="s">
        <v>1309</v>
      </c>
      <c r="AK83" s="143" t="s">
        <v>1065</v>
      </c>
      <c r="AL83" s="143">
        <v>2</v>
      </c>
      <c r="AM83" s="143">
        <v>2</v>
      </c>
      <c r="AN83" s="143">
        <v>2</v>
      </c>
      <c r="AO83" s="143">
        <v>0</v>
      </c>
      <c r="AP83" s="143" t="s">
        <v>2112</v>
      </c>
      <c r="AQ83" s="143" t="s">
        <v>2148</v>
      </c>
      <c r="AR83" s="143"/>
      <c r="AS83" s="143">
        <v>1</v>
      </c>
      <c r="AT83" s="143"/>
    </row>
    <row r="84" spans="1:46">
      <c r="A84" s="143"/>
      <c r="B84" s="143"/>
      <c r="C84" s="143"/>
      <c r="D84" s="144"/>
      <c r="E84" s="141">
        <v>2</v>
      </c>
      <c r="F84" s="130"/>
      <c r="G84" s="143"/>
      <c r="H84" s="143" t="s">
        <v>1419</v>
      </c>
      <c r="I84" s="143"/>
      <c r="J84" s="143" t="s">
        <v>1895</v>
      </c>
      <c r="K84" s="143" t="s">
        <v>1422</v>
      </c>
      <c r="L84" s="143" t="s">
        <v>1960</v>
      </c>
      <c r="M84" s="143"/>
      <c r="N84" s="143"/>
      <c r="O84" s="143"/>
      <c r="P84" s="143"/>
      <c r="Q84" s="143"/>
      <c r="R84" s="143"/>
      <c r="S84" s="143">
        <v>0.6</v>
      </c>
      <c r="T84" s="143">
        <v>0.55000000000000004</v>
      </c>
      <c r="U84" s="143"/>
      <c r="V84" s="149"/>
      <c r="W84" s="150"/>
      <c r="X84" s="149">
        <v>800</v>
      </c>
      <c r="Y84" s="150">
        <v>450</v>
      </c>
      <c r="Z84" s="149"/>
      <c r="AA84" s="150">
        <v>30</v>
      </c>
      <c r="AB84" s="149">
        <v>13</v>
      </c>
      <c r="AC84" s="177"/>
      <c r="AD84" s="177"/>
      <c r="AE84" s="177"/>
      <c r="AF84" s="177"/>
      <c r="AG84" s="177"/>
      <c r="AH84" s="177"/>
      <c r="AI84" s="177"/>
      <c r="AJ84" s="143"/>
      <c r="AK84" s="143"/>
      <c r="AL84" s="143"/>
      <c r="AM84" s="143"/>
      <c r="AN84" s="143"/>
      <c r="AO84" s="143"/>
      <c r="AP84" s="143"/>
      <c r="AQ84" s="143"/>
      <c r="AR84" s="143"/>
      <c r="AS84" s="143"/>
      <c r="AT84" s="143"/>
    </row>
    <row r="85" spans="1:46">
      <c r="A85" s="143"/>
      <c r="B85" s="143"/>
      <c r="C85" s="143"/>
      <c r="D85" s="144"/>
      <c r="E85" s="141">
        <v>3</v>
      </c>
      <c r="F85" s="130"/>
      <c r="G85" s="143"/>
      <c r="H85" s="143" t="s">
        <v>1420</v>
      </c>
      <c r="I85" s="143"/>
      <c r="J85" s="143" t="s">
        <v>1895</v>
      </c>
      <c r="K85" s="143" t="s">
        <v>1423</v>
      </c>
      <c r="L85" s="143" t="s">
        <v>1960</v>
      </c>
      <c r="M85" s="143"/>
      <c r="N85" s="143"/>
      <c r="O85" s="143"/>
      <c r="P85" s="143"/>
      <c r="Q85" s="143"/>
      <c r="R85" s="143"/>
      <c r="S85" s="143">
        <v>0.3</v>
      </c>
      <c r="T85" s="143">
        <v>0.7</v>
      </c>
      <c r="U85" s="143"/>
      <c r="V85" s="149"/>
      <c r="W85" s="150"/>
      <c r="X85" s="149">
        <v>800</v>
      </c>
      <c r="Y85" s="150">
        <v>600</v>
      </c>
      <c r="Z85" s="149"/>
      <c r="AA85" s="150">
        <v>30</v>
      </c>
      <c r="AB85" s="149">
        <v>10</v>
      </c>
      <c r="AC85" s="177"/>
      <c r="AD85" s="177"/>
      <c r="AE85" s="177"/>
      <c r="AF85" s="177"/>
      <c r="AG85" s="177"/>
      <c r="AH85" s="177"/>
      <c r="AI85" s="177"/>
      <c r="AJ85" s="143"/>
      <c r="AK85" s="143"/>
      <c r="AL85" s="143"/>
      <c r="AM85" s="143"/>
      <c r="AN85" s="143"/>
      <c r="AO85" s="143"/>
      <c r="AP85" s="143"/>
      <c r="AQ85" s="143"/>
      <c r="AR85" s="143"/>
      <c r="AS85" s="143"/>
      <c r="AT85" s="143"/>
    </row>
    <row r="86" spans="1:46">
      <c r="A86" s="143"/>
      <c r="B86" s="143"/>
      <c r="C86" s="143" t="s">
        <v>1612</v>
      </c>
      <c r="D86" s="144" t="s">
        <v>1636</v>
      </c>
      <c r="E86" s="141">
        <v>1</v>
      </c>
      <c r="F86" s="143" t="s">
        <v>1613</v>
      </c>
      <c r="G86" s="143" t="s">
        <v>1897</v>
      </c>
      <c r="H86" s="143" t="s">
        <v>1614</v>
      </c>
      <c r="I86" s="143"/>
      <c r="J86" s="143" t="s">
        <v>1896</v>
      </c>
      <c r="K86" s="143" t="s">
        <v>1617</v>
      </c>
      <c r="L86" s="143" t="s">
        <v>1961</v>
      </c>
      <c r="M86" s="143" t="s">
        <v>2329</v>
      </c>
      <c r="N86" s="143" t="s">
        <v>2330</v>
      </c>
      <c r="O86" s="143" t="s">
        <v>606</v>
      </c>
      <c r="P86" s="143" t="s">
        <v>608</v>
      </c>
      <c r="Q86" s="143" t="s">
        <v>2331</v>
      </c>
      <c r="R86" s="143" t="s">
        <v>2332</v>
      </c>
      <c r="S86" s="143">
        <v>3</v>
      </c>
      <c r="T86" s="143">
        <v>0.05</v>
      </c>
      <c r="U86" s="143">
        <v>50</v>
      </c>
      <c r="V86" s="149"/>
      <c r="W86" s="150"/>
      <c r="X86" s="149"/>
      <c r="Y86" s="150"/>
      <c r="Z86" s="149"/>
      <c r="AA86" s="150"/>
      <c r="AB86" s="149">
        <v>1</v>
      </c>
      <c r="AC86" s="177" t="s">
        <v>2013</v>
      </c>
      <c r="AD86" s="177" t="s">
        <v>2075</v>
      </c>
      <c r="AE86" s="177">
        <v>0</v>
      </c>
      <c r="AF86" s="177">
        <v>0</v>
      </c>
      <c r="AG86" s="177">
        <v>1</v>
      </c>
      <c r="AH86" s="177">
        <v>0</v>
      </c>
      <c r="AI86" s="177">
        <v>5</v>
      </c>
      <c r="AJ86" s="143" t="s">
        <v>1317</v>
      </c>
      <c r="AK86" s="143" t="s">
        <v>1591</v>
      </c>
      <c r="AL86" s="143">
        <v>3</v>
      </c>
      <c r="AM86" s="143">
        <v>2</v>
      </c>
      <c r="AN86" s="143">
        <v>3</v>
      </c>
      <c r="AO86" s="143">
        <v>0</v>
      </c>
      <c r="AP86" s="143" t="s">
        <v>2113</v>
      </c>
      <c r="AQ86" s="143" t="s">
        <v>2148</v>
      </c>
      <c r="AR86" s="143"/>
      <c r="AS86" s="143">
        <v>1</v>
      </c>
      <c r="AT86" s="143"/>
    </row>
    <row r="87" spans="1:46">
      <c r="A87" s="143"/>
      <c r="B87" s="143"/>
      <c r="C87" s="143"/>
      <c r="D87" s="144"/>
      <c r="E87" s="141">
        <v>2</v>
      </c>
      <c r="F87" s="130"/>
      <c r="G87" s="143"/>
      <c r="H87" s="143" t="s">
        <v>1615</v>
      </c>
      <c r="I87" s="143"/>
      <c r="J87" s="143" t="s">
        <v>1896</v>
      </c>
      <c r="K87" s="143" t="s">
        <v>1618</v>
      </c>
      <c r="L87" s="143" t="s">
        <v>1961</v>
      </c>
      <c r="M87" s="143"/>
      <c r="N87" s="143"/>
      <c r="O87" s="143"/>
      <c r="P87" s="143"/>
      <c r="Q87" s="143"/>
      <c r="R87" s="143"/>
      <c r="S87" s="143">
        <v>5</v>
      </c>
      <c r="T87" s="143">
        <v>0.1</v>
      </c>
      <c r="U87" s="143">
        <v>100</v>
      </c>
      <c r="V87" s="149"/>
      <c r="W87" s="150"/>
      <c r="X87" s="149"/>
      <c r="Y87" s="150"/>
      <c r="Z87" s="149"/>
      <c r="AA87" s="150"/>
      <c r="AB87" s="149">
        <v>1</v>
      </c>
      <c r="AC87" s="177"/>
      <c r="AD87" s="177"/>
      <c r="AE87" s="177"/>
      <c r="AF87" s="177"/>
      <c r="AG87" s="177"/>
      <c r="AH87" s="177"/>
      <c r="AI87" s="177"/>
      <c r="AJ87" s="143"/>
      <c r="AK87" s="143"/>
      <c r="AL87" s="143"/>
      <c r="AM87" s="143"/>
      <c r="AN87" s="143"/>
      <c r="AO87" s="143"/>
      <c r="AP87" s="143"/>
      <c r="AQ87" s="143"/>
      <c r="AR87" s="143"/>
      <c r="AS87" s="143"/>
      <c r="AT87" s="143"/>
    </row>
    <row r="88" spans="1:46">
      <c r="A88" s="143"/>
      <c r="B88" s="143"/>
      <c r="C88" s="143"/>
      <c r="D88" s="144"/>
      <c r="E88" s="141">
        <v>3</v>
      </c>
      <c r="F88" s="130"/>
      <c r="G88" s="143"/>
      <c r="H88" s="143" t="s">
        <v>1616</v>
      </c>
      <c r="I88" s="143"/>
      <c r="J88" s="143" t="s">
        <v>1896</v>
      </c>
      <c r="K88" s="143" t="s">
        <v>1619</v>
      </c>
      <c r="L88" s="143" t="s">
        <v>1961</v>
      </c>
      <c r="M88" s="143"/>
      <c r="N88" s="143"/>
      <c r="O88" s="143"/>
      <c r="P88" s="143"/>
      <c r="Q88" s="143"/>
      <c r="R88" s="143"/>
      <c r="S88" s="143">
        <v>8</v>
      </c>
      <c r="T88" s="143">
        <v>0.15</v>
      </c>
      <c r="U88" s="143">
        <v>200</v>
      </c>
      <c r="V88" s="149"/>
      <c r="W88" s="150"/>
      <c r="X88" s="149"/>
      <c r="Y88" s="150"/>
      <c r="Z88" s="149"/>
      <c r="AA88" s="150"/>
      <c r="AB88" s="149">
        <v>1</v>
      </c>
      <c r="AC88" s="177"/>
      <c r="AD88" s="177"/>
      <c r="AE88" s="177"/>
      <c r="AF88" s="177"/>
      <c r="AG88" s="177"/>
      <c r="AH88" s="177"/>
      <c r="AI88" s="177"/>
      <c r="AJ88" s="143"/>
      <c r="AK88" s="143"/>
      <c r="AL88" s="143"/>
      <c r="AM88" s="143"/>
      <c r="AN88" s="143"/>
      <c r="AO88" s="143"/>
      <c r="AP88" s="143"/>
      <c r="AQ88" s="143"/>
      <c r="AR88" s="143"/>
      <c r="AS88" s="143"/>
      <c r="AT88" s="143"/>
    </row>
    <row r="89" spans="1:46">
      <c r="A89" s="143"/>
      <c r="B89" s="143"/>
      <c r="C89" s="143" t="s">
        <v>146</v>
      </c>
      <c r="D89" s="144" t="s">
        <v>852</v>
      </c>
      <c r="E89" s="141">
        <v>1</v>
      </c>
      <c r="F89" s="143" t="s">
        <v>1424</v>
      </c>
      <c r="G89" s="143" t="s">
        <v>1827</v>
      </c>
      <c r="H89" s="143" t="s">
        <v>1425</v>
      </c>
      <c r="I89" s="143"/>
      <c r="J89" s="143" t="s">
        <v>1898</v>
      </c>
      <c r="K89" s="143" t="s">
        <v>1428</v>
      </c>
      <c r="L89" s="143" t="s">
        <v>1962</v>
      </c>
      <c r="M89" s="143"/>
      <c r="N89" s="143"/>
      <c r="O89" s="143"/>
      <c r="P89" s="143"/>
      <c r="Q89" s="143"/>
      <c r="R89" s="143"/>
      <c r="S89" s="143">
        <v>0.5</v>
      </c>
      <c r="T89" s="143"/>
      <c r="U89" s="143"/>
      <c r="V89" s="149"/>
      <c r="W89" s="150"/>
      <c r="X89" s="149"/>
      <c r="Y89" s="150"/>
      <c r="Z89" s="149"/>
      <c r="AA89" s="150"/>
      <c r="AB89" s="149">
        <v>5</v>
      </c>
      <c r="AC89" s="177" t="s">
        <v>2014</v>
      </c>
      <c r="AD89" s="177" t="s">
        <v>2075</v>
      </c>
      <c r="AE89" s="177">
        <v>0</v>
      </c>
      <c r="AF89" s="177">
        <v>0</v>
      </c>
      <c r="AG89" s="177">
        <v>1</v>
      </c>
      <c r="AH89" s="177">
        <v>0</v>
      </c>
      <c r="AI89" s="177">
        <v>5</v>
      </c>
      <c r="AJ89" s="143" t="s">
        <v>2077</v>
      </c>
      <c r="AK89" s="143" t="s">
        <v>2064</v>
      </c>
      <c r="AL89" s="143">
        <v>1</v>
      </c>
      <c r="AM89" s="143">
        <v>1</v>
      </c>
      <c r="AN89" s="143">
        <v>0</v>
      </c>
      <c r="AO89" s="143">
        <v>1</v>
      </c>
      <c r="AP89" s="143" t="s">
        <v>2114</v>
      </c>
      <c r="AQ89" s="143" t="s">
        <v>2148</v>
      </c>
      <c r="AR89" s="143"/>
      <c r="AS89" s="143">
        <v>1</v>
      </c>
      <c r="AT89" s="143"/>
    </row>
    <row r="90" spans="1:46">
      <c r="A90" s="143"/>
      <c r="B90" s="143"/>
      <c r="C90" s="143"/>
      <c r="D90" s="144"/>
      <c r="E90" s="141">
        <v>2</v>
      </c>
      <c r="F90" s="130"/>
      <c r="G90" s="143"/>
      <c r="H90" s="143" t="s">
        <v>1426</v>
      </c>
      <c r="I90" s="143"/>
      <c r="J90" s="143" t="s">
        <v>1898</v>
      </c>
      <c r="K90" s="143" t="s">
        <v>1429</v>
      </c>
      <c r="L90" s="143" t="s">
        <v>1962</v>
      </c>
      <c r="M90" s="143"/>
      <c r="N90" s="143"/>
      <c r="O90" s="143"/>
      <c r="P90" s="143"/>
      <c r="Q90" s="143"/>
      <c r="R90" s="143"/>
      <c r="S90" s="143">
        <v>1</v>
      </c>
      <c r="T90" s="143"/>
      <c r="U90" s="143"/>
      <c r="V90" s="149"/>
      <c r="W90" s="150"/>
      <c r="X90" s="149"/>
      <c r="Y90" s="150"/>
      <c r="Z90" s="149"/>
      <c r="AA90" s="150"/>
      <c r="AB90" s="149">
        <v>5</v>
      </c>
      <c r="AC90" s="177"/>
      <c r="AD90" s="177"/>
      <c r="AE90" s="177"/>
      <c r="AF90" s="177"/>
      <c r="AG90" s="177"/>
      <c r="AH90" s="177"/>
      <c r="AI90" s="177"/>
      <c r="AJ90" s="143"/>
      <c r="AK90" s="143"/>
      <c r="AL90" s="143"/>
      <c r="AM90" s="143"/>
      <c r="AN90" s="143"/>
      <c r="AO90" s="143"/>
      <c r="AP90" s="143"/>
      <c r="AQ90" s="143"/>
      <c r="AR90" s="143"/>
      <c r="AS90" s="143"/>
      <c r="AT90" s="143"/>
    </row>
    <row r="91" spans="1:46">
      <c r="A91" s="143"/>
      <c r="B91" s="143"/>
      <c r="C91" s="143"/>
      <c r="D91" s="144"/>
      <c r="E91" s="141">
        <v>3</v>
      </c>
      <c r="F91" s="130"/>
      <c r="G91" s="143"/>
      <c r="H91" s="143" t="s">
        <v>1427</v>
      </c>
      <c r="I91" s="143"/>
      <c r="J91" s="143" t="s">
        <v>1898</v>
      </c>
      <c r="K91" s="143" t="s">
        <v>1430</v>
      </c>
      <c r="L91" s="143" t="s">
        <v>1962</v>
      </c>
      <c r="M91" s="143"/>
      <c r="N91" s="143"/>
      <c r="O91" s="143"/>
      <c r="P91" s="143"/>
      <c r="Q91" s="143"/>
      <c r="R91" s="143"/>
      <c r="S91" s="143">
        <v>1.5</v>
      </c>
      <c r="T91" s="143"/>
      <c r="U91" s="143"/>
      <c r="V91" s="149"/>
      <c r="W91" s="150"/>
      <c r="X91" s="149"/>
      <c r="Y91" s="150"/>
      <c r="Z91" s="149"/>
      <c r="AA91" s="150"/>
      <c r="AB91" s="149">
        <v>5</v>
      </c>
      <c r="AC91" s="177"/>
      <c r="AD91" s="177"/>
      <c r="AE91" s="177"/>
      <c r="AF91" s="177"/>
      <c r="AG91" s="177"/>
      <c r="AH91" s="177"/>
      <c r="AI91" s="177"/>
      <c r="AJ91" s="143"/>
      <c r="AK91" s="143"/>
      <c r="AL91" s="143"/>
      <c r="AM91" s="143"/>
      <c r="AN91" s="143"/>
      <c r="AO91" s="143"/>
      <c r="AP91" s="143"/>
      <c r="AQ91" s="143"/>
      <c r="AR91" s="143"/>
      <c r="AS91" s="143"/>
      <c r="AT91" s="143"/>
    </row>
    <row r="92" spans="1:46">
      <c r="A92" s="143"/>
      <c r="B92" s="143"/>
      <c r="C92" s="143" t="s">
        <v>147</v>
      </c>
      <c r="D92" s="144" t="s">
        <v>851</v>
      </c>
      <c r="E92" s="143">
        <v>1</v>
      </c>
      <c r="F92" s="143" t="s">
        <v>1431</v>
      </c>
      <c r="G92" s="143" t="s">
        <v>1828</v>
      </c>
      <c r="H92" s="143"/>
      <c r="I92" s="143"/>
      <c r="J92" s="143" t="s">
        <v>2233</v>
      </c>
      <c r="K92" s="143"/>
      <c r="L92" s="143" t="s">
        <v>2234</v>
      </c>
      <c r="M92" s="143" t="s">
        <v>2333</v>
      </c>
      <c r="N92" s="143" t="s">
        <v>2334</v>
      </c>
      <c r="O92" s="143" t="s">
        <v>607</v>
      </c>
      <c r="P92" s="143" t="s">
        <v>608</v>
      </c>
      <c r="Q92" s="143" t="s">
        <v>2335</v>
      </c>
      <c r="R92" s="143" t="s">
        <v>2336</v>
      </c>
      <c r="S92" s="143"/>
      <c r="T92" s="143"/>
      <c r="U92" s="143"/>
      <c r="V92" s="149"/>
      <c r="W92" s="150"/>
      <c r="X92" s="149"/>
      <c r="Y92" s="150"/>
      <c r="Z92" s="149">
        <v>50</v>
      </c>
      <c r="AA92" s="150"/>
      <c r="AB92" s="149">
        <v>60</v>
      </c>
      <c r="AC92" s="177" t="s">
        <v>2015</v>
      </c>
      <c r="AD92" s="177" t="s">
        <v>2075</v>
      </c>
      <c r="AE92" s="177">
        <v>0</v>
      </c>
      <c r="AF92" s="177">
        <v>0</v>
      </c>
      <c r="AG92" s="177">
        <v>1</v>
      </c>
      <c r="AH92" s="177">
        <v>0</v>
      </c>
      <c r="AI92" s="177">
        <v>5</v>
      </c>
      <c r="AJ92" s="143" t="s">
        <v>2078</v>
      </c>
      <c r="AK92" s="143" t="s">
        <v>2065</v>
      </c>
      <c r="AL92" s="143">
        <v>2</v>
      </c>
      <c r="AM92" s="143">
        <v>1</v>
      </c>
      <c r="AN92" s="143">
        <v>0</v>
      </c>
      <c r="AO92" s="143">
        <v>1</v>
      </c>
      <c r="AP92" s="143" t="s">
        <v>2138</v>
      </c>
      <c r="AQ92" s="143" t="s">
        <v>2148</v>
      </c>
      <c r="AR92" s="143"/>
      <c r="AS92" s="143">
        <v>0</v>
      </c>
      <c r="AT92" s="143"/>
    </row>
    <row r="93" spans="1:46">
      <c r="A93" s="143"/>
      <c r="B93" s="143"/>
      <c r="C93" s="143"/>
      <c r="D93" s="144"/>
      <c r="E93" s="143">
        <v>2</v>
      </c>
      <c r="F93" s="143"/>
      <c r="G93" s="143"/>
      <c r="H93" s="143"/>
      <c r="I93" s="143"/>
      <c r="J93" s="143" t="s">
        <v>2233</v>
      </c>
      <c r="K93" s="143"/>
      <c r="L93" s="143" t="s">
        <v>2234</v>
      </c>
      <c r="M93" s="143"/>
      <c r="N93" s="143"/>
      <c r="O93" s="143"/>
      <c r="P93" s="143"/>
      <c r="Q93" s="143"/>
      <c r="R93" s="143"/>
      <c r="S93" s="143"/>
      <c r="T93" s="143"/>
      <c r="U93" s="143"/>
      <c r="V93" s="149"/>
      <c r="W93" s="150"/>
      <c r="X93" s="149"/>
      <c r="Y93" s="150"/>
      <c r="Z93" s="149">
        <v>50</v>
      </c>
      <c r="AA93" s="150"/>
      <c r="AB93" s="149">
        <v>45</v>
      </c>
      <c r="AC93" s="177"/>
      <c r="AD93" s="177"/>
      <c r="AE93" s="177"/>
      <c r="AF93" s="177"/>
      <c r="AG93" s="177"/>
      <c r="AH93" s="177"/>
      <c r="AI93" s="177"/>
      <c r="AJ93" s="143"/>
      <c r="AK93" s="143"/>
      <c r="AL93" s="143"/>
      <c r="AM93" s="143"/>
      <c r="AN93" s="143"/>
      <c r="AO93" s="143"/>
      <c r="AP93" s="143"/>
      <c r="AQ93" s="143"/>
      <c r="AR93" s="143"/>
      <c r="AS93" s="143"/>
      <c r="AT93" s="143"/>
    </row>
    <row r="94" spans="1:46">
      <c r="A94" s="143"/>
      <c r="B94" s="143"/>
      <c r="C94" s="143"/>
      <c r="D94" s="144"/>
      <c r="E94" s="143">
        <v>3</v>
      </c>
      <c r="F94" s="143"/>
      <c r="G94" s="143"/>
      <c r="H94" s="143"/>
      <c r="I94" s="143"/>
      <c r="J94" s="143" t="s">
        <v>2233</v>
      </c>
      <c r="K94" s="143"/>
      <c r="L94" s="143" t="s">
        <v>2234</v>
      </c>
      <c r="M94" s="143"/>
      <c r="N94" s="143"/>
      <c r="O94" s="143"/>
      <c r="P94" s="143"/>
      <c r="Q94" s="143"/>
      <c r="R94" s="143"/>
      <c r="S94" s="143"/>
      <c r="T94" s="143"/>
      <c r="U94" s="143"/>
      <c r="V94" s="149"/>
      <c r="W94" s="150"/>
      <c r="X94" s="149"/>
      <c r="Y94" s="150"/>
      <c r="Z94" s="149">
        <v>50</v>
      </c>
      <c r="AA94" s="150"/>
      <c r="AB94" s="149">
        <v>30</v>
      </c>
      <c r="AC94" s="177"/>
      <c r="AD94" s="177"/>
      <c r="AE94" s="177"/>
      <c r="AF94" s="177"/>
      <c r="AG94" s="177"/>
      <c r="AH94" s="177"/>
      <c r="AI94" s="177"/>
      <c r="AJ94" s="143"/>
      <c r="AK94" s="143"/>
      <c r="AL94" s="143"/>
      <c r="AM94" s="143"/>
      <c r="AN94" s="143"/>
      <c r="AO94" s="143"/>
      <c r="AP94" s="143"/>
      <c r="AQ94" s="143"/>
      <c r="AR94" s="143"/>
      <c r="AS94" s="143"/>
      <c r="AT94" s="143"/>
    </row>
    <row r="95" spans="1:46">
      <c r="A95" s="146"/>
      <c r="B95" s="146"/>
      <c r="C95" s="143" t="s">
        <v>154</v>
      </c>
      <c r="D95" s="144" t="s">
        <v>1795</v>
      </c>
      <c r="E95" s="143">
        <v>1</v>
      </c>
      <c r="F95" s="143" t="s">
        <v>168</v>
      </c>
      <c r="G95" s="143" t="s">
        <v>1829</v>
      </c>
      <c r="H95" s="143"/>
      <c r="I95" s="143"/>
      <c r="J95" s="143"/>
      <c r="K95" s="143"/>
      <c r="L95" s="143"/>
      <c r="M95" s="143"/>
      <c r="N95" s="143"/>
      <c r="O95" s="143"/>
      <c r="P95" s="143"/>
      <c r="Q95" s="143"/>
      <c r="R95" s="143"/>
      <c r="S95" s="143"/>
      <c r="T95" s="143"/>
      <c r="U95" s="143"/>
      <c r="V95" s="149"/>
      <c r="W95" s="150"/>
      <c r="X95" s="149"/>
      <c r="Y95" s="150"/>
      <c r="Z95" s="149"/>
      <c r="AA95" s="150"/>
      <c r="AB95" s="149"/>
      <c r="AC95" s="177" t="s">
        <v>2017</v>
      </c>
      <c r="AD95" s="177" t="s">
        <v>2018</v>
      </c>
      <c r="AE95" s="177"/>
      <c r="AF95" s="177"/>
      <c r="AG95" s="177"/>
      <c r="AH95" s="177"/>
      <c r="AI95" s="177"/>
      <c r="AJ95" s="143"/>
      <c r="AK95" s="143"/>
      <c r="AL95" s="143"/>
      <c r="AM95" s="143"/>
      <c r="AN95" s="143"/>
      <c r="AO95" s="143"/>
      <c r="AP95" s="143"/>
      <c r="AQ95" s="143"/>
      <c r="AR95" s="143"/>
      <c r="AS95" s="143">
        <v>1</v>
      </c>
      <c r="AT95" s="143"/>
    </row>
    <row r="96" spans="1:46">
      <c r="A96" s="146"/>
      <c r="B96" s="146"/>
      <c r="C96" s="143" t="s">
        <v>169</v>
      </c>
      <c r="D96" s="144" t="s">
        <v>1796</v>
      </c>
      <c r="E96" s="143">
        <v>1</v>
      </c>
      <c r="F96" s="143" t="s">
        <v>587</v>
      </c>
      <c r="G96" s="143" t="s">
        <v>1854</v>
      </c>
      <c r="H96" s="143"/>
      <c r="I96" s="143"/>
      <c r="J96" s="143"/>
      <c r="K96" s="143"/>
      <c r="L96" s="143"/>
      <c r="M96" s="143"/>
      <c r="N96" s="143"/>
      <c r="O96" s="143"/>
      <c r="P96" s="143"/>
      <c r="Q96" s="143"/>
      <c r="R96" s="143"/>
      <c r="S96" s="143"/>
      <c r="T96" s="143"/>
      <c r="U96" s="143"/>
      <c r="V96" s="149"/>
      <c r="W96" s="150"/>
      <c r="X96" s="149"/>
      <c r="Y96" s="150"/>
      <c r="Z96" s="149"/>
      <c r="AA96" s="150"/>
      <c r="AB96" s="149"/>
      <c r="AC96" s="177" t="s">
        <v>2019</v>
      </c>
      <c r="AD96" s="177" t="s">
        <v>2018</v>
      </c>
      <c r="AE96" s="177"/>
      <c r="AF96" s="177"/>
      <c r="AG96" s="177"/>
      <c r="AH96" s="177"/>
      <c r="AI96" s="177"/>
      <c r="AJ96" s="143"/>
      <c r="AK96" s="143"/>
      <c r="AL96" s="143"/>
      <c r="AM96" s="143"/>
      <c r="AN96" s="143"/>
      <c r="AO96" s="143"/>
      <c r="AP96" s="143"/>
      <c r="AQ96" s="143"/>
      <c r="AR96" s="143"/>
      <c r="AS96" s="143">
        <v>1</v>
      </c>
      <c r="AT96" s="143"/>
    </row>
    <row r="97" spans="1:46">
      <c r="A97" s="143" t="s">
        <v>170</v>
      </c>
      <c r="B97" s="143" t="s">
        <v>1789</v>
      </c>
      <c r="C97" s="143" t="s">
        <v>179</v>
      </c>
      <c r="D97" s="141" t="s">
        <v>848</v>
      </c>
      <c r="E97" s="141">
        <v>1</v>
      </c>
      <c r="F97" s="143" t="s">
        <v>1049</v>
      </c>
      <c r="G97" s="143" t="s">
        <v>1830</v>
      </c>
      <c r="H97" s="143" t="s">
        <v>181</v>
      </c>
      <c r="I97" s="143"/>
      <c r="J97" s="143" t="s">
        <v>1899</v>
      </c>
      <c r="K97" s="143" t="s">
        <v>1050</v>
      </c>
      <c r="L97" s="143" t="s">
        <v>1963</v>
      </c>
      <c r="M97" s="143" t="s">
        <v>2337</v>
      </c>
      <c r="N97" s="143" t="s">
        <v>2338</v>
      </c>
      <c r="O97" s="143" t="s">
        <v>607</v>
      </c>
      <c r="P97" s="143" t="s">
        <v>607</v>
      </c>
      <c r="Q97" s="143" t="s">
        <v>848</v>
      </c>
      <c r="R97" s="143" t="s">
        <v>2339</v>
      </c>
      <c r="S97" s="143">
        <v>50</v>
      </c>
      <c r="T97" s="143">
        <v>0.1</v>
      </c>
      <c r="U97" s="143"/>
      <c r="V97" s="149"/>
      <c r="W97" s="150"/>
      <c r="X97" s="149"/>
      <c r="Y97" s="150"/>
      <c r="Z97" s="149"/>
      <c r="AA97" s="150"/>
      <c r="AB97" s="149">
        <v>1</v>
      </c>
      <c r="AC97" s="177" t="s">
        <v>2022</v>
      </c>
      <c r="AD97" s="177" t="s">
        <v>2075</v>
      </c>
      <c r="AE97" s="177">
        <v>0</v>
      </c>
      <c r="AF97" s="177">
        <v>0</v>
      </c>
      <c r="AG97" s="177">
        <v>1.4</v>
      </c>
      <c r="AH97" s="177">
        <v>0</v>
      </c>
      <c r="AI97" s="177">
        <v>5</v>
      </c>
      <c r="AJ97" s="143" t="s">
        <v>1048</v>
      </c>
      <c r="AK97" s="143" t="s">
        <v>1590</v>
      </c>
      <c r="AL97" s="143">
        <v>0</v>
      </c>
      <c r="AM97" s="143">
        <v>2</v>
      </c>
      <c r="AN97" s="143">
        <v>0</v>
      </c>
      <c r="AO97" s="143">
        <v>0</v>
      </c>
      <c r="AP97" s="143" t="s">
        <v>2115</v>
      </c>
      <c r="AQ97" s="143" t="s">
        <v>2149</v>
      </c>
      <c r="AR97" s="143"/>
      <c r="AS97" s="143">
        <v>1</v>
      </c>
      <c r="AT97" s="143"/>
    </row>
    <row r="98" spans="1:46">
      <c r="A98" s="143"/>
      <c r="B98" s="143"/>
      <c r="C98" s="141"/>
      <c r="D98" s="141"/>
      <c r="E98" s="141">
        <v>2</v>
      </c>
      <c r="F98" s="130"/>
      <c r="G98" s="143"/>
      <c r="H98" s="143" t="s">
        <v>182</v>
      </c>
      <c r="I98" s="143"/>
      <c r="J98" s="143" t="s">
        <v>1899</v>
      </c>
      <c r="K98" s="143" t="s">
        <v>1051</v>
      </c>
      <c r="L98" s="143" t="s">
        <v>1963</v>
      </c>
      <c r="M98" s="143"/>
      <c r="N98" s="143"/>
      <c r="O98" s="143"/>
      <c r="P98" s="143"/>
      <c r="Q98" s="143"/>
      <c r="R98" s="143"/>
      <c r="S98" s="143">
        <v>60</v>
      </c>
      <c r="T98" s="143">
        <v>0.13</v>
      </c>
      <c r="U98" s="143"/>
      <c r="V98" s="149"/>
      <c r="W98" s="150"/>
      <c r="X98" s="149"/>
      <c r="Y98" s="150"/>
      <c r="Z98" s="149"/>
      <c r="AA98" s="150"/>
      <c r="AB98" s="149">
        <v>1</v>
      </c>
      <c r="AC98" s="177"/>
      <c r="AD98" s="177"/>
      <c r="AE98" s="177"/>
      <c r="AF98" s="177"/>
      <c r="AG98" s="177"/>
      <c r="AH98" s="177"/>
      <c r="AI98" s="177"/>
      <c r="AJ98" s="143"/>
      <c r="AK98" s="143"/>
      <c r="AL98" s="143"/>
      <c r="AM98" s="143"/>
      <c r="AN98" s="143"/>
      <c r="AO98" s="143"/>
      <c r="AP98" s="143"/>
      <c r="AQ98" s="143"/>
      <c r="AR98" s="143"/>
      <c r="AS98" s="143"/>
      <c r="AT98" s="143"/>
    </row>
    <row r="99" spans="1:46">
      <c r="A99" s="143"/>
      <c r="B99" s="143"/>
      <c r="C99" s="141"/>
      <c r="D99" s="141"/>
      <c r="E99" s="141">
        <v>3</v>
      </c>
      <c r="F99" s="130"/>
      <c r="G99" s="143"/>
      <c r="H99" s="143" t="s">
        <v>183</v>
      </c>
      <c r="I99" s="143"/>
      <c r="J99" s="143" t="s">
        <v>1900</v>
      </c>
      <c r="K99" s="143" t="s">
        <v>1052</v>
      </c>
      <c r="L99" s="143" t="s">
        <v>1963</v>
      </c>
      <c r="M99" s="143"/>
      <c r="N99" s="143"/>
      <c r="O99" s="143"/>
      <c r="P99" s="143"/>
      <c r="Q99" s="143"/>
      <c r="R99" s="143"/>
      <c r="S99" s="143">
        <v>70</v>
      </c>
      <c r="T99" s="143">
        <v>0.16</v>
      </c>
      <c r="U99" s="143"/>
      <c r="V99" s="149"/>
      <c r="W99" s="150"/>
      <c r="X99" s="149"/>
      <c r="Y99" s="150"/>
      <c r="Z99" s="149"/>
      <c r="AA99" s="150"/>
      <c r="AB99" s="149">
        <v>1</v>
      </c>
      <c r="AC99" s="177"/>
      <c r="AD99" s="177"/>
      <c r="AE99" s="177"/>
      <c r="AF99" s="177"/>
      <c r="AG99" s="177"/>
      <c r="AH99" s="177"/>
      <c r="AI99" s="177"/>
      <c r="AJ99" s="143"/>
      <c r="AK99" s="143"/>
      <c r="AL99" s="143"/>
      <c r="AM99" s="143"/>
      <c r="AN99" s="143"/>
      <c r="AO99" s="143"/>
      <c r="AP99" s="143"/>
      <c r="AQ99" s="143"/>
      <c r="AR99" s="143"/>
      <c r="AS99" s="143"/>
      <c r="AT99" s="143"/>
    </row>
    <row r="100" spans="1:46">
      <c r="A100" s="143"/>
      <c r="B100" s="143"/>
      <c r="C100" s="143" t="s">
        <v>174</v>
      </c>
      <c r="D100" s="144" t="s">
        <v>847</v>
      </c>
      <c r="E100" s="141">
        <v>1</v>
      </c>
      <c r="F100" s="143" t="s">
        <v>1444</v>
      </c>
      <c r="G100" s="143" t="s">
        <v>1769</v>
      </c>
      <c r="H100" s="143" t="s">
        <v>1445</v>
      </c>
      <c r="I100" s="143"/>
      <c r="J100" s="143" t="s">
        <v>1901</v>
      </c>
      <c r="K100" s="143" t="s">
        <v>1448</v>
      </c>
      <c r="L100" s="143" t="s">
        <v>1964</v>
      </c>
      <c r="M100" s="143" t="s">
        <v>2340</v>
      </c>
      <c r="N100" s="143" t="s">
        <v>2341</v>
      </c>
      <c r="O100" s="143" t="s">
        <v>606</v>
      </c>
      <c r="P100" s="143" t="s">
        <v>607</v>
      </c>
      <c r="Q100" s="143" t="s">
        <v>847</v>
      </c>
      <c r="R100" s="143" t="s">
        <v>2256</v>
      </c>
      <c r="S100" s="143">
        <v>80</v>
      </c>
      <c r="T100" s="143"/>
      <c r="U100" s="143"/>
      <c r="V100" s="149"/>
      <c r="W100" s="150"/>
      <c r="X100" s="149">
        <v>128</v>
      </c>
      <c r="Y100" s="150"/>
      <c r="Z100" s="149"/>
      <c r="AA100" s="150">
        <v>10</v>
      </c>
      <c r="AB100" s="149">
        <v>6</v>
      </c>
      <c r="AC100" s="177" t="s">
        <v>2023</v>
      </c>
      <c r="AD100" s="177" t="s">
        <v>2075</v>
      </c>
      <c r="AE100" s="177">
        <v>0</v>
      </c>
      <c r="AF100" s="177">
        <v>0</v>
      </c>
      <c r="AG100" s="177">
        <v>1.1299999999999999</v>
      </c>
      <c r="AH100" s="177">
        <v>1</v>
      </c>
      <c r="AI100" s="177">
        <v>5</v>
      </c>
      <c r="AJ100" s="143" t="s">
        <v>1301</v>
      </c>
      <c r="AK100" s="143" t="s">
        <v>1770</v>
      </c>
      <c r="AL100" s="143">
        <v>1</v>
      </c>
      <c r="AM100" s="143">
        <v>2</v>
      </c>
      <c r="AN100" s="143">
        <v>1</v>
      </c>
      <c r="AO100" s="143">
        <v>0</v>
      </c>
      <c r="AP100" s="143" t="s">
        <v>2116</v>
      </c>
      <c r="AQ100" s="143" t="s">
        <v>2146</v>
      </c>
      <c r="AR100" s="143" t="s">
        <v>2155</v>
      </c>
      <c r="AS100" s="143">
        <v>1</v>
      </c>
      <c r="AT100" s="143"/>
    </row>
    <row r="101" spans="1:46">
      <c r="A101" s="143"/>
      <c r="B101" s="143"/>
      <c r="C101" s="143"/>
      <c r="D101" s="144"/>
      <c r="E101" s="141">
        <v>2</v>
      </c>
      <c r="F101" s="130"/>
      <c r="G101" s="130"/>
      <c r="H101" s="143" t="s">
        <v>1446</v>
      </c>
      <c r="I101" s="143"/>
      <c r="J101" s="143" t="s">
        <v>1901</v>
      </c>
      <c r="K101" s="143" t="s">
        <v>1449</v>
      </c>
      <c r="L101" s="143" t="s">
        <v>1964</v>
      </c>
      <c r="M101" s="143"/>
      <c r="N101" s="143"/>
      <c r="O101" s="143"/>
      <c r="P101" s="143"/>
      <c r="Q101" s="143"/>
      <c r="R101" s="143"/>
      <c r="S101" s="143">
        <v>140</v>
      </c>
      <c r="T101" s="143"/>
      <c r="U101" s="143"/>
      <c r="V101" s="149"/>
      <c r="W101" s="150"/>
      <c r="X101" s="149">
        <v>128</v>
      </c>
      <c r="Y101" s="150"/>
      <c r="Z101" s="149"/>
      <c r="AA101" s="150">
        <v>10</v>
      </c>
      <c r="AB101" s="149">
        <v>6</v>
      </c>
      <c r="AC101" s="177"/>
      <c r="AD101" s="177"/>
      <c r="AE101" s="177"/>
      <c r="AF101" s="177"/>
      <c r="AG101" s="177"/>
      <c r="AH101" s="177"/>
      <c r="AI101" s="177"/>
      <c r="AJ101" s="143"/>
      <c r="AK101" s="143"/>
      <c r="AL101" s="143"/>
      <c r="AM101" s="143"/>
      <c r="AN101" s="143"/>
      <c r="AO101" s="143"/>
      <c r="AP101" s="143"/>
      <c r="AQ101" s="143"/>
      <c r="AR101" s="143" t="s">
        <v>2155</v>
      </c>
      <c r="AS101" s="143"/>
      <c r="AT101" s="143"/>
    </row>
    <row r="102" spans="1:46">
      <c r="A102" s="143"/>
      <c r="B102" s="143"/>
      <c r="C102" s="143"/>
      <c r="D102" s="144"/>
      <c r="E102" s="141">
        <v>3</v>
      </c>
      <c r="F102" s="130"/>
      <c r="G102" s="130"/>
      <c r="H102" s="143" t="s">
        <v>1447</v>
      </c>
      <c r="I102" s="143"/>
      <c r="J102" s="143" t="s">
        <v>1901</v>
      </c>
      <c r="K102" s="143" t="s">
        <v>1450</v>
      </c>
      <c r="L102" s="143" t="s">
        <v>1964</v>
      </c>
      <c r="M102" s="143"/>
      <c r="N102" s="143"/>
      <c r="O102" s="143"/>
      <c r="P102" s="143"/>
      <c r="Q102" s="143"/>
      <c r="R102" s="143"/>
      <c r="S102" s="143">
        <v>200</v>
      </c>
      <c r="T102" s="143"/>
      <c r="U102" s="143"/>
      <c r="V102" s="149"/>
      <c r="W102" s="150"/>
      <c r="X102" s="149">
        <v>128</v>
      </c>
      <c r="Y102" s="150"/>
      <c r="Z102" s="149"/>
      <c r="AA102" s="150">
        <v>10</v>
      </c>
      <c r="AB102" s="149">
        <v>6</v>
      </c>
      <c r="AC102" s="177"/>
      <c r="AD102" s="177"/>
      <c r="AE102" s="177"/>
      <c r="AF102" s="177"/>
      <c r="AG102" s="177"/>
      <c r="AH102" s="177"/>
      <c r="AI102" s="177"/>
      <c r="AJ102" s="143"/>
      <c r="AK102" s="143"/>
      <c r="AL102" s="143"/>
      <c r="AM102" s="143"/>
      <c r="AN102" s="143"/>
      <c r="AO102" s="143"/>
      <c r="AP102" s="143"/>
      <c r="AQ102" s="143"/>
      <c r="AR102" s="143" t="s">
        <v>2155</v>
      </c>
      <c r="AS102" s="143"/>
      <c r="AT102" s="143"/>
    </row>
    <row r="103" spans="1:46">
      <c r="A103" s="143"/>
      <c r="B103" s="143"/>
      <c r="C103" s="143" t="s">
        <v>187</v>
      </c>
      <c r="D103" s="144" t="s">
        <v>1797</v>
      </c>
      <c r="E103" s="141">
        <v>1</v>
      </c>
      <c r="F103" s="143" t="s">
        <v>1451</v>
      </c>
      <c r="G103" s="143" t="s">
        <v>1831</v>
      </c>
      <c r="H103" s="143" t="s">
        <v>1452</v>
      </c>
      <c r="I103" s="143"/>
      <c r="J103" s="143" t="s">
        <v>1902</v>
      </c>
      <c r="K103" s="143" t="s">
        <v>1455</v>
      </c>
      <c r="L103" s="143" t="s">
        <v>1965</v>
      </c>
      <c r="M103" s="143"/>
      <c r="N103" s="143"/>
      <c r="O103" s="143"/>
      <c r="P103" s="143"/>
      <c r="Q103" s="143"/>
      <c r="R103" s="143"/>
      <c r="S103" s="143">
        <v>10</v>
      </c>
      <c r="T103" s="143">
        <v>0.25</v>
      </c>
      <c r="U103" s="143"/>
      <c r="V103" s="149"/>
      <c r="W103" s="150"/>
      <c r="X103" s="149">
        <v>128</v>
      </c>
      <c r="Y103" s="150"/>
      <c r="Z103" s="149"/>
      <c r="AA103" s="150"/>
      <c r="AB103" s="149">
        <v>3.5</v>
      </c>
      <c r="AC103" s="177" t="s">
        <v>2024</v>
      </c>
      <c r="AD103" s="177" t="s">
        <v>2075</v>
      </c>
      <c r="AE103" s="177">
        <v>0</v>
      </c>
      <c r="AF103" s="177">
        <v>0</v>
      </c>
      <c r="AG103" s="177">
        <v>1.1299999999999999</v>
      </c>
      <c r="AH103" s="177">
        <v>1</v>
      </c>
      <c r="AI103" s="177">
        <v>5</v>
      </c>
      <c r="AJ103" s="143" t="s">
        <v>1309</v>
      </c>
      <c r="AK103" s="143" t="s">
        <v>2066</v>
      </c>
      <c r="AL103" s="143">
        <v>2</v>
      </c>
      <c r="AM103" s="143">
        <v>2</v>
      </c>
      <c r="AN103" s="143">
        <v>2</v>
      </c>
      <c r="AO103" s="143">
        <v>0</v>
      </c>
      <c r="AP103" s="143" t="s">
        <v>2117</v>
      </c>
      <c r="AQ103" s="143" t="s">
        <v>2146</v>
      </c>
      <c r="AR103" s="143" t="s">
        <v>2155</v>
      </c>
      <c r="AS103" s="143">
        <v>1</v>
      </c>
      <c r="AT103" s="143" t="s">
        <v>2160</v>
      </c>
    </row>
    <row r="104" spans="1:46">
      <c r="A104" s="143"/>
      <c r="B104" s="143"/>
      <c r="C104" s="143"/>
      <c r="D104" s="144"/>
      <c r="E104" s="141">
        <v>2</v>
      </c>
      <c r="F104" s="130"/>
      <c r="G104" s="143"/>
      <c r="H104" s="143" t="s">
        <v>1453</v>
      </c>
      <c r="I104" s="143"/>
      <c r="J104" s="143" t="s">
        <v>1902</v>
      </c>
      <c r="K104" s="143" t="s">
        <v>1456</v>
      </c>
      <c r="L104" s="143" t="s">
        <v>1965</v>
      </c>
      <c r="M104" s="143"/>
      <c r="N104" s="143"/>
      <c r="O104" s="143"/>
      <c r="P104" s="143"/>
      <c r="Q104" s="143"/>
      <c r="R104" s="143"/>
      <c r="S104" s="143">
        <v>15</v>
      </c>
      <c r="T104" s="143">
        <v>0.5</v>
      </c>
      <c r="U104" s="143"/>
      <c r="V104" s="149"/>
      <c r="W104" s="150"/>
      <c r="X104" s="149">
        <v>128</v>
      </c>
      <c r="Y104" s="150"/>
      <c r="Z104" s="149"/>
      <c r="AA104" s="150"/>
      <c r="AB104" s="149">
        <v>3.5</v>
      </c>
      <c r="AC104" s="177"/>
      <c r="AD104" s="177"/>
      <c r="AE104" s="177"/>
      <c r="AF104" s="177"/>
      <c r="AG104" s="177"/>
      <c r="AH104" s="177"/>
      <c r="AI104" s="177"/>
      <c r="AJ104" s="143"/>
      <c r="AK104" s="143"/>
      <c r="AL104" s="143"/>
      <c r="AM104" s="143"/>
      <c r="AN104" s="143"/>
      <c r="AO104" s="143"/>
      <c r="AP104" s="143"/>
      <c r="AQ104" s="143"/>
      <c r="AR104" s="143" t="s">
        <v>2155</v>
      </c>
      <c r="AS104" s="143"/>
      <c r="AT104" s="143"/>
    </row>
    <row r="105" spans="1:46">
      <c r="A105" s="143"/>
      <c r="B105" s="143"/>
      <c r="C105" s="143"/>
      <c r="D105" s="144"/>
      <c r="E105" s="141">
        <v>3</v>
      </c>
      <c r="F105" s="130"/>
      <c r="G105" s="143"/>
      <c r="H105" s="143" t="s">
        <v>1454</v>
      </c>
      <c r="I105" s="143"/>
      <c r="J105" s="143" t="s">
        <v>1902</v>
      </c>
      <c r="K105" s="143" t="s">
        <v>1457</v>
      </c>
      <c r="L105" s="143" t="s">
        <v>1965</v>
      </c>
      <c r="M105" s="143"/>
      <c r="N105" s="143"/>
      <c r="O105" s="143"/>
      <c r="P105" s="143"/>
      <c r="Q105" s="143"/>
      <c r="R105" s="143"/>
      <c r="S105" s="143">
        <v>20</v>
      </c>
      <c r="T105" s="143">
        <v>0.75</v>
      </c>
      <c r="U105" s="143"/>
      <c r="V105" s="149"/>
      <c r="W105" s="150"/>
      <c r="X105" s="149">
        <v>128</v>
      </c>
      <c r="Y105" s="150"/>
      <c r="Z105" s="149"/>
      <c r="AA105" s="150"/>
      <c r="AB105" s="149">
        <v>3.5</v>
      </c>
      <c r="AC105" s="177"/>
      <c r="AD105" s="177"/>
      <c r="AE105" s="177"/>
      <c r="AF105" s="177"/>
      <c r="AG105" s="177"/>
      <c r="AH105" s="177"/>
      <c r="AI105" s="177"/>
      <c r="AJ105" s="143"/>
      <c r="AK105" s="143"/>
      <c r="AL105" s="143"/>
      <c r="AM105" s="143"/>
      <c r="AN105" s="143"/>
      <c r="AO105" s="143"/>
      <c r="AP105" s="143"/>
      <c r="AQ105" s="143"/>
      <c r="AR105" s="143" t="s">
        <v>2155</v>
      </c>
      <c r="AS105" s="143"/>
      <c r="AT105" s="143"/>
    </row>
    <row r="106" spans="1:46">
      <c r="A106" s="143"/>
      <c r="B106" s="143"/>
      <c r="C106" s="143" t="s">
        <v>189</v>
      </c>
      <c r="D106" s="144" t="s">
        <v>752</v>
      </c>
      <c r="E106" s="141">
        <v>1</v>
      </c>
      <c r="F106" s="143" t="s">
        <v>1458</v>
      </c>
      <c r="G106" s="143" t="s">
        <v>1832</v>
      </c>
      <c r="H106" s="143" t="s">
        <v>190</v>
      </c>
      <c r="I106" s="143"/>
      <c r="J106" s="143" t="s">
        <v>1891</v>
      </c>
      <c r="K106" s="143" t="s">
        <v>1459</v>
      </c>
      <c r="L106" s="143" t="s">
        <v>1966</v>
      </c>
      <c r="M106" s="143" t="s">
        <v>2342</v>
      </c>
      <c r="N106" s="143" t="s">
        <v>2343</v>
      </c>
      <c r="O106" s="143" t="s">
        <v>606</v>
      </c>
      <c r="P106" s="143" t="s">
        <v>607</v>
      </c>
      <c r="Q106" s="143" t="s">
        <v>752</v>
      </c>
      <c r="R106" s="143" t="s">
        <v>2344</v>
      </c>
      <c r="S106" s="143">
        <v>2</v>
      </c>
      <c r="T106" s="143">
        <v>0</v>
      </c>
      <c r="U106" s="143"/>
      <c r="V106" s="149"/>
      <c r="W106" s="150"/>
      <c r="X106" s="149">
        <v>128</v>
      </c>
      <c r="Y106" s="150"/>
      <c r="Z106" s="149">
        <v>15</v>
      </c>
      <c r="AA106" s="150">
        <v>15</v>
      </c>
      <c r="AB106" s="149">
        <v>9</v>
      </c>
      <c r="AC106" s="177" t="s">
        <v>2025</v>
      </c>
      <c r="AD106" s="177" t="s">
        <v>2075</v>
      </c>
      <c r="AE106" s="177">
        <v>0</v>
      </c>
      <c r="AF106" s="177">
        <v>0</v>
      </c>
      <c r="AG106" s="177">
        <v>1.1299999999999999</v>
      </c>
      <c r="AH106" s="177">
        <v>1</v>
      </c>
      <c r="AI106" s="177">
        <v>5</v>
      </c>
      <c r="AJ106" s="143" t="s">
        <v>1317</v>
      </c>
      <c r="AK106" s="143" t="s">
        <v>2067</v>
      </c>
      <c r="AL106" s="143">
        <v>3</v>
      </c>
      <c r="AM106" s="143">
        <v>2</v>
      </c>
      <c r="AN106" s="143">
        <v>3</v>
      </c>
      <c r="AO106" s="143">
        <v>0</v>
      </c>
      <c r="AP106" s="143" t="s">
        <v>2118</v>
      </c>
      <c r="AQ106" s="143" t="s">
        <v>2146</v>
      </c>
      <c r="AR106" s="143" t="s">
        <v>2155</v>
      </c>
      <c r="AS106" s="143">
        <v>1</v>
      </c>
      <c r="AT106" s="143"/>
    </row>
    <row r="107" spans="1:46">
      <c r="A107" s="143"/>
      <c r="B107" s="143"/>
      <c r="C107" s="143"/>
      <c r="D107" s="144"/>
      <c r="E107" s="141">
        <v>2</v>
      </c>
      <c r="F107" s="130"/>
      <c r="G107" s="143"/>
      <c r="H107" s="143" t="s">
        <v>191</v>
      </c>
      <c r="I107" s="143"/>
      <c r="J107" s="143" t="s">
        <v>1903</v>
      </c>
      <c r="K107" s="143" t="s">
        <v>1461</v>
      </c>
      <c r="L107" s="143" t="s">
        <v>1967</v>
      </c>
      <c r="M107" s="143" t="s">
        <v>2345</v>
      </c>
      <c r="N107" s="143" t="s">
        <v>2346</v>
      </c>
      <c r="O107" s="143" t="s">
        <v>607</v>
      </c>
      <c r="P107" s="143" t="s">
        <v>607</v>
      </c>
      <c r="Q107" s="143" t="s">
        <v>2347</v>
      </c>
      <c r="R107" s="143" t="s">
        <v>2348</v>
      </c>
      <c r="S107" s="143">
        <v>3</v>
      </c>
      <c r="T107" s="143">
        <v>0.05</v>
      </c>
      <c r="U107" s="143"/>
      <c r="V107" s="149"/>
      <c r="W107" s="150"/>
      <c r="X107" s="149">
        <v>128</v>
      </c>
      <c r="Y107" s="150"/>
      <c r="Z107" s="149">
        <v>25</v>
      </c>
      <c r="AA107" s="150">
        <v>15</v>
      </c>
      <c r="AB107" s="149">
        <v>8</v>
      </c>
      <c r="AC107" s="177"/>
      <c r="AD107" s="177"/>
      <c r="AE107" s="177"/>
      <c r="AF107" s="177"/>
      <c r="AG107" s="177"/>
      <c r="AH107" s="177"/>
      <c r="AI107" s="177"/>
      <c r="AJ107" s="143"/>
      <c r="AK107" s="143"/>
      <c r="AL107" s="143"/>
      <c r="AM107" s="143"/>
      <c r="AN107" s="143"/>
      <c r="AO107" s="143"/>
      <c r="AP107" s="143"/>
      <c r="AQ107" s="143"/>
      <c r="AR107" s="143" t="s">
        <v>2155</v>
      </c>
      <c r="AS107" s="143"/>
      <c r="AT107" s="143"/>
    </row>
    <row r="108" spans="1:46">
      <c r="A108" s="143"/>
      <c r="B108" s="143"/>
      <c r="C108" s="143"/>
      <c r="D108" s="144"/>
      <c r="E108" s="141">
        <v>3</v>
      </c>
      <c r="F108" s="130"/>
      <c r="G108" s="143"/>
      <c r="H108" s="143" t="s">
        <v>192</v>
      </c>
      <c r="I108" s="143"/>
      <c r="J108" s="143" t="s">
        <v>1903</v>
      </c>
      <c r="K108" s="143" t="s">
        <v>1460</v>
      </c>
      <c r="L108" s="143" t="s">
        <v>1967</v>
      </c>
      <c r="M108" s="143"/>
      <c r="N108" s="143"/>
      <c r="O108" s="143"/>
      <c r="P108" s="143"/>
      <c r="Q108" s="143"/>
      <c r="R108" s="143"/>
      <c r="S108" s="143">
        <v>4</v>
      </c>
      <c r="T108" s="143">
        <v>0.1</v>
      </c>
      <c r="U108" s="143"/>
      <c r="V108" s="149"/>
      <c r="W108" s="150"/>
      <c r="X108" s="149">
        <v>128</v>
      </c>
      <c r="Y108" s="150"/>
      <c r="Z108" s="149">
        <v>35</v>
      </c>
      <c r="AA108" s="150">
        <v>15</v>
      </c>
      <c r="AB108" s="149">
        <v>7</v>
      </c>
      <c r="AC108" s="177"/>
      <c r="AD108" s="177"/>
      <c r="AE108" s="177"/>
      <c r="AF108" s="177"/>
      <c r="AG108" s="177"/>
      <c r="AH108" s="177"/>
      <c r="AI108" s="177"/>
      <c r="AJ108" s="143"/>
      <c r="AK108" s="143"/>
      <c r="AL108" s="143"/>
      <c r="AM108" s="143"/>
      <c r="AN108" s="143"/>
      <c r="AO108" s="143"/>
      <c r="AP108" s="143"/>
      <c r="AQ108" s="143"/>
      <c r="AR108" s="143" t="s">
        <v>2155</v>
      </c>
      <c r="AS108" s="143"/>
      <c r="AT108" s="143"/>
    </row>
    <row r="109" spans="1:46">
      <c r="A109" s="143"/>
      <c r="B109" s="143"/>
      <c r="C109" s="143" t="s">
        <v>193</v>
      </c>
      <c r="D109" s="144" t="s">
        <v>840</v>
      </c>
      <c r="E109" s="141">
        <v>1</v>
      </c>
      <c r="F109" s="143" t="s">
        <v>1462</v>
      </c>
      <c r="G109" s="143" t="s">
        <v>1833</v>
      </c>
      <c r="H109" s="143" t="s">
        <v>1463</v>
      </c>
      <c r="I109" s="143"/>
      <c r="J109" s="143" t="s">
        <v>1904</v>
      </c>
      <c r="K109" s="143" t="s">
        <v>1466</v>
      </c>
      <c r="L109" s="143" t="s">
        <v>1968</v>
      </c>
      <c r="M109" s="143"/>
      <c r="N109" s="143"/>
      <c r="O109" s="143"/>
      <c r="P109" s="143"/>
      <c r="Q109" s="143"/>
      <c r="R109" s="143"/>
      <c r="S109" s="143">
        <v>5</v>
      </c>
      <c r="T109" s="143"/>
      <c r="U109" s="143"/>
      <c r="V109" s="149"/>
      <c r="W109" s="150"/>
      <c r="X109" s="149">
        <v>128</v>
      </c>
      <c r="Y109" s="150"/>
      <c r="Z109" s="149"/>
      <c r="AA109" s="150"/>
      <c r="AB109" s="149">
        <v>1</v>
      </c>
      <c r="AC109" s="177" t="s">
        <v>2396</v>
      </c>
      <c r="AD109" s="177" t="s">
        <v>2075</v>
      </c>
      <c r="AE109" s="177">
        <v>0</v>
      </c>
      <c r="AF109" s="177">
        <v>0</v>
      </c>
      <c r="AG109" s="177">
        <v>1.1299999999999999</v>
      </c>
      <c r="AH109" s="177">
        <v>1</v>
      </c>
      <c r="AI109" s="177">
        <v>5</v>
      </c>
      <c r="AJ109" s="143" t="s">
        <v>2077</v>
      </c>
      <c r="AK109" s="143" t="s">
        <v>285</v>
      </c>
      <c r="AL109" s="143">
        <v>1</v>
      </c>
      <c r="AM109" s="143">
        <v>1</v>
      </c>
      <c r="AN109" s="143">
        <v>0</v>
      </c>
      <c r="AO109" s="143">
        <v>1</v>
      </c>
      <c r="AP109" s="143" t="s">
        <v>2119</v>
      </c>
      <c r="AQ109" s="143" t="s">
        <v>2146</v>
      </c>
      <c r="AR109" s="143" t="s">
        <v>2155</v>
      </c>
      <c r="AS109" s="143">
        <v>1</v>
      </c>
      <c r="AT109" s="143"/>
    </row>
    <row r="110" spans="1:46">
      <c r="A110" s="143"/>
      <c r="B110" s="143"/>
      <c r="C110" s="143"/>
      <c r="D110" s="144"/>
      <c r="E110" s="141">
        <v>2</v>
      </c>
      <c r="F110" s="130"/>
      <c r="G110" s="143"/>
      <c r="H110" s="143" t="s">
        <v>1464</v>
      </c>
      <c r="I110" s="143"/>
      <c r="J110" s="143" t="s">
        <v>1904</v>
      </c>
      <c r="K110" s="143" t="s">
        <v>1467</v>
      </c>
      <c r="L110" s="143" t="s">
        <v>1968</v>
      </c>
      <c r="M110" s="143"/>
      <c r="N110" s="143"/>
      <c r="O110" s="143"/>
      <c r="P110" s="143"/>
      <c r="Q110" s="143"/>
      <c r="R110" s="143"/>
      <c r="S110" s="143">
        <v>4</v>
      </c>
      <c r="T110" s="143"/>
      <c r="U110" s="143"/>
      <c r="V110" s="149"/>
      <c r="W110" s="150"/>
      <c r="X110" s="149">
        <v>128</v>
      </c>
      <c r="Y110" s="150"/>
      <c r="Z110" s="149"/>
      <c r="AA110" s="150"/>
      <c r="AB110" s="149">
        <v>1</v>
      </c>
      <c r="AC110" s="177"/>
      <c r="AD110" s="177"/>
      <c r="AE110" s="177"/>
      <c r="AF110" s="177"/>
      <c r="AG110" s="177"/>
      <c r="AH110" s="177"/>
      <c r="AI110" s="177"/>
      <c r="AJ110" s="143"/>
      <c r="AK110" s="143"/>
      <c r="AL110" s="143"/>
      <c r="AM110" s="143"/>
      <c r="AN110" s="143"/>
      <c r="AO110" s="143"/>
      <c r="AP110" s="143"/>
      <c r="AQ110" s="143"/>
      <c r="AR110" s="143" t="s">
        <v>2155</v>
      </c>
      <c r="AS110" s="143"/>
      <c r="AT110" s="143"/>
    </row>
    <row r="111" spans="1:46">
      <c r="A111" s="143"/>
      <c r="B111" s="143"/>
      <c r="C111" s="143"/>
      <c r="D111" s="144"/>
      <c r="E111" s="141">
        <v>3</v>
      </c>
      <c r="F111" s="130"/>
      <c r="G111" s="143"/>
      <c r="H111" s="143" t="s">
        <v>1465</v>
      </c>
      <c r="I111" s="143"/>
      <c r="J111" s="143" t="s">
        <v>1904</v>
      </c>
      <c r="K111" s="143" t="s">
        <v>1468</v>
      </c>
      <c r="L111" s="143" t="s">
        <v>1968</v>
      </c>
      <c r="M111" s="143"/>
      <c r="N111" s="143"/>
      <c r="O111" s="143"/>
      <c r="P111" s="143"/>
      <c r="Q111" s="143"/>
      <c r="R111" s="143"/>
      <c r="S111" s="143">
        <v>3</v>
      </c>
      <c r="T111" s="143"/>
      <c r="U111" s="143"/>
      <c r="V111" s="149"/>
      <c r="W111" s="150"/>
      <c r="X111" s="149">
        <v>128</v>
      </c>
      <c r="Y111" s="150"/>
      <c r="Z111" s="149"/>
      <c r="AA111" s="150"/>
      <c r="AB111" s="149">
        <v>1</v>
      </c>
      <c r="AC111" s="177"/>
      <c r="AD111" s="177"/>
      <c r="AE111" s="177"/>
      <c r="AF111" s="177"/>
      <c r="AG111" s="177"/>
      <c r="AH111" s="177"/>
      <c r="AI111" s="177"/>
      <c r="AJ111" s="143"/>
      <c r="AK111" s="143"/>
      <c r="AL111" s="143"/>
      <c r="AM111" s="143"/>
      <c r="AN111" s="143"/>
      <c r="AO111" s="143"/>
      <c r="AP111" s="143"/>
      <c r="AQ111" s="143"/>
      <c r="AR111" s="143" t="s">
        <v>2155</v>
      </c>
      <c r="AS111" s="143"/>
      <c r="AT111" s="143"/>
    </row>
    <row r="112" spans="1:46">
      <c r="A112" s="145" t="s">
        <v>195</v>
      </c>
      <c r="B112" s="145" t="s">
        <v>1790</v>
      </c>
      <c r="C112" s="143" t="s">
        <v>205</v>
      </c>
      <c r="D112" s="141" t="s">
        <v>750</v>
      </c>
      <c r="E112" s="141">
        <v>1</v>
      </c>
      <c r="F112" s="143" t="s">
        <v>1472</v>
      </c>
      <c r="G112" s="143" t="s">
        <v>1840</v>
      </c>
      <c r="H112" s="143" t="s">
        <v>1469</v>
      </c>
      <c r="I112" s="143"/>
      <c r="J112" s="143" t="s">
        <v>1866</v>
      </c>
      <c r="K112" s="143" t="s">
        <v>1473</v>
      </c>
      <c r="L112" s="143" t="s">
        <v>1969</v>
      </c>
      <c r="M112" s="143" t="s">
        <v>2349</v>
      </c>
      <c r="N112" s="143" t="s">
        <v>2350</v>
      </c>
      <c r="O112" s="143" t="s">
        <v>606</v>
      </c>
      <c r="P112" s="143" t="s">
        <v>608</v>
      </c>
      <c r="Q112" s="143" t="s">
        <v>750</v>
      </c>
      <c r="R112" s="143" t="s">
        <v>2328</v>
      </c>
      <c r="S112" s="143">
        <v>175</v>
      </c>
      <c r="T112" s="143"/>
      <c r="U112" s="143"/>
      <c r="V112" s="149">
        <v>2</v>
      </c>
      <c r="W112" s="150"/>
      <c r="X112" s="149">
        <v>600</v>
      </c>
      <c r="Y112" s="150"/>
      <c r="Z112" s="149">
        <v>15</v>
      </c>
      <c r="AA112" s="150">
        <v>5</v>
      </c>
      <c r="AB112" s="149">
        <v>1</v>
      </c>
      <c r="AC112" s="177" t="s">
        <v>2026</v>
      </c>
      <c r="AD112" s="177" t="s">
        <v>2075</v>
      </c>
      <c r="AE112" s="177">
        <v>0</v>
      </c>
      <c r="AF112" s="177">
        <v>0</v>
      </c>
      <c r="AG112" s="177">
        <v>0</v>
      </c>
      <c r="AH112" s="177">
        <v>1</v>
      </c>
      <c r="AI112" s="177">
        <v>1</v>
      </c>
      <c r="AJ112" s="143" t="s">
        <v>1048</v>
      </c>
      <c r="AK112" s="143" t="s">
        <v>265</v>
      </c>
      <c r="AL112" s="143">
        <v>0</v>
      </c>
      <c r="AM112" s="143">
        <v>2</v>
      </c>
      <c r="AN112" s="143">
        <v>0</v>
      </c>
      <c r="AO112" s="143">
        <v>0</v>
      </c>
      <c r="AP112" s="143" t="s">
        <v>2120</v>
      </c>
      <c r="AQ112" s="143" t="s">
        <v>2145</v>
      </c>
      <c r="AR112" s="143" t="s">
        <v>2155</v>
      </c>
      <c r="AS112" s="143">
        <v>1</v>
      </c>
      <c r="AT112" s="143"/>
    </row>
    <row r="113" spans="1:46">
      <c r="C113" s="141"/>
      <c r="D113" s="141"/>
      <c r="E113" s="141">
        <v>2</v>
      </c>
      <c r="F113" s="130"/>
      <c r="G113" s="143"/>
      <c r="H113" s="143" t="s">
        <v>1470</v>
      </c>
      <c r="I113" s="143"/>
      <c r="J113" s="143" t="s">
        <v>1866</v>
      </c>
      <c r="K113" s="143" t="s">
        <v>1474</v>
      </c>
      <c r="L113" s="143" t="s">
        <v>1969</v>
      </c>
      <c r="M113" s="143"/>
      <c r="N113" s="143"/>
      <c r="O113" s="143"/>
      <c r="P113" s="143"/>
      <c r="Q113" s="143"/>
      <c r="R113" s="143"/>
      <c r="S113" s="143">
        <v>350</v>
      </c>
      <c r="T113" s="143"/>
      <c r="U113" s="143"/>
      <c r="V113" s="149">
        <v>2</v>
      </c>
      <c r="W113" s="150"/>
      <c r="X113" s="149">
        <v>600</v>
      </c>
      <c r="Y113" s="150"/>
      <c r="Z113" s="149">
        <v>30</v>
      </c>
      <c r="AA113" s="150">
        <v>5</v>
      </c>
      <c r="AB113" s="149">
        <v>1</v>
      </c>
      <c r="AC113" s="177"/>
      <c r="AD113" s="177"/>
      <c r="AE113" s="177"/>
      <c r="AF113" s="177"/>
      <c r="AG113" s="177"/>
      <c r="AH113" s="177"/>
      <c r="AI113" s="177"/>
      <c r="AJ113" s="143"/>
      <c r="AK113" s="143"/>
      <c r="AL113" s="143"/>
      <c r="AM113" s="143"/>
      <c r="AN113" s="143"/>
      <c r="AO113" s="143"/>
      <c r="AP113" s="143"/>
      <c r="AQ113" s="143"/>
      <c r="AR113" s="143" t="s">
        <v>2155</v>
      </c>
      <c r="AS113" s="143"/>
      <c r="AT113" s="143"/>
    </row>
    <row r="114" spans="1:46">
      <c r="C114" s="141"/>
      <c r="D114" s="141"/>
      <c r="E114" s="141">
        <v>3</v>
      </c>
      <c r="F114" s="130"/>
      <c r="G114" s="143"/>
      <c r="H114" s="143" t="s">
        <v>1471</v>
      </c>
      <c r="I114" s="143"/>
      <c r="J114" s="143" t="s">
        <v>1866</v>
      </c>
      <c r="K114" s="143" t="s">
        <v>1475</v>
      </c>
      <c r="L114" s="143" t="s">
        <v>1969</v>
      </c>
      <c r="M114" s="143"/>
      <c r="N114" s="143"/>
      <c r="O114" s="143"/>
      <c r="P114" s="143"/>
      <c r="Q114" s="143"/>
      <c r="R114" s="143"/>
      <c r="S114" s="143">
        <v>525</v>
      </c>
      <c r="T114" s="143"/>
      <c r="U114" s="143"/>
      <c r="V114" s="149">
        <v>2</v>
      </c>
      <c r="W114" s="150"/>
      <c r="X114" s="149">
        <v>600</v>
      </c>
      <c r="Y114" s="150"/>
      <c r="Z114" s="149">
        <v>45</v>
      </c>
      <c r="AA114" s="150">
        <v>5</v>
      </c>
      <c r="AB114" s="149">
        <v>1</v>
      </c>
      <c r="AC114" s="177"/>
      <c r="AD114" s="177"/>
      <c r="AE114" s="177"/>
      <c r="AF114" s="177"/>
      <c r="AG114" s="177"/>
      <c r="AH114" s="177"/>
      <c r="AI114" s="177"/>
      <c r="AJ114" s="143"/>
      <c r="AK114" s="143"/>
      <c r="AL114" s="143"/>
      <c r="AM114" s="143"/>
      <c r="AN114" s="143"/>
      <c r="AO114" s="143"/>
      <c r="AP114" s="143"/>
      <c r="AQ114" s="143"/>
      <c r="AR114" s="143" t="s">
        <v>2155</v>
      </c>
      <c r="AS114" s="143"/>
      <c r="AT114" s="143"/>
    </row>
    <row r="115" spans="1:46">
      <c r="C115" s="143" t="s">
        <v>208</v>
      </c>
      <c r="D115" s="144" t="s">
        <v>838</v>
      </c>
      <c r="E115" s="141">
        <v>1</v>
      </c>
      <c r="F115" s="143" t="s">
        <v>1476</v>
      </c>
      <c r="G115" s="143" t="s">
        <v>1841</v>
      </c>
      <c r="H115" s="143" t="s">
        <v>1477</v>
      </c>
      <c r="I115" s="143"/>
      <c r="J115" s="143" t="s">
        <v>1866</v>
      </c>
      <c r="K115" s="143" t="s">
        <v>1479</v>
      </c>
      <c r="L115" s="143" t="s">
        <v>1970</v>
      </c>
      <c r="M115" s="143"/>
      <c r="N115" s="143"/>
      <c r="O115" s="143"/>
      <c r="P115" s="143"/>
      <c r="Q115" s="143"/>
      <c r="R115" s="143"/>
      <c r="S115" s="143">
        <v>150</v>
      </c>
      <c r="T115" s="143"/>
      <c r="U115" s="143"/>
      <c r="V115" s="149"/>
      <c r="W115" s="150"/>
      <c r="X115" s="149">
        <v>800</v>
      </c>
      <c r="Y115" s="150">
        <v>250</v>
      </c>
      <c r="Z115" s="149">
        <v>100</v>
      </c>
      <c r="AA115" s="150">
        <v>5</v>
      </c>
      <c r="AB115" s="149">
        <v>10</v>
      </c>
      <c r="AC115" s="177" t="s">
        <v>2027</v>
      </c>
      <c r="AD115" s="177" t="s">
        <v>2075</v>
      </c>
      <c r="AE115" s="177">
        <v>0</v>
      </c>
      <c r="AF115" s="177">
        <v>0</v>
      </c>
      <c r="AG115" s="177">
        <v>2.74</v>
      </c>
      <c r="AH115" s="177">
        <v>2</v>
      </c>
      <c r="AI115" s="177">
        <v>3</v>
      </c>
      <c r="AJ115" s="143" t="s">
        <v>1301</v>
      </c>
      <c r="AK115" s="143" t="s">
        <v>1065</v>
      </c>
      <c r="AL115" s="143">
        <v>1</v>
      </c>
      <c r="AM115" s="143">
        <v>2</v>
      </c>
      <c r="AN115" s="143">
        <v>1</v>
      </c>
      <c r="AO115" s="143">
        <v>0</v>
      </c>
      <c r="AP115" s="143" t="s">
        <v>2121</v>
      </c>
      <c r="AQ115" s="143" t="s">
        <v>2145</v>
      </c>
      <c r="AR115" s="143"/>
      <c r="AS115" s="143">
        <v>1</v>
      </c>
      <c r="AT115" s="143"/>
    </row>
    <row r="116" spans="1:46">
      <c r="C116" s="143"/>
      <c r="D116" s="144"/>
      <c r="E116" s="141">
        <v>2</v>
      </c>
      <c r="F116" s="130"/>
      <c r="G116" s="143"/>
      <c r="H116" s="143" t="s">
        <v>1478</v>
      </c>
      <c r="I116" s="143"/>
      <c r="J116" s="143" t="s">
        <v>1866</v>
      </c>
      <c r="K116" s="143" t="s">
        <v>1480</v>
      </c>
      <c r="L116" s="143" t="s">
        <v>1970</v>
      </c>
      <c r="M116" s="143"/>
      <c r="N116" s="143"/>
      <c r="O116" s="143"/>
      <c r="P116" s="143"/>
      <c r="Q116" s="143"/>
      <c r="R116" s="143"/>
      <c r="S116" s="143">
        <v>200</v>
      </c>
      <c r="T116" s="143"/>
      <c r="U116" s="143"/>
      <c r="V116" s="149"/>
      <c r="W116" s="150"/>
      <c r="X116" s="149">
        <v>800</v>
      </c>
      <c r="Y116" s="150">
        <v>350</v>
      </c>
      <c r="Z116" s="149">
        <v>135</v>
      </c>
      <c r="AA116" s="150">
        <v>5</v>
      </c>
      <c r="AB116" s="149">
        <v>10</v>
      </c>
      <c r="AC116" s="177"/>
      <c r="AD116" s="177"/>
      <c r="AE116" s="177"/>
      <c r="AF116" s="177"/>
      <c r="AG116" s="177"/>
      <c r="AH116" s="177"/>
      <c r="AI116" s="177"/>
      <c r="AJ116" s="143"/>
      <c r="AK116" s="143"/>
      <c r="AL116" s="143"/>
      <c r="AM116" s="143"/>
      <c r="AN116" s="143"/>
      <c r="AO116" s="143"/>
      <c r="AP116" s="143"/>
      <c r="AQ116" s="143"/>
      <c r="AR116" s="143"/>
      <c r="AS116" s="143"/>
      <c r="AT116" s="143"/>
    </row>
    <row r="117" spans="1:46">
      <c r="C117" s="143"/>
      <c r="D117" s="144"/>
      <c r="E117" s="141">
        <v>3</v>
      </c>
      <c r="F117" s="130"/>
      <c r="G117" s="143"/>
      <c r="H117" s="143" t="s">
        <v>1610</v>
      </c>
      <c r="I117" s="143"/>
      <c r="J117" s="143" t="s">
        <v>1866</v>
      </c>
      <c r="K117" s="143" t="s">
        <v>1611</v>
      </c>
      <c r="L117" s="143" t="s">
        <v>1970</v>
      </c>
      <c r="M117" s="143"/>
      <c r="N117" s="143"/>
      <c r="O117" s="143"/>
      <c r="P117" s="143"/>
      <c r="Q117" s="143"/>
      <c r="R117" s="143"/>
      <c r="S117" s="143">
        <v>250</v>
      </c>
      <c r="T117" s="143"/>
      <c r="U117" s="143"/>
      <c r="V117" s="149"/>
      <c r="W117" s="150"/>
      <c r="X117" s="149">
        <v>800</v>
      </c>
      <c r="Y117" s="150">
        <v>450</v>
      </c>
      <c r="Z117" s="149">
        <v>170</v>
      </c>
      <c r="AA117" s="150">
        <v>5</v>
      </c>
      <c r="AB117" s="149">
        <v>10</v>
      </c>
      <c r="AC117" s="177"/>
      <c r="AD117" s="177"/>
      <c r="AE117" s="177"/>
      <c r="AF117" s="177"/>
      <c r="AG117" s="177"/>
      <c r="AH117" s="177"/>
      <c r="AI117" s="177"/>
      <c r="AJ117" s="143"/>
      <c r="AK117" s="143"/>
      <c r="AL117" s="143"/>
      <c r="AM117" s="143"/>
      <c r="AN117" s="143"/>
      <c r="AO117" s="143"/>
      <c r="AP117" s="143"/>
      <c r="AQ117" s="143"/>
      <c r="AR117" s="143"/>
      <c r="AS117" s="143"/>
      <c r="AT117" s="143"/>
    </row>
    <row r="118" spans="1:46">
      <c r="C118" s="143" t="s">
        <v>215</v>
      </c>
      <c r="D118" s="144" t="s">
        <v>837</v>
      </c>
      <c r="E118" s="141">
        <v>1</v>
      </c>
      <c r="F118" s="143" t="s">
        <v>1481</v>
      </c>
      <c r="G118" s="143" t="s">
        <v>1855</v>
      </c>
      <c r="H118" s="143" t="s">
        <v>1482</v>
      </c>
      <c r="I118" s="143"/>
      <c r="J118" s="143" t="s">
        <v>1905</v>
      </c>
      <c r="K118" s="143" t="s">
        <v>1485</v>
      </c>
      <c r="L118" s="143" t="s">
        <v>1971</v>
      </c>
      <c r="M118" s="143" t="s">
        <v>2351</v>
      </c>
      <c r="N118" s="143" t="s">
        <v>2352</v>
      </c>
      <c r="O118" s="143" t="s">
        <v>606</v>
      </c>
      <c r="P118" s="143" t="s">
        <v>608</v>
      </c>
      <c r="Q118" s="143" t="s">
        <v>2353</v>
      </c>
      <c r="R118" s="143" t="s">
        <v>2354</v>
      </c>
      <c r="S118" s="143">
        <v>4</v>
      </c>
      <c r="T118" s="143">
        <v>0.03</v>
      </c>
      <c r="U118" s="143"/>
      <c r="V118" s="149"/>
      <c r="W118" s="150"/>
      <c r="X118" s="149"/>
      <c r="Y118" s="150">
        <v>300</v>
      </c>
      <c r="Z118" s="149">
        <v>50</v>
      </c>
      <c r="AA118" s="150">
        <v>4</v>
      </c>
      <c r="AB118" s="149">
        <v>15</v>
      </c>
      <c r="AC118" s="177" t="s">
        <v>2028</v>
      </c>
      <c r="AD118" s="177" t="s">
        <v>2075</v>
      </c>
      <c r="AE118" s="177">
        <v>0</v>
      </c>
      <c r="AF118" s="177">
        <v>0</v>
      </c>
      <c r="AG118" s="177">
        <v>0</v>
      </c>
      <c r="AH118" s="177">
        <v>0</v>
      </c>
      <c r="AI118" s="177">
        <v>1</v>
      </c>
      <c r="AJ118" s="143" t="s">
        <v>1309</v>
      </c>
      <c r="AK118" s="143" t="s">
        <v>2068</v>
      </c>
      <c r="AL118" s="143">
        <v>2</v>
      </c>
      <c r="AM118" s="143">
        <v>2</v>
      </c>
      <c r="AN118" s="143">
        <v>2</v>
      </c>
      <c r="AO118" s="143">
        <v>0</v>
      </c>
      <c r="AP118" s="143" t="s">
        <v>2122</v>
      </c>
      <c r="AQ118" s="143" t="s">
        <v>2070</v>
      </c>
      <c r="AR118" s="143"/>
      <c r="AS118" s="143">
        <v>1</v>
      </c>
      <c r="AT118" s="143"/>
    </row>
    <row r="119" spans="1:46">
      <c r="C119" s="143"/>
      <c r="D119" s="144"/>
      <c r="E119" s="141">
        <v>2</v>
      </c>
      <c r="F119" s="130"/>
      <c r="G119" s="130"/>
      <c r="H119" s="143" t="s">
        <v>1483</v>
      </c>
      <c r="I119" s="143"/>
      <c r="J119" s="143" t="s">
        <v>1905</v>
      </c>
      <c r="K119" s="143" t="s">
        <v>1486</v>
      </c>
      <c r="L119" s="143" t="s">
        <v>1971</v>
      </c>
      <c r="M119" s="143"/>
      <c r="N119" s="143"/>
      <c r="O119" s="143"/>
      <c r="P119" s="143"/>
      <c r="Q119" s="143"/>
      <c r="R119" s="143"/>
      <c r="S119" s="143">
        <v>5</v>
      </c>
      <c r="T119" s="143">
        <v>0.06</v>
      </c>
      <c r="U119" s="143"/>
      <c r="V119" s="149"/>
      <c r="W119" s="150"/>
      <c r="X119" s="149"/>
      <c r="Y119" s="150">
        <v>400</v>
      </c>
      <c r="Z119" s="149">
        <v>50</v>
      </c>
      <c r="AA119" s="150">
        <v>5</v>
      </c>
      <c r="AB119" s="149">
        <v>15</v>
      </c>
      <c r="AC119" s="177"/>
      <c r="AD119" s="177"/>
      <c r="AE119" s="177"/>
      <c r="AF119" s="177"/>
      <c r="AG119" s="177"/>
      <c r="AH119" s="177"/>
      <c r="AI119" s="177"/>
      <c r="AJ119" s="143"/>
      <c r="AK119" s="143"/>
      <c r="AL119" s="143"/>
      <c r="AM119" s="143"/>
      <c r="AN119" s="143"/>
      <c r="AO119" s="143"/>
      <c r="AP119" s="143"/>
      <c r="AQ119" s="143"/>
      <c r="AR119" s="143"/>
      <c r="AS119" s="143"/>
      <c r="AT119" s="143"/>
    </row>
    <row r="120" spans="1:46">
      <c r="C120" s="143"/>
      <c r="D120" s="144"/>
      <c r="E120" s="141">
        <v>3</v>
      </c>
      <c r="F120" s="130"/>
      <c r="G120" s="130"/>
      <c r="H120" s="143" t="s">
        <v>1484</v>
      </c>
      <c r="I120" s="143"/>
      <c r="J120" s="143" t="s">
        <v>1905</v>
      </c>
      <c r="K120" s="143" t="s">
        <v>1487</v>
      </c>
      <c r="L120" s="143" t="s">
        <v>1971</v>
      </c>
      <c r="M120" s="143"/>
      <c r="N120" s="143"/>
      <c r="O120" s="143"/>
      <c r="P120" s="143"/>
      <c r="Q120" s="143"/>
      <c r="R120" s="143"/>
      <c r="S120" s="143">
        <v>6</v>
      </c>
      <c r="T120" s="143">
        <v>0.09</v>
      </c>
      <c r="U120" s="143"/>
      <c r="V120" s="149"/>
      <c r="W120" s="150"/>
      <c r="X120" s="149"/>
      <c r="Y120" s="150">
        <v>500</v>
      </c>
      <c r="Z120" s="149">
        <v>50</v>
      </c>
      <c r="AA120" s="150">
        <v>6</v>
      </c>
      <c r="AB120" s="149">
        <v>12</v>
      </c>
      <c r="AC120" s="177"/>
      <c r="AD120" s="177"/>
      <c r="AE120" s="177"/>
      <c r="AF120" s="177"/>
      <c r="AG120" s="177"/>
      <c r="AH120" s="177"/>
      <c r="AI120" s="177"/>
      <c r="AJ120" s="143"/>
      <c r="AK120" s="143"/>
      <c r="AL120" s="143"/>
      <c r="AM120" s="143"/>
      <c r="AN120" s="143"/>
      <c r="AO120" s="143"/>
      <c r="AP120" s="143"/>
      <c r="AQ120" s="143"/>
      <c r="AR120" s="143"/>
      <c r="AS120" s="143"/>
      <c r="AT120" s="143"/>
    </row>
    <row r="121" spans="1:46">
      <c r="C121" s="143" t="s">
        <v>226</v>
      </c>
      <c r="D121" s="144" t="s">
        <v>749</v>
      </c>
      <c r="E121" s="141">
        <v>1</v>
      </c>
      <c r="F121" s="143" t="s">
        <v>227</v>
      </c>
      <c r="G121" s="143" t="s">
        <v>1834</v>
      </c>
      <c r="H121" s="143" t="s">
        <v>228</v>
      </c>
      <c r="I121" s="143"/>
      <c r="J121" s="143" t="s">
        <v>1834</v>
      </c>
      <c r="K121" s="143" t="s">
        <v>1488</v>
      </c>
      <c r="L121" s="143" t="s">
        <v>1834</v>
      </c>
      <c r="M121" s="143"/>
      <c r="N121" s="143"/>
      <c r="O121" s="143"/>
      <c r="P121" s="143"/>
      <c r="Q121" s="143"/>
      <c r="R121" s="143"/>
      <c r="S121" s="143"/>
      <c r="T121" s="143"/>
      <c r="U121" s="143"/>
      <c r="V121" s="149"/>
      <c r="W121" s="150"/>
      <c r="X121" s="149">
        <v>600</v>
      </c>
      <c r="Y121" s="150"/>
      <c r="Z121" s="149">
        <v>25</v>
      </c>
      <c r="AA121" s="150">
        <v>10</v>
      </c>
      <c r="AB121" s="149">
        <v>30</v>
      </c>
      <c r="AC121" s="177" t="s">
        <v>2029</v>
      </c>
      <c r="AD121" s="177" t="s">
        <v>2075</v>
      </c>
      <c r="AE121" s="177">
        <v>0</v>
      </c>
      <c r="AF121" s="177">
        <v>0</v>
      </c>
      <c r="AG121" s="177">
        <v>2.74</v>
      </c>
      <c r="AH121" s="177">
        <v>1</v>
      </c>
      <c r="AI121" s="177">
        <v>1</v>
      </c>
      <c r="AJ121" s="143" t="s">
        <v>1317</v>
      </c>
      <c r="AK121" s="143" t="s">
        <v>2069</v>
      </c>
      <c r="AL121" s="143">
        <v>3</v>
      </c>
      <c r="AM121" s="143">
        <v>2</v>
      </c>
      <c r="AN121" s="143">
        <v>3</v>
      </c>
      <c r="AO121" s="143">
        <v>0</v>
      </c>
      <c r="AP121" s="143" t="s">
        <v>2123</v>
      </c>
      <c r="AQ121" s="143" t="s">
        <v>2145</v>
      </c>
      <c r="AR121" s="143" t="s">
        <v>2155</v>
      </c>
      <c r="AS121" s="143">
        <v>1</v>
      </c>
      <c r="AT121" s="143"/>
    </row>
    <row r="122" spans="1:46">
      <c r="C122" s="143"/>
      <c r="D122" s="144"/>
      <c r="E122" s="141">
        <v>2</v>
      </c>
      <c r="F122" s="130"/>
      <c r="G122" s="143"/>
      <c r="H122" s="143" t="s">
        <v>231</v>
      </c>
      <c r="I122" s="143"/>
      <c r="J122" s="143" t="s">
        <v>1834</v>
      </c>
      <c r="K122" s="143" t="s">
        <v>1489</v>
      </c>
      <c r="L122" s="143" t="s">
        <v>1834</v>
      </c>
      <c r="M122" s="143"/>
      <c r="N122" s="143"/>
      <c r="O122" s="143"/>
      <c r="P122" s="143"/>
      <c r="Q122" s="143"/>
      <c r="R122" s="143"/>
      <c r="S122" s="143"/>
      <c r="T122" s="143"/>
      <c r="U122" s="143"/>
      <c r="V122" s="149"/>
      <c r="W122" s="150"/>
      <c r="X122" s="149">
        <v>600</v>
      </c>
      <c r="Y122" s="150"/>
      <c r="Z122" s="149">
        <v>25</v>
      </c>
      <c r="AA122" s="150">
        <v>10</v>
      </c>
      <c r="AB122" s="149">
        <v>22</v>
      </c>
      <c r="AC122" s="177"/>
      <c r="AD122" s="177"/>
      <c r="AE122" s="177"/>
      <c r="AF122" s="177"/>
      <c r="AG122" s="177"/>
      <c r="AH122" s="177"/>
      <c r="AI122" s="177"/>
      <c r="AJ122" s="143"/>
      <c r="AK122" s="143"/>
      <c r="AL122" s="143"/>
      <c r="AM122" s="143"/>
      <c r="AN122" s="143"/>
      <c r="AO122" s="143"/>
      <c r="AP122" s="143"/>
      <c r="AQ122" s="143"/>
      <c r="AR122" s="143" t="s">
        <v>2155</v>
      </c>
      <c r="AS122" s="143"/>
      <c r="AT122" s="143"/>
    </row>
    <row r="123" spans="1:46">
      <c r="C123" s="143"/>
      <c r="D123" s="144"/>
      <c r="E123" s="141">
        <v>3</v>
      </c>
      <c r="F123" s="130"/>
      <c r="G123" s="143"/>
      <c r="H123" s="143" t="s">
        <v>235</v>
      </c>
      <c r="I123" s="143"/>
      <c r="J123" s="143" t="s">
        <v>1834</v>
      </c>
      <c r="K123" s="143" t="s">
        <v>1490</v>
      </c>
      <c r="L123" s="143" t="s">
        <v>1834</v>
      </c>
      <c r="M123" s="143"/>
      <c r="N123" s="143"/>
      <c r="O123" s="143"/>
      <c r="P123" s="143"/>
      <c r="Q123" s="143"/>
      <c r="R123" s="143"/>
      <c r="S123" s="143"/>
      <c r="T123" s="143"/>
      <c r="U123" s="143"/>
      <c r="V123" s="149"/>
      <c r="W123" s="150"/>
      <c r="X123" s="149">
        <v>600</v>
      </c>
      <c r="Y123" s="150"/>
      <c r="Z123" s="149">
        <v>25</v>
      </c>
      <c r="AA123" s="150">
        <v>10</v>
      </c>
      <c r="AB123" s="149">
        <v>14</v>
      </c>
      <c r="AC123" s="177"/>
      <c r="AD123" s="177"/>
      <c r="AE123" s="177"/>
      <c r="AF123" s="177"/>
      <c r="AG123" s="177"/>
      <c r="AH123" s="177"/>
      <c r="AI123" s="177"/>
      <c r="AJ123" s="143"/>
      <c r="AK123" s="143"/>
      <c r="AL123" s="143"/>
      <c r="AM123" s="143"/>
      <c r="AN123" s="143"/>
      <c r="AO123" s="143"/>
      <c r="AP123" s="143"/>
      <c r="AQ123" s="143"/>
      <c r="AR123" s="143" t="s">
        <v>2155</v>
      </c>
      <c r="AS123" s="143"/>
      <c r="AT123" s="143"/>
    </row>
    <row r="124" spans="1:46">
      <c r="C124" s="143" t="s">
        <v>239</v>
      </c>
      <c r="D124" s="144" t="s">
        <v>833</v>
      </c>
      <c r="E124" s="141">
        <v>1</v>
      </c>
      <c r="F124" s="143" t="s">
        <v>242</v>
      </c>
      <c r="G124" s="143" t="s">
        <v>1772</v>
      </c>
      <c r="H124" s="143" t="s">
        <v>243</v>
      </c>
      <c r="I124" s="143"/>
      <c r="J124" s="143" t="s">
        <v>1773</v>
      </c>
      <c r="K124" s="143" t="s">
        <v>1491</v>
      </c>
      <c r="L124" s="143" t="s">
        <v>1772</v>
      </c>
      <c r="M124" s="143"/>
      <c r="N124" s="143"/>
      <c r="O124" s="143"/>
      <c r="P124" s="143"/>
      <c r="Q124" s="143"/>
      <c r="R124" s="143"/>
      <c r="S124" s="143"/>
      <c r="T124" s="143"/>
      <c r="U124" s="143"/>
      <c r="V124" s="149"/>
      <c r="W124" s="150"/>
      <c r="X124" s="149">
        <v>600</v>
      </c>
      <c r="Y124" s="150"/>
      <c r="Z124" s="149">
        <v>25</v>
      </c>
      <c r="AA124" s="150"/>
      <c r="AB124" s="149">
        <v>6</v>
      </c>
      <c r="AC124" s="177" t="s">
        <v>2030</v>
      </c>
      <c r="AD124" s="177" t="s">
        <v>2075</v>
      </c>
      <c r="AE124" s="177">
        <v>0</v>
      </c>
      <c r="AF124" s="177">
        <v>0</v>
      </c>
      <c r="AG124" s="177">
        <v>2.74</v>
      </c>
      <c r="AH124" s="177">
        <v>1</v>
      </c>
      <c r="AI124" s="177">
        <v>1</v>
      </c>
      <c r="AJ124" s="143" t="s">
        <v>2077</v>
      </c>
      <c r="AK124" s="143" t="s">
        <v>2053</v>
      </c>
      <c r="AL124" s="143">
        <v>1</v>
      </c>
      <c r="AM124" s="143">
        <v>1</v>
      </c>
      <c r="AN124" s="143">
        <v>0</v>
      </c>
      <c r="AO124" s="143">
        <v>1</v>
      </c>
      <c r="AP124" s="143" t="s">
        <v>2124</v>
      </c>
      <c r="AQ124" s="143" t="s">
        <v>2148</v>
      </c>
      <c r="AR124" s="143" t="s">
        <v>2155</v>
      </c>
      <c r="AS124" s="143">
        <v>1</v>
      </c>
      <c r="AT124" s="143"/>
    </row>
    <row r="125" spans="1:46">
      <c r="C125" s="143"/>
      <c r="D125" s="144"/>
      <c r="E125" s="141">
        <v>2</v>
      </c>
      <c r="F125" s="130"/>
      <c r="G125" s="143"/>
      <c r="H125" s="143" t="s">
        <v>244</v>
      </c>
      <c r="I125" s="143"/>
      <c r="J125" s="143" t="s">
        <v>1774</v>
      </c>
      <c r="K125" s="143" t="s">
        <v>1492</v>
      </c>
      <c r="L125" s="143" t="s">
        <v>1776</v>
      </c>
      <c r="M125" s="143"/>
      <c r="N125" s="143"/>
      <c r="O125" s="143"/>
      <c r="P125" s="143"/>
      <c r="Q125" s="143"/>
      <c r="R125" s="143"/>
      <c r="S125" s="143"/>
      <c r="T125" s="143"/>
      <c r="U125" s="143"/>
      <c r="V125" s="149"/>
      <c r="W125" s="150"/>
      <c r="X125" s="149">
        <v>600</v>
      </c>
      <c r="Y125" s="150"/>
      <c r="Z125" s="149">
        <v>25</v>
      </c>
      <c r="AA125" s="150"/>
      <c r="AB125" s="149">
        <v>3</v>
      </c>
      <c r="AC125" s="177"/>
      <c r="AD125" s="177"/>
      <c r="AE125" s="177"/>
      <c r="AF125" s="177"/>
      <c r="AG125" s="177"/>
      <c r="AH125" s="177"/>
      <c r="AI125" s="177"/>
      <c r="AJ125" s="143"/>
      <c r="AK125" s="143"/>
      <c r="AL125" s="143"/>
      <c r="AM125" s="143"/>
      <c r="AN125" s="143"/>
      <c r="AO125" s="143"/>
      <c r="AP125" s="143"/>
      <c r="AQ125" s="143"/>
      <c r="AR125" s="143"/>
      <c r="AS125" s="143"/>
      <c r="AT125" s="143"/>
    </row>
    <row r="126" spans="1:46">
      <c r="C126" s="143"/>
      <c r="D126" s="144"/>
      <c r="E126" s="141">
        <v>3</v>
      </c>
      <c r="F126" s="130"/>
      <c r="G126" s="143"/>
      <c r="H126" s="143" t="s">
        <v>246</v>
      </c>
      <c r="I126" s="143"/>
      <c r="J126" s="143" t="s">
        <v>1775</v>
      </c>
      <c r="K126" s="143" t="s">
        <v>1493</v>
      </c>
      <c r="L126" s="143" t="s">
        <v>1777</v>
      </c>
      <c r="M126" s="143"/>
      <c r="N126" s="143"/>
      <c r="O126" s="143"/>
      <c r="P126" s="143"/>
      <c r="Q126" s="143"/>
      <c r="R126" s="143"/>
      <c r="S126" s="143"/>
      <c r="T126" s="143"/>
      <c r="U126" s="143"/>
      <c r="V126" s="149"/>
      <c r="W126" s="150"/>
      <c r="X126" s="149">
        <v>600</v>
      </c>
      <c r="Y126" s="150"/>
      <c r="Z126" s="149">
        <v>25</v>
      </c>
      <c r="AA126" s="150"/>
      <c r="AB126" s="149">
        <v>1</v>
      </c>
      <c r="AC126" s="177"/>
      <c r="AD126" s="177"/>
      <c r="AE126" s="177"/>
      <c r="AF126" s="177"/>
      <c r="AG126" s="177"/>
      <c r="AH126" s="177"/>
      <c r="AI126" s="177"/>
      <c r="AJ126" s="143"/>
      <c r="AK126" s="143"/>
      <c r="AL126" s="143"/>
      <c r="AM126" s="143"/>
      <c r="AN126" s="143"/>
      <c r="AO126" s="143"/>
      <c r="AP126" s="143"/>
      <c r="AQ126" s="143"/>
      <c r="AR126" s="143"/>
      <c r="AS126" s="143"/>
      <c r="AT126" s="143"/>
    </row>
    <row r="127" spans="1:46">
      <c r="C127" s="143" t="s">
        <v>247</v>
      </c>
      <c r="D127" s="144" t="s">
        <v>1780</v>
      </c>
      <c r="E127" s="143">
        <v>1</v>
      </c>
      <c r="F127" s="143" t="s">
        <v>248</v>
      </c>
      <c r="G127" s="143" t="s">
        <v>1835</v>
      </c>
      <c r="H127" s="143"/>
      <c r="I127" s="143"/>
      <c r="J127" s="143"/>
      <c r="K127" s="143"/>
      <c r="L127" s="143" t="s">
        <v>1779</v>
      </c>
      <c r="M127" s="143"/>
      <c r="N127" s="143"/>
      <c r="O127" s="143"/>
      <c r="P127" s="143"/>
      <c r="Q127" s="143"/>
      <c r="R127" s="143"/>
      <c r="S127" s="143"/>
      <c r="T127" s="143"/>
      <c r="U127" s="143"/>
      <c r="V127" s="149"/>
      <c r="W127" s="150"/>
      <c r="X127" s="149">
        <v>600</v>
      </c>
      <c r="Y127" s="150"/>
      <c r="Z127" s="149">
        <v>15</v>
      </c>
      <c r="AA127" s="150"/>
      <c r="AB127" s="149">
        <v>2</v>
      </c>
      <c r="AC127" s="177" t="s">
        <v>2031</v>
      </c>
      <c r="AD127" s="177" t="s">
        <v>2075</v>
      </c>
      <c r="AE127" s="177">
        <v>0</v>
      </c>
      <c r="AF127" s="177">
        <v>0</v>
      </c>
      <c r="AG127" s="177">
        <v>0</v>
      </c>
      <c r="AH127" s="177">
        <v>1</v>
      </c>
      <c r="AI127" s="177">
        <v>1</v>
      </c>
      <c r="AJ127" s="143" t="s">
        <v>2078</v>
      </c>
      <c r="AK127" s="143" t="s">
        <v>2070</v>
      </c>
      <c r="AL127" s="143">
        <v>2</v>
      </c>
      <c r="AM127" s="143">
        <v>1</v>
      </c>
      <c r="AN127" s="143">
        <v>0</v>
      </c>
      <c r="AO127" s="143">
        <v>0</v>
      </c>
      <c r="AP127" s="143" t="s">
        <v>2125</v>
      </c>
      <c r="AQ127" s="143" t="s">
        <v>2070</v>
      </c>
      <c r="AR127" s="143" t="s">
        <v>2157</v>
      </c>
      <c r="AS127" s="143">
        <v>0</v>
      </c>
      <c r="AT127" s="143"/>
    </row>
    <row r="128" spans="1:46">
      <c r="A128" s="143" t="s">
        <v>249</v>
      </c>
      <c r="B128" s="143" t="s">
        <v>1791</v>
      </c>
      <c r="C128" s="143" t="s">
        <v>352</v>
      </c>
      <c r="D128" s="141" t="s">
        <v>832</v>
      </c>
      <c r="E128" s="141">
        <v>1</v>
      </c>
      <c r="F128" s="143" t="s">
        <v>353</v>
      </c>
      <c r="G128" s="143" t="s">
        <v>1842</v>
      </c>
      <c r="H128" s="143" t="s">
        <v>354</v>
      </c>
      <c r="I128" s="143"/>
      <c r="J128" s="143" t="s">
        <v>1906</v>
      </c>
      <c r="K128" s="143" t="s">
        <v>1496</v>
      </c>
      <c r="L128" s="143" t="s">
        <v>1972</v>
      </c>
      <c r="M128" s="143"/>
      <c r="N128" s="143"/>
      <c r="O128" s="143"/>
      <c r="P128" s="143"/>
      <c r="Q128" s="143"/>
      <c r="R128" s="143"/>
      <c r="S128" s="143">
        <v>1.1000000000000001</v>
      </c>
      <c r="T128" s="143">
        <v>0.2</v>
      </c>
      <c r="U128" s="143"/>
      <c r="V128" s="149">
        <v>2</v>
      </c>
      <c r="W128" s="150"/>
      <c r="X128" s="149">
        <v>600</v>
      </c>
      <c r="Y128" s="150"/>
      <c r="Z128" s="149">
        <v>10</v>
      </c>
      <c r="AA128" s="150"/>
      <c r="AB128" s="149">
        <v>1</v>
      </c>
      <c r="AC128" s="177" t="s">
        <v>2032</v>
      </c>
      <c r="AD128" s="177" t="s">
        <v>2075</v>
      </c>
      <c r="AE128" s="177">
        <v>0</v>
      </c>
      <c r="AF128" s="177">
        <v>0</v>
      </c>
      <c r="AG128" s="177">
        <v>0</v>
      </c>
      <c r="AH128" s="177">
        <v>1</v>
      </c>
      <c r="AI128" s="177">
        <v>1</v>
      </c>
      <c r="AJ128" s="143" t="s">
        <v>1048</v>
      </c>
      <c r="AK128" s="143" t="s">
        <v>2071</v>
      </c>
      <c r="AL128" s="143">
        <v>0</v>
      </c>
      <c r="AM128" s="143">
        <v>2</v>
      </c>
      <c r="AN128" s="143">
        <v>0</v>
      </c>
      <c r="AO128" s="143">
        <v>0</v>
      </c>
      <c r="AP128" s="143" t="s">
        <v>2126</v>
      </c>
      <c r="AQ128" s="143" t="s">
        <v>2150</v>
      </c>
      <c r="AR128" s="143" t="s">
        <v>2155</v>
      </c>
      <c r="AS128" s="143">
        <v>1</v>
      </c>
      <c r="AT128" s="143"/>
    </row>
    <row r="129" spans="1:46">
      <c r="A129" s="143"/>
      <c r="B129" s="143"/>
      <c r="C129" s="141"/>
      <c r="D129" s="141"/>
      <c r="E129" s="141">
        <v>2</v>
      </c>
      <c r="F129" s="130"/>
      <c r="G129" s="143"/>
      <c r="H129" s="143" t="s">
        <v>355</v>
      </c>
      <c r="I129" s="143"/>
      <c r="J129" s="143" t="s">
        <v>1906</v>
      </c>
      <c r="K129" s="143" t="s">
        <v>1497</v>
      </c>
      <c r="L129" s="143" t="s">
        <v>1972</v>
      </c>
      <c r="M129" s="143"/>
      <c r="N129" s="143"/>
      <c r="O129" s="143"/>
      <c r="P129" s="143"/>
      <c r="Q129" s="143"/>
      <c r="R129" s="143"/>
      <c r="S129" s="143">
        <v>1.2</v>
      </c>
      <c r="T129" s="143">
        <v>0.4</v>
      </c>
      <c r="U129" s="143"/>
      <c r="V129" s="149">
        <v>2</v>
      </c>
      <c r="W129" s="150"/>
      <c r="X129" s="149">
        <v>600</v>
      </c>
      <c r="Y129" s="150"/>
      <c r="Z129" s="149">
        <v>13</v>
      </c>
      <c r="AA129" s="150"/>
      <c r="AB129" s="149">
        <v>1</v>
      </c>
      <c r="AC129" s="177"/>
      <c r="AD129" s="177"/>
      <c r="AE129" s="177"/>
      <c r="AF129" s="177"/>
      <c r="AG129" s="177"/>
      <c r="AH129" s="177"/>
      <c r="AI129" s="177"/>
      <c r="AJ129" s="143"/>
      <c r="AK129" s="143"/>
      <c r="AL129" s="143"/>
      <c r="AM129" s="143"/>
      <c r="AN129" s="143"/>
      <c r="AO129" s="143"/>
      <c r="AP129" s="143"/>
      <c r="AQ129" s="143"/>
      <c r="AR129" s="143" t="s">
        <v>2155</v>
      </c>
      <c r="AS129" s="143"/>
      <c r="AT129" s="143"/>
    </row>
    <row r="130" spans="1:46">
      <c r="A130" s="143"/>
      <c r="B130" s="143"/>
      <c r="C130" s="141"/>
      <c r="D130" s="141"/>
      <c r="E130" s="141">
        <v>3</v>
      </c>
      <c r="F130" s="130"/>
      <c r="G130" s="143"/>
      <c r="H130" s="143" t="s">
        <v>356</v>
      </c>
      <c r="I130" s="143"/>
      <c r="J130" s="143" t="s">
        <v>1906</v>
      </c>
      <c r="K130" s="143" t="s">
        <v>1498</v>
      </c>
      <c r="L130" s="143" t="s">
        <v>1972</v>
      </c>
      <c r="M130" s="143"/>
      <c r="N130" s="143"/>
      <c r="O130" s="143"/>
      <c r="P130" s="143"/>
      <c r="Q130" s="143"/>
      <c r="R130" s="143"/>
      <c r="S130" s="143">
        <v>1.3</v>
      </c>
      <c r="T130" s="143">
        <v>0.6</v>
      </c>
      <c r="U130" s="143"/>
      <c r="V130" s="149">
        <v>2</v>
      </c>
      <c r="W130" s="150"/>
      <c r="X130" s="149">
        <v>600</v>
      </c>
      <c r="Y130" s="150"/>
      <c r="Z130" s="149">
        <v>16</v>
      </c>
      <c r="AA130" s="150"/>
      <c r="AB130" s="149">
        <v>1</v>
      </c>
      <c r="AC130" s="177"/>
      <c r="AD130" s="177"/>
      <c r="AE130" s="177"/>
      <c r="AF130" s="177"/>
      <c r="AG130" s="177"/>
      <c r="AH130" s="177"/>
      <c r="AI130" s="177"/>
      <c r="AJ130" s="143"/>
      <c r="AK130" s="143"/>
      <c r="AL130" s="143"/>
      <c r="AM130" s="143"/>
      <c r="AN130" s="143"/>
      <c r="AO130" s="143"/>
      <c r="AP130" s="143"/>
      <c r="AQ130" s="143"/>
      <c r="AR130" s="143" t="s">
        <v>2155</v>
      </c>
      <c r="AS130" s="143"/>
      <c r="AT130" s="143"/>
    </row>
    <row r="131" spans="1:46">
      <c r="A131" s="143"/>
      <c r="B131" s="143"/>
      <c r="C131" s="143" t="s">
        <v>135</v>
      </c>
      <c r="D131" s="144" t="s">
        <v>828</v>
      </c>
      <c r="E131" s="141">
        <v>1</v>
      </c>
      <c r="F131" s="143" t="s">
        <v>1499</v>
      </c>
      <c r="G131" s="143" t="s">
        <v>1843</v>
      </c>
      <c r="H131" s="143" t="s">
        <v>11</v>
      </c>
      <c r="I131" s="143"/>
      <c r="J131" s="143" t="s">
        <v>1866</v>
      </c>
      <c r="K131" s="143" t="s">
        <v>1502</v>
      </c>
      <c r="L131" s="143" t="s">
        <v>1973</v>
      </c>
      <c r="M131" s="143"/>
      <c r="N131" s="143"/>
      <c r="O131" s="143"/>
      <c r="P131" s="143"/>
      <c r="Q131" s="143"/>
      <c r="R131" s="143"/>
      <c r="S131" s="143">
        <v>150</v>
      </c>
      <c r="T131" s="143"/>
      <c r="U131" s="143"/>
      <c r="V131" s="149"/>
      <c r="W131" s="150"/>
      <c r="X131" s="149">
        <v>600</v>
      </c>
      <c r="Y131" s="150"/>
      <c r="Z131" s="149">
        <v>85</v>
      </c>
      <c r="AA131" s="150"/>
      <c r="AB131" s="149">
        <v>9</v>
      </c>
      <c r="AC131" s="177" t="s">
        <v>2033</v>
      </c>
      <c r="AD131" s="177" t="s">
        <v>2075</v>
      </c>
      <c r="AE131" s="177">
        <v>0</v>
      </c>
      <c r="AF131" s="177">
        <v>0</v>
      </c>
      <c r="AG131" s="177">
        <v>1.34</v>
      </c>
      <c r="AH131" s="177">
        <v>1</v>
      </c>
      <c r="AI131" s="177">
        <v>1</v>
      </c>
      <c r="AJ131" s="143" t="s">
        <v>1301</v>
      </c>
      <c r="AK131" s="143" t="s">
        <v>2063</v>
      </c>
      <c r="AL131" s="143">
        <v>1</v>
      </c>
      <c r="AM131" s="143">
        <v>2</v>
      </c>
      <c r="AN131" s="143">
        <v>1</v>
      </c>
      <c r="AO131" s="143">
        <v>0</v>
      </c>
      <c r="AP131" s="143" t="s">
        <v>2127</v>
      </c>
      <c r="AQ131" s="143" t="s">
        <v>2147</v>
      </c>
      <c r="AR131" s="143" t="s">
        <v>2155</v>
      </c>
      <c r="AS131" s="143">
        <v>1</v>
      </c>
      <c r="AT131" s="143"/>
    </row>
    <row r="132" spans="1:46">
      <c r="A132" s="143"/>
      <c r="B132" s="143"/>
      <c r="C132" s="143"/>
      <c r="D132" s="144"/>
      <c r="E132" s="141">
        <v>2</v>
      </c>
      <c r="F132" s="130"/>
      <c r="G132" s="143"/>
      <c r="H132" s="143" t="s">
        <v>1500</v>
      </c>
      <c r="I132" s="143"/>
      <c r="J132" s="143" t="s">
        <v>1866</v>
      </c>
      <c r="K132" s="143" t="s">
        <v>1503</v>
      </c>
      <c r="L132" s="143" t="s">
        <v>1973</v>
      </c>
      <c r="M132" s="143"/>
      <c r="N132" s="143"/>
      <c r="O132" s="143"/>
      <c r="P132" s="143"/>
      <c r="Q132" s="143"/>
      <c r="R132" s="143"/>
      <c r="S132" s="143">
        <v>250</v>
      </c>
      <c r="T132" s="143"/>
      <c r="U132" s="143"/>
      <c r="V132" s="149"/>
      <c r="W132" s="150"/>
      <c r="X132" s="149">
        <v>600</v>
      </c>
      <c r="Y132" s="150"/>
      <c r="Z132" s="149">
        <v>95</v>
      </c>
      <c r="AA132" s="150"/>
      <c r="AB132" s="149">
        <v>9</v>
      </c>
      <c r="AC132" s="177"/>
      <c r="AD132" s="177"/>
      <c r="AE132" s="177"/>
      <c r="AF132" s="177"/>
      <c r="AG132" s="177"/>
      <c r="AH132" s="177"/>
      <c r="AI132" s="177"/>
      <c r="AJ132" s="143"/>
      <c r="AK132" s="143"/>
      <c r="AL132" s="143"/>
      <c r="AM132" s="143"/>
      <c r="AN132" s="143"/>
      <c r="AO132" s="143"/>
      <c r="AP132" s="143"/>
      <c r="AQ132" s="143"/>
      <c r="AR132" s="143" t="s">
        <v>2155</v>
      </c>
      <c r="AS132" s="143"/>
      <c r="AT132" s="143"/>
    </row>
    <row r="133" spans="1:46">
      <c r="A133" s="143"/>
      <c r="B133" s="143"/>
      <c r="C133" s="143"/>
      <c r="D133" s="144"/>
      <c r="E133" s="141">
        <v>3</v>
      </c>
      <c r="F133" s="130"/>
      <c r="G133" s="143"/>
      <c r="H133" s="143" t="s">
        <v>1501</v>
      </c>
      <c r="I133" s="143"/>
      <c r="J133" s="143" t="s">
        <v>1866</v>
      </c>
      <c r="K133" s="143" t="s">
        <v>1504</v>
      </c>
      <c r="L133" s="143" t="s">
        <v>1973</v>
      </c>
      <c r="M133" s="143"/>
      <c r="N133" s="143"/>
      <c r="O133" s="143"/>
      <c r="P133" s="143"/>
      <c r="Q133" s="143"/>
      <c r="R133" s="143"/>
      <c r="S133" s="143">
        <v>350</v>
      </c>
      <c r="T133" s="143"/>
      <c r="U133" s="143"/>
      <c r="V133" s="149"/>
      <c r="W133" s="150"/>
      <c r="X133" s="149">
        <v>600</v>
      </c>
      <c r="Y133" s="150"/>
      <c r="Z133" s="149">
        <v>105</v>
      </c>
      <c r="AA133" s="150"/>
      <c r="AB133" s="149">
        <v>9</v>
      </c>
      <c r="AC133" s="177"/>
      <c r="AD133" s="177"/>
      <c r="AE133" s="177"/>
      <c r="AF133" s="177"/>
      <c r="AG133" s="177"/>
      <c r="AH133" s="177"/>
      <c r="AI133" s="177"/>
      <c r="AJ133" s="143"/>
      <c r="AK133" s="143"/>
      <c r="AL133" s="143"/>
      <c r="AM133" s="143"/>
      <c r="AN133" s="143"/>
      <c r="AO133" s="143"/>
      <c r="AP133" s="143"/>
      <c r="AQ133" s="143"/>
      <c r="AR133" s="143" t="s">
        <v>2155</v>
      </c>
      <c r="AS133" s="143"/>
      <c r="AT133" s="143"/>
    </row>
    <row r="134" spans="1:46">
      <c r="A134" s="143"/>
      <c r="B134" s="143"/>
      <c r="C134" s="143" t="s">
        <v>136</v>
      </c>
      <c r="D134" s="144" t="s">
        <v>827</v>
      </c>
      <c r="E134" s="141">
        <v>1</v>
      </c>
      <c r="F134" s="143" t="s">
        <v>1505</v>
      </c>
      <c r="G134" s="143" t="s">
        <v>1844</v>
      </c>
      <c r="H134" s="143" t="s">
        <v>1506</v>
      </c>
      <c r="I134" s="143"/>
      <c r="J134" s="143" t="s">
        <v>1907</v>
      </c>
      <c r="K134" s="143" t="s">
        <v>1509</v>
      </c>
      <c r="L134" s="143" t="s">
        <v>1974</v>
      </c>
      <c r="M134" s="143" t="s">
        <v>2355</v>
      </c>
      <c r="N134" s="143" t="s">
        <v>2357</v>
      </c>
      <c r="O134" s="143" t="s">
        <v>607</v>
      </c>
      <c r="P134" s="143" t="s">
        <v>608</v>
      </c>
      <c r="Q134" s="143" t="s">
        <v>2359</v>
      </c>
      <c r="R134" s="143" t="s">
        <v>2360</v>
      </c>
      <c r="S134" s="143">
        <v>0.1</v>
      </c>
      <c r="T134" s="143"/>
      <c r="U134" s="143"/>
      <c r="V134" s="149"/>
      <c r="W134" s="150"/>
      <c r="X134" s="149">
        <v>800</v>
      </c>
      <c r="Y134" s="150"/>
      <c r="Z134" s="149">
        <v>15</v>
      </c>
      <c r="AA134" s="150">
        <v>6</v>
      </c>
      <c r="AB134" s="149">
        <v>4</v>
      </c>
      <c r="AC134" s="177" t="s">
        <v>2034</v>
      </c>
      <c r="AD134" s="177" t="s">
        <v>2075</v>
      </c>
      <c r="AE134" s="177">
        <v>0</v>
      </c>
      <c r="AF134" s="177">
        <v>0</v>
      </c>
      <c r="AG134" s="177">
        <v>1.27</v>
      </c>
      <c r="AH134" s="177">
        <v>1</v>
      </c>
      <c r="AI134" s="177">
        <v>1</v>
      </c>
      <c r="AJ134" s="143" t="s">
        <v>1309</v>
      </c>
      <c r="AK134" s="143" t="s">
        <v>1752</v>
      </c>
      <c r="AL134" s="143">
        <v>2</v>
      </c>
      <c r="AM134" s="143">
        <v>2</v>
      </c>
      <c r="AN134" s="143">
        <v>2</v>
      </c>
      <c r="AO134" s="143">
        <v>0</v>
      </c>
      <c r="AP134" s="143" t="s">
        <v>2128</v>
      </c>
      <c r="AQ134" s="143" t="s">
        <v>2151</v>
      </c>
      <c r="AR134" s="143"/>
      <c r="AS134" s="143">
        <v>1</v>
      </c>
      <c r="AT134" s="143"/>
    </row>
    <row r="135" spans="1:46">
      <c r="A135" s="143"/>
      <c r="B135" s="143"/>
      <c r="C135" s="143"/>
      <c r="D135" s="144"/>
      <c r="E135" s="141">
        <v>2</v>
      </c>
      <c r="F135" s="130"/>
      <c r="G135" s="143"/>
      <c r="H135" s="143" t="s">
        <v>1507</v>
      </c>
      <c r="I135" s="143"/>
      <c r="J135" s="143" t="s">
        <v>1907</v>
      </c>
      <c r="K135" s="143" t="s">
        <v>1510</v>
      </c>
      <c r="L135" s="143" t="s">
        <v>1974</v>
      </c>
      <c r="M135" s="143" t="s">
        <v>2356</v>
      </c>
      <c r="N135" s="143" t="s">
        <v>2358</v>
      </c>
      <c r="O135" s="143" t="s">
        <v>606</v>
      </c>
      <c r="P135" s="143" t="s">
        <v>608</v>
      </c>
      <c r="Q135" s="143" t="s">
        <v>2361</v>
      </c>
      <c r="R135" s="143" t="s">
        <v>2362</v>
      </c>
      <c r="S135" s="143">
        <v>0.2</v>
      </c>
      <c r="T135" s="143"/>
      <c r="U135" s="143"/>
      <c r="V135" s="149"/>
      <c r="W135" s="150"/>
      <c r="X135" s="149">
        <v>800</v>
      </c>
      <c r="Y135" s="150"/>
      <c r="Z135" s="149">
        <v>15</v>
      </c>
      <c r="AA135" s="150">
        <v>6</v>
      </c>
      <c r="AB135" s="149">
        <v>4</v>
      </c>
      <c r="AC135" s="177"/>
      <c r="AD135" s="177"/>
      <c r="AE135" s="177"/>
      <c r="AF135" s="177"/>
      <c r="AG135" s="177"/>
      <c r="AH135" s="177"/>
      <c r="AI135" s="177"/>
      <c r="AJ135" s="143"/>
      <c r="AK135" s="143"/>
      <c r="AL135" s="143"/>
      <c r="AM135" s="143"/>
      <c r="AN135" s="143"/>
      <c r="AO135" s="143"/>
      <c r="AP135" s="143"/>
      <c r="AQ135" s="143"/>
      <c r="AR135" s="143"/>
      <c r="AS135" s="143"/>
      <c r="AT135" s="143"/>
    </row>
    <row r="136" spans="1:46">
      <c r="A136" s="143"/>
      <c r="B136" s="143"/>
      <c r="C136" s="143"/>
      <c r="D136" s="144"/>
      <c r="E136" s="141">
        <v>3</v>
      </c>
      <c r="F136" s="130"/>
      <c r="G136" s="143"/>
      <c r="H136" s="143" t="s">
        <v>1508</v>
      </c>
      <c r="I136" s="143"/>
      <c r="J136" s="143" t="s">
        <v>1907</v>
      </c>
      <c r="K136" s="143" t="s">
        <v>1511</v>
      </c>
      <c r="L136" s="143" t="s">
        <v>1974</v>
      </c>
      <c r="M136" s="143"/>
      <c r="N136" s="143"/>
      <c r="O136" s="143"/>
      <c r="P136" s="143"/>
      <c r="Q136" s="143"/>
      <c r="R136" s="143"/>
      <c r="S136" s="143">
        <v>0.3</v>
      </c>
      <c r="T136" s="143"/>
      <c r="U136" s="143"/>
      <c r="V136" s="149"/>
      <c r="W136" s="150"/>
      <c r="X136" s="149">
        <v>800</v>
      </c>
      <c r="Y136" s="150"/>
      <c r="Z136" s="149">
        <v>15</v>
      </c>
      <c r="AA136" s="150">
        <v>6</v>
      </c>
      <c r="AB136" s="149">
        <v>4</v>
      </c>
      <c r="AC136" s="177"/>
      <c r="AD136" s="177"/>
      <c r="AE136" s="177"/>
      <c r="AF136" s="177"/>
      <c r="AG136" s="177"/>
      <c r="AH136" s="177"/>
      <c r="AI136" s="177"/>
      <c r="AJ136" s="143"/>
      <c r="AK136" s="143"/>
      <c r="AL136" s="143"/>
      <c r="AM136" s="143"/>
      <c r="AN136" s="143"/>
      <c r="AO136" s="143"/>
      <c r="AP136" s="143"/>
      <c r="AQ136" s="143"/>
      <c r="AR136" s="143"/>
      <c r="AS136" s="143"/>
      <c r="AT136" s="143"/>
    </row>
    <row r="137" spans="1:46">
      <c r="A137" s="143"/>
      <c r="B137" s="143"/>
      <c r="C137" s="143" t="s">
        <v>357</v>
      </c>
      <c r="D137" s="144" t="s">
        <v>825</v>
      </c>
      <c r="E137" s="141">
        <v>1</v>
      </c>
      <c r="F137" s="143" t="s">
        <v>358</v>
      </c>
      <c r="G137" s="143" t="s">
        <v>1845</v>
      </c>
      <c r="H137" s="143" t="s">
        <v>359</v>
      </c>
      <c r="I137" s="143"/>
      <c r="J137" s="143" t="s">
        <v>1908</v>
      </c>
      <c r="K137" s="143"/>
      <c r="L137" s="143" t="s">
        <v>1975</v>
      </c>
      <c r="M137" s="143" t="s">
        <v>2363</v>
      </c>
      <c r="N137" s="143" t="s">
        <v>2364</v>
      </c>
      <c r="O137" s="143" t="s">
        <v>606</v>
      </c>
      <c r="P137" s="143" t="s">
        <v>607</v>
      </c>
      <c r="Q137" s="143" t="s">
        <v>2365</v>
      </c>
      <c r="R137" s="143" t="s">
        <v>2354</v>
      </c>
      <c r="S137" s="143">
        <v>7.0000000000000007E-2</v>
      </c>
      <c r="T137" s="143">
        <v>0.5</v>
      </c>
      <c r="U137" s="143">
        <v>6</v>
      </c>
      <c r="V137" s="149"/>
      <c r="W137" s="150"/>
      <c r="X137" s="149">
        <v>400</v>
      </c>
      <c r="Y137" s="150"/>
      <c r="Z137" s="149"/>
      <c r="AA137" s="150"/>
      <c r="AB137" s="149">
        <v>1</v>
      </c>
      <c r="AC137" s="177" t="s">
        <v>2035</v>
      </c>
      <c r="AD137" s="177" t="s">
        <v>2075</v>
      </c>
      <c r="AE137" s="177">
        <v>0</v>
      </c>
      <c r="AF137" s="177">
        <v>0</v>
      </c>
      <c r="AG137" s="177">
        <v>0</v>
      </c>
      <c r="AH137" s="177">
        <v>2</v>
      </c>
      <c r="AI137" s="177">
        <v>4</v>
      </c>
      <c r="AJ137" s="143" t="s">
        <v>1317</v>
      </c>
      <c r="AK137" s="143" t="s">
        <v>272</v>
      </c>
      <c r="AL137" s="143">
        <v>3</v>
      </c>
      <c r="AM137" s="143">
        <v>2</v>
      </c>
      <c r="AN137" s="143">
        <v>3</v>
      </c>
      <c r="AO137" s="143">
        <v>0</v>
      </c>
      <c r="AP137" s="143" t="s">
        <v>2129</v>
      </c>
      <c r="AQ137" s="143" t="s">
        <v>2146</v>
      </c>
      <c r="AR137" s="143"/>
      <c r="AS137" s="143">
        <v>1</v>
      </c>
      <c r="AT137" s="143"/>
    </row>
    <row r="138" spans="1:46">
      <c r="A138" s="143"/>
      <c r="B138" s="143"/>
      <c r="C138" s="143"/>
      <c r="D138" s="144"/>
      <c r="E138" s="141">
        <v>2</v>
      </c>
      <c r="F138" s="130"/>
      <c r="G138" s="143"/>
      <c r="H138" s="143" t="s">
        <v>360</v>
      </c>
      <c r="I138" s="143"/>
      <c r="J138" s="143" t="s">
        <v>1908</v>
      </c>
      <c r="K138" s="143"/>
      <c r="L138" s="143" t="s">
        <v>1975</v>
      </c>
      <c r="M138" s="143" t="s">
        <v>2366</v>
      </c>
      <c r="N138" s="143" t="s">
        <v>2367</v>
      </c>
      <c r="O138" s="143" t="s">
        <v>606</v>
      </c>
      <c r="P138" s="143" t="s">
        <v>607</v>
      </c>
      <c r="Q138" s="143" t="s">
        <v>2368</v>
      </c>
      <c r="R138" s="143" t="s">
        <v>2328</v>
      </c>
      <c r="S138" s="143">
        <v>0.09</v>
      </c>
      <c r="T138" s="143">
        <v>0.65</v>
      </c>
      <c r="U138" s="143">
        <v>9</v>
      </c>
      <c r="V138" s="149"/>
      <c r="W138" s="150"/>
      <c r="X138" s="149">
        <v>400</v>
      </c>
      <c r="Y138" s="150"/>
      <c r="Z138" s="149"/>
      <c r="AA138" s="150"/>
      <c r="AB138" s="149">
        <v>1</v>
      </c>
      <c r="AC138" s="177"/>
      <c r="AD138" s="177"/>
      <c r="AE138" s="177"/>
      <c r="AF138" s="177"/>
      <c r="AG138" s="177"/>
      <c r="AH138" s="177"/>
      <c r="AI138" s="177"/>
      <c r="AJ138" s="143"/>
      <c r="AK138" s="143"/>
      <c r="AL138" s="143"/>
      <c r="AM138" s="143"/>
      <c r="AN138" s="143"/>
      <c r="AO138" s="143"/>
      <c r="AP138" s="143"/>
      <c r="AQ138" s="143"/>
      <c r="AR138" s="143"/>
      <c r="AS138" s="143"/>
      <c r="AT138" s="143"/>
    </row>
    <row r="139" spans="1:46">
      <c r="A139" s="143"/>
      <c r="B139" s="143"/>
      <c r="C139" s="143"/>
      <c r="D139" s="144"/>
      <c r="E139" s="141">
        <v>3</v>
      </c>
      <c r="F139" s="130"/>
      <c r="G139" s="143"/>
      <c r="H139" s="143" t="s">
        <v>361</v>
      </c>
      <c r="I139" s="143"/>
      <c r="J139" s="143" t="s">
        <v>1908</v>
      </c>
      <c r="K139" s="143"/>
      <c r="L139" s="143" t="s">
        <v>1975</v>
      </c>
      <c r="M139" s="143"/>
      <c r="N139" s="143"/>
      <c r="O139" s="143"/>
      <c r="P139" s="143"/>
      <c r="Q139" s="143"/>
      <c r="R139" s="143"/>
      <c r="S139" s="143">
        <v>0.11</v>
      </c>
      <c r="T139" s="143">
        <v>0.8</v>
      </c>
      <c r="U139" s="143">
        <v>12</v>
      </c>
      <c r="V139" s="149"/>
      <c r="W139" s="150"/>
      <c r="X139" s="149">
        <v>400</v>
      </c>
      <c r="Y139" s="150"/>
      <c r="Z139" s="149"/>
      <c r="AA139" s="150"/>
      <c r="AB139" s="149">
        <v>1</v>
      </c>
      <c r="AC139" s="177"/>
      <c r="AD139" s="177"/>
      <c r="AE139" s="177"/>
      <c r="AF139" s="177"/>
      <c r="AG139" s="177"/>
      <c r="AH139" s="177"/>
      <c r="AI139" s="177"/>
      <c r="AJ139" s="143"/>
      <c r="AK139" s="143"/>
      <c r="AL139" s="143"/>
      <c r="AM139" s="143"/>
      <c r="AN139" s="143"/>
      <c r="AO139" s="143"/>
      <c r="AP139" s="143"/>
      <c r="AQ139" s="143"/>
      <c r="AR139" s="143"/>
      <c r="AS139" s="143"/>
      <c r="AT139" s="143"/>
    </row>
    <row r="140" spans="1:46">
      <c r="A140" s="143"/>
      <c r="B140" s="143"/>
      <c r="C140" s="143" t="s">
        <v>137</v>
      </c>
      <c r="D140" s="144" t="s">
        <v>819</v>
      </c>
      <c r="E140" s="141">
        <v>1</v>
      </c>
      <c r="F140" s="143" t="s">
        <v>1512</v>
      </c>
      <c r="G140" s="143" t="s">
        <v>1846</v>
      </c>
      <c r="H140" s="143" t="s">
        <v>1513</v>
      </c>
      <c r="I140" s="143"/>
      <c r="J140" s="143" t="s">
        <v>1909</v>
      </c>
      <c r="K140" s="143" t="s">
        <v>1512</v>
      </c>
      <c r="L140" s="143" t="s">
        <v>1846</v>
      </c>
      <c r="M140" s="143" t="s">
        <v>2369</v>
      </c>
      <c r="N140" s="143" t="s">
        <v>2370</v>
      </c>
      <c r="O140" s="143" t="s">
        <v>607</v>
      </c>
      <c r="P140" s="143" t="s">
        <v>607</v>
      </c>
      <c r="Q140" s="143" t="s">
        <v>819</v>
      </c>
      <c r="R140" s="143" t="s">
        <v>2371</v>
      </c>
      <c r="S140" s="143"/>
      <c r="T140" s="143"/>
      <c r="U140" s="143"/>
      <c r="V140" s="149"/>
      <c r="W140" s="150"/>
      <c r="X140" s="149"/>
      <c r="Y140" s="150"/>
      <c r="Z140" s="149">
        <v>25</v>
      </c>
      <c r="AA140" s="150">
        <v>12</v>
      </c>
      <c r="AB140" s="149">
        <v>40</v>
      </c>
      <c r="AC140" s="177" t="s">
        <v>2036</v>
      </c>
      <c r="AD140" s="177" t="s">
        <v>2076</v>
      </c>
      <c r="AE140" s="177"/>
      <c r="AF140" s="177"/>
      <c r="AG140" s="177"/>
      <c r="AH140" s="177"/>
      <c r="AI140" s="177"/>
      <c r="AJ140" s="143" t="s">
        <v>2077</v>
      </c>
      <c r="AK140" s="143" t="s">
        <v>2072</v>
      </c>
      <c r="AL140" s="143"/>
      <c r="AM140" s="143"/>
      <c r="AN140" s="143"/>
      <c r="AO140" s="143"/>
      <c r="AP140" s="143"/>
      <c r="AQ140" s="143"/>
      <c r="AR140" s="143"/>
      <c r="AS140" s="143">
        <v>1</v>
      </c>
      <c r="AT140" s="143"/>
    </row>
    <row r="141" spans="1:46">
      <c r="A141" s="143"/>
      <c r="B141" s="143"/>
      <c r="C141" s="143"/>
      <c r="D141" s="144"/>
      <c r="E141" s="141">
        <v>2</v>
      </c>
      <c r="F141" s="130"/>
      <c r="G141" s="143"/>
      <c r="H141" s="143" t="s">
        <v>1514</v>
      </c>
      <c r="I141" s="143"/>
      <c r="J141" s="143" t="s">
        <v>1909</v>
      </c>
      <c r="K141" s="143" t="s">
        <v>1512</v>
      </c>
      <c r="L141" s="143" t="s">
        <v>1846</v>
      </c>
      <c r="M141" s="143"/>
      <c r="N141" s="143"/>
      <c r="O141" s="143"/>
      <c r="P141" s="143"/>
      <c r="Q141" s="143"/>
      <c r="R141" s="143"/>
      <c r="S141" s="143"/>
      <c r="T141" s="143"/>
      <c r="U141" s="143"/>
      <c r="V141" s="149"/>
      <c r="W141" s="150"/>
      <c r="X141" s="149"/>
      <c r="Y141" s="150"/>
      <c r="Z141" s="149">
        <v>25</v>
      </c>
      <c r="AA141" s="150">
        <v>16</v>
      </c>
      <c r="AB141" s="149">
        <v>40</v>
      </c>
      <c r="AC141" s="177"/>
      <c r="AD141" s="177"/>
      <c r="AE141" s="177"/>
      <c r="AF141" s="177"/>
      <c r="AG141" s="177"/>
      <c r="AH141" s="177"/>
      <c r="AI141" s="177"/>
      <c r="AJ141" s="143"/>
      <c r="AK141" s="143"/>
      <c r="AL141" s="143"/>
      <c r="AM141" s="143"/>
      <c r="AN141" s="143"/>
      <c r="AO141" s="143"/>
      <c r="AP141" s="143"/>
      <c r="AQ141" s="143"/>
      <c r="AR141" s="143"/>
      <c r="AS141" s="143"/>
      <c r="AT141" s="143"/>
    </row>
    <row r="142" spans="1:46">
      <c r="A142" s="143"/>
      <c r="B142" s="143"/>
      <c r="C142" s="143"/>
      <c r="D142" s="144"/>
      <c r="E142" s="141">
        <v>3</v>
      </c>
      <c r="F142" s="130"/>
      <c r="G142" s="143"/>
      <c r="H142" s="143" t="s">
        <v>1515</v>
      </c>
      <c r="I142" s="143"/>
      <c r="J142" s="143" t="s">
        <v>1909</v>
      </c>
      <c r="K142" s="143" t="s">
        <v>1512</v>
      </c>
      <c r="L142" s="143" t="s">
        <v>1846</v>
      </c>
      <c r="M142" s="143"/>
      <c r="N142" s="143"/>
      <c r="O142" s="143"/>
      <c r="P142" s="143"/>
      <c r="Q142" s="143"/>
      <c r="R142" s="143"/>
      <c r="S142" s="143"/>
      <c r="T142" s="143"/>
      <c r="U142" s="143"/>
      <c r="V142" s="149"/>
      <c r="W142" s="150"/>
      <c r="X142" s="149"/>
      <c r="Y142" s="150"/>
      <c r="Z142" s="149">
        <v>25</v>
      </c>
      <c r="AA142" s="150">
        <v>20</v>
      </c>
      <c r="AB142" s="149">
        <v>40</v>
      </c>
      <c r="AC142" s="177"/>
      <c r="AD142" s="177"/>
      <c r="AE142" s="177"/>
      <c r="AF142" s="177"/>
      <c r="AG142" s="177"/>
      <c r="AH142" s="177"/>
      <c r="AI142" s="177"/>
      <c r="AJ142" s="143"/>
      <c r="AK142" s="143"/>
      <c r="AL142" s="143"/>
      <c r="AM142" s="143"/>
      <c r="AN142" s="143"/>
      <c r="AO142" s="143"/>
      <c r="AP142" s="143"/>
      <c r="AQ142" s="143"/>
      <c r="AR142" s="143"/>
      <c r="AS142" s="143"/>
      <c r="AT142" s="143"/>
    </row>
    <row r="143" spans="1:46">
      <c r="A143" s="145" t="s">
        <v>1045</v>
      </c>
      <c r="B143" s="145" t="s">
        <v>1792</v>
      </c>
      <c r="C143" s="143" t="s">
        <v>458</v>
      </c>
      <c r="D143" s="141" t="s">
        <v>817</v>
      </c>
      <c r="E143" s="141">
        <v>1</v>
      </c>
      <c r="F143" s="143" t="s">
        <v>1516</v>
      </c>
      <c r="G143" s="143" t="s">
        <v>1847</v>
      </c>
      <c r="H143" s="143" t="s">
        <v>459</v>
      </c>
      <c r="I143" s="143"/>
      <c r="J143" s="143" t="s">
        <v>1910</v>
      </c>
      <c r="K143" s="143" t="s">
        <v>1517</v>
      </c>
      <c r="L143" s="143" t="s">
        <v>1976</v>
      </c>
      <c r="M143" s="143" t="s">
        <v>2372</v>
      </c>
      <c r="N143" s="143" t="s">
        <v>2373</v>
      </c>
      <c r="O143" s="143" t="s">
        <v>607</v>
      </c>
      <c r="P143" s="143" t="s">
        <v>607</v>
      </c>
      <c r="Q143" s="143" t="s">
        <v>2374</v>
      </c>
      <c r="R143" s="143" t="s">
        <v>2375</v>
      </c>
      <c r="S143" s="143">
        <v>100</v>
      </c>
      <c r="T143" s="143"/>
      <c r="U143" s="143"/>
      <c r="V143" s="149"/>
      <c r="W143" s="150"/>
      <c r="X143" s="149">
        <v>128</v>
      </c>
      <c r="Y143" s="150"/>
      <c r="Z143" s="149">
        <v>0.4</v>
      </c>
      <c r="AA143" s="150"/>
      <c r="AB143" s="149">
        <v>1</v>
      </c>
      <c r="AC143" s="177" t="s">
        <v>2037</v>
      </c>
      <c r="AD143" s="177" t="s">
        <v>2075</v>
      </c>
      <c r="AE143" s="177">
        <v>0</v>
      </c>
      <c r="AF143" s="177">
        <v>0</v>
      </c>
      <c r="AG143" s="177">
        <v>0.9</v>
      </c>
      <c r="AH143" s="177">
        <v>1</v>
      </c>
      <c r="AI143" s="177">
        <v>5</v>
      </c>
      <c r="AJ143" s="143" t="s">
        <v>1048</v>
      </c>
      <c r="AK143" s="143" t="s">
        <v>285</v>
      </c>
      <c r="AL143" s="143">
        <v>0</v>
      </c>
      <c r="AM143" s="143">
        <v>2</v>
      </c>
      <c r="AN143" s="143">
        <v>0</v>
      </c>
      <c r="AO143" s="143">
        <v>0</v>
      </c>
      <c r="AP143" s="143" t="s">
        <v>2130</v>
      </c>
      <c r="AQ143" s="143" t="s">
        <v>2152</v>
      </c>
      <c r="AR143" s="143" t="s">
        <v>2155</v>
      </c>
      <c r="AS143" s="143">
        <v>1</v>
      </c>
      <c r="AT143" s="143"/>
    </row>
    <row r="144" spans="1:46">
      <c r="C144" s="141"/>
      <c r="D144" s="141"/>
      <c r="E144" s="141">
        <v>2</v>
      </c>
      <c r="F144" s="130"/>
      <c r="G144" s="143"/>
      <c r="H144" s="143" t="s">
        <v>463</v>
      </c>
      <c r="I144" s="143"/>
      <c r="J144" s="143" t="s">
        <v>1910</v>
      </c>
      <c r="K144" s="143" t="s">
        <v>1518</v>
      </c>
      <c r="L144" s="143" t="s">
        <v>1976</v>
      </c>
      <c r="M144" s="143"/>
      <c r="N144" s="143"/>
      <c r="O144" s="143"/>
      <c r="P144" s="143"/>
      <c r="Q144" s="143"/>
      <c r="R144" s="143"/>
      <c r="S144" s="143">
        <v>200</v>
      </c>
      <c r="T144" s="143"/>
      <c r="U144" s="143"/>
      <c r="V144" s="149"/>
      <c r="W144" s="150"/>
      <c r="X144" s="149">
        <v>128</v>
      </c>
      <c r="Y144" s="150"/>
      <c r="Z144" s="149">
        <v>0.4</v>
      </c>
      <c r="AA144" s="150"/>
      <c r="AB144" s="149">
        <v>1</v>
      </c>
      <c r="AC144" s="177"/>
      <c r="AD144" s="177"/>
      <c r="AE144" s="177"/>
      <c r="AF144" s="177"/>
      <c r="AG144" s="177"/>
      <c r="AH144" s="177"/>
      <c r="AI144" s="177"/>
      <c r="AJ144" s="143"/>
      <c r="AK144" s="143"/>
      <c r="AL144" s="143"/>
      <c r="AM144" s="143"/>
      <c r="AN144" s="143"/>
      <c r="AO144" s="143"/>
      <c r="AP144" s="143"/>
      <c r="AQ144" s="143"/>
      <c r="AR144" s="143" t="s">
        <v>2155</v>
      </c>
      <c r="AS144" s="143"/>
      <c r="AT144" s="143"/>
    </row>
    <row r="145" spans="1:46">
      <c r="C145" s="141"/>
      <c r="D145" s="141"/>
      <c r="E145" s="141">
        <v>3</v>
      </c>
      <c r="F145" s="130"/>
      <c r="G145" s="143"/>
      <c r="H145" s="143" t="s">
        <v>464</v>
      </c>
      <c r="I145" s="143"/>
      <c r="J145" s="143" t="s">
        <v>1910</v>
      </c>
      <c r="K145" s="143" t="s">
        <v>1519</v>
      </c>
      <c r="L145" s="143" t="s">
        <v>1976</v>
      </c>
      <c r="M145" s="143"/>
      <c r="N145" s="143"/>
      <c r="O145" s="143"/>
      <c r="P145" s="143"/>
      <c r="Q145" s="143"/>
      <c r="R145" s="143"/>
      <c r="S145" s="143">
        <v>300</v>
      </c>
      <c r="T145" s="143"/>
      <c r="U145" s="143"/>
      <c r="V145" s="149"/>
      <c r="W145" s="150"/>
      <c r="X145" s="149">
        <v>128</v>
      </c>
      <c r="Y145" s="150"/>
      <c r="Z145" s="149">
        <v>0.4</v>
      </c>
      <c r="AA145" s="150"/>
      <c r="AB145" s="149">
        <v>1</v>
      </c>
      <c r="AC145" s="177"/>
      <c r="AD145" s="177"/>
      <c r="AE145" s="177"/>
      <c r="AF145" s="177"/>
      <c r="AG145" s="177"/>
      <c r="AH145" s="177"/>
      <c r="AI145" s="177"/>
      <c r="AJ145" s="143"/>
      <c r="AK145" s="143"/>
      <c r="AL145" s="143"/>
      <c r="AM145" s="143"/>
      <c r="AN145" s="143"/>
      <c r="AO145" s="143"/>
      <c r="AP145" s="143"/>
      <c r="AQ145" s="143"/>
      <c r="AR145" s="143" t="s">
        <v>2155</v>
      </c>
      <c r="AS145" s="143"/>
      <c r="AT145" s="143"/>
    </row>
    <row r="146" spans="1:46">
      <c r="C146" s="143" t="s">
        <v>467</v>
      </c>
      <c r="D146" s="144" t="s">
        <v>816</v>
      </c>
      <c r="E146" s="141">
        <v>1</v>
      </c>
      <c r="F146" s="143" t="s">
        <v>1520</v>
      </c>
      <c r="G146" s="143" t="s">
        <v>1848</v>
      </c>
      <c r="H146" s="143" t="s">
        <v>1521</v>
      </c>
      <c r="I146" s="143"/>
      <c r="J146" s="143" t="s">
        <v>1911</v>
      </c>
      <c r="K146" s="143" t="s">
        <v>1524</v>
      </c>
      <c r="L146" s="143" t="s">
        <v>1977</v>
      </c>
      <c r="M146" s="143" t="s">
        <v>2377</v>
      </c>
      <c r="N146" s="143" t="s">
        <v>2378</v>
      </c>
      <c r="O146" s="143" t="s">
        <v>606</v>
      </c>
      <c r="P146" s="143" t="s">
        <v>607</v>
      </c>
      <c r="Q146" s="144" t="s">
        <v>816</v>
      </c>
      <c r="R146" s="143" t="s">
        <v>2256</v>
      </c>
      <c r="S146" s="143">
        <v>0.4</v>
      </c>
      <c r="T146" s="143">
        <v>15</v>
      </c>
      <c r="U146" s="143"/>
      <c r="V146" s="149"/>
      <c r="W146" s="150"/>
      <c r="X146" s="149">
        <v>128</v>
      </c>
      <c r="Y146" s="150"/>
      <c r="Z146" s="149">
        <v>0.25</v>
      </c>
      <c r="AA146" s="150">
        <v>18</v>
      </c>
      <c r="AB146" s="149">
        <v>1</v>
      </c>
      <c r="AC146" s="177" t="s">
        <v>2038</v>
      </c>
      <c r="AD146" s="177" t="s">
        <v>2075</v>
      </c>
      <c r="AE146" s="177">
        <v>0</v>
      </c>
      <c r="AF146" s="177">
        <v>0</v>
      </c>
      <c r="AG146" s="177">
        <v>0.9</v>
      </c>
      <c r="AH146" s="177">
        <v>1</v>
      </c>
      <c r="AI146" s="177">
        <v>5</v>
      </c>
      <c r="AJ146" s="143" t="s">
        <v>1301</v>
      </c>
      <c r="AK146" s="143" t="s">
        <v>207</v>
      </c>
      <c r="AL146" s="143">
        <v>1</v>
      </c>
      <c r="AM146" s="143">
        <v>2</v>
      </c>
      <c r="AN146" s="143">
        <v>1</v>
      </c>
      <c r="AO146" s="143">
        <v>0</v>
      </c>
      <c r="AP146" s="143" t="s">
        <v>2131</v>
      </c>
      <c r="AQ146" s="143" t="s">
        <v>2152</v>
      </c>
      <c r="AR146" s="143" t="s">
        <v>2155</v>
      </c>
      <c r="AS146" s="143">
        <v>1</v>
      </c>
      <c r="AT146" s="143"/>
    </row>
    <row r="147" spans="1:46">
      <c r="C147" s="143"/>
      <c r="D147" s="144"/>
      <c r="E147" s="141">
        <v>2</v>
      </c>
      <c r="F147" s="130"/>
      <c r="G147" s="143"/>
      <c r="H147" s="143" t="s">
        <v>1522</v>
      </c>
      <c r="I147" s="143"/>
      <c r="J147" s="143" t="s">
        <v>1911</v>
      </c>
      <c r="K147" s="143" t="s">
        <v>1525</v>
      </c>
      <c r="L147" s="143" t="s">
        <v>1977</v>
      </c>
      <c r="M147" s="143"/>
      <c r="N147" s="143"/>
      <c r="O147" s="143"/>
      <c r="P147" s="143"/>
      <c r="Q147" s="143"/>
      <c r="R147" s="143"/>
      <c r="S147" s="143">
        <v>0.8</v>
      </c>
      <c r="T147" s="143">
        <v>20</v>
      </c>
      <c r="U147" s="143"/>
      <c r="V147" s="149"/>
      <c r="W147" s="150"/>
      <c r="X147" s="149">
        <v>128</v>
      </c>
      <c r="Y147" s="150"/>
      <c r="Z147" s="149">
        <v>0.25</v>
      </c>
      <c r="AA147" s="150">
        <v>18</v>
      </c>
      <c r="AB147" s="149">
        <v>1</v>
      </c>
      <c r="AC147" s="177"/>
      <c r="AD147" s="177"/>
      <c r="AE147" s="177"/>
      <c r="AF147" s="177"/>
      <c r="AG147" s="177"/>
      <c r="AH147" s="177"/>
      <c r="AI147" s="177"/>
      <c r="AJ147" s="143"/>
      <c r="AK147" s="143"/>
      <c r="AL147" s="143"/>
      <c r="AM147" s="143"/>
      <c r="AN147" s="143"/>
      <c r="AO147" s="143"/>
      <c r="AP147" s="143"/>
      <c r="AQ147" s="143"/>
      <c r="AR147" s="143" t="s">
        <v>2155</v>
      </c>
      <c r="AS147" s="143"/>
      <c r="AT147" s="143"/>
    </row>
    <row r="148" spans="1:46">
      <c r="C148" s="143"/>
      <c r="D148" s="144"/>
      <c r="E148" s="141">
        <v>3</v>
      </c>
      <c r="F148" s="130"/>
      <c r="G148" s="143"/>
      <c r="H148" s="143" t="s">
        <v>1523</v>
      </c>
      <c r="I148" s="143"/>
      <c r="J148" s="143" t="s">
        <v>1911</v>
      </c>
      <c r="K148" s="143" t="s">
        <v>1526</v>
      </c>
      <c r="L148" s="143" t="s">
        <v>1977</v>
      </c>
      <c r="M148" s="143"/>
      <c r="N148" s="143"/>
      <c r="O148" s="143"/>
      <c r="P148" s="143"/>
      <c r="Q148" s="143"/>
      <c r="R148" s="143"/>
      <c r="S148" s="143">
        <v>1.2</v>
      </c>
      <c r="T148" s="143">
        <v>30</v>
      </c>
      <c r="U148" s="143"/>
      <c r="V148" s="149"/>
      <c r="W148" s="150"/>
      <c r="X148" s="149">
        <v>128</v>
      </c>
      <c r="Y148" s="150"/>
      <c r="Z148" s="149">
        <v>0.25</v>
      </c>
      <c r="AA148" s="150">
        <v>18</v>
      </c>
      <c r="AB148" s="149">
        <v>1</v>
      </c>
      <c r="AC148" s="177"/>
      <c r="AD148" s="177"/>
      <c r="AE148" s="177"/>
      <c r="AF148" s="177"/>
      <c r="AG148" s="177"/>
      <c r="AH148" s="177"/>
      <c r="AI148" s="177"/>
      <c r="AJ148" s="143"/>
      <c r="AK148" s="143"/>
      <c r="AL148" s="143"/>
      <c r="AM148" s="143"/>
      <c r="AN148" s="143"/>
      <c r="AO148" s="143"/>
      <c r="AP148" s="143"/>
      <c r="AQ148" s="143"/>
      <c r="AR148" s="143" t="s">
        <v>2155</v>
      </c>
      <c r="AS148" s="143"/>
      <c r="AT148" s="143"/>
    </row>
    <row r="149" spans="1:46">
      <c r="C149" s="143" t="s">
        <v>473</v>
      </c>
      <c r="D149" s="144" t="s">
        <v>815</v>
      </c>
      <c r="E149" s="141">
        <v>1</v>
      </c>
      <c r="F149" s="143" t="s">
        <v>1527</v>
      </c>
      <c r="G149" s="143" t="s">
        <v>1849</v>
      </c>
      <c r="H149" s="143" t="s">
        <v>1528</v>
      </c>
      <c r="I149" s="143"/>
      <c r="J149" s="143" t="s">
        <v>1912</v>
      </c>
      <c r="K149" s="143" t="s">
        <v>1531</v>
      </c>
      <c r="L149" s="143" t="s">
        <v>1978</v>
      </c>
      <c r="M149" s="143" t="s">
        <v>2376</v>
      </c>
      <c r="N149" s="143" t="s">
        <v>2379</v>
      </c>
      <c r="O149" s="143" t="s">
        <v>606</v>
      </c>
      <c r="P149" s="143" t="s">
        <v>607</v>
      </c>
      <c r="Q149" s="143" t="s">
        <v>2380</v>
      </c>
      <c r="R149" s="143" t="s">
        <v>2324</v>
      </c>
      <c r="S149" s="143">
        <v>1</v>
      </c>
      <c r="T149" s="143">
        <v>1</v>
      </c>
      <c r="U149" s="143"/>
      <c r="V149" s="149"/>
      <c r="W149" s="150"/>
      <c r="X149" s="149">
        <v>128</v>
      </c>
      <c r="Y149" s="150"/>
      <c r="Z149" s="149"/>
      <c r="AA149" s="150"/>
      <c r="AB149" s="149">
        <v>16</v>
      </c>
      <c r="AC149" s="177" t="s">
        <v>2039</v>
      </c>
      <c r="AD149" s="177" t="s">
        <v>2075</v>
      </c>
      <c r="AE149" s="177">
        <v>0</v>
      </c>
      <c r="AF149" s="177">
        <v>0</v>
      </c>
      <c r="AG149" s="177">
        <v>0.9</v>
      </c>
      <c r="AH149" s="177">
        <v>1</v>
      </c>
      <c r="AI149" s="177">
        <v>5</v>
      </c>
      <c r="AJ149" s="143" t="s">
        <v>1309</v>
      </c>
      <c r="AK149" s="143" t="s">
        <v>2052</v>
      </c>
      <c r="AL149" s="143">
        <v>2</v>
      </c>
      <c r="AM149" s="143">
        <v>2</v>
      </c>
      <c r="AN149" s="143">
        <v>2</v>
      </c>
      <c r="AO149" s="143">
        <v>0</v>
      </c>
      <c r="AP149" s="143" t="s">
        <v>2132</v>
      </c>
      <c r="AQ149" s="143" t="s">
        <v>2147</v>
      </c>
      <c r="AR149" s="143" t="s">
        <v>2155</v>
      </c>
      <c r="AS149" s="143">
        <v>1</v>
      </c>
      <c r="AT149" s="143"/>
    </row>
    <row r="150" spans="1:46">
      <c r="C150" s="143"/>
      <c r="D150" s="144"/>
      <c r="E150" s="141">
        <v>2</v>
      </c>
      <c r="F150" s="130"/>
      <c r="G150" s="143"/>
      <c r="H150" s="143" t="s">
        <v>1529</v>
      </c>
      <c r="I150" s="143"/>
      <c r="J150" s="143" t="s">
        <v>1912</v>
      </c>
      <c r="K150" s="143" t="s">
        <v>1532</v>
      </c>
      <c r="L150" s="143" t="s">
        <v>1978</v>
      </c>
      <c r="M150" s="143"/>
      <c r="N150" s="143"/>
      <c r="O150" s="143"/>
      <c r="P150" s="143"/>
      <c r="Q150" s="143"/>
      <c r="R150" s="143"/>
      <c r="S150" s="143">
        <v>2</v>
      </c>
      <c r="T150" s="143">
        <v>2</v>
      </c>
      <c r="U150" s="143"/>
      <c r="V150" s="149"/>
      <c r="W150" s="150"/>
      <c r="X150" s="149">
        <v>128</v>
      </c>
      <c r="Y150" s="150"/>
      <c r="Z150" s="149"/>
      <c r="AA150" s="150"/>
      <c r="AB150" s="149">
        <v>13</v>
      </c>
      <c r="AC150" s="177"/>
      <c r="AD150" s="177"/>
      <c r="AE150" s="177"/>
      <c r="AF150" s="177"/>
      <c r="AG150" s="177"/>
      <c r="AH150" s="177"/>
      <c r="AI150" s="177"/>
      <c r="AJ150" s="143"/>
      <c r="AK150" s="143"/>
      <c r="AL150" s="143"/>
      <c r="AM150" s="143"/>
      <c r="AN150" s="143"/>
      <c r="AO150" s="143"/>
      <c r="AP150" s="143"/>
      <c r="AQ150" s="143"/>
      <c r="AR150" s="143" t="s">
        <v>2155</v>
      </c>
      <c r="AS150" s="143"/>
      <c r="AT150" s="143"/>
    </row>
    <row r="151" spans="1:46">
      <c r="C151" s="143"/>
      <c r="D151" s="144"/>
      <c r="E151" s="141">
        <v>3</v>
      </c>
      <c r="F151" s="130"/>
      <c r="G151" s="143"/>
      <c r="H151" s="143" t="s">
        <v>1530</v>
      </c>
      <c r="I151" s="143"/>
      <c r="J151" s="143" t="s">
        <v>1912</v>
      </c>
      <c r="K151" s="143" t="s">
        <v>1533</v>
      </c>
      <c r="L151" s="143" t="s">
        <v>1978</v>
      </c>
      <c r="M151" s="143"/>
      <c r="N151" s="143"/>
      <c r="O151" s="143"/>
      <c r="P151" s="143"/>
      <c r="Q151" s="143"/>
      <c r="R151" s="143"/>
      <c r="S151" s="143">
        <v>3</v>
      </c>
      <c r="T151" s="143">
        <v>4</v>
      </c>
      <c r="U151" s="143"/>
      <c r="V151" s="149"/>
      <c r="W151" s="150"/>
      <c r="X151" s="149">
        <v>128</v>
      </c>
      <c r="Y151" s="150"/>
      <c r="Z151" s="149"/>
      <c r="AA151" s="150"/>
      <c r="AB151" s="149">
        <v>10</v>
      </c>
      <c r="AC151" s="177"/>
      <c r="AD151" s="177"/>
      <c r="AE151" s="177"/>
      <c r="AF151" s="177"/>
      <c r="AG151" s="177"/>
      <c r="AH151" s="177"/>
      <c r="AI151" s="177"/>
      <c r="AJ151" s="143"/>
      <c r="AK151" s="143"/>
      <c r="AL151" s="143"/>
      <c r="AM151" s="143"/>
      <c r="AN151" s="143"/>
      <c r="AO151" s="143"/>
      <c r="AP151" s="143"/>
      <c r="AQ151" s="143"/>
      <c r="AR151" s="143" t="s">
        <v>2155</v>
      </c>
      <c r="AS151" s="143"/>
      <c r="AT151" s="143"/>
    </row>
    <row r="152" spans="1:46">
      <c r="C152" s="143" t="s">
        <v>446</v>
      </c>
      <c r="D152" s="144" t="s">
        <v>1798</v>
      </c>
      <c r="E152" s="141">
        <v>1</v>
      </c>
      <c r="F152" s="143" t="s">
        <v>478</v>
      </c>
      <c r="G152" s="143" t="s">
        <v>1850</v>
      </c>
      <c r="H152" s="143"/>
      <c r="I152" s="143"/>
      <c r="J152" s="143" t="s">
        <v>1909</v>
      </c>
      <c r="K152" s="143"/>
      <c r="L152" s="143" t="s">
        <v>1850</v>
      </c>
      <c r="M152" s="143" t="s">
        <v>2381</v>
      </c>
      <c r="N152" s="143" t="s">
        <v>2382</v>
      </c>
      <c r="O152" s="143" t="s">
        <v>607</v>
      </c>
      <c r="P152" s="143" t="s">
        <v>607</v>
      </c>
      <c r="Q152" s="143" t="s">
        <v>743</v>
      </c>
      <c r="R152" s="143" t="s">
        <v>2383</v>
      </c>
      <c r="S152" s="143"/>
      <c r="T152" s="143"/>
      <c r="U152" s="143"/>
      <c r="V152" s="149"/>
      <c r="W152" s="150"/>
      <c r="X152" s="149"/>
      <c r="Y152" s="150"/>
      <c r="Z152" s="149"/>
      <c r="AA152" s="150"/>
      <c r="AB152" s="149">
        <v>30</v>
      </c>
      <c r="AC152" s="177" t="s">
        <v>2040</v>
      </c>
      <c r="AD152" s="177" t="s">
        <v>2075</v>
      </c>
      <c r="AE152" s="177">
        <v>0</v>
      </c>
      <c r="AF152" s="177">
        <v>0</v>
      </c>
      <c r="AG152" s="177">
        <v>0.77</v>
      </c>
      <c r="AH152" s="177">
        <v>0</v>
      </c>
      <c r="AI152" s="177">
        <v>5</v>
      </c>
      <c r="AJ152" s="143" t="s">
        <v>1317</v>
      </c>
      <c r="AK152" s="143" t="s">
        <v>2073</v>
      </c>
      <c r="AL152" s="143">
        <v>3</v>
      </c>
      <c r="AM152" s="143">
        <v>2</v>
      </c>
      <c r="AN152" s="143">
        <v>3</v>
      </c>
      <c r="AO152" s="143">
        <v>0</v>
      </c>
      <c r="AP152" s="143" t="s">
        <v>2115</v>
      </c>
      <c r="AQ152" s="143" t="s">
        <v>2148</v>
      </c>
      <c r="AR152" s="143"/>
      <c r="AS152" s="143">
        <v>1</v>
      </c>
      <c r="AT152" s="143"/>
    </row>
    <row r="153" spans="1:46">
      <c r="C153" s="143"/>
      <c r="D153" s="144"/>
      <c r="E153" s="141">
        <v>2</v>
      </c>
      <c r="F153" s="130"/>
      <c r="G153" s="143"/>
      <c r="H153" s="143" t="s">
        <v>479</v>
      </c>
      <c r="I153" s="143"/>
      <c r="J153" s="143" t="s">
        <v>1909</v>
      </c>
      <c r="K153" s="143"/>
      <c r="L153" s="143" t="s">
        <v>1850</v>
      </c>
      <c r="M153" s="143"/>
      <c r="N153" s="143"/>
      <c r="O153" s="143"/>
      <c r="P153" s="143"/>
      <c r="Q153" s="143"/>
      <c r="R153" s="143"/>
      <c r="S153" s="143"/>
      <c r="T153" s="143"/>
      <c r="U153" s="143"/>
      <c r="V153" s="149"/>
      <c r="W153" s="150"/>
      <c r="X153" s="149"/>
      <c r="Y153" s="150"/>
      <c r="Z153" s="149"/>
      <c r="AA153" s="150"/>
      <c r="AB153" s="149">
        <v>26</v>
      </c>
      <c r="AC153" s="177"/>
      <c r="AD153" s="177"/>
      <c r="AE153" s="177"/>
      <c r="AF153" s="177"/>
      <c r="AG153" s="177"/>
      <c r="AH153" s="177"/>
      <c r="AI153" s="177"/>
      <c r="AJ153" s="143"/>
      <c r="AK153" s="143"/>
      <c r="AL153" s="143"/>
      <c r="AM153" s="143"/>
      <c r="AN153" s="143"/>
      <c r="AO153" s="143"/>
      <c r="AP153" s="143"/>
      <c r="AQ153" s="143"/>
      <c r="AR153" s="143"/>
      <c r="AS153" s="143"/>
      <c r="AT153" s="143"/>
    </row>
    <row r="154" spans="1:46">
      <c r="C154" s="143"/>
      <c r="D154" s="144"/>
      <c r="E154" s="141">
        <v>3</v>
      </c>
      <c r="F154" s="130"/>
      <c r="G154" s="143"/>
      <c r="H154" s="143" t="s">
        <v>479</v>
      </c>
      <c r="I154" s="143"/>
      <c r="J154" s="143" t="s">
        <v>1909</v>
      </c>
      <c r="K154" s="143"/>
      <c r="L154" s="143" t="s">
        <v>1850</v>
      </c>
      <c r="M154" s="143"/>
      <c r="N154" s="143"/>
      <c r="O154" s="143"/>
      <c r="P154" s="143"/>
      <c r="Q154" s="143"/>
      <c r="R154" s="143"/>
      <c r="S154" s="143"/>
      <c r="T154" s="143"/>
      <c r="U154" s="143"/>
      <c r="V154" s="149"/>
      <c r="W154" s="150"/>
      <c r="X154" s="149"/>
      <c r="Y154" s="150"/>
      <c r="Z154" s="149"/>
      <c r="AA154" s="150"/>
      <c r="AB154" s="149">
        <v>22</v>
      </c>
      <c r="AC154" s="177"/>
      <c r="AD154" s="177"/>
      <c r="AE154" s="177"/>
      <c r="AF154" s="177"/>
      <c r="AG154" s="177"/>
      <c r="AH154" s="177"/>
      <c r="AI154" s="177"/>
      <c r="AJ154" s="143"/>
      <c r="AK154" s="143"/>
      <c r="AL154" s="143"/>
      <c r="AM154" s="143"/>
      <c r="AN154" s="143"/>
      <c r="AO154" s="143"/>
      <c r="AP154" s="143"/>
      <c r="AQ154" s="143"/>
      <c r="AR154" s="143"/>
      <c r="AS154" s="143"/>
      <c r="AT154" s="143"/>
    </row>
    <row r="155" spans="1:46">
      <c r="C155" s="143" t="s">
        <v>442</v>
      </c>
      <c r="D155" s="144" t="s">
        <v>747</v>
      </c>
      <c r="E155" s="141">
        <v>1</v>
      </c>
      <c r="F155" s="143" t="s">
        <v>481</v>
      </c>
      <c r="G155" s="143" t="s">
        <v>1852</v>
      </c>
      <c r="H155" s="143"/>
      <c r="I155" s="143"/>
      <c r="J155" s="143" t="s">
        <v>1913</v>
      </c>
      <c r="K155" s="143"/>
      <c r="L155" s="143" t="s">
        <v>1852</v>
      </c>
      <c r="M155" s="143" t="s">
        <v>2384</v>
      </c>
      <c r="N155" s="143" t="s">
        <v>2385</v>
      </c>
      <c r="O155" s="143" t="s">
        <v>607</v>
      </c>
      <c r="P155" s="143" t="s">
        <v>607</v>
      </c>
      <c r="Q155" s="143" t="s">
        <v>745</v>
      </c>
      <c r="R155" s="143" t="s">
        <v>2386</v>
      </c>
      <c r="S155" s="143"/>
      <c r="T155" s="143"/>
      <c r="U155" s="143"/>
      <c r="V155" s="149"/>
      <c r="W155" s="150"/>
      <c r="X155" s="149"/>
      <c r="Y155" s="150"/>
      <c r="Z155" s="149"/>
      <c r="AA155" s="150"/>
      <c r="AB155" s="149">
        <v>45</v>
      </c>
      <c r="AC155" s="177" t="s">
        <v>2041</v>
      </c>
      <c r="AD155" s="177" t="s">
        <v>2075</v>
      </c>
      <c r="AE155" s="177">
        <v>0</v>
      </c>
      <c r="AF155" s="177">
        <v>0</v>
      </c>
      <c r="AG155" s="177">
        <v>0</v>
      </c>
      <c r="AH155" s="177">
        <v>0</v>
      </c>
      <c r="AI155" s="177">
        <v>5</v>
      </c>
      <c r="AJ155" s="143" t="s">
        <v>2077</v>
      </c>
      <c r="AK155" s="143" t="s">
        <v>2074</v>
      </c>
      <c r="AL155" s="143">
        <v>1</v>
      </c>
      <c r="AM155" s="143">
        <v>1</v>
      </c>
      <c r="AN155" s="143">
        <v>0</v>
      </c>
      <c r="AO155" s="143">
        <v>1</v>
      </c>
      <c r="AP155" s="143" t="s">
        <v>2133</v>
      </c>
      <c r="AQ155" s="143" t="s">
        <v>2152</v>
      </c>
      <c r="AR155" s="143"/>
      <c r="AS155" s="143">
        <v>1</v>
      </c>
      <c r="AT155" s="143" t="s">
        <v>2161</v>
      </c>
    </row>
    <row r="156" spans="1:46">
      <c r="C156" s="143"/>
      <c r="D156" s="144"/>
      <c r="E156" s="141">
        <v>2</v>
      </c>
      <c r="F156" s="130"/>
      <c r="G156" s="143"/>
      <c r="H156" s="143" t="s">
        <v>482</v>
      </c>
      <c r="I156" s="143"/>
      <c r="J156" s="143" t="s">
        <v>1913</v>
      </c>
      <c r="K156" s="143"/>
      <c r="L156" s="143" t="s">
        <v>1852</v>
      </c>
      <c r="M156" s="143"/>
      <c r="N156" s="143"/>
      <c r="O156" s="143"/>
      <c r="P156" s="143"/>
      <c r="Q156" s="143"/>
      <c r="R156" s="143"/>
      <c r="S156" s="143"/>
      <c r="T156" s="143"/>
      <c r="U156" s="143"/>
      <c r="V156" s="149"/>
      <c r="W156" s="150"/>
      <c r="X156" s="149"/>
      <c r="Y156" s="150"/>
      <c r="Z156" s="149"/>
      <c r="AA156" s="150"/>
      <c r="AB156" s="149">
        <v>35</v>
      </c>
      <c r="AC156" s="177"/>
      <c r="AD156" s="177"/>
      <c r="AE156" s="177"/>
      <c r="AF156" s="177"/>
      <c r="AG156" s="177"/>
      <c r="AH156" s="177"/>
      <c r="AI156" s="177"/>
      <c r="AJ156" s="143"/>
      <c r="AK156" s="143"/>
      <c r="AL156" s="143"/>
      <c r="AM156" s="143"/>
      <c r="AN156" s="143"/>
      <c r="AO156" s="143"/>
      <c r="AP156" s="143"/>
      <c r="AQ156" s="143"/>
      <c r="AR156" s="143"/>
      <c r="AS156" s="143"/>
      <c r="AT156" s="143"/>
    </row>
    <row r="157" spans="1:46">
      <c r="C157" s="143"/>
      <c r="D157" s="144"/>
      <c r="E157" s="141">
        <v>3</v>
      </c>
      <c r="F157" s="130"/>
      <c r="G157" s="143"/>
      <c r="H157" s="143" t="s">
        <v>482</v>
      </c>
      <c r="I157" s="143"/>
      <c r="J157" s="143" t="s">
        <v>1913</v>
      </c>
      <c r="K157" s="143"/>
      <c r="L157" s="143" t="s">
        <v>1852</v>
      </c>
      <c r="M157" s="143"/>
      <c r="N157" s="143"/>
      <c r="O157" s="143"/>
      <c r="P157" s="143"/>
      <c r="Q157" s="143"/>
      <c r="R157" s="143"/>
      <c r="S157" s="143"/>
      <c r="T157" s="143"/>
      <c r="U157" s="143"/>
      <c r="V157" s="149"/>
      <c r="W157" s="150"/>
      <c r="X157" s="149"/>
      <c r="Y157" s="150"/>
      <c r="Z157" s="149"/>
      <c r="AA157" s="150"/>
      <c r="AB157" s="149">
        <v>25</v>
      </c>
      <c r="AC157" s="177"/>
      <c r="AD157" s="177"/>
      <c r="AE157" s="177"/>
      <c r="AF157" s="177"/>
      <c r="AG157" s="177"/>
      <c r="AH157" s="177"/>
      <c r="AI157" s="177"/>
      <c r="AJ157" s="143"/>
      <c r="AK157" s="143"/>
      <c r="AL157" s="143"/>
      <c r="AM157" s="143"/>
      <c r="AN157" s="143"/>
      <c r="AO157" s="143"/>
      <c r="AP157" s="143"/>
      <c r="AQ157" s="143"/>
      <c r="AR157" s="143"/>
      <c r="AS157" s="143"/>
      <c r="AT157" s="143"/>
    </row>
    <row r="158" spans="1:46">
      <c r="A158" s="143" t="s">
        <v>1046</v>
      </c>
      <c r="B158" s="143" t="s">
        <v>1793</v>
      </c>
      <c r="C158" s="143" t="s">
        <v>494</v>
      </c>
      <c r="D158" s="141" t="s">
        <v>1671</v>
      </c>
      <c r="E158" s="141">
        <v>1</v>
      </c>
      <c r="F158" s="143" t="s">
        <v>495</v>
      </c>
      <c r="G158" s="143" t="s">
        <v>1851</v>
      </c>
      <c r="H158" s="143" t="s">
        <v>588</v>
      </c>
      <c r="I158" s="143"/>
      <c r="J158" s="143" t="s">
        <v>1914</v>
      </c>
      <c r="K158" s="143"/>
      <c r="L158" s="143" t="s">
        <v>1979</v>
      </c>
      <c r="M158" s="143" t="s">
        <v>2387</v>
      </c>
      <c r="N158" s="143" t="s">
        <v>2388</v>
      </c>
      <c r="O158" s="143" t="s">
        <v>606</v>
      </c>
      <c r="P158" s="143" t="s">
        <v>608</v>
      </c>
      <c r="Q158" s="143" t="s">
        <v>1671</v>
      </c>
      <c r="R158" s="143" t="s">
        <v>2389</v>
      </c>
      <c r="S158" s="143">
        <v>100</v>
      </c>
      <c r="T158" s="143">
        <v>0.03</v>
      </c>
      <c r="U158" s="143"/>
      <c r="V158" s="149"/>
      <c r="W158" s="150"/>
      <c r="X158" s="149">
        <v>600</v>
      </c>
      <c r="Y158" s="150"/>
      <c r="Z158" s="149">
        <v>100</v>
      </c>
      <c r="AA158" s="150"/>
      <c r="AB158" s="149">
        <v>1</v>
      </c>
      <c r="AC158" s="177" t="s">
        <v>2042</v>
      </c>
      <c r="AD158" s="177" t="s">
        <v>2075</v>
      </c>
      <c r="AE158" s="177">
        <v>0</v>
      </c>
      <c r="AF158" s="177">
        <v>0</v>
      </c>
      <c r="AG158" s="177">
        <v>1</v>
      </c>
      <c r="AH158" s="177">
        <v>1</v>
      </c>
      <c r="AI158" s="177">
        <v>1</v>
      </c>
      <c r="AJ158" s="143" t="s">
        <v>1048</v>
      </c>
      <c r="AK158" s="143" t="s">
        <v>285</v>
      </c>
      <c r="AL158" s="143">
        <v>0</v>
      </c>
      <c r="AM158" s="143">
        <v>2</v>
      </c>
      <c r="AN158" s="143">
        <v>0</v>
      </c>
      <c r="AO158" s="143">
        <v>0</v>
      </c>
      <c r="AP158" s="143" t="s">
        <v>2134</v>
      </c>
      <c r="AQ158" s="143" t="s">
        <v>2153</v>
      </c>
      <c r="AR158" s="143" t="s">
        <v>2155</v>
      </c>
      <c r="AS158" s="143">
        <v>1</v>
      </c>
      <c r="AT158" s="143"/>
    </row>
    <row r="159" spans="1:46">
      <c r="A159" s="143"/>
      <c r="B159" s="143"/>
      <c r="C159" s="141"/>
      <c r="D159" s="141"/>
      <c r="E159" s="141">
        <v>2</v>
      </c>
      <c r="F159" s="130"/>
      <c r="G159" s="143"/>
      <c r="H159" s="143" t="s">
        <v>598</v>
      </c>
      <c r="I159" s="143"/>
      <c r="J159" s="143" t="s">
        <v>1914</v>
      </c>
      <c r="K159" s="143"/>
      <c r="L159" s="143" t="s">
        <v>1979</v>
      </c>
      <c r="M159" s="143" t="s">
        <v>2390</v>
      </c>
      <c r="N159" s="143" t="s">
        <v>2391</v>
      </c>
      <c r="O159" s="143" t="s">
        <v>606</v>
      </c>
      <c r="P159" s="143" t="s">
        <v>608</v>
      </c>
      <c r="Q159" s="143" t="s">
        <v>2392</v>
      </c>
      <c r="R159" s="143" t="s">
        <v>2354</v>
      </c>
      <c r="S159" s="143">
        <v>200</v>
      </c>
      <c r="T159" s="143">
        <v>0.06</v>
      </c>
      <c r="U159" s="143"/>
      <c r="V159" s="149"/>
      <c r="W159" s="150"/>
      <c r="X159" s="149">
        <v>600</v>
      </c>
      <c r="Y159" s="150"/>
      <c r="Z159" s="149">
        <v>115</v>
      </c>
      <c r="AA159" s="150"/>
      <c r="AB159" s="149">
        <v>1</v>
      </c>
      <c r="AC159" s="177"/>
      <c r="AD159" s="177"/>
      <c r="AE159" s="177"/>
      <c r="AF159" s="177"/>
      <c r="AG159" s="177"/>
      <c r="AH159" s="177"/>
      <c r="AI159" s="177"/>
      <c r="AJ159" s="143"/>
      <c r="AK159" s="143"/>
      <c r="AL159" s="143"/>
      <c r="AM159" s="143"/>
      <c r="AN159" s="143"/>
      <c r="AO159" s="143"/>
      <c r="AP159" s="143"/>
      <c r="AQ159" s="143"/>
      <c r="AR159" s="143" t="s">
        <v>2155</v>
      </c>
      <c r="AS159" s="143"/>
      <c r="AT159" s="143"/>
    </row>
    <row r="160" spans="1:46">
      <c r="A160" s="143"/>
      <c r="B160" s="143"/>
      <c r="C160" s="141"/>
      <c r="D160" s="141"/>
      <c r="E160" s="141">
        <v>3</v>
      </c>
      <c r="F160" s="130"/>
      <c r="G160" s="143"/>
      <c r="H160" s="143" t="s">
        <v>589</v>
      </c>
      <c r="I160" s="143"/>
      <c r="J160" s="143" t="s">
        <v>1914</v>
      </c>
      <c r="K160" s="143"/>
      <c r="L160" s="143" t="s">
        <v>1979</v>
      </c>
      <c r="M160" s="143"/>
      <c r="N160" s="143"/>
      <c r="O160" s="143"/>
      <c r="P160" s="143"/>
      <c r="Q160" s="143"/>
      <c r="R160" s="143"/>
      <c r="S160" s="143">
        <v>300</v>
      </c>
      <c r="T160" s="143">
        <v>0.09</v>
      </c>
      <c r="U160" s="143"/>
      <c r="V160" s="149"/>
      <c r="W160" s="150"/>
      <c r="X160" s="149">
        <v>600</v>
      </c>
      <c r="Y160" s="150"/>
      <c r="Z160" s="149">
        <v>130</v>
      </c>
      <c r="AA160" s="150"/>
      <c r="AB160" s="149">
        <v>1</v>
      </c>
      <c r="AC160" s="177"/>
      <c r="AD160" s="177"/>
      <c r="AE160" s="177"/>
      <c r="AF160" s="177"/>
      <c r="AG160" s="177"/>
      <c r="AH160" s="177"/>
      <c r="AI160" s="177"/>
      <c r="AJ160" s="143"/>
      <c r="AK160" s="143"/>
      <c r="AL160" s="143"/>
      <c r="AM160" s="143"/>
      <c r="AN160" s="143"/>
      <c r="AO160" s="143"/>
      <c r="AP160" s="143"/>
      <c r="AQ160" s="143"/>
      <c r="AR160" s="143" t="s">
        <v>2155</v>
      </c>
      <c r="AS160" s="143"/>
      <c r="AT160" s="143"/>
    </row>
    <row r="161" spans="1:46">
      <c r="A161" s="143"/>
      <c r="B161" s="143"/>
      <c r="C161" s="143" t="s">
        <v>499</v>
      </c>
      <c r="D161" s="144" t="s">
        <v>804</v>
      </c>
      <c r="E161" s="141">
        <v>1</v>
      </c>
      <c r="F161" s="143" t="s">
        <v>599</v>
      </c>
      <c r="G161" s="143" t="s">
        <v>1856</v>
      </c>
      <c r="H161" s="143" t="s">
        <v>590</v>
      </c>
      <c r="I161" s="143"/>
      <c r="J161" s="143" t="s">
        <v>1915</v>
      </c>
      <c r="K161" s="143"/>
      <c r="L161" s="143" t="s">
        <v>1980</v>
      </c>
      <c r="M161" s="143" t="s">
        <v>2393</v>
      </c>
      <c r="N161" s="143" t="s">
        <v>2394</v>
      </c>
      <c r="O161" s="143" t="s">
        <v>607</v>
      </c>
      <c r="P161" s="143" t="s">
        <v>608</v>
      </c>
      <c r="Q161" s="143" t="s">
        <v>2395</v>
      </c>
      <c r="R161" s="143" t="s">
        <v>2264</v>
      </c>
      <c r="S161" s="143">
        <v>150</v>
      </c>
      <c r="T161" s="143">
        <v>0.5</v>
      </c>
      <c r="U161" s="143"/>
      <c r="V161" s="149">
        <v>2.2999999999999998</v>
      </c>
      <c r="W161" s="150"/>
      <c r="X161" s="149">
        <v>600</v>
      </c>
      <c r="Y161" s="150"/>
      <c r="Z161" s="149">
        <v>70</v>
      </c>
      <c r="AA161" s="150"/>
      <c r="AB161" s="149">
        <v>1</v>
      </c>
      <c r="AC161" s="177" t="s">
        <v>2043</v>
      </c>
      <c r="AD161" s="177" t="s">
        <v>2075</v>
      </c>
      <c r="AE161" s="177">
        <v>0</v>
      </c>
      <c r="AF161" s="177">
        <v>0</v>
      </c>
      <c r="AG161" s="177">
        <v>0</v>
      </c>
      <c r="AH161" s="177">
        <v>1</v>
      </c>
      <c r="AI161" s="177">
        <v>1</v>
      </c>
      <c r="AJ161" s="143" t="s">
        <v>1301</v>
      </c>
      <c r="AK161" s="143" t="s">
        <v>2053</v>
      </c>
      <c r="AL161" s="143">
        <v>1</v>
      </c>
      <c r="AM161" s="143">
        <v>2</v>
      </c>
      <c r="AN161" s="143">
        <v>1</v>
      </c>
      <c r="AO161" s="143">
        <v>0</v>
      </c>
      <c r="AP161" s="143" t="s">
        <v>2135</v>
      </c>
      <c r="AQ161" s="143" t="s">
        <v>2150</v>
      </c>
      <c r="AR161" s="143" t="s">
        <v>2155</v>
      </c>
      <c r="AS161" s="143">
        <v>1</v>
      </c>
      <c r="AT161" s="143"/>
    </row>
    <row r="162" spans="1:46">
      <c r="A162" s="143"/>
      <c r="B162" s="143"/>
      <c r="C162" s="143"/>
      <c r="D162" s="144"/>
      <c r="E162" s="141">
        <v>2</v>
      </c>
      <c r="F162" s="130"/>
      <c r="G162" s="143"/>
      <c r="H162" s="143" t="s">
        <v>591</v>
      </c>
      <c r="I162" s="143"/>
      <c r="J162" s="143" t="s">
        <v>1915</v>
      </c>
      <c r="K162" s="143"/>
      <c r="L162" s="143" t="s">
        <v>1980</v>
      </c>
      <c r="M162" s="143"/>
      <c r="N162" s="143"/>
      <c r="O162" s="143"/>
      <c r="P162" s="143"/>
      <c r="Q162" s="143"/>
      <c r="R162" s="143"/>
      <c r="S162" s="143">
        <v>300</v>
      </c>
      <c r="T162" s="143">
        <v>0.75</v>
      </c>
      <c r="U162" s="143"/>
      <c r="V162" s="149">
        <v>2</v>
      </c>
      <c r="W162" s="150"/>
      <c r="X162" s="149">
        <v>600</v>
      </c>
      <c r="Y162" s="150"/>
      <c r="Z162" s="149">
        <v>130</v>
      </c>
      <c r="AA162" s="150"/>
      <c r="AB162" s="149">
        <v>1</v>
      </c>
      <c r="AC162" s="177"/>
      <c r="AD162" s="177"/>
      <c r="AE162" s="177"/>
      <c r="AF162" s="177"/>
      <c r="AG162" s="177"/>
      <c r="AH162" s="177"/>
      <c r="AI162" s="177"/>
      <c r="AJ162" s="143"/>
      <c r="AK162" s="143"/>
      <c r="AL162" s="143"/>
      <c r="AM162" s="143"/>
      <c r="AN162" s="143"/>
      <c r="AO162" s="143"/>
      <c r="AP162" s="143"/>
      <c r="AQ162" s="143"/>
      <c r="AR162" s="143" t="s">
        <v>2155</v>
      </c>
      <c r="AS162" s="143"/>
      <c r="AT162" s="143"/>
    </row>
    <row r="163" spans="1:46">
      <c r="A163" s="143"/>
      <c r="B163" s="143"/>
      <c r="C163" s="143"/>
      <c r="D163" s="144"/>
      <c r="E163" s="141">
        <v>3</v>
      </c>
      <c r="F163" s="130"/>
      <c r="G163" s="143"/>
      <c r="H163" s="143" t="s">
        <v>592</v>
      </c>
      <c r="I163" s="143"/>
      <c r="J163" s="143" t="s">
        <v>1915</v>
      </c>
      <c r="K163" s="143"/>
      <c r="L163" s="143" t="s">
        <v>1980</v>
      </c>
      <c r="M163" s="143"/>
      <c r="N163" s="143"/>
      <c r="O163" s="143"/>
      <c r="P163" s="143"/>
      <c r="Q163" s="143"/>
      <c r="R163" s="143"/>
      <c r="S163" s="143">
        <v>450</v>
      </c>
      <c r="T163" s="143">
        <v>1</v>
      </c>
      <c r="U163" s="143"/>
      <c r="V163" s="149">
        <v>1.7</v>
      </c>
      <c r="W163" s="150"/>
      <c r="X163" s="149">
        <v>600</v>
      </c>
      <c r="Y163" s="150"/>
      <c r="Z163" s="149">
        <v>190</v>
      </c>
      <c r="AA163" s="150"/>
      <c r="AB163" s="149">
        <v>1</v>
      </c>
      <c r="AC163" s="177"/>
      <c r="AD163" s="177"/>
      <c r="AE163" s="177"/>
      <c r="AF163" s="177"/>
      <c r="AG163" s="177"/>
      <c r="AH163" s="177"/>
      <c r="AI163" s="177"/>
      <c r="AJ163" s="143"/>
      <c r="AK163" s="143"/>
      <c r="AL163" s="143"/>
      <c r="AM163" s="143"/>
      <c r="AN163" s="143"/>
      <c r="AO163" s="143"/>
      <c r="AP163" s="143"/>
      <c r="AQ163" s="143"/>
      <c r="AR163" s="143" t="s">
        <v>2155</v>
      </c>
      <c r="AS163" s="143"/>
      <c r="AT163" s="143"/>
    </row>
    <row r="164" spans="1:46">
      <c r="A164" s="143"/>
      <c r="B164" s="143"/>
      <c r="C164" s="143" t="s">
        <v>500</v>
      </c>
      <c r="D164" s="144" t="s">
        <v>801</v>
      </c>
      <c r="E164" s="141">
        <v>1</v>
      </c>
      <c r="F164" s="143" t="s">
        <v>600</v>
      </c>
      <c r="G164" s="143" t="s">
        <v>1857</v>
      </c>
      <c r="H164" s="143" t="s">
        <v>501</v>
      </c>
      <c r="I164" s="143"/>
      <c r="J164" s="143" t="s">
        <v>1866</v>
      </c>
      <c r="K164" s="143"/>
      <c r="L164" s="143" t="s">
        <v>1981</v>
      </c>
      <c r="M164" s="143"/>
      <c r="N164" s="143"/>
      <c r="O164" s="143"/>
      <c r="P164" s="143"/>
      <c r="Q164" s="143"/>
      <c r="R164" s="143"/>
      <c r="S164" s="143">
        <v>75</v>
      </c>
      <c r="T164" s="143"/>
      <c r="U164" s="143"/>
      <c r="V164" s="149"/>
      <c r="W164" s="150">
        <v>3</v>
      </c>
      <c r="X164" s="149">
        <v>600</v>
      </c>
      <c r="Y164" s="150"/>
      <c r="Z164" s="149">
        <v>50</v>
      </c>
      <c r="AA164" s="150"/>
      <c r="AB164" s="149">
        <v>1</v>
      </c>
      <c r="AC164" s="177" t="s">
        <v>2044</v>
      </c>
      <c r="AD164" s="177" t="s">
        <v>2075</v>
      </c>
      <c r="AE164" s="177">
        <v>0</v>
      </c>
      <c r="AF164" s="177">
        <v>0</v>
      </c>
      <c r="AG164" s="177">
        <v>0</v>
      </c>
      <c r="AH164" s="177">
        <v>1</v>
      </c>
      <c r="AI164" s="177">
        <v>1</v>
      </c>
      <c r="AJ164" s="143" t="s">
        <v>1309</v>
      </c>
      <c r="AK164" s="143" t="s">
        <v>265</v>
      </c>
      <c r="AL164" s="143">
        <v>2</v>
      </c>
      <c r="AM164" s="143">
        <v>2</v>
      </c>
      <c r="AN164" s="143">
        <v>2</v>
      </c>
      <c r="AO164" s="143">
        <v>0</v>
      </c>
      <c r="AP164" s="143" t="s">
        <v>2136</v>
      </c>
      <c r="AQ164" s="143" t="s">
        <v>2150</v>
      </c>
      <c r="AR164" s="143" t="s">
        <v>2155</v>
      </c>
      <c r="AS164" s="143">
        <v>1</v>
      </c>
      <c r="AT164" s="143"/>
    </row>
    <row r="165" spans="1:46">
      <c r="A165" s="143"/>
      <c r="B165" s="143"/>
      <c r="C165" s="143"/>
      <c r="D165" s="144"/>
      <c r="E165" s="141">
        <v>2</v>
      </c>
      <c r="F165" s="130"/>
      <c r="G165" s="143"/>
      <c r="H165" s="143" t="s">
        <v>593</v>
      </c>
      <c r="I165" s="143"/>
      <c r="J165" s="143" t="s">
        <v>1916</v>
      </c>
      <c r="K165" s="143"/>
      <c r="L165" s="143" t="s">
        <v>1982</v>
      </c>
      <c r="M165" s="143"/>
      <c r="N165" s="143"/>
      <c r="O165" s="143"/>
      <c r="P165" s="143"/>
      <c r="Q165" s="143"/>
      <c r="R165" s="143"/>
      <c r="S165" s="143">
        <v>95</v>
      </c>
      <c r="T165" s="143"/>
      <c r="U165" s="143"/>
      <c r="V165" s="149"/>
      <c r="W165" s="150">
        <v>3</v>
      </c>
      <c r="X165" s="149">
        <v>600</v>
      </c>
      <c r="Y165" s="150"/>
      <c r="Z165" s="149">
        <v>50</v>
      </c>
      <c r="AA165" s="150"/>
      <c r="AB165" s="149">
        <v>1</v>
      </c>
      <c r="AC165" s="177"/>
      <c r="AD165" s="177"/>
      <c r="AE165" s="177"/>
      <c r="AF165" s="177"/>
      <c r="AG165" s="177"/>
      <c r="AH165" s="177"/>
      <c r="AI165" s="177"/>
      <c r="AJ165" s="143"/>
      <c r="AK165" s="143"/>
      <c r="AL165" s="143"/>
      <c r="AM165" s="143"/>
      <c r="AN165" s="143"/>
      <c r="AO165" s="143"/>
      <c r="AP165" s="143"/>
      <c r="AQ165" s="143"/>
      <c r="AR165" s="143" t="s">
        <v>2155</v>
      </c>
      <c r="AS165" s="143"/>
      <c r="AT165" s="143"/>
    </row>
    <row r="166" spans="1:46">
      <c r="A166" s="143"/>
      <c r="B166" s="143"/>
      <c r="C166" s="143"/>
      <c r="D166" s="144"/>
      <c r="E166" s="141">
        <v>3</v>
      </c>
      <c r="F166" s="130"/>
      <c r="G166" s="143"/>
      <c r="H166" s="143" t="s">
        <v>594</v>
      </c>
      <c r="I166" s="143"/>
      <c r="J166" s="143" t="s">
        <v>1916</v>
      </c>
      <c r="K166" s="143"/>
      <c r="L166" s="143" t="s">
        <v>1982</v>
      </c>
      <c r="M166" s="143"/>
      <c r="N166" s="143"/>
      <c r="O166" s="143"/>
      <c r="P166" s="143"/>
      <c r="Q166" s="143"/>
      <c r="R166" s="143"/>
      <c r="S166" s="143">
        <v>115</v>
      </c>
      <c r="T166" s="143"/>
      <c r="U166" s="143"/>
      <c r="V166" s="149"/>
      <c r="W166" s="150">
        <v>3</v>
      </c>
      <c r="X166" s="149">
        <v>600</v>
      </c>
      <c r="Y166" s="150"/>
      <c r="Z166" s="149">
        <v>50</v>
      </c>
      <c r="AA166" s="150"/>
      <c r="AB166" s="149">
        <v>1</v>
      </c>
      <c r="AC166" s="177"/>
      <c r="AD166" s="177"/>
      <c r="AE166" s="177"/>
      <c r="AF166" s="177"/>
      <c r="AG166" s="177"/>
      <c r="AH166" s="177"/>
      <c r="AI166" s="177"/>
      <c r="AJ166" s="143"/>
      <c r="AK166" s="143"/>
      <c r="AL166" s="143"/>
      <c r="AM166" s="143"/>
      <c r="AN166" s="143"/>
      <c r="AO166" s="143"/>
      <c r="AP166" s="143"/>
      <c r="AQ166" s="143"/>
      <c r="AR166" s="143" t="s">
        <v>2155</v>
      </c>
      <c r="AS166" s="143"/>
      <c r="AT166" s="143"/>
    </row>
    <row r="167" spans="1:46">
      <c r="A167" s="143"/>
      <c r="B167" s="143"/>
      <c r="C167" s="143" t="s">
        <v>502</v>
      </c>
      <c r="D167" s="144" t="s">
        <v>1670</v>
      </c>
      <c r="E167" s="141">
        <v>1</v>
      </c>
      <c r="F167" s="143" t="s">
        <v>503</v>
      </c>
      <c r="G167" s="143" t="s">
        <v>1858</v>
      </c>
      <c r="H167" s="143" t="s">
        <v>504</v>
      </c>
      <c r="I167" s="143"/>
      <c r="J167" s="143" t="s">
        <v>1917</v>
      </c>
      <c r="K167" s="143"/>
      <c r="L167" s="143" t="s">
        <v>1983</v>
      </c>
      <c r="M167" s="143"/>
      <c r="N167" s="143"/>
      <c r="O167" s="143"/>
      <c r="P167" s="143"/>
      <c r="Q167" s="143"/>
      <c r="R167" s="143"/>
      <c r="S167" s="143">
        <v>1</v>
      </c>
      <c r="T167" s="143"/>
      <c r="U167" s="143"/>
      <c r="V167" s="149"/>
      <c r="W167" s="150"/>
      <c r="X167" s="149">
        <v>600</v>
      </c>
      <c r="Y167" s="150"/>
      <c r="Z167" s="149"/>
      <c r="AA167" s="150"/>
      <c r="AB167" s="149">
        <v>7</v>
      </c>
      <c r="AC167" s="177" t="s">
        <v>2045</v>
      </c>
      <c r="AD167" s="177" t="s">
        <v>2075</v>
      </c>
      <c r="AE167" s="177">
        <v>0</v>
      </c>
      <c r="AF167" s="177">
        <v>0</v>
      </c>
      <c r="AG167" s="177">
        <v>1</v>
      </c>
      <c r="AH167" s="177">
        <v>1</v>
      </c>
      <c r="AI167" s="177">
        <v>1</v>
      </c>
      <c r="AJ167" s="143" t="s">
        <v>1317</v>
      </c>
      <c r="AK167" s="143" t="s">
        <v>2058</v>
      </c>
      <c r="AL167" s="143">
        <v>3</v>
      </c>
      <c r="AM167" s="143">
        <v>2</v>
      </c>
      <c r="AN167" s="143">
        <v>3</v>
      </c>
      <c r="AO167" s="143">
        <v>0</v>
      </c>
      <c r="AP167" s="143" t="s">
        <v>2137</v>
      </c>
      <c r="AQ167" s="143" t="s">
        <v>2153</v>
      </c>
      <c r="AR167" s="143" t="s">
        <v>2155</v>
      </c>
      <c r="AS167" s="143">
        <v>1</v>
      </c>
      <c r="AT167" s="143"/>
    </row>
    <row r="168" spans="1:46">
      <c r="A168" s="143"/>
      <c r="B168" s="143"/>
      <c r="C168" s="143"/>
      <c r="D168" s="144"/>
      <c r="E168" s="141">
        <v>2</v>
      </c>
      <c r="F168" s="130"/>
      <c r="G168" s="143"/>
      <c r="H168" s="143" t="s">
        <v>505</v>
      </c>
      <c r="I168" s="143"/>
      <c r="J168" s="143" t="s">
        <v>1917</v>
      </c>
      <c r="K168" s="143"/>
      <c r="L168" s="143" t="s">
        <v>1983</v>
      </c>
      <c r="M168" s="143"/>
      <c r="N168" s="143"/>
      <c r="O168" s="143"/>
      <c r="P168" s="143"/>
      <c r="Q168" s="143"/>
      <c r="R168" s="143"/>
      <c r="S168" s="143">
        <v>2</v>
      </c>
      <c r="T168" s="143"/>
      <c r="U168" s="143"/>
      <c r="V168" s="149"/>
      <c r="W168" s="150"/>
      <c r="X168" s="149">
        <v>600</v>
      </c>
      <c r="Y168" s="150"/>
      <c r="Z168" s="149"/>
      <c r="AA168" s="150"/>
      <c r="AB168" s="149">
        <v>7</v>
      </c>
      <c r="AC168" s="177"/>
      <c r="AD168" s="177"/>
      <c r="AE168" s="177"/>
      <c r="AF168" s="177"/>
      <c r="AG168" s="177"/>
      <c r="AH168" s="177"/>
      <c r="AI168" s="177"/>
      <c r="AJ168" s="143"/>
      <c r="AK168" s="143"/>
      <c r="AL168" s="143"/>
      <c r="AM168" s="143"/>
      <c r="AN168" s="143"/>
      <c r="AO168" s="143"/>
      <c r="AP168" s="143"/>
      <c r="AQ168" s="143"/>
      <c r="AR168" s="143" t="s">
        <v>2155</v>
      </c>
      <c r="AS168" s="143"/>
      <c r="AT168" s="143"/>
    </row>
    <row r="169" spans="1:46">
      <c r="A169" s="143"/>
      <c r="B169" s="143"/>
      <c r="C169" s="143"/>
      <c r="D169" s="144"/>
      <c r="E169" s="141">
        <v>3</v>
      </c>
      <c r="F169" s="130"/>
      <c r="G169" s="143"/>
      <c r="H169" s="143" t="s">
        <v>506</v>
      </c>
      <c r="I169" s="143"/>
      <c r="J169" s="143" t="s">
        <v>1917</v>
      </c>
      <c r="K169" s="143"/>
      <c r="L169" s="143" t="s">
        <v>1983</v>
      </c>
      <c r="M169" s="143"/>
      <c r="N169" s="143"/>
      <c r="O169" s="143"/>
      <c r="P169" s="143"/>
      <c r="Q169" s="143"/>
      <c r="R169" s="143"/>
      <c r="S169" s="143">
        <v>3</v>
      </c>
      <c r="T169" s="143"/>
      <c r="U169" s="143"/>
      <c r="V169" s="149"/>
      <c r="W169" s="150"/>
      <c r="X169" s="149">
        <v>600</v>
      </c>
      <c r="Y169" s="150"/>
      <c r="Z169" s="149"/>
      <c r="AA169" s="150"/>
      <c r="AB169" s="149">
        <v>7</v>
      </c>
      <c r="AC169" s="177"/>
      <c r="AD169" s="177"/>
      <c r="AE169" s="177"/>
      <c r="AF169" s="177"/>
      <c r="AG169" s="177"/>
      <c r="AH169" s="177"/>
      <c r="AI169" s="177"/>
      <c r="AJ169" s="143"/>
      <c r="AK169" s="143"/>
      <c r="AL169" s="143"/>
      <c r="AM169" s="143"/>
      <c r="AN169" s="143"/>
      <c r="AO169" s="143"/>
      <c r="AP169" s="143"/>
      <c r="AQ169" s="143"/>
      <c r="AR169" s="143" t="s">
        <v>2155</v>
      </c>
      <c r="AS169" s="143"/>
      <c r="AT169" s="143"/>
    </row>
    <row r="170" spans="1:46">
      <c r="A170" s="143"/>
      <c r="B170" s="143"/>
      <c r="C170" s="143" t="s">
        <v>507</v>
      </c>
      <c r="D170" s="144" t="s">
        <v>1672</v>
      </c>
      <c r="E170" s="141">
        <v>1</v>
      </c>
      <c r="F170" s="143" t="s">
        <v>601</v>
      </c>
      <c r="G170" s="143" t="s">
        <v>1859</v>
      </c>
      <c r="H170" s="143" t="s">
        <v>595</v>
      </c>
      <c r="I170" s="143"/>
      <c r="J170" s="143" t="s">
        <v>1918</v>
      </c>
      <c r="K170" s="143"/>
      <c r="L170" s="143" t="s">
        <v>1984</v>
      </c>
      <c r="M170" s="143"/>
      <c r="N170" s="143"/>
      <c r="O170" s="143"/>
      <c r="P170" s="143"/>
      <c r="Q170" s="143"/>
      <c r="R170" s="143"/>
      <c r="S170" s="143">
        <v>2</v>
      </c>
      <c r="T170" s="143"/>
      <c r="U170" s="143"/>
      <c r="V170" s="149"/>
      <c r="W170" s="150"/>
      <c r="X170" s="149"/>
      <c r="Y170" s="150"/>
      <c r="Z170" s="149">
        <v>75</v>
      </c>
      <c r="AA170" s="150">
        <v>2</v>
      </c>
      <c r="AB170" s="149">
        <v>12</v>
      </c>
      <c r="AC170" s="177" t="s">
        <v>2046</v>
      </c>
      <c r="AD170" s="177" t="s">
        <v>2075</v>
      </c>
      <c r="AE170" s="177">
        <v>0</v>
      </c>
      <c r="AF170" s="177">
        <v>0</v>
      </c>
      <c r="AG170" s="177">
        <v>0</v>
      </c>
      <c r="AH170" s="177">
        <v>0</v>
      </c>
      <c r="AI170" s="177">
        <v>1</v>
      </c>
      <c r="AJ170" s="143" t="s">
        <v>2077</v>
      </c>
      <c r="AK170" s="143" t="s">
        <v>277</v>
      </c>
      <c r="AL170" s="143">
        <v>1</v>
      </c>
      <c r="AM170" s="143">
        <v>1</v>
      </c>
      <c r="AN170" s="143">
        <v>0</v>
      </c>
      <c r="AO170" s="143">
        <v>1</v>
      </c>
      <c r="AP170" s="143" t="s">
        <v>2113</v>
      </c>
      <c r="AQ170" s="143" t="s">
        <v>2070</v>
      </c>
      <c r="AR170" s="143"/>
      <c r="AS170" s="143">
        <v>1</v>
      </c>
      <c r="AT170" s="143"/>
    </row>
    <row r="171" spans="1:46">
      <c r="A171" s="143"/>
      <c r="B171" s="143"/>
      <c r="C171" s="143"/>
      <c r="D171" s="144"/>
      <c r="E171" s="141">
        <v>2</v>
      </c>
      <c r="F171" s="130"/>
      <c r="G171" s="143"/>
      <c r="H171" s="143" t="s">
        <v>596</v>
      </c>
      <c r="I171" s="143"/>
      <c r="J171" s="143" t="s">
        <v>1918</v>
      </c>
      <c r="K171" s="143"/>
      <c r="L171" s="143" t="s">
        <v>1984</v>
      </c>
      <c r="M171" s="143"/>
      <c r="N171" s="143"/>
      <c r="O171" s="143"/>
      <c r="P171" s="143"/>
      <c r="Q171" s="143"/>
      <c r="R171" s="143"/>
      <c r="S171" s="143">
        <v>3</v>
      </c>
      <c r="T171" s="143"/>
      <c r="U171" s="143"/>
      <c r="V171" s="149"/>
      <c r="W171" s="150"/>
      <c r="X171" s="149"/>
      <c r="Y171" s="150"/>
      <c r="Z171" s="149">
        <v>75</v>
      </c>
      <c r="AA171" s="150">
        <v>3</v>
      </c>
      <c r="AB171" s="149">
        <v>12</v>
      </c>
      <c r="AC171" s="177"/>
      <c r="AD171" s="177"/>
      <c r="AE171" s="177"/>
      <c r="AF171" s="177"/>
      <c r="AG171" s="177"/>
      <c r="AH171" s="177"/>
      <c r="AI171" s="177"/>
      <c r="AJ171" s="143"/>
      <c r="AK171" s="143"/>
      <c r="AL171" s="143"/>
      <c r="AM171" s="143"/>
      <c r="AN171" s="143"/>
      <c r="AO171" s="143"/>
      <c r="AP171" s="143"/>
      <c r="AQ171" s="143"/>
      <c r="AR171" s="143"/>
      <c r="AS171" s="143"/>
      <c r="AT171" s="143"/>
    </row>
    <row r="172" spans="1:46">
      <c r="A172" s="143"/>
      <c r="B172" s="143"/>
      <c r="C172" s="143"/>
      <c r="D172" s="144"/>
      <c r="E172" s="141">
        <v>3</v>
      </c>
      <c r="F172" s="130"/>
      <c r="G172" s="143"/>
      <c r="H172" s="143" t="s">
        <v>597</v>
      </c>
      <c r="I172" s="143"/>
      <c r="J172" s="143" t="s">
        <v>1918</v>
      </c>
      <c r="K172" s="143"/>
      <c r="L172" s="143" t="s">
        <v>1984</v>
      </c>
      <c r="M172" s="143"/>
      <c r="N172" s="143"/>
      <c r="O172" s="143"/>
      <c r="P172" s="143"/>
      <c r="Q172" s="143"/>
      <c r="R172" s="143"/>
      <c r="S172" s="143">
        <v>5</v>
      </c>
      <c r="T172" s="143"/>
      <c r="U172" s="143"/>
      <c r="V172" s="149"/>
      <c r="W172" s="150"/>
      <c r="X172" s="149"/>
      <c r="Y172" s="150"/>
      <c r="Z172" s="149">
        <v>75</v>
      </c>
      <c r="AA172" s="150">
        <v>5</v>
      </c>
      <c r="AB172" s="149">
        <v>12</v>
      </c>
      <c r="AC172" s="177"/>
      <c r="AD172" s="177"/>
      <c r="AE172" s="177"/>
      <c r="AF172" s="177"/>
      <c r="AG172" s="177"/>
      <c r="AH172" s="177"/>
      <c r="AI172" s="177"/>
      <c r="AJ172" s="143"/>
      <c r="AK172" s="143"/>
      <c r="AL172" s="143"/>
      <c r="AM172" s="143"/>
      <c r="AN172" s="143"/>
      <c r="AO172" s="143"/>
      <c r="AP172" s="143"/>
      <c r="AQ172" s="143"/>
      <c r="AR172" s="143"/>
      <c r="AS172" s="143"/>
      <c r="AT172" s="143"/>
    </row>
    <row r="173" spans="1:46">
      <c r="A173" s="143" t="s">
        <v>508</v>
      </c>
      <c r="B173" s="143" t="s">
        <v>1794</v>
      </c>
      <c r="C173" s="144" t="s">
        <v>510</v>
      </c>
      <c r="D173" s="144" t="s">
        <v>1799</v>
      </c>
      <c r="E173" s="141">
        <v>1</v>
      </c>
      <c r="F173" s="143" t="s">
        <v>511</v>
      </c>
      <c r="G173" s="143" t="s">
        <v>1860</v>
      </c>
      <c r="H173" s="143"/>
      <c r="I173" s="143"/>
      <c r="J173" s="143"/>
      <c r="K173" s="143"/>
      <c r="L173" s="143"/>
      <c r="M173" s="143"/>
      <c r="N173" s="143"/>
      <c r="O173" s="143"/>
      <c r="P173" s="143"/>
      <c r="Q173" s="143"/>
      <c r="R173" s="143"/>
      <c r="S173" s="143"/>
      <c r="T173" s="143"/>
      <c r="U173" s="143"/>
      <c r="V173" s="149"/>
      <c r="W173" s="150"/>
      <c r="X173" s="149"/>
      <c r="Y173" s="150"/>
      <c r="Z173" s="149"/>
      <c r="AA173" s="150"/>
      <c r="AB173" s="149"/>
      <c r="AC173" s="177"/>
      <c r="AD173" s="177"/>
      <c r="AE173" s="177"/>
      <c r="AF173" s="177"/>
      <c r="AG173" s="177"/>
      <c r="AH173" s="177"/>
      <c r="AI173" s="177"/>
      <c r="AJ173" s="143"/>
      <c r="AK173" s="143" t="s">
        <v>285</v>
      </c>
      <c r="AL173" s="143"/>
      <c r="AM173" s="143"/>
      <c r="AN173" s="143"/>
      <c r="AO173" s="143"/>
      <c r="AP173" s="143"/>
      <c r="AQ173" s="143"/>
      <c r="AR173" s="143"/>
      <c r="AS173" s="143"/>
      <c r="AT173" s="143"/>
    </row>
    <row r="174" spans="1:46">
      <c r="A174" s="143"/>
      <c r="B174" s="143"/>
      <c r="C174" s="144"/>
      <c r="D174" s="144"/>
      <c r="E174" s="141">
        <v>2</v>
      </c>
      <c r="F174" s="143"/>
      <c r="G174" s="143"/>
      <c r="H174" s="143"/>
      <c r="I174" s="143"/>
      <c r="J174" s="143"/>
      <c r="K174" s="143"/>
      <c r="L174" s="143"/>
      <c r="M174" s="143"/>
      <c r="N174" s="143"/>
      <c r="O174" s="143"/>
      <c r="P174" s="143"/>
      <c r="Q174" s="143"/>
      <c r="R174" s="143"/>
      <c r="S174" s="143"/>
      <c r="T174" s="143"/>
      <c r="U174" s="143"/>
      <c r="V174" s="149"/>
      <c r="W174" s="150"/>
      <c r="X174" s="149"/>
      <c r="Y174" s="150"/>
      <c r="Z174" s="149"/>
      <c r="AA174" s="150"/>
      <c r="AB174" s="149"/>
      <c r="AC174" s="177"/>
      <c r="AD174" s="177"/>
      <c r="AE174" s="177"/>
      <c r="AF174" s="177"/>
      <c r="AG174" s="177"/>
      <c r="AH174" s="177"/>
      <c r="AI174" s="177"/>
      <c r="AJ174" s="143"/>
      <c r="AK174" s="143"/>
      <c r="AL174" s="143"/>
      <c r="AM174" s="143"/>
      <c r="AN174" s="143"/>
      <c r="AO174" s="143"/>
      <c r="AP174" s="143"/>
      <c r="AQ174" s="143"/>
      <c r="AR174" s="143"/>
      <c r="AS174" s="143"/>
      <c r="AT174" s="143"/>
    </row>
    <row r="175" spans="1:46">
      <c r="A175" s="143"/>
      <c r="B175" s="143"/>
      <c r="C175" s="144"/>
      <c r="D175" s="144"/>
      <c r="E175" s="141">
        <v>3</v>
      </c>
      <c r="F175" s="143"/>
      <c r="G175" s="143"/>
      <c r="H175" s="143"/>
      <c r="I175" s="143"/>
      <c r="J175" s="143"/>
      <c r="K175" s="143"/>
      <c r="L175" s="143"/>
      <c r="M175" s="143"/>
      <c r="N175" s="143"/>
      <c r="O175" s="143"/>
      <c r="P175" s="143"/>
      <c r="Q175" s="143"/>
      <c r="R175" s="143"/>
      <c r="S175" s="143"/>
      <c r="T175" s="143"/>
      <c r="U175" s="143"/>
      <c r="V175" s="149"/>
      <c r="W175" s="150"/>
      <c r="X175" s="149"/>
      <c r="Y175" s="150"/>
      <c r="Z175" s="149"/>
      <c r="AA175" s="150"/>
      <c r="AB175" s="149"/>
      <c r="AC175" s="177"/>
      <c r="AD175" s="177"/>
      <c r="AE175" s="177"/>
      <c r="AF175" s="177"/>
      <c r="AG175" s="177"/>
      <c r="AH175" s="177"/>
      <c r="AI175" s="177"/>
      <c r="AJ175" s="143"/>
      <c r="AK175" s="143"/>
      <c r="AL175" s="143"/>
      <c r="AM175" s="143"/>
      <c r="AN175" s="143"/>
      <c r="AO175" s="143"/>
      <c r="AP175" s="143"/>
      <c r="AQ175" s="143"/>
      <c r="AR175" s="143"/>
      <c r="AS175" s="143"/>
      <c r="AT175" s="143"/>
    </row>
    <row r="176" spans="1:46">
      <c r="A176" s="143"/>
      <c r="B176" s="143"/>
      <c r="C176" s="144" t="s">
        <v>518</v>
      </c>
      <c r="D176" s="144" t="s">
        <v>1800</v>
      </c>
      <c r="E176" s="141">
        <v>1</v>
      </c>
      <c r="F176" s="143" t="s">
        <v>519</v>
      </c>
      <c r="G176" s="143" t="s">
        <v>1861</v>
      </c>
      <c r="H176" s="143"/>
      <c r="I176" s="143"/>
      <c r="J176" s="143"/>
      <c r="K176" s="143"/>
      <c r="L176" s="143"/>
      <c r="M176" s="143"/>
      <c r="N176" s="143"/>
      <c r="O176" s="143"/>
      <c r="P176" s="143"/>
      <c r="Q176" s="143"/>
      <c r="R176" s="143"/>
      <c r="S176" s="143"/>
      <c r="T176" s="143"/>
      <c r="U176" s="143"/>
      <c r="V176" s="149"/>
      <c r="W176" s="150"/>
      <c r="X176" s="149"/>
      <c r="Y176" s="150"/>
      <c r="Z176" s="149"/>
      <c r="AA176" s="150"/>
      <c r="AB176" s="149"/>
      <c r="AC176" s="177"/>
      <c r="AD176" s="177"/>
      <c r="AE176" s="177"/>
      <c r="AF176" s="177"/>
      <c r="AG176" s="177"/>
      <c r="AH176" s="177"/>
      <c r="AI176" s="177"/>
      <c r="AJ176" s="143"/>
      <c r="AK176" s="143" t="s">
        <v>1804</v>
      </c>
      <c r="AL176" s="143"/>
      <c r="AM176" s="143"/>
      <c r="AN176" s="143"/>
      <c r="AO176" s="143"/>
      <c r="AP176" s="143"/>
      <c r="AQ176" s="143"/>
      <c r="AR176" s="143"/>
      <c r="AS176" s="143"/>
      <c r="AT176" s="143"/>
    </row>
    <row r="177" spans="1:46">
      <c r="A177" s="143"/>
      <c r="B177" s="143"/>
      <c r="C177" s="144"/>
      <c r="D177" s="144"/>
      <c r="E177" s="141">
        <v>2</v>
      </c>
      <c r="F177" s="143"/>
      <c r="G177" s="143"/>
      <c r="H177" s="143"/>
      <c r="I177" s="143"/>
      <c r="J177" s="143"/>
      <c r="K177" s="143"/>
      <c r="L177" s="143"/>
      <c r="M177" s="143"/>
      <c r="N177" s="143"/>
      <c r="O177" s="143"/>
      <c r="P177" s="143"/>
      <c r="Q177" s="143"/>
      <c r="R177" s="143"/>
      <c r="S177" s="143"/>
      <c r="T177" s="143"/>
      <c r="U177" s="143"/>
      <c r="V177" s="149"/>
      <c r="W177" s="150"/>
      <c r="X177" s="149"/>
      <c r="Y177" s="150"/>
      <c r="Z177" s="149"/>
      <c r="AA177" s="150"/>
      <c r="AB177" s="149"/>
      <c r="AC177" s="177"/>
      <c r="AD177" s="177"/>
      <c r="AE177" s="177"/>
      <c r="AF177" s="177"/>
      <c r="AG177" s="177"/>
      <c r="AH177" s="177"/>
      <c r="AI177" s="177"/>
      <c r="AJ177" s="143"/>
      <c r="AK177" s="143"/>
      <c r="AL177" s="143"/>
      <c r="AM177" s="143"/>
      <c r="AN177" s="143"/>
      <c r="AO177" s="143"/>
      <c r="AP177" s="143"/>
      <c r="AQ177" s="143"/>
      <c r="AR177" s="143"/>
      <c r="AS177" s="143"/>
      <c r="AT177" s="143"/>
    </row>
    <row r="178" spans="1:46">
      <c r="A178" s="143"/>
      <c r="B178" s="143"/>
      <c r="C178" s="144"/>
      <c r="D178" s="144"/>
      <c r="E178" s="141">
        <v>3</v>
      </c>
      <c r="F178" s="143"/>
      <c r="G178" s="143"/>
      <c r="H178" s="143"/>
      <c r="I178" s="143"/>
      <c r="J178" s="143"/>
      <c r="K178" s="143"/>
      <c r="L178" s="143"/>
      <c r="M178" s="143"/>
      <c r="N178" s="143"/>
      <c r="O178" s="143"/>
      <c r="P178" s="143"/>
      <c r="Q178" s="143"/>
      <c r="R178" s="143"/>
      <c r="S178" s="143"/>
      <c r="T178" s="143"/>
      <c r="U178" s="143"/>
      <c r="V178" s="149"/>
      <c r="W178" s="150"/>
      <c r="X178" s="149"/>
      <c r="Y178" s="150"/>
      <c r="Z178" s="149"/>
      <c r="AA178" s="150"/>
      <c r="AB178" s="149"/>
      <c r="AC178" s="177"/>
      <c r="AD178" s="177"/>
      <c r="AE178" s="177"/>
      <c r="AF178" s="177"/>
      <c r="AG178" s="177"/>
      <c r="AH178" s="177"/>
      <c r="AI178" s="177"/>
      <c r="AJ178" s="143"/>
      <c r="AK178" s="143"/>
      <c r="AL178" s="143"/>
      <c r="AM178" s="143"/>
      <c r="AN178" s="143"/>
      <c r="AO178" s="143"/>
      <c r="AP178" s="143"/>
      <c r="AQ178" s="143"/>
      <c r="AR178" s="143"/>
      <c r="AS178" s="143"/>
      <c r="AT178" s="143"/>
    </row>
    <row r="179" spans="1:46">
      <c r="A179" s="143"/>
      <c r="B179" s="143"/>
      <c r="C179" s="144" t="s">
        <v>145</v>
      </c>
      <c r="D179" s="144" t="s">
        <v>1801</v>
      </c>
      <c r="E179" s="141">
        <v>1</v>
      </c>
      <c r="F179" s="143" t="s">
        <v>520</v>
      </c>
      <c r="G179" s="143" t="s">
        <v>1862</v>
      </c>
      <c r="H179" s="143"/>
      <c r="I179" s="143"/>
      <c r="J179" s="143"/>
      <c r="K179" s="143"/>
      <c r="L179" s="143"/>
      <c r="M179" s="143"/>
      <c r="N179" s="143"/>
      <c r="O179" s="143"/>
      <c r="P179" s="143"/>
      <c r="Q179" s="143"/>
      <c r="R179" s="143"/>
      <c r="S179" s="143"/>
      <c r="T179" s="143"/>
      <c r="U179" s="143"/>
      <c r="V179" s="149"/>
      <c r="W179" s="150"/>
      <c r="X179" s="149"/>
      <c r="Y179" s="150"/>
      <c r="Z179" s="149"/>
      <c r="AA179" s="150"/>
      <c r="AB179" s="149"/>
      <c r="AC179" s="177"/>
      <c r="AD179" s="177"/>
      <c r="AE179" s="177"/>
      <c r="AF179" s="177"/>
      <c r="AG179" s="177"/>
      <c r="AH179" s="177"/>
      <c r="AI179" s="177"/>
      <c r="AJ179" s="143"/>
      <c r="AK179" s="143" t="s">
        <v>1590</v>
      </c>
      <c r="AL179" s="143"/>
      <c r="AM179" s="143"/>
      <c r="AN179" s="143"/>
      <c r="AO179" s="143"/>
      <c r="AP179" s="143"/>
      <c r="AQ179" s="143"/>
      <c r="AR179" s="143"/>
      <c r="AS179" s="143"/>
      <c r="AT179" s="143"/>
    </row>
    <row r="180" spans="1:46">
      <c r="A180" s="143"/>
      <c r="B180" s="143"/>
      <c r="C180" s="144"/>
      <c r="D180" s="144"/>
      <c r="E180" s="141">
        <v>2</v>
      </c>
      <c r="F180" s="143"/>
      <c r="G180" s="143"/>
      <c r="H180" s="143"/>
      <c r="I180" s="143"/>
      <c r="J180" s="143"/>
      <c r="K180" s="143"/>
      <c r="L180" s="143"/>
      <c r="M180" s="143"/>
      <c r="N180" s="143"/>
      <c r="O180" s="143"/>
      <c r="P180" s="143"/>
      <c r="Q180" s="143"/>
      <c r="R180" s="143"/>
      <c r="S180" s="143"/>
      <c r="T180" s="143"/>
      <c r="U180" s="143"/>
      <c r="V180" s="149"/>
      <c r="W180" s="150"/>
      <c r="X180" s="149"/>
      <c r="Y180" s="150"/>
      <c r="Z180" s="149"/>
      <c r="AA180" s="150"/>
      <c r="AB180" s="149"/>
      <c r="AC180" s="177"/>
      <c r="AD180" s="177"/>
      <c r="AE180" s="177"/>
      <c r="AF180" s="177"/>
      <c r="AG180" s="177"/>
      <c r="AH180" s="177"/>
      <c r="AI180" s="177"/>
      <c r="AJ180" s="143"/>
      <c r="AK180" s="143"/>
      <c r="AL180" s="143"/>
      <c r="AM180" s="143"/>
      <c r="AN180" s="143"/>
      <c r="AO180" s="143"/>
      <c r="AP180" s="143"/>
      <c r="AQ180" s="143"/>
      <c r="AR180" s="143"/>
      <c r="AS180" s="143"/>
      <c r="AT180" s="143"/>
    </row>
    <row r="181" spans="1:46">
      <c r="A181" s="143"/>
      <c r="B181" s="143"/>
      <c r="C181" s="144"/>
      <c r="D181" s="144"/>
      <c r="E181" s="141">
        <v>3</v>
      </c>
      <c r="F181" s="143"/>
      <c r="G181" s="143"/>
      <c r="H181" s="143"/>
      <c r="I181" s="143"/>
      <c r="J181" s="143"/>
      <c r="K181" s="143"/>
      <c r="L181" s="143"/>
      <c r="M181" s="143"/>
      <c r="N181" s="143"/>
      <c r="O181" s="143"/>
      <c r="P181" s="143"/>
      <c r="Q181" s="143"/>
      <c r="R181" s="143"/>
      <c r="S181" s="143"/>
      <c r="T181" s="143"/>
      <c r="U181" s="143"/>
      <c r="V181" s="149"/>
      <c r="W181" s="150"/>
      <c r="X181" s="149"/>
      <c r="Y181" s="150"/>
      <c r="Z181" s="149"/>
      <c r="AA181" s="150"/>
      <c r="AB181" s="149"/>
      <c r="AC181" s="177"/>
      <c r="AD181" s="177"/>
      <c r="AE181" s="177"/>
      <c r="AF181" s="177"/>
      <c r="AG181" s="177"/>
      <c r="AH181" s="177"/>
      <c r="AI181" s="177"/>
      <c r="AJ181" s="143"/>
      <c r="AK181" s="143"/>
      <c r="AL181" s="143"/>
      <c r="AM181" s="143"/>
      <c r="AN181" s="143"/>
      <c r="AO181" s="143"/>
      <c r="AP181" s="143"/>
      <c r="AQ181" s="143"/>
      <c r="AR181" s="143"/>
      <c r="AS181" s="143"/>
      <c r="AT181" s="143"/>
    </row>
    <row r="182" spans="1:46">
      <c r="A182" s="143"/>
      <c r="B182" s="143"/>
      <c r="C182" s="144" t="s">
        <v>521</v>
      </c>
      <c r="D182" s="144" t="s">
        <v>1802</v>
      </c>
      <c r="E182" s="141">
        <v>1</v>
      </c>
      <c r="F182" s="143" t="s">
        <v>1053</v>
      </c>
      <c r="G182" s="143" t="s">
        <v>1863</v>
      </c>
      <c r="H182" s="143"/>
      <c r="I182" s="143"/>
      <c r="J182" s="143"/>
      <c r="K182" s="143"/>
      <c r="L182" s="143"/>
      <c r="M182" s="143"/>
      <c r="N182" s="143"/>
      <c r="O182" s="143"/>
      <c r="P182" s="143"/>
      <c r="Q182" s="143"/>
      <c r="R182" s="143"/>
      <c r="S182" s="143"/>
      <c r="T182" s="143"/>
      <c r="U182" s="143"/>
      <c r="V182" s="149"/>
      <c r="W182" s="150"/>
      <c r="X182" s="149"/>
      <c r="Y182" s="150"/>
      <c r="Z182" s="149"/>
      <c r="AA182" s="150"/>
      <c r="AB182" s="149"/>
      <c r="AC182" s="177"/>
      <c r="AD182" s="177"/>
      <c r="AE182" s="177"/>
      <c r="AF182" s="177"/>
      <c r="AG182" s="177"/>
      <c r="AH182" s="177"/>
      <c r="AI182" s="177"/>
      <c r="AJ182" s="143"/>
      <c r="AK182" s="143" t="s">
        <v>279</v>
      </c>
      <c r="AL182" s="143"/>
      <c r="AM182" s="143"/>
      <c r="AN182" s="143"/>
      <c r="AO182" s="143"/>
      <c r="AP182" s="143"/>
      <c r="AQ182" s="143"/>
      <c r="AR182" s="143"/>
      <c r="AS182" s="143"/>
      <c r="AT182" s="143"/>
    </row>
    <row r="183" spans="1:46">
      <c r="A183" s="143"/>
      <c r="B183" s="143"/>
      <c r="C183" s="144"/>
      <c r="D183" s="144"/>
      <c r="E183" s="141">
        <v>2</v>
      </c>
      <c r="F183" s="143"/>
      <c r="G183" s="143"/>
      <c r="H183" s="143"/>
      <c r="I183" s="143"/>
      <c r="J183" s="143"/>
      <c r="K183" s="143"/>
      <c r="L183" s="143"/>
      <c r="M183" s="143"/>
      <c r="N183" s="143"/>
      <c r="O183" s="143"/>
      <c r="P183" s="143"/>
      <c r="Q183" s="143"/>
      <c r="R183" s="143"/>
      <c r="S183" s="143"/>
      <c r="T183" s="143"/>
      <c r="U183" s="143"/>
      <c r="V183" s="149"/>
      <c r="W183" s="150"/>
      <c r="X183" s="149"/>
      <c r="Y183" s="150"/>
      <c r="Z183" s="149"/>
      <c r="AA183" s="150"/>
      <c r="AB183" s="149"/>
      <c r="AC183" s="177"/>
      <c r="AD183" s="177"/>
      <c r="AE183" s="177"/>
      <c r="AF183" s="177"/>
      <c r="AG183" s="177"/>
      <c r="AH183" s="177"/>
      <c r="AI183" s="177"/>
      <c r="AJ183" s="143"/>
      <c r="AK183" s="143"/>
      <c r="AL183" s="143"/>
      <c r="AM183" s="143"/>
      <c r="AN183" s="143"/>
      <c r="AO183" s="143"/>
      <c r="AP183" s="143"/>
      <c r="AQ183" s="143"/>
      <c r="AR183" s="143"/>
      <c r="AS183" s="143"/>
      <c r="AT183" s="143"/>
    </row>
    <row r="184" spans="1:46">
      <c r="A184" s="143"/>
      <c r="B184" s="143"/>
      <c r="C184" s="144"/>
      <c r="D184" s="144"/>
      <c r="E184" s="141">
        <v>3</v>
      </c>
      <c r="F184" s="143"/>
      <c r="G184" s="143"/>
      <c r="H184" s="143"/>
      <c r="I184" s="143"/>
      <c r="J184" s="143"/>
      <c r="K184" s="143"/>
      <c r="L184" s="143"/>
      <c r="M184" s="143"/>
      <c r="N184" s="143"/>
      <c r="O184" s="143"/>
      <c r="P184" s="143"/>
      <c r="Q184" s="143"/>
      <c r="R184" s="143"/>
      <c r="S184" s="143"/>
      <c r="T184" s="143"/>
      <c r="U184" s="143"/>
      <c r="V184" s="149"/>
      <c r="W184" s="150"/>
      <c r="X184" s="149"/>
      <c r="Y184" s="150"/>
      <c r="Z184" s="149"/>
      <c r="AA184" s="150"/>
      <c r="AB184" s="149"/>
      <c r="AC184" s="177"/>
      <c r="AD184" s="177"/>
      <c r="AE184" s="177"/>
      <c r="AF184" s="177"/>
      <c r="AG184" s="177"/>
      <c r="AH184" s="177"/>
      <c r="AI184" s="177"/>
      <c r="AJ184" s="143"/>
      <c r="AK184" s="143"/>
      <c r="AL184" s="143"/>
      <c r="AM184" s="143"/>
      <c r="AN184" s="143"/>
      <c r="AO184" s="143"/>
      <c r="AP184" s="143"/>
      <c r="AQ184" s="143"/>
      <c r="AR184" s="143"/>
      <c r="AS184" s="143"/>
      <c r="AT184" s="143"/>
    </row>
    <row r="185" spans="1:46">
      <c r="A185" s="143"/>
      <c r="B185" s="143"/>
      <c r="C185" s="144" t="s">
        <v>522</v>
      </c>
      <c r="D185" s="144" t="s">
        <v>1803</v>
      </c>
      <c r="E185" s="141">
        <v>1</v>
      </c>
      <c r="F185" s="143" t="s">
        <v>523</v>
      </c>
      <c r="G185" s="143" t="s">
        <v>1864</v>
      </c>
      <c r="H185" s="143"/>
      <c r="I185" s="143"/>
      <c r="J185" s="143"/>
      <c r="K185" s="143"/>
      <c r="L185" s="143"/>
      <c r="M185" s="143"/>
      <c r="N185" s="143"/>
      <c r="O185" s="143"/>
      <c r="P185" s="143"/>
      <c r="Q185" s="143"/>
      <c r="R185" s="143"/>
      <c r="S185" s="143"/>
      <c r="T185" s="143"/>
      <c r="U185" s="143"/>
      <c r="V185" s="149"/>
      <c r="W185" s="150"/>
      <c r="X185" s="149"/>
      <c r="Y185" s="150"/>
      <c r="Z185" s="149"/>
      <c r="AA185" s="150"/>
      <c r="AB185" s="149"/>
      <c r="AC185" s="177"/>
      <c r="AD185" s="177"/>
      <c r="AE185" s="177"/>
      <c r="AF185" s="177"/>
      <c r="AG185" s="177"/>
      <c r="AH185" s="177"/>
      <c r="AI185" s="177"/>
      <c r="AJ185" s="143"/>
      <c r="AK185" s="143" t="s">
        <v>1591</v>
      </c>
      <c r="AL185" s="143"/>
      <c r="AM185" s="143"/>
      <c r="AN185" s="143"/>
      <c r="AO185" s="143"/>
      <c r="AP185" s="143"/>
      <c r="AQ185" s="143"/>
      <c r="AR185" s="143"/>
      <c r="AS185" s="143"/>
      <c r="AT185" s="143"/>
    </row>
    <row r="186" spans="1:46">
      <c r="A186" s="143"/>
      <c r="B186" s="143"/>
      <c r="C186" s="144"/>
      <c r="D186" s="144"/>
      <c r="E186" s="141">
        <v>2</v>
      </c>
      <c r="F186" s="143"/>
      <c r="G186" s="143"/>
      <c r="H186" s="143"/>
      <c r="I186" s="143"/>
      <c r="J186" s="143"/>
      <c r="K186" s="143"/>
      <c r="L186" s="143"/>
      <c r="M186" s="143"/>
      <c r="N186" s="143"/>
      <c r="O186" s="143"/>
      <c r="P186" s="143"/>
      <c r="Q186" s="143"/>
      <c r="R186" s="143"/>
      <c r="S186" s="143"/>
      <c r="T186" s="143"/>
      <c r="U186" s="143"/>
      <c r="V186" s="149"/>
      <c r="W186" s="150"/>
      <c r="X186" s="149"/>
      <c r="Y186" s="150"/>
      <c r="Z186" s="149"/>
      <c r="AA186" s="150"/>
      <c r="AB186" s="149"/>
      <c r="AC186" s="177"/>
      <c r="AD186" s="177"/>
      <c r="AE186" s="177"/>
      <c r="AF186" s="177"/>
      <c r="AG186" s="177"/>
      <c r="AH186" s="177"/>
      <c r="AI186" s="177"/>
      <c r="AJ186" s="143"/>
      <c r="AK186" s="143"/>
      <c r="AL186" s="143"/>
      <c r="AM186" s="143"/>
      <c r="AN186" s="143"/>
      <c r="AO186" s="143"/>
      <c r="AP186" s="143"/>
      <c r="AQ186" s="143"/>
      <c r="AR186" s="143"/>
      <c r="AS186" s="143"/>
      <c r="AT186" s="143"/>
    </row>
    <row r="187" spans="1:46">
      <c r="A187" s="143"/>
      <c r="B187" s="143"/>
      <c r="C187" s="144"/>
      <c r="D187" s="144"/>
      <c r="E187" s="141">
        <v>3</v>
      </c>
      <c r="F187" s="143"/>
      <c r="G187" s="143"/>
      <c r="H187" s="143"/>
      <c r="I187" s="143"/>
      <c r="J187" s="143"/>
      <c r="K187" s="143"/>
      <c r="L187" s="143"/>
      <c r="M187" s="143"/>
      <c r="N187" s="143"/>
      <c r="O187" s="143"/>
      <c r="P187" s="143"/>
      <c r="Q187" s="143"/>
      <c r="R187" s="143"/>
      <c r="S187" s="143"/>
      <c r="T187" s="143"/>
      <c r="U187" s="143"/>
      <c r="V187" s="149"/>
      <c r="W187" s="150"/>
      <c r="X187" s="149"/>
      <c r="Y187" s="150"/>
      <c r="Z187" s="149"/>
      <c r="AA187" s="150"/>
      <c r="AB187" s="149"/>
      <c r="AC187" s="177"/>
      <c r="AD187" s="177"/>
      <c r="AE187" s="177"/>
      <c r="AF187" s="177"/>
      <c r="AG187" s="177"/>
      <c r="AH187" s="177"/>
      <c r="AI187" s="177"/>
      <c r="AJ187" s="143"/>
      <c r="AK187" s="143"/>
      <c r="AL187" s="143"/>
      <c r="AM187" s="143"/>
      <c r="AN187" s="143"/>
      <c r="AO187" s="143"/>
      <c r="AP187" s="143"/>
      <c r="AQ187" s="143"/>
      <c r="AR187" s="143"/>
      <c r="AS187" s="143"/>
      <c r="AT187" s="143"/>
    </row>
    <row r="188" spans="1:46">
      <c r="A188" s="143"/>
      <c r="B188" s="143"/>
      <c r="C188" s="144"/>
      <c r="D188" s="144"/>
      <c r="E188" s="143"/>
      <c r="F188" s="143"/>
      <c r="G188" s="143"/>
      <c r="H188" s="143"/>
      <c r="I188" s="143"/>
      <c r="J188" s="143"/>
      <c r="K188" s="143"/>
      <c r="L188" s="143"/>
      <c r="M188" s="143"/>
      <c r="N188" s="143"/>
      <c r="O188" s="143"/>
      <c r="P188" s="143"/>
      <c r="Q188" s="143"/>
      <c r="R188" s="143"/>
      <c r="S188" s="143"/>
      <c r="T188" s="143"/>
      <c r="U188" s="143"/>
      <c r="V188" s="149"/>
      <c r="W188" s="150"/>
      <c r="X188" s="149"/>
      <c r="Y188" s="150"/>
      <c r="Z188" s="149"/>
      <c r="AA188" s="150"/>
      <c r="AB188" s="149"/>
      <c r="AC188" s="177"/>
      <c r="AD188" s="177"/>
      <c r="AE188" s="177"/>
      <c r="AF188" s="177"/>
      <c r="AG188" s="177"/>
      <c r="AH188" s="177"/>
      <c r="AI188" s="177"/>
      <c r="AJ188" s="143"/>
      <c r="AK188" s="143"/>
      <c r="AL188" s="143"/>
      <c r="AM188" s="143"/>
      <c r="AN188" s="143"/>
      <c r="AO188" s="143"/>
      <c r="AP188" s="143"/>
      <c r="AQ188" s="143"/>
      <c r="AR188" s="143"/>
      <c r="AS188" s="143"/>
      <c r="AT188" s="143"/>
    </row>
  </sheetData>
  <phoneticPr fontId="7" type="noConversion"/>
  <conditionalFormatting sqref="AC1:AC1048576">
    <cfRule type="duplicateValues" dxfId="6" priority="5"/>
  </conditionalFormatting>
  <conditionalFormatting sqref="N1:N1048576">
    <cfRule type="duplicateValues" dxfId="5" priority="2"/>
  </conditionalFormatting>
  <conditionalFormatting sqref="M1:M1048576">
    <cfRule type="duplicateValues" dxfId="4"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93"/>
  <sheetViews>
    <sheetView workbookViewId="0">
      <pane ySplit="1" topLeftCell="A2" activePane="bottomLeft" state="frozen"/>
      <selection pane="bottomLeft" activeCell="B83" sqref="B83"/>
    </sheetView>
  </sheetViews>
  <sheetFormatPr defaultColWidth="17.28515625" defaultRowHeight="14.25"/>
  <cols>
    <col min="1" max="1" width="21.7109375" style="133" bestFit="1" customWidth="1"/>
    <col min="2" max="2" width="18.85546875" style="133" bestFit="1" customWidth="1"/>
    <col min="3" max="3" width="13.140625" style="133" bestFit="1" customWidth="1"/>
    <col min="4" max="4" width="19.7109375" style="133" customWidth="1"/>
    <col min="5" max="5" width="10" style="133" customWidth="1"/>
    <col min="6" max="6" width="4.5703125" style="133" customWidth="1"/>
    <col min="7" max="7" width="5" style="133" customWidth="1"/>
    <col min="8" max="8" width="3.7109375" style="133" customWidth="1"/>
    <col min="9" max="9" width="20.28515625" style="133" bestFit="1" customWidth="1"/>
    <col min="10" max="10" width="50.42578125" style="133" customWidth="1"/>
    <col min="11" max="11" width="13.42578125" style="133" customWidth="1"/>
    <col min="12" max="13" width="5.140625" style="133" customWidth="1"/>
    <col min="14" max="15" width="6" style="133" customWidth="1"/>
    <col min="16" max="17" width="3" style="133" customWidth="1"/>
    <col min="18" max="18" width="13.5703125" style="133" customWidth="1"/>
    <col min="19" max="16384" width="17.28515625" style="133"/>
  </cols>
  <sheetData>
    <row r="1" spans="1:19">
      <c r="A1" s="184" t="s">
        <v>56</v>
      </c>
      <c r="B1" s="184" t="s">
        <v>2456</v>
      </c>
      <c r="C1" s="184" t="s">
        <v>6</v>
      </c>
      <c r="D1" s="184" t="s">
        <v>7</v>
      </c>
      <c r="E1" s="184" t="s">
        <v>2464</v>
      </c>
      <c r="F1" s="184" t="s">
        <v>581</v>
      </c>
      <c r="G1" s="184" t="s">
        <v>583</v>
      </c>
      <c r="H1" s="184" t="s">
        <v>2457</v>
      </c>
      <c r="I1" s="184" t="s">
        <v>2458</v>
      </c>
      <c r="J1" s="184" t="s">
        <v>2459</v>
      </c>
      <c r="K1" s="184" t="s">
        <v>2463</v>
      </c>
      <c r="L1" s="184" t="s">
        <v>2460</v>
      </c>
      <c r="M1" s="184" t="s">
        <v>2461</v>
      </c>
      <c r="N1" s="142" t="s">
        <v>2241</v>
      </c>
      <c r="O1" s="142" t="s">
        <v>2242</v>
      </c>
      <c r="P1" s="142" t="s">
        <v>2237</v>
      </c>
      <c r="Q1" s="142" t="s">
        <v>2238</v>
      </c>
      <c r="R1" s="142" t="s">
        <v>2235</v>
      </c>
      <c r="S1" s="142" t="s">
        <v>2236</v>
      </c>
    </row>
    <row r="2" spans="1:19">
      <c r="A2" s="185" t="s">
        <v>1543</v>
      </c>
      <c r="B2" s="186">
        <v>0</v>
      </c>
      <c r="C2" s="186" t="s">
        <v>1200</v>
      </c>
      <c r="D2" s="186"/>
      <c r="E2" s="186"/>
      <c r="F2" s="186"/>
      <c r="G2" s="186"/>
      <c r="H2" s="186"/>
      <c r="I2" s="186"/>
      <c r="J2" s="186"/>
      <c r="K2" s="186"/>
      <c r="L2" s="186"/>
      <c r="M2" s="186"/>
    </row>
    <row r="3" spans="1:19">
      <c r="A3" s="185"/>
      <c r="B3" s="187"/>
      <c r="C3" s="133" t="s">
        <v>59</v>
      </c>
      <c r="D3" s="133" t="s">
        <v>60</v>
      </c>
      <c r="F3" s="188">
        <v>0</v>
      </c>
      <c r="G3" s="184" t="s">
        <v>61</v>
      </c>
      <c r="H3" s="184" t="s">
        <v>1201</v>
      </c>
      <c r="I3" s="184" t="s">
        <v>62</v>
      </c>
      <c r="J3" s="184" t="s">
        <v>1202</v>
      </c>
      <c r="K3" s="184"/>
      <c r="L3" s="184"/>
      <c r="M3" s="184" t="s">
        <v>63</v>
      </c>
    </row>
    <row r="4" spans="1:19">
      <c r="A4" s="185"/>
      <c r="B4" s="184">
        <v>1</v>
      </c>
      <c r="C4" s="184" t="s">
        <v>64</v>
      </c>
      <c r="D4" s="184" t="s">
        <v>65</v>
      </c>
      <c r="E4" s="184"/>
      <c r="F4" s="184">
        <v>0</v>
      </c>
      <c r="G4" s="184">
        <v>1200</v>
      </c>
      <c r="H4" s="184" t="s">
        <v>1203</v>
      </c>
      <c r="I4" s="184" t="s">
        <v>1204</v>
      </c>
      <c r="J4" s="184" t="s">
        <v>1205</v>
      </c>
      <c r="K4" s="184"/>
      <c r="L4" s="184"/>
      <c r="M4" s="184" t="s">
        <v>66</v>
      </c>
    </row>
    <row r="5" spans="1:19">
      <c r="A5" s="185"/>
      <c r="B5" s="184"/>
      <c r="C5" s="184" t="s">
        <v>67</v>
      </c>
      <c r="D5" s="184" t="s">
        <v>68</v>
      </c>
      <c r="E5" s="184"/>
      <c r="F5" s="184">
        <v>10</v>
      </c>
      <c r="G5" s="184">
        <v>900</v>
      </c>
      <c r="H5" s="184" t="s">
        <v>1203</v>
      </c>
      <c r="I5" s="184" t="s">
        <v>1206</v>
      </c>
      <c r="J5" s="184" t="s">
        <v>1207</v>
      </c>
      <c r="K5" s="184"/>
      <c r="L5" s="184"/>
      <c r="M5" s="184" t="s">
        <v>69</v>
      </c>
    </row>
    <row r="6" spans="1:19">
      <c r="A6" s="185"/>
      <c r="B6" s="184" t="s">
        <v>70</v>
      </c>
      <c r="C6" s="184" t="s">
        <v>71</v>
      </c>
      <c r="D6" s="184" t="s">
        <v>72</v>
      </c>
      <c r="E6" s="184"/>
      <c r="F6" s="184">
        <v>0</v>
      </c>
      <c r="G6" s="184">
        <v>0</v>
      </c>
      <c r="H6" s="184" t="s">
        <v>1208</v>
      </c>
      <c r="I6" s="184"/>
      <c r="J6" s="184" t="s">
        <v>1209</v>
      </c>
      <c r="K6" s="184"/>
      <c r="L6" s="184"/>
      <c r="M6" s="184"/>
    </row>
    <row r="7" spans="1:19">
      <c r="A7" s="185"/>
      <c r="B7" s="184"/>
      <c r="C7" s="184" t="s">
        <v>73</v>
      </c>
      <c r="D7" s="184" t="s">
        <v>74</v>
      </c>
      <c r="E7" s="184"/>
      <c r="F7" s="184"/>
      <c r="G7" s="184"/>
      <c r="H7" s="184">
        <v>1</v>
      </c>
      <c r="I7" s="184"/>
      <c r="J7" s="184" t="s">
        <v>1210</v>
      </c>
      <c r="K7" s="184"/>
      <c r="L7" s="184"/>
      <c r="M7" s="184" t="s">
        <v>75</v>
      </c>
    </row>
    <row r="8" spans="1:19">
      <c r="A8" s="185"/>
      <c r="B8" s="184"/>
      <c r="C8" s="189" t="s">
        <v>76</v>
      </c>
      <c r="D8" s="189" t="s">
        <v>78</v>
      </c>
      <c r="E8" s="189"/>
      <c r="F8" s="189">
        <v>0</v>
      </c>
      <c r="G8" s="189">
        <v>900</v>
      </c>
      <c r="H8" s="189">
        <v>20</v>
      </c>
      <c r="I8" s="189" t="s">
        <v>1211</v>
      </c>
      <c r="J8" s="189" t="s">
        <v>1212</v>
      </c>
      <c r="K8" s="189"/>
      <c r="L8" s="189"/>
      <c r="M8" s="184" t="s">
        <v>121</v>
      </c>
    </row>
    <row r="9" spans="1:19">
      <c r="A9" s="185"/>
      <c r="B9" s="184" t="s">
        <v>1213</v>
      </c>
      <c r="C9" s="184" t="s">
        <v>123</v>
      </c>
      <c r="D9" s="184" t="s">
        <v>124</v>
      </c>
      <c r="E9" s="184"/>
      <c r="F9" s="184">
        <v>1</v>
      </c>
      <c r="G9" s="184" t="s">
        <v>61</v>
      </c>
      <c r="H9" s="184">
        <v>0</v>
      </c>
      <c r="I9" s="184" t="s">
        <v>1214</v>
      </c>
      <c r="J9" s="184" t="s">
        <v>1215</v>
      </c>
      <c r="K9" s="184"/>
      <c r="L9" s="184"/>
      <c r="M9" s="184" t="s">
        <v>125</v>
      </c>
    </row>
    <row r="10" spans="1:19">
      <c r="A10" s="185" t="s">
        <v>1544</v>
      </c>
      <c r="B10" s="186">
        <v>0</v>
      </c>
      <c r="C10" s="190" t="s">
        <v>1200</v>
      </c>
      <c r="D10" s="191"/>
      <c r="E10" s="191"/>
      <c r="F10" s="191"/>
      <c r="G10" s="191"/>
      <c r="H10" s="191"/>
      <c r="I10" s="191"/>
      <c r="J10" s="191"/>
      <c r="K10" s="191"/>
      <c r="L10" s="191"/>
      <c r="M10" s="184"/>
    </row>
    <row r="11" spans="1:19">
      <c r="A11" s="185"/>
      <c r="B11" s="185">
        <v>1</v>
      </c>
      <c r="C11" s="184" t="s">
        <v>148</v>
      </c>
      <c r="D11" s="184" t="s">
        <v>149</v>
      </c>
      <c r="E11" s="184"/>
      <c r="F11" s="184">
        <v>0</v>
      </c>
      <c r="G11" s="184">
        <v>900</v>
      </c>
      <c r="H11" s="184" t="s">
        <v>1216</v>
      </c>
      <c r="I11" s="184" t="s">
        <v>1217</v>
      </c>
      <c r="J11" s="184" t="s">
        <v>1218</v>
      </c>
      <c r="K11" s="184"/>
      <c r="L11" s="184"/>
      <c r="M11" s="184" t="s">
        <v>150</v>
      </c>
    </row>
    <row r="12" spans="1:19">
      <c r="A12" s="185"/>
      <c r="C12" s="184" t="s">
        <v>151</v>
      </c>
      <c r="D12" s="184" t="s">
        <v>152</v>
      </c>
      <c r="E12" s="184"/>
      <c r="F12" s="184">
        <v>0</v>
      </c>
      <c r="G12" s="184">
        <v>900</v>
      </c>
      <c r="H12" s="184" t="s">
        <v>1203</v>
      </c>
      <c r="I12" s="184" t="s">
        <v>1219</v>
      </c>
      <c r="J12" s="184" t="s">
        <v>1220</v>
      </c>
      <c r="K12" s="184"/>
      <c r="L12" s="184"/>
      <c r="M12" s="184" t="s">
        <v>153</v>
      </c>
    </row>
    <row r="13" spans="1:19">
      <c r="A13" s="185"/>
      <c r="C13" s="189" t="s">
        <v>155</v>
      </c>
      <c r="D13" s="189" t="s">
        <v>156</v>
      </c>
      <c r="E13" s="189"/>
      <c r="F13" s="189">
        <v>0</v>
      </c>
      <c r="G13" s="189">
        <v>0</v>
      </c>
      <c r="H13" s="189">
        <v>20</v>
      </c>
      <c r="I13" s="189"/>
      <c r="J13" s="189" t="s">
        <v>1221</v>
      </c>
      <c r="K13" s="189"/>
      <c r="L13" s="189"/>
      <c r="M13" s="184" t="s">
        <v>157</v>
      </c>
    </row>
    <row r="14" spans="1:19">
      <c r="A14" s="185"/>
      <c r="C14" s="184" t="s">
        <v>158</v>
      </c>
      <c r="D14" s="184" t="s">
        <v>159</v>
      </c>
      <c r="E14" s="184"/>
      <c r="F14" s="184" t="s">
        <v>1222</v>
      </c>
      <c r="G14" s="184" t="s">
        <v>1223</v>
      </c>
      <c r="H14" s="184" t="s">
        <v>1224</v>
      </c>
      <c r="I14" s="184" t="s">
        <v>1225</v>
      </c>
      <c r="J14" s="184" t="s">
        <v>1226</v>
      </c>
      <c r="K14" s="184"/>
      <c r="L14" s="184"/>
      <c r="M14" s="184" t="s">
        <v>160</v>
      </c>
    </row>
    <row r="15" spans="1:19">
      <c r="A15" s="185"/>
      <c r="B15" s="184" t="s">
        <v>161</v>
      </c>
      <c r="C15" s="184" t="s">
        <v>162</v>
      </c>
      <c r="D15" s="184" t="s">
        <v>163</v>
      </c>
      <c r="E15" s="184"/>
      <c r="F15" s="184">
        <v>0</v>
      </c>
      <c r="G15" s="184">
        <v>0</v>
      </c>
      <c r="H15" s="184" t="s">
        <v>1208</v>
      </c>
      <c r="I15" s="184"/>
      <c r="J15" s="184" t="s">
        <v>1227</v>
      </c>
      <c r="K15" s="184"/>
      <c r="L15" s="184"/>
      <c r="M15" s="184" t="s">
        <v>164</v>
      </c>
    </row>
    <row r="16" spans="1:19">
      <c r="A16" s="185"/>
      <c r="B16" s="184" t="s">
        <v>1228</v>
      </c>
      <c r="C16" s="184" t="s">
        <v>165</v>
      </c>
      <c r="D16" s="184" t="s">
        <v>166</v>
      </c>
      <c r="E16" s="184"/>
      <c r="F16" s="184">
        <v>0</v>
      </c>
      <c r="G16" s="184">
        <v>0</v>
      </c>
      <c r="H16" s="184" t="s">
        <v>1208</v>
      </c>
      <c r="I16" s="184"/>
      <c r="J16" s="184" t="s">
        <v>1229</v>
      </c>
      <c r="K16" s="184"/>
      <c r="L16" s="184"/>
      <c r="M16" s="184" t="s">
        <v>167</v>
      </c>
    </row>
    <row r="17" spans="1:13" ht="14.25" customHeight="1">
      <c r="A17" s="185" t="s">
        <v>1545</v>
      </c>
      <c r="B17" s="186">
        <v>0</v>
      </c>
      <c r="C17" s="190" t="s">
        <v>1230</v>
      </c>
      <c r="D17" s="191"/>
      <c r="E17" s="191"/>
      <c r="F17" s="191"/>
      <c r="G17" s="191"/>
      <c r="H17" s="191"/>
      <c r="I17" s="191"/>
      <c r="J17" s="191"/>
      <c r="K17" s="191"/>
      <c r="L17" s="191"/>
      <c r="M17" s="191"/>
    </row>
    <row r="18" spans="1:13">
      <c r="A18" s="185"/>
      <c r="B18" s="185" t="s">
        <v>1231</v>
      </c>
      <c r="C18" s="184" t="s">
        <v>171</v>
      </c>
      <c r="D18" s="184" t="s">
        <v>786</v>
      </c>
      <c r="E18" s="184"/>
      <c r="F18" s="184">
        <v>3</v>
      </c>
      <c r="G18" s="184">
        <v>450</v>
      </c>
      <c r="H18" s="184" t="s">
        <v>1232</v>
      </c>
      <c r="I18" s="184" t="s">
        <v>1233</v>
      </c>
      <c r="J18" s="184" t="s">
        <v>1234</v>
      </c>
      <c r="K18" s="184"/>
      <c r="L18" s="184"/>
      <c r="M18" s="184"/>
    </row>
    <row r="19" spans="1:13">
      <c r="A19" s="185"/>
      <c r="C19" s="184" t="s">
        <v>172</v>
      </c>
      <c r="D19" s="184" t="s">
        <v>173</v>
      </c>
      <c r="E19" s="184"/>
      <c r="F19" s="184">
        <v>0</v>
      </c>
      <c r="G19" s="184">
        <v>900</v>
      </c>
      <c r="H19" s="184" t="s">
        <v>1235</v>
      </c>
      <c r="I19" s="184" t="s">
        <v>1236</v>
      </c>
      <c r="J19" s="184" t="s">
        <v>1237</v>
      </c>
      <c r="K19" s="184"/>
      <c r="L19" s="184"/>
      <c r="M19" s="184"/>
    </row>
    <row r="20" spans="1:13">
      <c r="A20" s="185"/>
      <c r="B20" s="185" t="s">
        <v>1238</v>
      </c>
      <c r="C20" s="184" t="s">
        <v>174</v>
      </c>
      <c r="D20" s="184" t="s">
        <v>175</v>
      </c>
      <c r="E20" s="184"/>
      <c r="F20" s="184">
        <v>0</v>
      </c>
      <c r="G20" s="184">
        <v>100</v>
      </c>
      <c r="H20" s="184" t="s">
        <v>1239</v>
      </c>
      <c r="I20" s="184" t="s">
        <v>1240</v>
      </c>
      <c r="J20" s="184" t="s">
        <v>1241</v>
      </c>
      <c r="K20" s="184"/>
      <c r="L20" s="184"/>
      <c r="M20" s="184"/>
    </row>
    <row r="21" spans="1:13">
      <c r="A21" s="185"/>
      <c r="C21" s="184" t="s">
        <v>176</v>
      </c>
      <c r="D21" s="184" t="s">
        <v>177</v>
      </c>
      <c r="E21" s="184"/>
      <c r="F21" s="184">
        <v>0</v>
      </c>
      <c r="G21" s="184">
        <v>0</v>
      </c>
      <c r="H21" s="184" t="s">
        <v>1242</v>
      </c>
      <c r="I21" s="184" t="s">
        <v>1243</v>
      </c>
      <c r="J21" s="184" t="s">
        <v>1244</v>
      </c>
      <c r="K21" s="184"/>
      <c r="L21" s="184"/>
      <c r="M21" s="184"/>
    </row>
    <row r="22" spans="1:13">
      <c r="A22" s="185"/>
      <c r="C22" s="184" t="s">
        <v>178</v>
      </c>
      <c r="D22" s="184" t="s">
        <v>180</v>
      </c>
      <c r="E22" s="184"/>
      <c r="F22" s="184">
        <v>0</v>
      </c>
      <c r="G22" s="184" t="s">
        <v>1245</v>
      </c>
      <c r="H22" s="184">
        <v>25</v>
      </c>
      <c r="I22" s="184"/>
      <c r="J22" s="184" t="s">
        <v>1246</v>
      </c>
      <c r="K22" s="184"/>
      <c r="L22" s="184"/>
      <c r="M22" s="184"/>
    </row>
    <row r="23" spans="1:13">
      <c r="A23" s="185"/>
      <c r="B23" s="184" t="s">
        <v>1228</v>
      </c>
      <c r="C23" s="184" t="s">
        <v>165</v>
      </c>
      <c r="D23" s="184" t="s">
        <v>166</v>
      </c>
      <c r="E23" s="184"/>
      <c r="F23" s="184">
        <v>0</v>
      </c>
      <c r="G23" s="184">
        <v>0</v>
      </c>
      <c r="H23" s="184" t="s">
        <v>1208</v>
      </c>
      <c r="I23" s="184"/>
      <c r="J23" s="184" t="s">
        <v>1229</v>
      </c>
      <c r="K23" s="184"/>
      <c r="L23" s="184"/>
      <c r="M23" s="184"/>
    </row>
    <row r="24" spans="1:13">
      <c r="A24" s="185" t="s">
        <v>1546</v>
      </c>
      <c r="B24" s="186">
        <v>0</v>
      </c>
      <c r="C24" s="186" t="s">
        <v>1200</v>
      </c>
      <c r="D24" s="186"/>
      <c r="E24" s="186"/>
      <c r="F24" s="186"/>
      <c r="G24" s="186"/>
      <c r="H24" s="186"/>
      <c r="I24" s="186"/>
      <c r="J24" s="186"/>
      <c r="K24" s="186"/>
      <c r="L24" s="186"/>
      <c r="M24" s="186"/>
    </row>
    <row r="25" spans="1:13">
      <c r="A25" s="185"/>
      <c r="B25" s="184">
        <v>1</v>
      </c>
      <c r="C25" s="184" t="s">
        <v>184</v>
      </c>
      <c r="D25" s="184" t="s">
        <v>1299</v>
      </c>
      <c r="E25" s="184"/>
      <c r="F25" s="184"/>
      <c r="G25" s="184" t="s">
        <v>1247</v>
      </c>
      <c r="H25" s="184">
        <v>20</v>
      </c>
      <c r="I25" s="184" t="s">
        <v>1248</v>
      </c>
      <c r="J25" s="184"/>
      <c r="K25" s="184"/>
      <c r="L25" s="184"/>
      <c r="M25" s="184"/>
    </row>
    <row r="26" spans="1:13">
      <c r="A26" s="185"/>
      <c r="B26" s="184"/>
      <c r="C26" s="184" t="s">
        <v>185</v>
      </c>
      <c r="D26" s="184" t="s">
        <v>186</v>
      </c>
      <c r="E26" s="184"/>
      <c r="F26" s="184">
        <v>10</v>
      </c>
      <c r="G26" s="184"/>
      <c r="H26" s="184">
        <v>40</v>
      </c>
      <c r="I26" s="184" t="s">
        <v>1249</v>
      </c>
      <c r="J26" s="184" t="s">
        <v>1250</v>
      </c>
      <c r="K26" s="184"/>
      <c r="L26" s="184"/>
      <c r="M26" s="184"/>
    </row>
    <row r="27" spans="1:13">
      <c r="A27" s="185"/>
      <c r="B27" s="184"/>
      <c r="C27" s="192" t="s">
        <v>188</v>
      </c>
      <c r="D27" s="192" t="s">
        <v>194</v>
      </c>
      <c r="E27" s="192"/>
      <c r="F27" s="192">
        <v>10</v>
      </c>
      <c r="G27" s="192"/>
      <c r="H27" s="192">
        <v>30</v>
      </c>
      <c r="I27" s="192" t="s">
        <v>1251</v>
      </c>
      <c r="J27" s="192" t="s">
        <v>1252</v>
      </c>
      <c r="K27" s="192"/>
      <c r="L27" s="192"/>
      <c r="M27" s="192"/>
    </row>
    <row r="28" spans="1:13">
      <c r="A28" s="185"/>
      <c r="B28" s="184" t="s">
        <v>203</v>
      </c>
      <c r="C28" s="184" t="s">
        <v>162</v>
      </c>
      <c r="D28" s="184" t="s">
        <v>204</v>
      </c>
      <c r="E28" s="184"/>
      <c r="F28" s="184"/>
      <c r="G28" s="184"/>
      <c r="H28" s="184" t="s">
        <v>1208</v>
      </c>
      <c r="I28" s="184"/>
      <c r="J28" s="184" t="s">
        <v>1253</v>
      </c>
      <c r="K28" s="184"/>
      <c r="L28" s="184"/>
      <c r="M28" s="184"/>
    </row>
    <row r="29" spans="1:13">
      <c r="A29" s="185"/>
      <c r="B29" s="184" t="s">
        <v>1254</v>
      </c>
      <c r="C29" s="184" t="s">
        <v>165</v>
      </c>
      <c r="D29" s="184" t="s">
        <v>166</v>
      </c>
      <c r="E29" s="184"/>
      <c r="F29" s="184"/>
      <c r="G29" s="184"/>
      <c r="H29" s="184" t="s">
        <v>1208</v>
      </c>
      <c r="I29" s="184"/>
      <c r="J29" s="184" t="s">
        <v>1229</v>
      </c>
      <c r="K29" s="184"/>
      <c r="L29" s="184"/>
      <c r="M29" s="184"/>
    </row>
    <row r="30" spans="1:13" ht="14.25" customHeight="1">
      <c r="A30" s="185" t="s">
        <v>2454</v>
      </c>
      <c r="B30" s="186">
        <v>0</v>
      </c>
      <c r="C30" s="186" t="s">
        <v>1200</v>
      </c>
      <c r="D30" s="186"/>
      <c r="E30" s="186"/>
      <c r="F30" s="186"/>
      <c r="G30" s="186"/>
      <c r="H30" s="186"/>
      <c r="I30" s="186"/>
      <c r="J30" s="186"/>
      <c r="K30" s="186"/>
      <c r="L30" s="186"/>
      <c r="M30" s="186"/>
    </row>
    <row r="31" spans="1:13">
      <c r="B31" s="184">
        <v>1</v>
      </c>
      <c r="C31" s="184"/>
      <c r="D31" s="184" t="s">
        <v>207</v>
      </c>
      <c r="E31" s="184"/>
      <c r="F31" s="184">
        <v>0</v>
      </c>
      <c r="G31" s="184">
        <v>9999</v>
      </c>
      <c r="H31" s="184">
        <v>20</v>
      </c>
      <c r="I31" s="184"/>
      <c r="J31" s="184" t="s">
        <v>209</v>
      </c>
      <c r="K31" s="184"/>
      <c r="L31" s="184"/>
      <c r="M31" s="184" t="s">
        <v>210</v>
      </c>
    </row>
    <row r="32" spans="1:13">
      <c r="B32" s="184" t="s">
        <v>211</v>
      </c>
      <c r="C32" s="184"/>
      <c r="D32" s="184" t="s">
        <v>772</v>
      </c>
      <c r="E32" s="184"/>
      <c r="F32" s="184"/>
      <c r="G32" s="184">
        <v>9999</v>
      </c>
      <c r="H32" s="184">
        <v>25</v>
      </c>
      <c r="I32" s="184" t="s">
        <v>212</v>
      </c>
      <c r="J32" s="184" t="s">
        <v>213</v>
      </c>
      <c r="K32" s="184"/>
      <c r="L32" s="184"/>
      <c r="M32" s="184" t="s">
        <v>214</v>
      </c>
    </row>
    <row r="33" spans="1:13">
      <c r="B33" s="184"/>
      <c r="C33" s="184"/>
      <c r="D33" s="184" t="s">
        <v>216</v>
      </c>
      <c r="E33" s="184"/>
      <c r="F33" s="184">
        <v>5</v>
      </c>
      <c r="G33" s="184">
        <v>9999</v>
      </c>
      <c r="H33" s="184">
        <v>30</v>
      </c>
      <c r="I33" s="184" t="s">
        <v>217</v>
      </c>
      <c r="J33" s="184" t="s">
        <v>220</v>
      </c>
      <c r="K33" s="184"/>
      <c r="L33" s="184"/>
      <c r="M33" s="184" t="s">
        <v>222</v>
      </c>
    </row>
    <row r="34" spans="1:13">
      <c r="B34" s="184" t="s">
        <v>223</v>
      </c>
      <c r="C34" s="184"/>
      <c r="D34" s="184" t="s">
        <v>770</v>
      </c>
      <c r="E34" s="184"/>
      <c r="F34" s="184"/>
      <c r="G34" s="184">
        <v>9999</v>
      </c>
      <c r="H34" s="184">
        <v>20</v>
      </c>
      <c r="I34" s="184"/>
      <c r="J34" s="184" t="s">
        <v>229</v>
      </c>
      <c r="K34" s="184"/>
      <c r="L34" s="184"/>
      <c r="M34" s="184" t="s">
        <v>66</v>
      </c>
    </row>
    <row r="35" spans="1:13">
      <c r="B35" s="184" t="s">
        <v>232</v>
      </c>
      <c r="C35" s="184"/>
      <c r="D35" s="184" t="s">
        <v>233</v>
      </c>
      <c r="E35" s="184"/>
      <c r="F35" s="184">
        <v>0</v>
      </c>
      <c r="G35" s="184">
        <v>0</v>
      </c>
      <c r="H35" s="184">
        <v>20</v>
      </c>
      <c r="I35" s="184"/>
      <c r="J35" s="184" t="s">
        <v>237</v>
      </c>
      <c r="K35" s="184"/>
      <c r="L35" s="184"/>
      <c r="M35" s="184" t="s">
        <v>240</v>
      </c>
    </row>
    <row r="36" spans="1:13" ht="14.25" customHeight="1">
      <c r="A36" s="185" t="s">
        <v>1753</v>
      </c>
      <c r="B36" s="193">
        <v>0</v>
      </c>
      <c r="C36" s="186" t="s">
        <v>1200</v>
      </c>
      <c r="D36" s="193"/>
      <c r="E36" s="193"/>
      <c r="F36" s="193"/>
      <c r="G36" s="193"/>
      <c r="H36" s="193"/>
      <c r="I36" s="193"/>
      <c r="J36" s="193"/>
      <c r="K36" s="193"/>
      <c r="L36" s="193"/>
      <c r="M36" s="193"/>
    </row>
    <row r="37" spans="1:13">
      <c r="A37" s="185"/>
      <c r="B37" s="184" t="s">
        <v>363</v>
      </c>
      <c r="C37" s="184"/>
      <c r="D37" s="184" t="s">
        <v>364</v>
      </c>
      <c r="E37" s="184"/>
      <c r="F37" s="184"/>
      <c r="G37" s="184"/>
      <c r="H37" s="184">
        <v>20</v>
      </c>
      <c r="I37" s="184"/>
      <c r="J37" s="184" t="s">
        <v>365</v>
      </c>
      <c r="K37" s="184"/>
      <c r="L37" s="184"/>
      <c r="M37" s="184" t="s">
        <v>279</v>
      </c>
    </row>
    <row r="38" spans="1:13">
      <c r="A38" s="185"/>
      <c r="B38" s="184"/>
      <c r="C38" s="184"/>
      <c r="D38" s="184" t="s">
        <v>1751</v>
      </c>
      <c r="E38" s="184"/>
      <c r="F38" s="184"/>
      <c r="G38" s="184"/>
      <c r="H38" s="184">
        <v>12</v>
      </c>
      <c r="I38" s="184"/>
      <c r="J38" s="184" t="s">
        <v>1750</v>
      </c>
      <c r="K38" s="184"/>
      <c r="L38" s="184"/>
      <c r="M38" s="184" t="s">
        <v>1752</v>
      </c>
    </row>
    <row r="39" spans="1:13">
      <c r="A39" s="185"/>
      <c r="B39" s="184"/>
      <c r="C39" s="184"/>
      <c r="D39" s="184" t="s">
        <v>1300</v>
      </c>
      <c r="E39" s="184"/>
      <c r="F39" s="184"/>
      <c r="G39" s="184"/>
      <c r="H39" s="184">
        <v>15</v>
      </c>
      <c r="I39" s="184"/>
      <c r="J39" s="184" t="s">
        <v>366</v>
      </c>
      <c r="K39" s="184"/>
      <c r="L39" s="184"/>
      <c r="M39" s="184" t="s">
        <v>1591</v>
      </c>
    </row>
    <row r="40" spans="1:13">
      <c r="A40" s="185"/>
      <c r="B40" s="184" t="s">
        <v>367</v>
      </c>
      <c r="C40" s="184"/>
      <c r="D40" s="184" t="s">
        <v>368</v>
      </c>
      <c r="E40" s="184"/>
      <c r="F40" s="184">
        <v>4</v>
      </c>
      <c r="G40" s="184"/>
      <c r="H40" s="184">
        <v>15</v>
      </c>
      <c r="I40" s="184"/>
      <c r="J40" s="184" t="s">
        <v>369</v>
      </c>
      <c r="K40" s="184"/>
      <c r="L40" s="184"/>
      <c r="M40" s="184" t="s">
        <v>285</v>
      </c>
    </row>
    <row r="41" spans="1:13">
      <c r="A41" s="185"/>
      <c r="B41" s="184"/>
      <c r="C41" s="184"/>
      <c r="D41" s="184" t="s">
        <v>370</v>
      </c>
      <c r="E41" s="184"/>
      <c r="F41" s="184">
        <v>0</v>
      </c>
      <c r="G41" s="184"/>
      <c r="H41" s="184">
        <v>10</v>
      </c>
      <c r="I41" s="184"/>
      <c r="J41" s="184" t="s">
        <v>371</v>
      </c>
      <c r="K41" s="184"/>
      <c r="L41" s="184"/>
      <c r="M41" s="184" t="s">
        <v>1065</v>
      </c>
    </row>
    <row r="42" spans="1:13">
      <c r="A42" s="185"/>
      <c r="B42" s="184" t="s">
        <v>372</v>
      </c>
      <c r="C42" s="184"/>
      <c r="D42" s="184" t="s">
        <v>1767</v>
      </c>
      <c r="E42" s="184"/>
      <c r="F42" s="184"/>
      <c r="G42" s="184"/>
      <c r="H42" s="184"/>
      <c r="I42" s="184"/>
      <c r="J42" s="184" t="s">
        <v>373</v>
      </c>
      <c r="K42" s="184"/>
      <c r="L42" s="184"/>
      <c r="M42" s="184"/>
    </row>
    <row r="43" spans="1:13">
      <c r="A43" s="185" t="s">
        <v>1547</v>
      </c>
      <c r="B43" s="186">
        <v>0</v>
      </c>
      <c r="C43" s="186" t="s">
        <v>1200</v>
      </c>
      <c r="D43" s="186"/>
      <c r="E43" s="186"/>
      <c r="F43" s="186"/>
      <c r="G43" s="186"/>
      <c r="H43" s="186"/>
      <c r="I43" s="186"/>
      <c r="J43" s="186"/>
      <c r="K43" s="186"/>
      <c r="L43" s="186"/>
      <c r="M43" s="186"/>
    </row>
    <row r="44" spans="1:13">
      <c r="A44" s="185"/>
      <c r="B44" s="184">
        <v>1</v>
      </c>
      <c r="C44" s="184" t="s">
        <v>374</v>
      </c>
      <c r="D44" s="184" t="s">
        <v>375</v>
      </c>
      <c r="E44" s="184"/>
      <c r="F44" s="184">
        <v>10</v>
      </c>
      <c r="G44" s="184"/>
      <c r="H44" s="184" t="s">
        <v>1255</v>
      </c>
      <c r="I44" s="184" t="s">
        <v>1256</v>
      </c>
      <c r="J44" s="184" t="s">
        <v>1257</v>
      </c>
      <c r="K44" s="184"/>
      <c r="L44" s="184"/>
      <c r="M44" s="184"/>
    </row>
    <row r="45" spans="1:13">
      <c r="A45" s="185"/>
      <c r="B45" s="184"/>
      <c r="C45" s="184" t="s">
        <v>376</v>
      </c>
      <c r="D45" s="184" t="s">
        <v>377</v>
      </c>
      <c r="E45" s="184"/>
      <c r="F45" s="184"/>
      <c r="G45" s="184"/>
      <c r="H45" s="184"/>
      <c r="I45" s="184"/>
      <c r="J45" s="184"/>
      <c r="K45" s="184"/>
      <c r="L45" s="184"/>
      <c r="M45" s="184"/>
    </row>
    <row r="46" spans="1:13">
      <c r="A46" s="185"/>
      <c r="B46" s="184"/>
      <c r="C46" s="184" t="s">
        <v>1258</v>
      </c>
      <c r="D46" s="184" t="s">
        <v>378</v>
      </c>
      <c r="E46" s="184"/>
      <c r="F46" s="184">
        <v>0</v>
      </c>
      <c r="G46" s="184"/>
      <c r="H46" s="184" t="s">
        <v>1259</v>
      </c>
      <c r="I46" s="184"/>
      <c r="J46" s="184" t="s">
        <v>1260</v>
      </c>
      <c r="K46" s="184"/>
      <c r="L46" s="184"/>
      <c r="M46" s="184"/>
    </row>
    <row r="47" spans="1:13">
      <c r="A47" s="185"/>
      <c r="B47" s="184" t="s">
        <v>1</v>
      </c>
      <c r="C47" s="184" t="s">
        <v>8</v>
      </c>
      <c r="D47" s="184" t="s">
        <v>379</v>
      </c>
      <c r="E47" s="184"/>
      <c r="F47" s="184"/>
      <c r="G47" s="184" t="s">
        <v>1261</v>
      </c>
      <c r="H47" s="184">
        <v>10</v>
      </c>
      <c r="I47" s="184" t="s">
        <v>1262</v>
      </c>
      <c r="J47" s="184" t="s">
        <v>1263</v>
      </c>
      <c r="K47" s="184"/>
      <c r="L47" s="184"/>
      <c r="M47" s="184"/>
    </row>
    <row r="48" spans="1:13">
      <c r="A48" s="185"/>
      <c r="B48" s="184"/>
      <c r="C48" s="184" t="s">
        <v>15</v>
      </c>
      <c r="D48" s="184" t="s">
        <v>380</v>
      </c>
      <c r="E48" s="184"/>
      <c r="F48" s="184"/>
      <c r="G48" s="184"/>
      <c r="H48" s="184">
        <v>10</v>
      </c>
      <c r="I48" s="184" t="s">
        <v>1264</v>
      </c>
      <c r="J48" s="184" t="s">
        <v>1265</v>
      </c>
      <c r="K48" s="184"/>
      <c r="L48" s="184"/>
      <c r="M48" s="184"/>
    </row>
    <row r="49" spans="1:13">
      <c r="A49" s="185"/>
      <c r="B49" s="184" t="s">
        <v>381</v>
      </c>
      <c r="C49" s="184" t="s">
        <v>20</v>
      </c>
      <c r="D49" s="184" t="s">
        <v>382</v>
      </c>
      <c r="E49" s="184"/>
      <c r="F49" s="184"/>
      <c r="G49" s="184"/>
      <c r="H49" s="184">
        <v>10</v>
      </c>
      <c r="I49" s="184" t="s">
        <v>383</v>
      </c>
      <c r="J49" s="184" t="s">
        <v>1266</v>
      </c>
      <c r="K49" s="184"/>
      <c r="L49" s="184"/>
      <c r="M49" s="184"/>
    </row>
    <row r="50" spans="1:13">
      <c r="A50" s="185"/>
      <c r="B50" s="184"/>
      <c r="C50" s="184" t="s">
        <v>26</v>
      </c>
      <c r="D50" s="184" t="s">
        <v>384</v>
      </c>
      <c r="E50" s="184"/>
      <c r="F50" s="184">
        <v>3</v>
      </c>
      <c r="G50" s="184"/>
      <c r="H50" s="184">
        <v>12</v>
      </c>
      <c r="I50" s="184" t="s">
        <v>1267</v>
      </c>
      <c r="J50" s="184" t="s">
        <v>1268</v>
      </c>
      <c r="K50" s="184"/>
      <c r="L50" s="184"/>
      <c r="M50" s="184"/>
    </row>
    <row r="51" spans="1:13">
      <c r="A51" s="185"/>
      <c r="B51" s="184" t="s">
        <v>37</v>
      </c>
      <c r="C51" s="184" t="s">
        <v>46</v>
      </c>
      <c r="D51" s="184" t="s">
        <v>387</v>
      </c>
      <c r="E51" s="184"/>
      <c r="F51" s="184">
        <v>4</v>
      </c>
      <c r="G51" s="184"/>
      <c r="H51" s="184">
        <v>10</v>
      </c>
      <c r="I51" s="184" t="s">
        <v>1269</v>
      </c>
      <c r="J51" s="184" t="s">
        <v>1270</v>
      </c>
      <c r="K51" s="184"/>
      <c r="L51" s="184"/>
      <c r="M51" s="184"/>
    </row>
    <row r="52" spans="1:13">
      <c r="A52" s="185"/>
      <c r="B52" s="184"/>
      <c r="C52" s="184" t="s">
        <v>38</v>
      </c>
      <c r="D52" s="184" t="s">
        <v>388</v>
      </c>
      <c r="E52" s="184"/>
      <c r="F52" s="184"/>
      <c r="G52" s="184"/>
      <c r="H52" s="184">
        <v>10</v>
      </c>
      <c r="I52" s="184" t="s">
        <v>389</v>
      </c>
      <c r="J52" s="184" t="s">
        <v>1271</v>
      </c>
      <c r="K52" s="184"/>
      <c r="L52" s="184"/>
      <c r="M52" s="184"/>
    </row>
    <row r="53" spans="1:13">
      <c r="A53" s="185"/>
      <c r="B53" s="184" t="s">
        <v>55</v>
      </c>
      <c r="C53" s="184" t="s">
        <v>86</v>
      </c>
      <c r="D53" s="184" t="s">
        <v>392</v>
      </c>
      <c r="E53" s="184"/>
      <c r="F53" s="184">
        <v>4</v>
      </c>
      <c r="G53" s="184"/>
      <c r="H53" s="184">
        <v>10</v>
      </c>
      <c r="I53" s="184" t="s">
        <v>1272</v>
      </c>
      <c r="J53" s="184"/>
      <c r="K53" s="184"/>
      <c r="L53" s="184"/>
      <c r="M53" s="184"/>
    </row>
    <row r="54" spans="1:13">
      <c r="A54" s="185"/>
      <c r="B54" s="184"/>
      <c r="C54" s="184" t="s">
        <v>91</v>
      </c>
      <c r="D54" s="184" t="s">
        <v>394</v>
      </c>
      <c r="E54" s="184"/>
      <c r="F54" s="184"/>
      <c r="G54" s="184">
        <v>600</v>
      </c>
      <c r="H54" s="184" t="s">
        <v>1203</v>
      </c>
      <c r="I54" s="184" t="s">
        <v>1273</v>
      </c>
      <c r="J54" s="184"/>
      <c r="K54" s="184"/>
      <c r="L54" s="184"/>
      <c r="M54" s="184"/>
    </row>
    <row r="55" spans="1:13">
      <c r="A55" s="185"/>
      <c r="B55" s="184" t="s">
        <v>104</v>
      </c>
      <c r="C55" s="184" t="s">
        <v>106</v>
      </c>
      <c r="D55" s="184" t="s">
        <v>397</v>
      </c>
      <c r="E55" s="184"/>
      <c r="F55" s="184"/>
      <c r="G55" s="184"/>
      <c r="H55" s="184">
        <v>10</v>
      </c>
      <c r="I55" s="184" t="s">
        <v>1274</v>
      </c>
      <c r="J55" s="184" t="s">
        <v>1275</v>
      </c>
      <c r="K55" s="184"/>
      <c r="L55" s="184"/>
      <c r="M55" s="184"/>
    </row>
    <row r="56" spans="1:13">
      <c r="A56" s="185"/>
      <c r="B56" s="184"/>
      <c r="C56" s="184" t="s">
        <v>115</v>
      </c>
      <c r="D56" s="184" t="s">
        <v>402</v>
      </c>
      <c r="E56" s="184"/>
      <c r="F56" s="184"/>
      <c r="G56" s="184"/>
      <c r="H56" s="184">
        <v>10</v>
      </c>
      <c r="I56" s="184" t="s">
        <v>1276</v>
      </c>
      <c r="J56" s="184" t="s">
        <v>1275</v>
      </c>
      <c r="K56" s="184"/>
      <c r="L56" s="184"/>
      <c r="M56" s="184"/>
    </row>
    <row r="57" spans="1:13">
      <c r="A57" s="185"/>
      <c r="B57" s="184" t="s">
        <v>170</v>
      </c>
      <c r="C57" s="184" t="s">
        <v>189</v>
      </c>
      <c r="D57" s="184" t="s">
        <v>404</v>
      </c>
      <c r="E57" s="184"/>
      <c r="F57" s="184"/>
      <c r="G57" s="184"/>
      <c r="H57" s="184">
        <v>5</v>
      </c>
      <c r="I57" s="184" t="s">
        <v>405</v>
      </c>
      <c r="J57" s="184" t="s">
        <v>1277</v>
      </c>
      <c r="K57" s="184"/>
      <c r="L57" s="184"/>
      <c r="M57" s="184"/>
    </row>
    <row r="58" spans="1:13">
      <c r="A58" s="185"/>
      <c r="B58" s="184"/>
      <c r="C58" s="184" t="s">
        <v>187</v>
      </c>
      <c r="D58" s="184" t="s">
        <v>406</v>
      </c>
      <c r="E58" s="184"/>
      <c r="F58" s="184"/>
      <c r="G58" s="184"/>
      <c r="H58" s="184"/>
      <c r="I58" s="184" t="s">
        <v>1278</v>
      </c>
      <c r="J58" s="184"/>
      <c r="K58" s="184"/>
      <c r="L58" s="184"/>
      <c r="M58" s="184"/>
    </row>
    <row r="59" spans="1:13">
      <c r="A59" s="185"/>
      <c r="B59" s="184" t="s">
        <v>126</v>
      </c>
      <c r="C59" s="184" t="s">
        <v>139</v>
      </c>
      <c r="D59" s="184" t="s">
        <v>413</v>
      </c>
      <c r="E59" s="184"/>
      <c r="F59" s="184"/>
      <c r="G59" s="184"/>
      <c r="H59" s="184" t="s">
        <v>1279</v>
      </c>
      <c r="I59" s="184" t="s">
        <v>1280</v>
      </c>
      <c r="J59" s="184"/>
      <c r="K59" s="184"/>
      <c r="L59" s="184"/>
      <c r="M59" s="184"/>
    </row>
    <row r="60" spans="1:13">
      <c r="A60" s="185"/>
      <c r="B60" s="184"/>
      <c r="C60" s="184" t="s">
        <v>142</v>
      </c>
      <c r="D60" s="184" t="s">
        <v>416</v>
      </c>
      <c r="E60" s="184"/>
      <c r="F60" s="184"/>
      <c r="G60" s="184"/>
      <c r="H60" s="184">
        <v>10</v>
      </c>
      <c r="I60" s="184" t="s">
        <v>1281</v>
      </c>
      <c r="J60" s="184" t="s">
        <v>1282</v>
      </c>
      <c r="K60" s="184"/>
      <c r="L60" s="184"/>
      <c r="M60" s="184"/>
    </row>
    <row r="61" spans="1:13">
      <c r="A61" s="185"/>
      <c r="B61" s="184" t="s">
        <v>195</v>
      </c>
      <c r="C61" s="184" t="s">
        <v>205</v>
      </c>
      <c r="D61" s="184" t="s">
        <v>421</v>
      </c>
      <c r="E61" s="184"/>
      <c r="F61" s="184">
        <v>2</v>
      </c>
      <c r="G61" s="184">
        <v>600</v>
      </c>
      <c r="H61" s="184" t="s">
        <v>1283</v>
      </c>
      <c r="I61" s="184" t="s">
        <v>1284</v>
      </c>
      <c r="J61" s="184" t="s">
        <v>1285</v>
      </c>
      <c r="K61" s="184"/>
      <c r="L61" s="184"/>
      <c r="M61" s="184"/>
    </row>
    <row r="62" spans="1:13">
      <c r="A62" s="185"/>
      <c r="B62" s="184"/>
      <c r="C62" s="184" t="s">
        <v>226</v>
      </c>
      <c r="D62" s="184" t="s">
        <v>426</v>
      </c>
      <c r="E62" s="184"/>
      <c r="F62" s="184"/>
      <c r="G62" s="184">
        <v>600</v>
      </c>
      <c r="H62" s="184" t="s">
        <v>1286</v>
      </c>
      <c r="I62" s="184" t="s">
        <v>1287</v>
      </c>
      <c r="J62" s="184" t="s">
        <v>1288</v>
      </c>
      <c r="K62" s="184"/>
      <c r="L62" s="184"/>
      <c r="M62" s="184"/>
    </row>
    <row r="63" spans="1:13">
      <c r="A63" s="185"/>
      <c r="B63" s="184" t="s">
        <v>249</v>
      </c>
      <c r="C63" s="184" t="s">
        <v>431</v>
      </c>
      <c r="D63" s="184" t="s">
        <v>432</v>
      </c>
      <c r="E63" s="184"/>
      <c r="F63" s="184"/>
      <c r="G63" s="184"/>
      <c r="H63" s="184">
        <v>10</v>
      </c>
      <c r="I63" s="184" t="s">
        <v>1289</v>
      </c>
      <c r="J63" s="184" t="s">
        <v>1290</v>
      </c>
      <c r="K63" s="184"/>
      <c r="L63" s="184"/>
      <c r="M63" s="184"/>
    </row>
    <row r="64" spans="1:13">
      <c r="A64" s="185"/>
      <c r="B64" s="184"/>
      <c r="C64" s="184" t="s">
        <v>436</v>
      </c>
      <c r="D64" s="184" t="s">
        <v>437</v>
      </c>
      <c r="E64" s="184"/>
      <c r="F64" s="184"/>
      <c r="G64" s="184"/>
      <c r="H64" s="184">
        <v>15</v>
      </c>
      <c r="I64" s="184" t="s">
        <v>1291</v>
      </c>
      <c r="J64" s="184" t="s">
        <v>1292</v>
      </c>
      <c r="K64" s="184"/>
      <c r="L64" s="184"/>
      <c r="M64" s="184"/>
    </row>
    <row r="65" spans="1:19">
      <c r="A65" s="185"/>
      <c r="B65" s="184" t="s">
        <v>362</v>
      </c>
      <c r="C65" s="184" t="s">
        <v>442</v>
      </c>
      <c r="D65" s="184" t="s">
        <v>444</v>
      </c>
      <c r="E65" s="184"/>
      <c r="F65" s="184"/>
      <c r="G65" s="184"/>
      <c r="H65" s="184"/>
      <c r="I65" s="184"/>
      <c r="J65" s="184"/>
      <c r="K65" s="184"/>
      <c r="L65" s="184"/>
      <c r="M65" s="184"/>
    </row>
    <row r="66" spans="1:19">
      <c r="A66" s="185"/>
      <c r="B66" s="184"/>
      <c r="C66" s="184" t="s">
        <v>446</v>
      </c>
      <c r="D66" s="184" t="s">
        <v>447</v>
      </c>
      <c r="E66" s="184"/>
      <c r="F66" s="184"/>
      <c r="G66" s="184"/>
      <c r="H66" s="184">
        <v>10</v>
      </c>
      <c r="I66" s="184" t="s">
        <v>450</v>
      </c>
      <c r="J66" s="184" t="s">
        <v>1293</v>
      </c>
      <c r="K66" s="184"/>
      <c r="L66" s="184"/>
      <c r="M66" s="184"/>
    </row>
    <row r="67" spans="1:19">
      <c r="A67" s="185"/>
      <c r="B67" s="184" t="s">
        <v>453</v>
      </c>
      <c r="C67" s="184" t="s">
        <v>1294</v>
      </c>
      <c r="D67" s="184" t="s">
        <v>454</v>
      </c>
      <c r="E67" s="184"/>
      <c r="F67" s="184"/>
      <c r="G67" s="184"/>
      <c r="H67" s="184">
        <v>10</v>
      </c>
      <c r="I67" s="184" t="s">
        <v>1295</v>
      </c>
      <c r="J67" s="184" t="s">
        <v>1296</v>
      </c>
      <c r="K67" s="184"/>
      <c r="L67" s="184"/>
      <c r="M67" s="184"/>
    </row>
    <row r="68" spans="1:19">
      <c r="A68" s="185"/>
      <c r="B68" s="184"/>
      <c r="C68" s="184" t="s">
        <v>1297</v>
      </c>
      <c r="D68" s="184" t="s">
        <v>455</v>
      </c>
      <c r="E68" s="184"/>
      <c r="F68" s="184"/>
      <c r="G68" s="184"/>
      <c r="H68" s="184"/>
      <c r="I68" s="184"/>
      <c r="J68" s="184" t="s">
        <v>1298</v>
      </c>
      <c r="K68" s="184"/>
      <c r="L68" s="184"/>
      <c r="M68" s="184"/>
    </row>
    <row r="69" spans="1:19">
      <c r="A69" s="184" t="s">
        <v>2409</v>
      </c>
      <c r="C69" s="184"/>
      <c r="D69" s="184" t="s">
        <v>2410</v>
      </c>
      <c r="E69" s="184"/>
      <c r="F69" s="184"/>
      <c r="G69" s="184"/>
      <c r="H69" s="184"/>
      <c r="I69" s="184"/>
      <c r="J69" s="184" t="s">
        <v>2411</v>
      </c>
      <c r="K69" s="184" t="s">
        <v>2416</v>
      </c>
      <c r="L69" s="184"/>
    </row>
    <row r="70" spans="1:19">
      <c r="A70" s="184" t="s">
        <v>2412</v>
      </c>
      <c r="C70" s="184"/>
      <c r="D70" s="184" t="s">
        <v>2413</v>
      </c>
      <c r="E70" s="184" t="s">
        <v>2465</v>
      </c>
      <c r="F70" s="184">
        <v>1</v>
      </c>
      <c r="G70" s="184"/>
      <c r="H70" s="184">
        <v>1</v>
      </c>
      <c r="I70" s="184"/>
      <c r="J70" s="184" t="s">
        <v>2414</v>
      </c>
      <c r="K70" s="184" t="s">
        <v>2417</v>
      </c>
      <c r="L70" s="184" t="s">
        <v>2462</v>
      </c>
      <c r="M70" s="133" t="s">
        <v>1590</v>
      </c>
    </row>
    <row r="71" spans="1:19">
      <c r="A71" s="184" t="s">
        <v>2415</v>
      </c>
      <c r="C71" s="184"/>
      <c r="D71" s="184" t="s">
        <v>2419</v>
      </c>
      <c r="E71" s="184" t="s">
        <v>2465</v>
      </c>
      <c r="F71" s="184">
        <v>2</v>
      </c>
      <c r="G71" s="184"/>
      <c r="H71" s="184">
        <v>10</v>
      </c>
      <c r="I71" s="184"/>
      <c r="J71" s="184" t="s">
        <v>2420</v>
      </c>
      <c r="K71" s="184" t="s">
        <v>2418</v>
      </c>
      <c r="L71" s="184" t="s">
        <v>2466</v>
      </c>
      <c r="M71" s="133" t="s">
        <v>1590</v>
      </c>
      <c r="N71" s="133" t="s">
        <v>2441</v>
      </c>
      <c r="O71" s="133" t="s">
        <v>2442</v>
      </c>
      <c r="P71" s="133" t="s">
        <v>606</v>
      </c>
      <c r="Q71" s="133" t="s">
        <v>608</v>
      </c>
      <c r="R71" s="184" t="s">
        <v>2419</v>
      </c>
      <c r="S71" s="133" t="s">
        <v>2324</v>
      </c>
    </row>
    <row r="72" spans="1:19">
      <c r="A72" s="184" t="s">
        <v>2421</v>
      </c>
      <c r="C72" s="184"/>
      <c r="D72" s="184" t="s">
        <v>2422</v>
      </c>
      <c r="E72" s="184" t="s">
        <v>2465</v>
      </c>
      <c r="F72" s="184"/>
      <c r="G72" s="184"/>
      <c r="H72" s="184">
        <v>1</v>
      </c>
      <c r="I72" s="184"/>
      <c r="J72" s="184" t="s">
        <v>2424</v>
      </c>
      <c r="K72" s="184" t="s">
        <v>2423</v>
      </c>
      <c r="L72" s="184" t="s">
        <v>2467</v>
      </c>
      <c r="M72" s="133" t="s">
        <v>1590</v>
      </c>
      <c r="N72" s="133" t="s">
        <v>2443</v>
      </c>
      <c r="O72" s="133" t="s">
        <v>2444</v>
      </c>
      <c r="P72" s="133" t="s">
        <v>606</v>
      </c>
      <c r="Q72" s="133" t="s">
        <v>608</v>
      </c>
      <c r="R72" s="184" t="s">
        <v>2422</v>
      </c>
      <c r="S72" s="133" t="s">
        <v>2451</v>
      </c>
    </row>
    <row r="73" spans="1:19">
      <c r="A73" s="184" t="s">
        <v>2425</v>
      </c>
      <c r="C73" s="184"/>
      <c r="D73" s="184" t="s">
        <v>2439</v>
      </c>
      <c r="E73" s="184" t="s">
        <v>2468</v>
      </c>
      <c r="F73" s="184">
        <v>1.5</v>
      </c>
      <c r="G73" s="184">
        <v>1200</v>
      </c>
      <c r="H73" s="184">
        <v>1</v>
      </c>
      <c r="I73" s="184"/>
      <c r="J73" s="184" t="s">
        <v>2440</v>
      </c>
      <c r="K73" s="184" t="s">
        <v>2426</v>
      </c>
      <c r="L73" s="184" t="s">
        <v>2310</v>
      </c>
      <c r="M73" s="133" t="s">
        <v>285</v>
      </c>
    </row>
    <row r="74" spans="1:19">
      <c r="A74" s="184" t="s">
        <v>2427</v>
      </c>
      <c r="C74" s="184"/>
      <c r="D74" s="184" t="s">
        <v>2429</v>
      </c>
      <c r="E74" s="184" t="s">
        <v>2465</v>
      </c>
      <c r="F74" s="184"/>
      <c r="G74" s="184"/>
      <c r="H74" s="184"/>
      <c r="I74" s="184"/>
      <c r="J74" s="184" t="s">
        <v>2430</v>
      </c>
      <c r="K74" s="184" t="s">
        <v>2428</v>
      </c>
      <c r="L74" s="184" t="s">
        <v>2469</v>
      </c>
      <c r="M74" s="133" t="s">
        <v>1590</v>
      </c>
      <c r="N74" s="133" t="s">
        <v>2445</v>
      </c>
      <c r="O74" s="133" t="s">
        <v>2446</v>
      </c>
      <c r="P74" s="133" t="s">
        <v>607</v>
      </c>
      <c r="Q74" s="133" t="s">
        <v>607</v>
      </c>
      <c r="R74" s="184" t="s">
        <v>2429</v>
      </c>
      <c r="S74" s="133" t="s">
        <v>2452</v>
      </c>
    </row>
    <row r="75" spans="1:19">
      <c r="A75" s="184" t="s">
        <v>2431</v>
      </c>
      <c r="C75" s="184"/>
      <c r="D75" s="184" t="s">
        <v>2433</v>
      </c>
      <c r="E75" s="184"/>
      <c r="F75" s="184"/>
      <c r="G75" s="184"/>
      <c r="H75" s="184"/>
      <c r="I75" s="184"/>
      <c r="J75" s="184" t="s">
        <v>2434</v>
      </c>
      <c r="K75" s="184" t="s">
        <v>2432</v>
      </c>
      <c r="L75" s="184"/>
      <c r="N75" s="133" t="s">
        <v>2447</v>
      </c>
      <c r="O75" s="133" t="s">
        <v>2448</v>
      </c>
      <c r="P75" s="133" t="s">
        <v>606</v>
      </c>
      <c r="Q75" s="133" t="s">
        <v>607</v>
      </c>
      <c r="R75" s="133" t="s">
        <v>2433</v>
      </c>
      <c r="S75" s="133" t="s">
        <v>2328</v>
      </c>
    </row>
    <row r="76" spans="1:19">
      <c r="A76" s="184" t="s">
        <v>2435</v>
      </c>
      <c r="C76" s="184"/>
      <c r="D76" s="184" t="s">
        <v>2436</v>
      </c>
      <c r="E76" s="184" t="s">
        <v>2468</v>
      </c>
      <c r="F76" s="184"/>
      <c r="G76" s="184">
        <v>1200</v>
      </c>
      <c r="H76" s="184">
        <v>10</v>
      </c>
      <c r="I76" s="184"/>
      <c r="J76" s="184" t="s">
        <v>2438</v>
      </c>
      <c r="K76" s="184" t="s">
        <v>2437</v>
      </c>
      <c r="L76" s="184" t="s">
        <v>2470</v>
      </c>
      <c r="M76" s="133" t="s">
        <v>285</v>
      </c>
      <c r="N76" s="133" t="s">
        <v>2449</v>
      </c>
      <c r="O76" s="133" t="s">
        <v>2450</v>
      </c>
      <c r="P76" s="133" t="s">
        <v>606</v>
      </c>
      <c r="Q76" s="133" t="s">
        <v>607</v>
      </c>
      <c r="R76" s="133" t="s">
        <v>2436</v>
      </c>
      <c r="S76" s="133" t="s">
        <v>2453</v>
      </c>
    </row>
    <row r="77" spans="1:19" ht="14.25" customHeight="1">
      <c r="A77" s="185" t="s">
        <v>2455</v>
      </c>
      <c r="B77" s="193">
        <v>0</v>
      </c>
      <c r="C77" s="193" t="s">
        <v>206</v>
      </c>
      <c r="D77" s="193"/>
      <c r="E77" s="193"/>
      <c r="F77" s="193"/>
      <c r="G77" s="193"/>
      <c r="H77" s="193"/>
      <c r="I77" s="193"/>
      <c r="J77" s="193"/>
      <c r="K77" s="193"/>
      <c r="L77" s="193"/>
      <c r="M77" s="193"/>
    </row>
    <row r="78" spans="1:19">
      <c r="B78" s="184">
        <v>1</v>
      </c>
      <c r="C78" s="184"/>
      <c r="D78" s="184" t="s">
        <v>466</v>
      </c>
      <c r="E78" s="184"/>
      <c r="F78" s="184"/>
      <c r="G78" s="184"/>
      <c r="H78" s="184"/>
      <c r="I78" s="184"/>
      <c r="J78" s="184" t="s">
        <v>468</v>
      </c>
      <c r="K78" s="184"/>
      <c r="L78" s="184"/>
      <c r="M78" s="184"/>
    </row>
    <row r="79" spans="1:19">
      <c r="B79" s="184"/>
      <c r="C79" s="184"/>
      <c r="D79" s="184" t="s">
        <v>470</v>
      </c>
      <c r="E79" s="184"/>
      <c r="F79" s="184"/>
      <c r="G79" s="184"/>
      <c r="H79" s="184"/>
      <c r="I79" s="184"/>
      <c r="J79" s="184" t="s">
        <v>472</v>
      </c>
      <c r="K79" s="184"/>
      <c r="L79" s="184"/>
      <c r="M79" s="184"/>
    </row>
    <row r="80" spans="1:19">
      <c r="B80" s="184"/>
      <c r="C80" s="184"/>
      <c r="D80" s="184" t="s">
        <v>475</v>
      </c>
      <c r="E80" s="184"/>
      <c r="F80" s="184"/>
      <c r="G80" s="184"/>
      <c r="H80" s="184"/>
      <c r="I80" s="184"/>
      <c r="J80" s="184" t="s">
        <v>476</v>
      </c>
      <c r="K80" s="184"/>
      <c r="L80" s="184"/>
      <c r="M80" s="184"/>
    </row>
    <row r="81" spans="1:13">
      <c r="B81" s="184"/>
      <c r="C81" s="184"/>
      <c r="D81" s="184" t="s">
        <v>477</v>
      </c>
      <c r="E81" s="184"/>
      <c r="F81" s="184"/>
      <c r="G81" s="184"/>
      <c r="H81" s="184"/>
      <c r="I81" s="184"/>
      <c r="J81" s="184" t="s">
        <v>480</v>
      </c>
      <c r="K81" s="184"/>
      <c r="L81" s="184"/>
      <c r="M81" s="184"/>
    </row>
    <row r="82" spans="1:13">
      <c r="B82" s="194">
        <v>2</v>
      </c>
      <c r="C82" s="194"/>
      <c r="D82" s="194" t="s">
        <v>525</v>
      </c>
      <c r="E82" s="194"/>
      <c r="F82" s="194"/>
      <c r="G82" s="194"/>
      <c r="H82" s="194"/>
      <c r="I82" s="194"/>
      <c r="J82" s="194" t="s">
        <v>526</v>
      </c>
      <c r="K82" s="194"/>
      <c r="L82" s="194"/>
      <c r="M82" s="194"/>
    </row>
    <row r="83" spans="1:13">
      <c r="B83" s="194"/>
      <c r="C83" s="194"/>
      <c r="D83" s="194" t="s">
        <v>527</v>
      </c>
      <c r="E83" s="194"/>
      <c r="F83" s="194"/>
      <c r="G83" s="194"/>
      <c r="H83" s="194"/>
      <c r="I83" s="194"/>
      <c r="J83" s="194" t="s">
        <v>528</v>
      </c>
      <c r="K83" s="194"/>
      <c r="L83" s="194"/>
      <c r="M83" s="194"/>
    </row>
    <row r="84" spans="1:13">
      <c r="B84" s="195">
        <v>2</v>
      </c>
      <c r="C84" s="195"/>
      <c r="D84" s="195" t="s">
        <v>530</v>
      </c>
      <c r="E84" s="195"/>
      <c r="F84" s="195"/>
      <c r="G84" s="195"/>
      <c r="H84" s="195">
        <v>10</v>
      </c>
      <c r="I84" s="195"/>
      <c r="J84" s="195" t="s">
        <v>531</v>
      </c>
      <c r="K84" s="195"/>
      <c r="L84" s="195"/>
      <c r="M84" s="195"/>
    </row>
    <row r="85" spans="1:13">
      <c r="B85" s="196"/>
      <c r="C85" s="196"/>
      <c r="D85" s="196" t="s">
        <v>532</v>
      </c>
      <c r="E85" s="196"/>
      <c r="F85" s="196"/>
      <c r="G85" s="196"/>
      <c r="H85" s="196"/>
      <c r="I85" s="196"/>
      <c r="J85" s="196" t="s">
        <v>534</v>
      </c>
      <c r="K85" s="196"/>
      <c r="L85" s="196"/>
      <c r="M85" s="196"/>
    </row>
    <row r="86" spans="1:13">
      <c r="B86" s="197">
        <v>2</v>
      </c>
      <c r="C86" s="197"/>
      <c r="D86" s="197" t="s">
        <v>535</v>
      </c>
      <c r="E86" s="197"/>
      <c r="F86" s="197"/>
      <c r="G86" s="197"/>
      <c r="H86" s="197"/>
      <c r="I86" s="197"/>
      <c r="J86" s="197" t="s">
        <v>536</v>
      </c>
      <c r="K86" s="197"/>
      <c r="L86" s="197"/>
      <c r="M86" s="197"/>
    </row>
    <row r="87" spans="1:13">
      <c r="B87" s="197"/>
      <c r="C87" s="197"/>
      <c r="D87" s="197" t="s">
        <v>537</v>
      </c>
      <c r="E87" s="197"/>
      <c r="F87" s="197"/>
      <c r="G87" s="197"/>
      <c r="H87" s="197"/>
      <c r="I87" s="197"/>
      <c r="J87" s="197" t="s">
        <v>538</v>
      </c>
      <c r="K87" s="197"/>
      <c r="L87" s="197"/>
      <c r="M87" s="197"/>
    </row>
    <row r="88" spans="1:13">
      <c r="B88" s="184" t="s">
        <v>539</v>
      </c>
      <c r="C88" s="184"/>
      <c r="D88" s="184" t="s">
        <v>540</v>
      </c>
      <c r="E88" s="184"/>
      <c r="F88" s="184"/>
      <c r="G88" s="184"/>
      <c r="H88" s="184">
        <v>15</v>
      </c>
      <c r="I88" s="184"/>
      <c r="J88" s="184" t="s">
        <v>541</v>
      </c>
      <c r="K88" s="184"/>
      <c r="L88" s="184"/>
      <c r="M88" s="184"/>
    </row>
    <row r="89" spans="1:13">
      <c r="D89" s="187" t="s">
        <v>542</v>
      </c>
      <c r="E89" s="187"/>
      <c r="J89" s="187" t="s">
        <v>543</v>
      </c>
      <c r="K89" s="187"/>
      <c r="L89" s="187"/>
    </row>
    <row r="90" spans="1:13">
      <c r="A90" s="184"/>
      <c r="B90" s="184"/>
      <c r="C90" s="184"/>
      <c r="D90" s="184"/>
      <c r="E90" s="184"/>
      <c r="F90" s="184"/>
      <c r="G90" s="184"/>
      <c r="H90" s="184"/>
      <c r="I90" s="184"/>
      <c r="J90" s="184"/>
      <c r="K90" s="184"/>
      <c r="L90" s="184"/>
      <c r="M90" s="184"/>
    </row>
    <row r="91" spans="1:13">
      <c r="A91" s="184"/>
      <c r="B91" s="184"/>
      <c r="C91" s="184"/>
      <c r="D91" s="184"/>
      <c r="E91" s="184"/>
      <c r="F91" s="184"/>
      <c r="G91" s="184"/>
      <c r="H91" s="184"/>
      <c r="I91" s="184"/>
      <c r="J91" s="184"/>
      <c r="K91" s="184"/>
      <c r="L91" s="184"/>
      <c r="M91" s="184"/>
    </row>
    <row r="92" spans="1:13">
      <c r="A92" s="184"/>
      <c r="B92" s="184"/>
      <c r="C92" s="184"/>
      <c r="D92" s="184"/>
      <c r="E92" s="184"/>
      <c r="F92" s="184"/>
      <c r="G92" s="184"/>
      <c r="H92" s="184"/>
      <c r="I92" s="184"/>
      <c r="J92" s="184"/>
      <c r="K92" s="184"/>
      <c r="L92" s="184"/>
      <c r="M92" s="184"/>
    </row>
    <row r="93" spans="1:13">
      <c r="A93" s="184"/>
      <c r="B93" s="184"/>
      <c r="C93" s="184"/>
      <c r="D93" s="184"/>
      <c r="E93" s="184"/>
      <c r="F93" s="184"/>
      <c r="G93" s="184"/>
      <c r="H93" s="184"/>
      <c r="I93" s="184"/>
      <c r="J93" s="184"/>
      <c r="K93" s="184"/>
      <c r="L93" s="184"/>
      <c r="M93" s="184"/>
    </row>
  </sheetData>
  <phoneticPr fontId="7" type="noConversion"/>
  <conditionalFormatting sqref="O1">
    <cfRule type="duplicateValues" dxfId="3" priority="2"/>
  </conditionalFormatting>
  <conditionalFormatting sqref="N1">
    <cfRule type="duplicateValues" dxfId="2"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6"/>
  <sheetViews>
    <sheetView topLeftCell="A28" workbookViewId="0">
      <selection activeCell="F36" sqref="F36"/>
    </sheetView>
  </sheetViews>
  <sheetFormatPr defaultColWidth="17.28515625" defaultRowHeight="14.25"/>
  <cols>
    <col min="1" max="1" width="4.85546875" style="123" bestFit="1" customWidth="1"/>
    <col min="2" max="2" width="8.28515625" style="66" bestFit="1" customWidth="1"/>
    <col min="3" max="3" width="15.140625" style="66" bestFit="1" customWidth="1"/>
    <col min="4" max="4" width="18.85546875" style="66" bestFit="1" customWidth="1"/>
    <col min="5" max="5" width="17.28515625" style="66" bestFit="1" customWidth="1"/>
    <col min="6" max="6" width="22.5703125" style="66" bestFit="1" customWidth="1"/>
    <col min="7" max="8" width="3" style="121" bestFit="1" customWidth="1"/>
    <col min="9" max="10" width="5" style="121" bestFit="1" customWidth="1"/>
    <col min="11" max="11" width="4" style="121" bestFit="1" customWidth="1"/>
    <col min="12" max="13" width="3" style="121" bestFit="1" customWidth="1"/>
    <col min="14" max="15" width="3" style="122" bestFit="1" customWidth="1"/>
    <col min="16" max="16" width="50.42578125" style="120" bestFit="1" customWidth="1"/>
    <col min="17" max="17" width="49.42578125" style="120" bestFit="1" customWidth="1"/>
    <col min="18" max="18" width="13.140625" style="66" bestFit="1" customWidth="1"/>
    <col min="19" max="19" width="15.42578125" style="66" bestFit="1" customWidth="1"/>
    <col min="20" max="20" width="30.7109375" style="120" bestFit="1" customWidth="1"/>
    <col min="21" max="21" width="30.28515625" style="120" bestFit="1" customWidth="1"/>
    <col min="22" max="22" width="13.140625" style="66" bestFit="1" customWidth="1"/>
    <col min="23" max="23" width="179.5703125" style="66" bestFit="1" customWidth="1"/>
    <col min="24" max="25" width="18.85546875" style="66" bestFit="1" customWidth="1"/>
    <col min="26" max="26" width="61.7109375" style="66" bestFit="1" customWidth="1"/>
    <col min="27" max="27" width="109.42578125" style="66" bestFit="1" customWidth="1"/>
    <col min="28" max="28" width="4.140625" style="66" bestFit="1" customWidth="1"/>
    <col min="29" max="16384" width="17.28515625" style="66"/>
  </cols>
  <sheetData>
    <row r="1" spans="1:28" s="56" customFormat="1">
      <c r="A1" s="51" t="s">
        <v>1072</v>
      </c>
      <c r="B1" s="52" t="s">
        <v>12</v>
      </c>
      <c r="C1" s="52" t="s">
        <v>1073</v>
      </c>
      <c r="D1" s="52" t="s">
        <v>56</v>
      </c>
      <c r="E1" s="52" t="s">
        <v>6</v>
      </c>
      <c r="F1" s="52" t="s">
        <v>7</v>
      </c>
      <c r="G1" s="53" t="s">
        <v>1074</v>
      </c>
      <c r="H1" s="51" t="s">
        <v>1075</v>
      </c>
      <c r="I1" s="51" t="s">
        <v>1076</v>
      </c>
      <c r="J1" s="51" t="s">
        <v>1077</v>
      </c>
      <c r="K1" s="53" t="s">
        <v>1078</v>
      </c>
      <c r="L1" s="51" t="s">
        <v>1079</v>
      </c>
      <c r="M1" s="53" t="s">
        <v>1080</v>
      </c>
      <c r="N1" s="51" t="s">
        <v>1081</v>
      </c>
      <c r="O1" s="51" t="s">
        <v>1082</v>
      </c>
      <c r="P1" s="54" t="s">
        <v>1683</v>
      </c>
      <c r="Q1" s="54" t="s">
        <v>1684</v>
      </c>
      <c r="R1" s="52" t="s">
        <v>1686</v>
      </c>
      <c r="S1" s="52" t="s">
        <v>1007</v>
      </c>
      <c r="T1" s="54" t="s">
        <v>1687</v>
      </c>
      <c r="U1" s="54" t="s">
        <v>1006</v>
      </c>
      <c r="V1" s="55" t="s">
        <v>1066</v>
      </c>
      <c r="W1" s="56" t="s">
        <v>1003</v>
      </c>
      <c r="X1" s="57" t="s">
        <v>1690</v>
      </c>
      <c r="Y1" s="57" t="s">
        <v>1689</v>
      </c>
      <c r="Z1" s="57" t="s">
        <v>1692</v>
      </c>
      <c r="AA1" s="57" t="s">
        <v>1691</v>
      </c>
      <c r="AB1" s="56" t="s">
        <v>1693</v>
      </c>
    </row>
    <row r="2" spans="1:28">
      <c r="A2" s="58">
        <v>0</v>
      </c>
      <c r="B2" s="59" t="s">
        <v>1534</v>
      </c>
      <c r="C2" s="59" t="s">
        <v>1083</v>
      </c>
      <c r="D2" s="59" t="s">
        <v>286</v>
      </c>
      <c r="E2" s="59" t="s">
        <v>1575</v>
      </c>
      <c r="F2" s="59" t="s">
        <v>287</v>
      </c>
      <c r="G2" s="60"/>
      <c r="H2" s="60"/>
      <c r="I2" s="60"/>
      <c r="J2" s="60"/>
      <c r="K2" s="60"/>
      <c r="L2" s="60">
        <v>16</v>
      </c>
      <c r="M2" s="60">
        <v>1</v>
      </c>
      <c r="N2" s="61" t="s">
        <v>607</v>
      </c>
      <c r="O2" s="61" t="s">
        <v>606</v>
      </c>
      <c r="P2" s="62" t="s">
        <v>1084</v>
      </c>
      <c r="Q2" s="62"/>
      <c r="R2" s="64" t="str">
        <f t="shared" ref="R2:R37" si="0">E2</f>
        <v>毒刺（被动）</v>
      </c>
      <c r="S2" s="64"/>
      <c r="T2" s="63" t="s">
        <v>1550</v>
      </c>
      <c r="U2" s="63"/>
      <c r="V2" s="65">
        <v>0</v>
      </c>
      <c r="W2" s="66" t="str">
        <f t="shared" ref="W2:W21" si="1">creepAbilityUberTipCN(P2,G2:M2)</f>
        <v>攻击使敌人受到50/2s的法术伤害。|n|n|cff99ccff持续时间:|r 16秒|n|cff99ccff冷却时间:|r 1秒|n</v>
      </c>
      <c r="X2" s="66" t="str">
        <f t="shared" ref="X2:X21" si="2">creepBuffTip(R2,O2)</f>
        <v>毒刺（被动）</v>
      </c>
      <c r="Y2" s="66" t="str">
        <f t="shared" ref="Y2:Y4" si="3">creepBuffTip(S2,O2)</f>
        <v/>
      </c>
      <c r="Z2" s="66" t="str">
        <f t="shared" ref="Z2:Z21" si="4">creepBuffUber(T2,N2)</f>
        <v>物理状态：受到周期性的法术伤害。</v>
      </c>
      <c r="AA2" s="66" t="str">
        <f t="shared" ref="AA2:AA56" si="5">creepBuffUberEN(U2,N2)</f>
        <v xml:space="preserve">Physical: </v>
      </c>
      <c r="AB2" s="130" t="s">
        <v>1693</v>
      </c>
    </row>
    <row r="3" spans="1:28">
      <c r="A3" s="67">
        <v>1</v>
      </c>
      <c r="B3" s="59" t="s">
        <v>1534</v>
      </c>
      <c r="C3" s="59" t="s">
        <v>1085</v>
      </c>
      <c r="D3" s="59" t="s">
        <v>97</v>
      </c>
      <c r="E3" s="59" t="s">
        <v>1086</v>
      </c>
      <c r="F3" s="59" t="s">
        <v>264</v>
      </c>
      <c r="G3" s="60">
        <v>3</v>
      </c>
      <c r="H3" s="60"/>
      <c r="I3" s="60">
        <v>600</v>
      </c>
      <c r="J3" s="60"/>
      <c r="K3" s="60">
        <v>75</v>
      </c>
      <c r="L3" s="60"/>
      <c r="M3" s="60">
        <v>2</v>
      </c>
      <c r="N3" s="61"/>
      <c r="O3" s="61"/>
      <c r="P3" s="62" t="s">
        <v>1087</v>
      </c>
      <c r="Q3" s="62"/>
      <c r="R3" s="64"/>
      <c r="S3" s="64"/>
      <c r="T3" s="63"/>
      <c r="U3" s="63"/>
      <c r="V3" s="65" t="s">
        <v>265</v>
      </c>
      <c r="W3" s="66" t="str">
        <f t="shared" si="1"/>
        <v>造成320伤害|n|n|cff99ccff施法时间:|r 3秒|n|cff99ccff施法距离:|r 600码|n|cff99ccff法力消耗:|r 75点|n|cff99ccff冷却时间:|r 2秒|n</v>
      </c>
      <c r="X3" s="66" t="str">
        <f t="shared" si="2"/>
        <v/>
      </c>
      <c r="Y3" s="66" t="str">
        <f t="shared" si="3"/>
        <v/>
      </c>
      <c r="Z3" s="66" t="str">
        <f t="shared" si="4"/>
        <v>物理状态：</v>
      </c>
      <c r="AA3" s="66" t="str">
        <f t="shared" si="5"/>
        <v xml:space="preserve">Physical: </v>
      </c>
      <c r="AB3" s="130" t="s">
        <v>1693</v>
      </c>
    </row>
    <row r="4" spans="1:28">
      <c r="A4" s="67"/>
      <c r="B4" s="59"/>
      <c r="C4" s="59"/>
      <c r="D4" s="59"/>
      <c r="E4" s="59" t="s">
        <v>1088</v>
      </c>
      <c r="F4" s="59" t="s">
        <v>266</v>
      </c>
      <c r="G4" s="60"/>
      <c r="H4" s="60"/>
      <c r="I4" s="60">
        <v>600</v>
      </c>
      <c r="J4" s="60"/>
      <c r="K4" s="60"/>
      <c r="L4" s="60">
        <v>5</v>
      </c>
      <c r="M4" s="60">
        <v>8</v>
      </c>
      <c r="N4" s="61" t="s">
        <v>608</v>
      </c>
      <c r="O4" s="61" t="s">
        <v>606</v>
      </c>
      <c r="P4" s="62" t="s">
        <v>1089</v>
      </c>
      <c r="Q4" s="62"/>
      <c r="R4" s="64" t="str">
        <f t="shared" si="0"/>
        <v>冰霜冲击</v>
      </c>
      <c r="S4" s="64"/>
      <c r="T4" s="63" t="s">
        <v>1548</v>
      </c>
      <c r="U4" s="63"/>
      <c r="V4" s="65" t="s">
        <v>267</v>
      </c>
      <c r="W4" s="66" t="str">
        <f t="shared" si="1"/>
        <v>造成200伤害,减攻击速度20%,移动速度30%,持续5秒|n|n|cff99ccff施法距离:|r 600码|n|cff99ccff持续时间:|r 5秒|n|cff99ccff冷却时间:|r 8秒|n</v>
      </c>
      <c r="X4" s="66" t="str">
        <f t="shared" si="2"/>
        <v>冰霜冲击</v>
      </c>
      <c r="Y4" s="66" t="str">
        <f t="shared" si="3"/>
        <v/>
      </c>
      <c r="Z4" s="66" t="str">
        <f t="shared" si="4"/>
        <v>|cff6666ff魔法|r状态：攻击速度降低，移动速度降低。</v>
      </c>
      <c r="AA4" s="66" t="str">
        <f t="shared" si="5"/>
        <v xml:space="preserve">|cff6666ffMagical|r: </v>
      </c>
      <c r="AB4" s="130" t="s">
        <v>1693</v>
      </c>
    </row>
    <row r="5" spans="1:28" ht="28.5">
      <c r="A5" s="67" t="s">
        <v>1014</v>
      </c>
      <c r="B5" s="68" t="s">
        <v>1534</v>
      </c>
      <c r="C5" s="68" t="s">
        <v>1090</v>
      </c>
      <c r="D5" s="68" t="s">
        <v>268</v>
      </c>
      <c r="E5" s="68" t="s">
        <v>1091</v>
      </c>
      <c r="F5" s="68" t="s">
        <v>269</v>
      </c>
      <c r="G5" s="69">
        <v>3</v>
      </c>
      <c r="H5" s="69"/>
      <c r="I5" s="69">
        <v>800</v>
      </c>
      <c r="J5" s="69"/>
      <c r="K5" s="69">
        <v>200</v>
      </c>
      <c r="L5" s="69"/>
      <c r="M5" s="69">
        <v>5</v>
      </c>
      <c r="N5" s="70"/>
      <c r="O5" s="70"/>
      <c r="P5" s="71" t="s">
        <v>1092</v>
      </c>
      <c r="Q5" s="71"/>
      <c r="R5" s="64"/>
      <c r="S5" s="64"/>
      <c r="T5" s="63"/>
      <c r="U5" s="63"/>
      <c r="V5" s="65" t="s">
        <v>270</v>
      </c>
      <c r="W5" s="66" t="str">
        <f t="shared" si="1"/>
        <v>治疗一个目标1000生命值, 每个目标递增50%, 最多3个目标.|n|n|cff99ccff施法时间:|r 3秒|n|cff99ccff施法距离:|r 800码|n|cff99ccff法力消耗:|r 200点|n|cff99ccff冷却时间:|r 5秒|n</v>
      </c>
      <c r="X5" s="66" t="str">
        <f t="shared" si="2"/>
        <v/>
      </c>
      <c r="Y5" s="66" t="str">
        <f>creepBuffTip(S5,O5)</f>
        <v/>
      </c>
      <c r="Z5" s="66" t="str">
        <f t="shared" si="4"/>
        <v>物理状态：</v>
      </c>
      <c r="AA5" s="66" t="str">
        <f t="shared" si="5"/>
        <v xml:space="preserve">Physical: </v>
      </c>
      <c r="AB5" s="130" t="s">
        <v>1693</v>
      </c>
    </row>
    <row r="6" spans="1:28" ht="28.5">
      <c r="A6" s="67"/>
      <c r="B6" s="68"/>
      <c r="C6" s="68"/>
      <c r="D6" s="68"/>
      <c r="E6" s="68" t="s">
        <v>1093</v>
      </c>
      <c r="F6" s="68" t="s">
        <v>271</v>
      </c>
      <c r="G6" s="69"/>
      <c r="H6" s="69"/>
      <c r="I6" s="69"/>
      <c r="J6" s="69"/>
      <c r="K6" s="69">
        <v>100</v>
      </c>
      <c r="L6" s="69">
        <v>20</v>
      </c>
      <c r="M6" s="69">
        <v>15</v>
      </c>
      <c r="N6" s="70"/>
      <c r="O6" s="70"/>
      <c r="P6" s="71" t="s">
        <v>1094</v>
      </c>
      <c r="Q6" s="71"/>
      <c r="R6" s="64"/>
      <c r="S6" s="64"/>
      <c r="T6" s="63"/>
      <c r="U6" s="63"/>
      <c r="V6" s="65" t="s">
        <v>272</v>
      </c>
      <c r="W6" s="66" t="str">
        <f t="shared" si="1"/>
        <v>制造一个100生命值的守卫，每秒治疗附近友军5%生命值。|n|n|cff99ccff法力消耗:|r 100点|n|cff99ccff持续时间:|r 20秒|n|cff99ccff冷却时间:|r 15秒|n</v>
      </c>
      <c r="X6" s="66" t="str">
        <f t="shared" si="2"/>
        <v/>
      </c>
      <c r="Y6" s="66" t="str">
        <f t="shared" ref="Y6:Y13" si="6">creepBuffTip(S6,O6)</f>
        <v/>
      </c>
      <c r="Z6" s="66" t="str">
        <f t="shared" si="4"/>
        <v>物理状态：</v>
      </c>
      <c r="AA6" s="66" t="str">
        <f t="shared" si="5"/>
        <v xml:space="preserve">Physical: </v>
      </c>
      <c r="AB6" s="130" t="s">
        <v>1693</v>
      </c>
    </row>
    <row r="7" spans="1:28" ht="28.5">
      <c r="A7" s="67"/>
      <c r="B7" s="68"/>
      <c r="C7" s="68"/>
      <c r="D7" s="68"/>
      <c r="E7" s="68" t="s">
        <v>1095</v>
      </c>
      <c r="F7" s="68" t="s">
        <v>273</v>
      </c>
      <c r="G7" s="69"/>
      <c r="H7" s="69"/>
      <c r="I7" s="69"/>
      <c r="J7" s="69"/>
      <c r="K7" s="69">
        <v>100</v>
      </c>
      <c r="L7" s="69">
        <v>30</v>
      </c>
      <c r="M7" s="69">
        <v>30</v>
      </c>
      <c r="N7" s="70" t="s">
        <v>607</v>
      </c>
      <c r="O7" s="70" t="s">
        <v>607</v>
      </c>
      <c r="P7" s="71" t="s">
        <v>1096</v>
      </c>
      <c r="Q7" s="71"/>
      <c r="R7" s="64" t="str">
        <f t="shared" si="0"/>
        <v>防护守卫</v>
      </c>
      <c r="S7" s="64"/>
      <c r="T7" s="63" t="s">
        <v>1549</v>
      </c>
      <c r="U7" s="63"/>
      <c r="V7" s="65" t="s">
        <v>274</v>
      </c>
      <c r="W7" s="66" t="str">
        <f t="shared" si="1"/>
        <v>制造一个100生命值的守卫，使附近所有友军受到的伤害降低95%。|n|n|cff99ccff法力消耗:|r 100点|n|cff99ccff持续时间:|r 30秒|n|cff99ccff冷却时间:|r 30秒|n</v>
      </c>
      <c r="X7" s="66" t="str">
        <f t="shared" si="2"/>
        <v>|cff00ff00防护守卫|r</v>
      </c>
      <c r="Y7" s="66" t="str">
        <f t="shared" si="6"/>
        <v>|cff00ff00|r</v>
      </c>
      <c r="Z7" s="66" t="str">
        <f t="shared" si="4"/>
        <v>物理状态：受到的伤害降低。</v>
      </c>
      <c r="AA7" s="66" t="str">
        <f t="shared" si="5"/>
        <v xml:space="preserve">Physical: </v>
      </c>
      <c r="AB7" s="130" t="s">
        <v>1693</v>
      </c>
    </row>
    <row r="8" spans="1:28">
      <c r="A8" s="67">
        <v>1</v>
      </c>
      <c r="B8" s="59" t="s">
        <v>280</v>
      </c>
      <c r="C8" s="59" t="s">
        <v>1097</v>
      </c>
      <c r="D8" s="59" t="s">
        <v>289</v>
      </c>
      <c r="E8" s="59" t="s">
        <v>1098</v>
      </c>
      <c r="F8" s="59" t="s">
        <v>290</v>
      </c>
      <c r="G8" s="60"/>
      <c r="H8" s="60"/>
      <c r="I8" s="60"/>
      <c r="J8" s="60">
        <v>600</v>
      </c>
      <c r="K8" s="60"/>
      <c r="L8" s="60"/>
      <c r="M8" s="60">
        <v>5</v>
      </c>
      <c r="N8" s="61"/>
      <c r="O8" s="61"/>
      <c r="P8" s="62" t="s">
        <v>1099</v>
      </c>
      <c r="Q8" s="62"/>
      <c r="R8" s="64"/>
      <c r="S8" s="64"/>
      <c r="T8" s="63"/>
      <c r="U8" s="63"/>
      <c r="V8" s="72" t="s">
        <v>265</v>
      </c>
      <c r="W8" s="66" t="str">
        <f t="shared" si="1"/>
        <v>AOE法力值的伤害(MAXMP = 750)|n|n|cff99ccff影响范围:|r 600码|n|cff99ccff冷却时间:|r 5秒|n</v>
      </c>
      <c r="X8" s="66" t="str">
        <f t="shared" si="2"/>
        <v/>
      </c>
      <c r="Y8" s="66" t="str">
        <f t="shared" si="6"/>
        <v/>
      </c>
      <c r="Z8" s="66" t="str">
        <f t="shared" si="4"/>
        <v>物理状态：</v>
      </c>
      <c r="AA8" s="66" t="str">
        <f t="shared" si="5"/>
        <v xml:space="preserve">Physical: </v>
      </c>
      <c r="AB8" s="130" t="s">
        <v>1693</v>
      </c>
    </row>
    <row r="9" spans="1:28" ht="28.5">
      <c r="A9" s="67"/>
      <c r="B9" s="59"/>
      <c r="C9" s="59"/>
      <c r="D9" s="59"/>
      <c r="E9" s="59" t="s">
        <v>1100</v>
      </c>
      <c r="F9" s="59" t="s">
        <v>291</v>
      </c>
      <c r="G9" s="60"/>
      <c r="H9" s="60"/>
      <c r="I9" s="60">
        <v>900</v>
      </c>
      <c r="J9" s="60"/>
      <c r="K9" s="60"/>
      <c r="L9" s="60"/>
      <c r="M9" s="60">
        <v>5</v>
      </c>
      <c r="N9" s="61"/>
      <c r="O9" s="61"/>
      <c r="P9" s="62" t="s">
        <v>1101</v>
      </c>
      <c r="Q9" s="62"/>
      <c r="R9" s="64"/>
      <c r="S9" s="64"/>
      <c r="T9" s="63"/>
      <c r="U9" s="63"/>
      <c r="V9" s="72" t="s">
        <v>270</v>
      </c>
      <c r="W9" s="66" t="str">
        <f t="shared" si="1"/>
        <v>抽取目标25%的法力值，总是会选择范围内可汲取法力值最多的目标。|n|n|cff99ccff施法距离:|r 900码|n|cff99ccff冷却时间:|r 5秒|n</v>
      </c>
      <c r="X9" s="66" t="str">
        <f t="shared" si="2"/>
        <v/>
      </c>
      <c r="Y9" s="66" t="str">
        <f t="shared" si="6"/>
        <v/>
      </c>
      <c r="Z9" s="66" t="str">
        <f t="shared" si="4"/>
        <v>物理状态：</v>
      </c>
      <c r="AA9" s="66" t="str">
        <f t="shared" si="5"/>
        <v xml:space="preserve">Physical: </v>
      </c>
      <c r="AB9" s="130" t="s">
        <v>1693</v>
      </c>
    </row>
    <row r="10" spans="1:28" ht="28.5">
      <c r="A10" s="73">
        <v>2</v>
      </c>
      <c r="B10" s="74" t="s">
        <v>1534</v>
      </c>
      <c r="C10" s="74" t="s">
        <v>1102</v>
      </c>
      <c r="D10" s="74" t="s">
        <v>275</v>
      </c>
      <c r="E10" s="74" t="s">
        <v>1103</v>
      </c>
      <c r="F10" s="74" t="s">
        <v>276</v>
      </c>
      <c r="G10" s="75"/>
      <c r="H10" s="75"/>
      <c r="I10" s="75"/>
      <c r="J10" s="75"/>
      <c r="K10" s="75"/>
      <c r="L10" s="75">
        <v>10</v>
      </c>
      <c r="M10" s="75">
        <v>20</v>
      </c>
      <c r="N10" s="76" t="s">
        <v>608</v>
      </c>
      <c r="O10" s="76" t="s">
        <v>607</v>
      </c>
      <c r="P10" s="77" t="s">
        <v>1104</v>
      </c>
      <c r="Q10" s="77"/>
      <c r="R10" s="64" t="str">
        <f t="shared" si="0"/>
        <v>狂乱</v>
      </c>
      <c r="S10" s="64"/>
      <c r="T10" s="63" t="s">
        <v>1551</v>
      </c>
      <c r="U10" s="63"/>
      <c r="V10" s="65" t="s">
        <v>277</v>
      </c>
      <c r="W10" s="66" t="str">
        <f t="shared" si="1"/>
        <v>提升100%攻击速度。（在目标受到压碎护甲效果影响后开启。）|n|n|cff99ccff持续时间:|r 10秒|n|cff99ccff冷却时间:|r 20秒|n</v>
      </c>
      <c r="X10" s="66" t="str">
        <f t="shared" si="2"/>
        <v>|cff00ff00狂乱|r</v>
      </c>
      <c r="Y10" s="66" t="str">
        <f t="shared" si="6"/>
        <v>|cff00ff00|r</v>
      </c>
      <c r="Z10" s="66" t="str">
        <f t="shared" si="4"/>
        <v>|cff6666ff魔法|r状态：攻击速度提高。</v>
      </c>
      <c r="AA10" s="66" t="str">
        <f t="shared" si="5"/>
        <v xml:space="preserve">|cff6666ffMagical|r: </v>
      </c>
      <c r="AB10" s="130" t="s">
        <v>1693</v>
      </c>
    </row>
    <row r="11" spans="1:28">
      <c r="A11" s="73"/>
      <c r="B11" s="74"/>
      <c r="C11" s="74"/>
      <c r="D11" s="74"/>
      <c r="E11" s="74" t="s">
        <v>1105</v>
      </c>
      <c r="F11" s="74" t="s">
        <v>278</v>
      </c>
      <c r="G11" s="75"/>
      <c r="H11" s="75"/>
      <c r="I11" s="75">
        <v>200</v>
      </c>
      <c r="J11" s="75"/>
      <c r="K11" s="75"/>
      <c r="L11" s="75">
        <v>7</v>
      </c>
      <c r="M11" s="75">
        <v>20</v>
      </c>
      <c r="N11" s="76" t="s">
        <v>607</v>
      </c>
      <c r="O11" s="76" t="s">
        <v>606</v>
      </c>
      <c r="P11" s="77" t="s">
        <v>1106</v>
      </c>
      <c r="Q11" s="77"/>
      <c r="R11" s="64" t="str">
        <f t="shared" si="0"/>
        <v>压碎护甲</v>
      </c>
      <c r="S11" s="64"/>
      <c r="T11" s="63" t="s">
        <v>1552</v>
      </c>
      <c r="U11" s="63"/>
      <c r="V11" s="65" t="s">
        <v>279</v>
      </c>
      <c r="W11" s="66" t="str">
        <f t="shared" si="1"/>
        <v>降低目标100点物理免伤。|n|n|cff99ccff施法距离:|r 200码|n|cff99ccff持续时间:|r 7秒|n|cff99ccff冷却时间:|r 20秒|n</v>
      </c>
      <c r="X11" s="66" t="str">
        <f t="shared" si="2"/>
        <v>压碎护甲</v>
      </c>
      <c r="Y11" s="66" t="str">
        <f t="shared" si="6"/>
        <v/>
      </c>
      <c r="Z11" s="66" t="str">
        <f t="shared" si="4"/>
        <v>物理状态：物理免伤降低。</v>
      </c>
      <c r="AA11" s="66" t="str">
        <f t="shared" si="5"/>
        <v xml:space="preserve">Physical: </v>
      </c>
      <c r="AB11" s="130" t="s">
        <v>1693</v>
      </c>
    </row>
    <row r="12" spans="1:28" ht="28.5">
      <c r="A12" s="73">
        <v>2</v>
      </c>
      <c r="B12" s="59" t="s">
        <v>280</v>
      </c>
      <c r="C12" s="59" t="s">
        <v>1107</v>
      </c>
      <c r="D12" s="59" t="s">
        <v>281</v>
      </c>
      <c r="E12" s="59" t="s">
        <v>1108</v>
      </c>
      <c r="F12" s="59" t="s">
        <v>282</v>
      </c>
      <c r="G12" s="60"/>
      <c r="H12" s="60"/>
      <c r="I12" s="60"/>
      <c r="J12" s="60"/>
      <c r="K12" s="60"/>
      <c r="L12" s="60">
        <v>6</v>
      </c>
      <c r="M12" s="60">
        <v>12</v>
      </c>
      <c r="N12" s="61" t="s">
        <v>608</v>
      </c>
      <c r="O12" s="61" t="s">
        <v>606</v>
      </c>
      <c r="P12" s="62" t="s">
        <v>1109</v>
      </c>
      <c r="Q12" s="62"/>
      <c r="R12" s="64" t="str">
        <f t="shared" si="0"/>
        <v>雷霆一击</v>
      </c>
      <c r="S12" s="64"/>
      <c r="T12" s="63" t="s">
        <v>1550</v>
      </c>
      <c r="U12" s="63"/>
      <c r="V12" s="65" t="s">
        <v>283</v>
      </c>
      <c r="W12" s="66" t="str">
        <f t="shared" si="1"/>
        <v>400码AOE400伤害，如果目标被狂怒咆哮，附加法术DOT，100/s。 |n|n|cff99ccff持续时间:|r 6秒|n|cff99ccff冷却时间:|r 12秒|n</v>
      </c>
      <c r="X12" s="66" t="str">
        <f t="shared" si="2"/>
        <v>雷霆一击</v>
      </c>
      <c r="Y12" s="66" t="str">
        <f t="shared" si="6"/>
        <v/>
      </c>
      <c r="Z12" s="66" t="str">
        <f t="shared" si="4"/>
        <v>|cff6666ff魔法|r状态：受到周期性的法术伤害。</v>
      </c>
      <c r="AA12" s="66" t="str">
        <f t="shared" si="5"/>
        <v xml:space="preserve">|cff6666ffMagical|r: </v>
      </c>
      <c r="AB12" s="130" t="s">
        <v>1693</v>
      </c>
    </row>
    <row r="13" spans="1:28">
      <c r="A13" s="73"/>
      <c r="B13" s="59"/>
      <c r="C13" s="59"/>
      <c r="D13" s="59"/>
      <c r="E13" s="59" t="s">
        <v>1110</v>
      </c>
      <c r="F13" s="59" t="s">
        <v>284</v>
      </c>
      <c r="G13" s="60"/>
      <c r="H13" s="60"/>
      <c r="I13" s="60"/>
      <c r="J13" s="60"/>
      <c r="K13" s="60"/>
      <c r="L13" s="60">
        <v>10</v>
      </c>
      <c r="M13" s="60">
        <v>20</v>
      </c>
      <c r="N13" s="61" t="s">
        <v>607</v>
      </c>
      <c r="O13" s="61" t="s">
        <v>606</v>
      </c>
      <c r="P13" s="62" t="s">
        <v>1111</v>
      </c>
      <c r="Q13" s="62"/>
      <c r="R13" s="64" t="str">
        <f t="shared" si="0"/>
        <v>狂怒咆哮</v>
      </c>
      <c r="S13" s="64"/>
      <c r="T13" s="63" t="s">
        <v>1553</v>
      </c>
      <c r="U13" s="63"/>
      <c r="V13" s="65" t="s">
        <v>285</v>
      </c>
      <c r="W13" s="66" t="str">
        <f t="shared" si="1"/>
        <v>400Y AOE敌军受到50%额外伤害。|n|n|cff99ccff持续时间:|r 10秒|n|cff99ccff冷却时间:|r 20秒|n</v>
      </c>
      <c r="X13" s="66" t="str">
        <f t="shared" si="2"/>
        <v>狂怒咆哮</v>
      </c>
      <c r="Y13" s="66" t="str">
        <f t="shared" si="6"/>
        <v/>
      </c>
      <c r="Z13" s="66" t="str">
        <f t="shared" si="4"/>
        <v>物理状态：受到的伤害提高。</v>
      </c>
      <c r="AA13" s="66" t="str">
        <f t="shared" si="5"/>
        <v xml:space="preserve">Physical: </v>
      </c>
      <c r="AB13" s="130" t="s">
        <v>1693</v>
      </c>
    </row>
    <row r="14" spans="1:28" ht="57">
      <c r="A14" s="78"/>
      <c r="B14" s="124" t="s">
        <v>288</v>
      </c>
      <c r="C14" s="124" t="s">
        <v>1679</v>
      </c>
      <c r="D14" s="124" t="s">
        <v>1680</v>
      </c>
      <c r="E14" s="124" t="s">
        <v>1681</v>
      </c>
      <c r="F14" s="124" t="s">
        <v>1682</v>
      </c>
      <c r="G14" s="60"/>
      <c r="H14" s="60"/>
      <c r="I14" s="60"/>
      <c r="J14" s="60"/>
      <c r="K14" s="60"/>
      <c r="L14" s="60">
        <v>10</v>
      </c>
      <c r="M14" s="60">
        <v>20</v>
      </c>
      <c r="N14" s="127" t="s">
        <v>607</v>
      </c>
      <c r="O14" s="127" t="s">
        <v>607</v>
      </c>
      <c r="P14" s="62"/>
      <c r="Q14" s="22" t="s">
        <v>1685</v>
      </c>
      <c r="R14" s="64" t="str">
        <f t="shared" si="0"/>
        <v>沸血</v>
      </c>
      <c r="S14" s="128" t="s">
        <v>1682</v>
      </c>
      <c r="T14" s="63"/>
      <c r="U14" s="129" t="s">
        <v>1688</v>
      </c>
      <c r="V14" s="125" t="s">
        <v>1591</v>
      </c>
      <c r="W14" s="66" t="str">
        <f t="shared" si="1"/>
        <v>|n|n|cff99ccff持续时间:|r 10秒|n|cff99ccff冷却时间:|r 20秒|n</v>
      </c>
      <c r="X14" s="66" t="str">
        <f t="shared" si="2"/>
        <v>|cff00ff00沸血|r</v>
      </c>
      <c r="Y14" s="66" t="str">
        <f>creepBuffTip(S14,O14)</f>
        <v>|cff00ff00Blood Boil|r</v>
      </c>
      <c r="Z14" s="66" t="str">
        <f t="shared" si="4"/>
        <v>物理状态：</v>
      </c>
      <c r="AA14" s="66" t="str">
        <f>creepBuffUberEN(U14,N14)</f>
        <v>Physical: Lost 3% of max HP per second, replenishes 10% of max HP on attack, movement speed is reduced by 50%.</v>
      </c>
      <c r="AB14" s="130" t="s">
        <v>1693</v>
      </c>
    </row>
    <row r="15" spans="1:28">
      <c r="A15" s="78">
        <v>3</v>
      </c>
      <c r="B15" s="79" t="s">
        <v>1534</v>
      </c>
      <c r="C15" s="79" t="s">
        <v>1112</v>
      </c>
      <c r="D15" s="79" t="s">
        <v>292</v>
      </c>
      <c r="E15" s="79" t="s">
        <v>1113</v>
      </c>
      <c r="F15" s="80" t="s">
        <v>294</v>
      </c>
      <c r="G15" s="81"/>
      <c r="H15" s="81"/>
      <c r="I15" s="81"/>
      <c r="J15" s="81"/>
      <c r="K15" s="81"/>
      <c r="L15" s="81">
        <v>8</v>
      </c>
      <c r="M15" s="81">
        <v>12</v>
      </c>
      <c r="N15" s="82" t="s">
        <v>608</v>
      </c>
      <c r="O15" s="82" t="s">
        <v>607</v>
      </c>
      <c r="P15" s="83" t="s">
        <v>1114</v>
      </c>
      <c r="Q15" s="83"/>
      <c r="R15" s="64" t="str">
        <f t="shared" si="0"/>
        <v>邪恶狂热</v>
      </c>
      <c r="S15" s="64"/>
      <c r="T15" s="63" t="s">
        <v>1551</v>
      </c>
      <c r="U15" s="63"/>
      <c r="V15" s="72" t="s">
        <v>279</v>
      </c>
      <c r="W15" s="66" t="str">
        <f t="shared" si="1"/>
        <v>攻击速度提升100%。|n|n|cff99ccff持续时间:|r 8秒|n|cff99ccff冷却时间:|r 12秒|n</v>
      </c>
      <c r="X15" s="66" t="str">
        <f t="shared" si="2"/>
        <v>|cff00ff00邪恶狂热|r</v>
      </c>
      <c r="Y15" s="66" t="str">
        <f t="shared" ref="Y15:Y56" si="7">creepBuffTip(S15,O15)</f>
        <v>|cff00ff00|r</v>
      </c>
      <c r="Z15" s="66" t="str">
        <f t="shared" si="4"/>
        <v>|cff6666ff魔法|r状态：攻击速度提高。</v>
      </c>
      <c r="AA15" s="66" t="str">
        <f t="shared" si="5"/>
        <v xml:space="preserve">|cff6666ffMagical|r: </v>
      </c>
      <c r="AB15" s="130" t="s">
        <v>1693</v>
      </c>
    </row>
    <row r="16" spans="1:28" ht="28.5">
      <c r="A16" s="78">
        <v>3</v>
      </c>
      <c r="B16" s="59" t="s">
        <v>1534</v>
      </c>
      <c r="C16" s="59" t="s">
        <v>1115</v>
      </c>
      <c r="D16" s="84" t="s">
        <v>299</v>
      </c>
      <c r="E16" s="84" t="s">
        <v>1116</v>
      </c>
      <c r="F16" s="84" t="s">
        <v>300</v>
      </c>
      <c r="G16" s="60"/>
      <c r="H16" s="60"/>
      <c r="I16" s="60">
        <v>800</v>
      </c>
      <c r="J16" s="60"/>
      <c r="K16" s="60"/>
      <c r="L16" s="60">
        <v>10</v>
      </c>
      <c r="M16" s="60">
        <v>20</v>
      </c>
      <c r="N16" s="61" t="s">
        <v>607</v>
      </c>
      <c r="O16" s="61" t="s">
        <v>606</v>
      </c>
      <c r="P16" s="85" t="s">
        <v>1117</v>
      </c>
      <c r="Q16" s="85"/>
      <c r="R16" s="64" t="str">
        <f t="shared" si="0"/>
        <v>混乱跳跃</v>
      </c>
      <c r="S16" s="64"/>
      <c r="T16" s="63" t="s">
        <v>1554</v>
      </c>
      <c r="U16" s="63"/>
      <c r="V16" s="65" t="s">
        <v>279</v>
      </c>
      <c r="W16" s="66" t="str">
        <f t="shared" si="1"/>
        <v>向目标跳跃，落下时造成200AOE物理伤害。并使目标造成的仇恨值提高300%。|n|n|cff99ccff施法距离:|r 800码|n|cff99ccff持续时间:|r 10秒|n|cff99ccff冷却时间:|r 20秒|n</v>
      </c>
      <c r="X16" s="66" t="str">
        <f t="shared" si="2"/>
        <v>混乱跳跃</v>
      </c>
      <c r="Y16" s="66" t="str">
        <f t="shared" si="7"/>
        <v/>
      </c>
      <c r="Z16" s="66" t="str">
        <f t="shared" si="4"/>
        <v>物理状态：造成的仇恨值提高。</v>
      </c>
      <c r="AA16" s="66" t="str">
        <f t="shared" si="5"/>
        <v xml:space="preserve">Physical: </v>
      </c>
      <c r="AB16" s="130" t="s">
        <v>1693</v>
      </c>
    </row>
    <row r="17" spans="1:28" ht="28.5">
      <c r="A17" s="78">
        <v>3</v>
      </c>
      <c r="B17" s="79" t="s">
        <v>280</v>
      </c>
      <c r="C17" s="79" t="s">
        <v>1118</v>
      </c>
      <c r="D17" s="79" t="s">
        <v>301</v>
      </c>
      <c r="E17" s="79" t="s">
        <v>1119</v>
      </c>
      <c r="F17" s="79" t="s">
        <v>302</v>
      </c>
      <c r="G17" s="81">
        <v>4</v>
      </c>
      <c r="H17" s="81"/>
      <c r="I17" s="81"/>
      <c r="J17" s="81">
        <v>500</v>
      </c>
      <c r="K17" s="81"/>
      <c r="L17" s="81">
        <v>3</v>
      </c>
      <c r="M17" s="81">
        <v>8</v>
      </c>
      <c r="N17" s="82"/>
      <c r="O17" s="82"/>
      <c r="P17" s="86" t="s">
        <v>1120</v>
      </c>
      <c r="Q17" s="86" t="s">
        <v>1010</v>
      </c>
      <c r="R17" s="64"/>
      <c r="S17" s="64"/>
      <c r="T17" s="63"/>
      <c r="U17" s="63"/>
      <c r="V17" s="72" t="s">
        <v>279</v>
      </c>
      <c r="W17" s="66" t="str">
        <f t="shared" si="1"/>
        <v>对附近所有玩家单位造成300物理伤害并昏迷3秒。|n|n|cff99ccff施法时间:|r 4秒|n|cff99ccff影响范围:|r 500码|n|cff99ccff持续时间:|r 3秒|n|cff99ccff冷却时间:|r 8秒|n</v>
      </c>
      <c r="X17" s="66" t="str">
        <f t="shared" si="2"/>
        <v/>
      </c>
      <c r="Y17" s="66" t="str">
        <f t="shared" si="7"/>
        <v/>
      </c>
      <c r="Z17" s="66" t="str">
        <f t="shared" si="4"/>
        <v>物理状态：</v>
      </c>
      <c r="AA17" s="66" t="str">
        <f t="shared" si="5"/>
        <v xml:space="preserve">Physical: </v>
      </c>
      <c r="AB17" s="130" t="s">
        <v>1693</v>
      </c>
    </row>
    <row r="18" spans="1:28">
      <c r="A18" s="78"/>
      <c r="B18" s="79"/>
      <c r="C18" s="79"/>
      <c r="D18" s="79"/>
      <c r="E18" s="79" t="s">
        <v>1121</v>
      </c>
      <c r="F18" s="79" t="s">
        <v>303</v>
      </c>
      <c r="G18" s="81"/>
      <c r="H18" s="81"/>
      <c r="I18" s="81"/>
      <c r="J18" s="81"/>
      <c r="K18" s="81"/>
      <c r="L18" s="81">
        <v>10</v>
      </c>
      <c r="M18" s="81">
        <v>6</v>
      </c>
      <c r="N18" s="82" t="s">
        <v>608</v>
      </c>
      <c r="O18" s="82" t="s">
        <v>607</v>
      </c>
      <c r="P18" s="86" t="s">
        <v>1122</v>
      </c>
      <c r="Q18" s="86" t="s">
        <v>304</v>
      </c>
      <c r="R18" s="64" t="str">
        <f t="shared" si="0"/>
        <v>战斗命令</v>
      </c>
      <c r="S18" s="64"/>
      <c r="T18" s="63" t="s">
        <v>1555</v>
      </c>
      <c r="U18" s="63"/>
      <c r="V18" s="72" t="s">
        <v>285</v>
      </c>
      <c r="W18" s="66" t="str">
        <f t="shared" si="1"/>
        <v>目标单位造成100%的额外伤害。|n|n|cff99ccff持续时间:|r 10秒|n|cff99ccff冷却时间:|r 6秒|n</v>
      </c>
      <c r="X18" s="66" t="str">
        <f t="shared" si="2"/>
        <v>|cff00ff00战斗命令|r</v>
      </c>
      <c r="Y18" s="66" t="str">
        <f t="shared" si="7"/>
        <v>|cff00ff00|r</v>
      </c>
      <c r="Z18" s="66" t="str">
        <f t="shared" si="4"/>
        <v>|cff6666ff魔法|r状态：造成的伤害提高。</v>
      </c>
      <c r="AA18" s="66" t="str">
        <f t="shared" si="5"/>
        <v xml:space="preserve">|cff6666ffMagical|r: </v>
      </c>
      <c r="AB18" s="130" t="s">
        <v>1693</v>
      </c>
    </row>
    <row r="19" spans="1:28">
      <c r="A19" s="78">
        <v>3</v>
      </c>
      <c r="B19" s="59" t="s">
        <v>1534</v>
      </c>
      <c r="C19" s="59" t="s">
        <v>1123</v>
      </c>
      <c r="D19" s="59" t="s">
        <v>305</v>
      </c>
      <c r="E19" s="59" t="s">
        <v>1124</v>
      </c>
      <c r="F19" s="59" t="s">
        <v>306</v>
      </c>
      <c r="G19" s="60"/>
      <c r="H19" s="60"/>
      <c r="I19" s="60">
        <v>900</v>
      </c>
      <c r="J19" s="60"/>
      <c r="K19" s="60">
        <v>75</v>
      </c>
      <c r="L19" s="60">
        <v>20</v>
      </c>
      <c r="M19" s="60">
        <v>5</v>
      </c>
      <c r="N19" s="61" t="s">
        <v>608</v>
      </c>
      <c r="O19" s="61" t="s">
        <v>607</v>
      </c>
      <c r="P19" s="62" t="s">
        <v>1125</v>
      </c>
      <c r="Q19" s="62"/>
      <c r="R19" s="64" t="str">
        <f t="shared" si="0"/>
        <v>炽热疾速</v>
      </c>
      <c r="S19" s="64"/>
      <c r="T19" s="63" t="s">
        <v>1556</v>
      </c>
      <c r="U19" s="63"/>
      <c r="V19" s="65" t="s">
        <v>265</v>
      </c>
      <c r="W19" s="66" t="str">
        <f t="shared" si="1"/>
        <v>提升75%法术急速，移动速度提升至最大。|n|n|cff99ccff施法距离:|r 900码|n|cff99ccff法力消耗:|r 75点|n|cff99ccff持续时间:|r 20秒|n|cff99ccff冷却时间:|r 5秒|n</v>
      </c>
      <c r="X19" s="66" t="str">
        <f t="shared" si="2"/>
        <v>|cff00ff00炽热疾速|r</v>
      </c>
      <c r="Y19" s="66" t="str">
        <f t="shared" si="7"/>
        <v>|cff00ff00|r</v>
      </c>
      <c r="Z19" s="66" t="str">
        <f t="shared" si="4"/>
        <v>|cff6666ff魔法|r状态：法术急速提高，移动速度提高。</v>
      </c>
      <c r="AA19" s="66" t="str">
        <f t="shared" si="5"/>
        <v xml:space="preserve">|cff6666ffMagical|r: </v>
      </c>
      <c r="AB19" s="130" t="s">
        <v>1693</v>
      </c>
    </row>
    <row r="20" spans="1:28">
      <c r="A20" s="78"/>
      <c r="B20" s="59"/>
      <c r="C20" s="59"/>
      <c r="D20" s="59"/>
      <c r="E20" s="59" t="s">
        <v>1126</v>
      </c>
      <c r="F20" s="59" t="s">
        <v>1013</v>
      </c>
      <c r="G20" s="60">
        <v>3</v>
      </c>
      <c r="H20" s="60"/>
      <c r="I20" s="60"/>
      <c r="J20" s="60">
        <v>900</v>
      </c>
      <c r="K20" s="60">
        <v>100</v>
      </c>
      <c r="L20" s="60"/>
      <c r="M20" s="60">
        <v>1</v>
      </c>
      <c r="N20" s="61"/>
      <c r="O20" s="61"/>
      <c r="P20" s="62" t="s">
        <v>1127</v>
      </c>
      <c r="Q20" s="62"/>
      <c r="R20" s="64"/>
      <c r="S20" s="64"/>
      <c r="T20" s="63"/>
      <c r="U20" s="63"/>
      <c r="V20" s="65" t="s">
        <v>279</v>
      </c>
      <c r="W20" s="66" t="str">
        <f t="shared" si="1"/>
        <v>对附近所有玩家单位发射火球，造成600法术伤害。|n|n|cff99ccff施法时间:|r 3秒|n|cff99ccff影响范围:|r 900码|n|cff99ccff法力消耗:|r 100点|n|cff99ccff冷却时间:|r 1秒|n</v>
      </c>
      <c r="X20" s="66" t="str">
        <f t="shared" si="2"/>
        <v/>
      </c>
      <c r="Y20" s="66" t="str">
        <f t="shared" si="7"/>
        <v/>
      </c>
      <c r="Z20" s="66" t="str">
        <f t="shared" si="4"/>
        <v>物理状态：</v>
      </c>
      <c r="AA20" s="66" t="str">
        <f t="shared" si="5"/>
        <v xml:space="preserve">Physical: </v>
      </c>
      <c r="AB20" s="130" t="s">
        <v>1693</v>
      </c>
    </row>
    <row r="21" spans="1:28" ht="28.5">
      <c r="A21" s="78"/>
      <c r="B21" s="59"/>
      <c r="C21" s="59"/>
      <c r="D21" s="59"/>
      <c r="E21" s="59" t="s">
        <v>1128</v>
      </c>
      <c r="F21" s="59" t="s">
        <v>307</v>
      </c>
      <c r="G21" s="60"/>
      <c r="H21" s="60"/>
      <c r="I21" s="60">
        <v>800</v>
      </c>
      <c r="J21" s="60"/>
      <c r="K21" s="60">
        <v>50</v>
      </c>
      <c r="L21" s="60">
        <v>10</v>
      </c>
      <c r="M21" s="60">
        <v>5</v>
      </c>
      <c r="N21" s="61" t="s">
        <v>608</v>
      </c>
      <c r="O21" s="61" t="s">
        <v>606</v>
      </c>
      <c r="P21" s="62" t="s">
        <v>1129</v>
      </c>
      <c r="Q21" s="62" t="s">
        <v>308</v>
      </c>
      <c r="R21" s="64" t="str">
        <f t="shared" si="0"/>
        <v>烈焰震击</v>
      </c>
      <c r="S21" s="64"/>
      <c r="T21" s="63" t="s">
        <v>1550</v>
      </c>
      <c r="U21" s="63"/>
      <c r="V21" s="65" t="s">
        <v>285</v>
      </c>
      <c r="W21" s="66" t="str">
        <f t="shared" si="1"/>
        <v>对目标造成400法术伤害，然后每2秒造成400法术伤害。|n|n|cff99ccff施法距离:|r 800码|n|cff99ccff法力消耗:|r 50点|n|cff99ccff持续时间:|r 10秒|n|cff99ccff冷却时间:|r 5秒|n</v>
      </c>
      <c r="X21" s="66" t="str">
        <f t="shared" si="2"/>
        <v>烈焰震击</v>
      </c>
      <c r="Y21" s="66" t="str">
        <f t="shared" si="7"/>
        <v/>
      </c>
      <c r="Z21" s="66" t="str">
        <f t="shared" si="4"/>
        <v>|cff6666ff魔法|r状态：受到周期性的法术伤害。</v>
      </c>
      <c r="AA21" s="66" t="str">
        <f t="shared" si="5"/>
        <v xml:space="preserve">|cff6666ffMagical|r: </v>
      </c>
      <c r="AB21" s="130" t="s">
        <v>1693</v>
      </c>
    </row>
    <row r="22" spans="1:28">
      <c r="A22" s="78"/>
      <c r="B22" s="124" t="s">
        <v>1534</v>
      </c>
      <c r="C22" s="124" t="s">
        <v>1620</v>
      </c>
      <c r="D22" s="124" t="s">
        <v>1621</v>
      </c>
      <c r="E22" s="124" t="s">
        <v>1622</v>
      </c>
      <c r="F22" s="124" t="s">
        <v>1623</v>
      </c>
      <c r="G22" s="60">
        <v>1</v>
      </c>
      <c r="H22" s="60"/>
      <c r="I22" s="60"/>
      <c r="J22" s="60">
        <v>2000</v>
      </c>
      <c r="K22" s="60"/>
      <c r="L22" s="60"/>
      <c r="M22" s="60"/>
      <c r="N22" s="61"/>
      <c r="O22" s="61"/>
      <c r="P22" s="22" t="s">
        <v>1624</v>
      </c>
      <c r="Q22" s="22"/>
      <c r="R22" s="64"/>
      <c r="S22" s="64"/>
      <c r="T22" s="63"/>
      <c r="U22" s="63"/>
      <c r="V22" s="125" t="s">
        <v>1591</v>
      </c>
      <c r="Y22" s="66" t="str">
        <f t="shared" si="7"/>
        <v/>
      </c>
      <c r="AA22" s="66" t="str">
        <f t="shared" si="5"/>
        <v xml:space="preserve">Physical: </v>
      </c>
      <c r="AB22" s="130" t="s">
        <v>1693</v>
      </c>
    </row>
    <row r="23" spans="1:28" ht="28.5">
      <c r="A23" s="87">
        <v>4</v>
      </c>
      <c r="B23" s="88" t="s">
        <v>1534</v>
      </c>
      <c r="C23" s="88" t="s">
        <v>1130</v>
      </c>
      <c r="D23" s="88" t="s">
        <v>1015</v>
      </c>
      <c r="E23" s="88" t="s">
        <v>1576</v>
      </c>
      <c r="F23" s="88" t="s">
        <v>1016</v>
      </c>
      <c r="G23" s="89"/>
      <c r="H23" s="89"/>
      <c r="I23" s="89"/>
      <c r="J23" s="89"/>
      <c r="K23" s="89"/>
      <c r="L23" s="89"/>
      <c r="M23" s="89"/>
      <c r="N23" s="90" t="s">
        <v>1067</v>
      </c>
      <c r="O23" s="90" t="s">
        <v>1068</v>
      </c>
      <c r="P23" s="91" t="s">
        <v>1131</v>
      </c>
      <c r="Q23" s="91"/>
      <c r="R23" s="64" t="str">
        <f t="shared" si="0"/>
        <v>瘟疫（被动）</v>
      </c>
      <c r="S23" s="64"/>
      <c r="T23" s="63" t="s">
        <v>1550</v>
      </c>
      <c r="U23" s="63"/>
      <c r="V23" s="65">
        <v>0</v>
      </c>
      <c r="W23" s="66" t="str">
        <f>creepAbilityUberTipCN(P23,G23:M23)</f>
        <v>死亡后留下毒云，使范围内的玩家单位中毒。造成200伤害/2s。|n|n</v>
      </c>
      <c r="X23" s="66" t="str">
        <f>creepBuffTip(R23,O23)</f>
        <v>瘟疫（被动）</v>
      </c>
      <c r="Y23" s="66" t="str">
        <f t="shared" si="7"/>
        <v/>
      </c>
      <c r="Z23" s="66" t="str">
        <f>creepBuffUber(T23,N23)</f>
        <v>物理状态：受到周期性的法术伤害。</v>
      </c>
      <c r="AA23" s="66" t="str">
        <f t="shared" si="5"/>
        <v xml:space="preserve">Physical: </v>
      </c>
      <c r="AB23" s="130" t="s">
        <v>1693</v>
      </c>
    </row>
    <row r="24" spans="1:28">
      <c r="A24" s="87"/>
      <c r="B24" s="88"/>
      <c r="C24" s="88"/>
      <c r="D24" s="88"/>
      <c r="E24" s="131" t="s">
        <v>1696</v>
      </c>
      <c r="F24" s="131" t="s">
        <v>1697</v>
      </c>
      <c r="G24" s="89"/>
      <c r="H24" s="89"/>
      <c r="I24" s="89"/>
      <c r="J24" s="89"/>
      <c r="K24" s="89"/>
      <c r="L24" s="89"/>
      <c r="M24" s="89">
        <v>15</v>
      </c>
      <c r="N24" s="90"/>
      <c r="O24" s="90"/>
      <c r="P24" s="91"/>
      <c r="Q24" s="132" t="s">
        <v>1698</v>
      </c>
      <c r="R24" s="64"/>
      <c r="S24" s="64"/>
      <c r="T24" s="63"/>
      <c r="U24" s="63"/>
      <c r="V24" s="125" t="s">
        <v>1591</v>
      </c>
      <c r="AB24" s="130"/>
    </row>
    <row r="25" spans="1:28" ht="42.75">
      <c r="A25" s="87">
        <v>4</v>
      </c>
      <c r="B25" s="59" t="s">
        <v>288</v>
      </c>
      <c r="C25" s="59" t="s">
        <v>1132</v>
      </c>
      <c r="D25" s="59" t="s">
        <v>1017</v>
      </c>
      <c r="E25" s="59" t="s">
        <v>1133</v>
      </c>
      <c r="F25" s="59" t="s">
        <v>1018</v>
      </c>
      <c r="G25" s="60"/>
      <c r="H25" s="60"/>
      <c r="I25" s="60">
        <v>600</v>
      </c>
      <c r="J25" s="60"/>
      <c r="K25" s="60"/>
      <c r="L25" s="60"/>
      <c r="M25" s="60"/>
      <c r="N25" s="61" t="s">
        <v>607</v>
      </c>
      <c r="O25" s="61" t="s">
        <v>606</v>
      </c>
      <c r="P25" s="62" t="s">
        <v>1134</v>
      </c>
      <c r="Q25" s="62"/>
      <c r="R25" s="64" t="str">
        <f t="shared" si="0"/>
        <v>寄生</v>
      </c>
      <c r="S25" s="64"/>
      <c r="T25" s="63" t="s">
        <v>1557</v>
      </c>
      <c r="U25" s="63"/>
      <c r="V25" s="65">
        <v>0</v>
      </c>
      <c r="W25" s="66" t="str">
        <f>creepAbilityUberTipCN(P25,G25:M25)</f>
        <v>战斗开始10秒后对目标单位施放，钻入目标体内。5秒内每秒对目标造成20%目标生命值上限的伤害。结束或者目标死亡后，孵化2个寄生蟑螂。|n|n|cff99ccff施法距离:|r 600码|n</v>
      </c>
      <c r="X25" s="66" t="str">
        <f>creepBuffTip(R25,O25)</f>
        <v>寄生</v>
      </c>
      <c r="Y25" s="66" t="str">
        <f t="shared" si="7"/>
        <v/>
      </c>
      <c r="Z25" s="66" t="str">
        <f>creepBuffUber(T25,N25)</f>
        <v>物理状态：受到周期性的法术伤害，效果结束后孵化2个寄生蟑螂。</v>
      </c>
      <c r="AA25" s="66" t="str">
        <f t="shared" si="5"/>
        <v xml:space="preserve">Physical: </v>
      </c>
      <c r="AB25" s="130" t="s">
        <v>1693</v>
      </c>
    </row>
    <row r="26" spans="1:28" ht="57">
      <c r="A26" s="87">
        <v>4</v>
      </c>
      <c r="B26" s="124" t="s">
        <v>1534</v>
      </c>
      <c r="C26" s="124" t="s">
        <v>1694</v>
      </c>
      <c r="D26" s="124" t="s">
        <v>1695</v>
      </c>
      <c r="E26" s="124" t="s">
        <v>1699</v>
      </c>
      <c r="F26" s="124" t="s">
        <v>1700</v>
      </c>
      <c r="G26" s="60"/>
      <c r="H26" s="60"/>
      <c r="I26" s="60">
        <v>900</v>
      </c>
      <c r="J26" s="60"/>
      <c r="K26" s="60"/>
      <c r="L26" s="60">
        <v>5</v>
      </c>
      <c r="M26" s="60">
        <v>15</v>
      </c>
      <c r="N26" s="127" t="s">
        <v>608</v>
      </c>
      <c r="O26" s="127" t="s">
        <v>606</v>
      </c>
      <c r="P26" s="62"/>
      <c r="Q26" s="22" t="s">
        <v>1701</v>
      </c>
      <c r="R26" s="64"/>
      <c r="S26" s="128" t="s">
        <v>1700</v>
      </c>
      <c r="T26" s="63"/>
      <c r="U26" s="129" t="s">
        <v>1702</v>
      </c>
      <c r="V26" s="125" t="s">
        <v>279</v>
      </c>
      <c r="X26" s="66" t="str">
        <f>creepBuffTip(R26,O26)</f>
        <v/>
      </c>
      <c r="Y26" s="66" t="str">
        <f t="shared" si="7"/>
        <v>Curse of the Dead</v>
      </c>
      <c r="AA26" s="66" t="str">
        <f t="shared" si="5"/>
        <v>|cff6666ffMagical|r: When the curse is removed, deals magic damage that equals 70% of your max HP to all allies within 400 yards.</v>
      </c>
      <c r="AB26" s="130" t="s">
        <v>1693</v>
      </c>
    </row>
    <row r="27" spans="1:28" ht="42.75">
      <c r="A27" s="87"/>
      <c r="B27" s="124"/>
      <c r="C27" s="124"/>
      <c r="D27" s="124"/>
      <c r="E27" s="124" t="s">
        <v>1703</v>
      </c>
      <c r="F27" s="124" t="s">
        <v>1704</v>
      </c>
      <c r="G27" s="60">
        <v>3</v>
      </c>
      <c r="H27" s="60"/>
      <c r="I27" s="60">
        <v>750</v>
      </c>
      <c r="J27" s="60"/>
      <c r="K27" s="60"/>
      <c r="L27" s="60"/>
      <c r="M27" s="60"/>
      <c r="N27" s="127"/>
      <c r="O27" s="127"/>
      <c r="P27" s="62"/>
      <c r="Q27" s="22" t="s">
        <v>1705</v>
      </c>
      <c r="R27" s="64"/>
      <c r="S27" s="128"/>
      <c r="T27" s="63"/>
      <c r="U27" s="129"/>
      <c r="V27" s="125" t="s">
        <v>285</v>
      </c>
      <c r="AB27" s="130"/>
    </row>
    <row r="28" spans="1:28">
      <c r="A28" s="87">
        <v>4</v>
      </c>
      <c r="B28" s="88" t="s">
        <v>1534</v>
      </c>
      <c r="C28" s="88" t="s">
        <v>1135</v>
      </c>
      <c r="D28" s="88" t="s">
        <v>1019</v>
      </c>
      <c r="E28" s="88" t="s">
        <v>449</v>
      </c>
      <c r="F28" s="88" t="s">
        <v>1020</v>
      </c>
      <c r="G28" s="89">
        <v>5</v>
      </c>
      <c r="H28" s="89">
        <v>5</v>
      </c>
      <c r="I28" s="89">
        <v>128</v>
      </c>
      <c r="J28" s="89"/>
      <c r="K28" s="89"/>
      <c r="L28" s="89"/>
      <c r="M28" s="89"/>
      <c r="N28" s="90" t="s">
        <v>607</v>
      </c>
      <c r="O28" s="90" t="s">
        <v>606</v>
      </c>
      <c r="P28" s="91" t="s">
        <v>1136</v>
      </c>
      <c r="Q28" s="91"/>
      <c r="R28" s="64" t="str">
        <f t="shared" si="0"/>
        <v>啃食</v>
      </c>
      <c r="S28" s="64"/>
      <c r="T28" s="63" t="s">
        <v>1558</v>
      </c>
      <c r="U28" s="63"/>
      <c r="V28" s="65" t="s">
        <v>279</v>
      </c>
      <c r="W28" s="66" t="str">
        <f t="shared" ref="W28:W56" si="8">creepAbilityUberTipCN(P28,G28:M28)</f>
        <v>使目标昏迷并且每秒造成1000点物理伤害。|n|n|cff99ccff施法时间:|r 5秒|n|cff99ccff引导时间:|r 5秒|n|cff99ccff施法距离:|r 128码|n</v>
      </c>
      <c r="X28" s="66" t="str">
        <f t="shared" ref="X28:X56" si="9">creepBuffTip(R28,O28)</f>
        <v>啃食</v>
      </c>
      <c r="Y28" s="66" t="str">
        <f t="shared" si="7"/>
        <v/>
      </c>
      <c r="Z28" s="66" t="str">
        <f t="shared" ref="Z28:Z56" si="10">creepBuffUber(T28,N28)</f>
        <v>物理状态：受到周期性的物理伤害。</v>
      </c>
      <c r="AA28" s="66" t="str">
        <f t="shared" si="5"/>
        <v xml:space="preserve">Physical: </v>
      </c>
      <c r="AB28" s="130" t="s">
        <v>1693</v>
      </c>
    </row>
    <row r="29" spans="1:28">
      <c r="A29" s="87">
        <v>4</v>
      </c>
      <c r="B29" s="59" t="s">
        <v>1534</v>
      </c>
      <c r="C29" s="59" t="s">
        <v>1137</v>
      </c>
      <c r="D29" s="59" t="s">
        <v>1021</v>
      </c>
      <c r="E29" s="59" t="s">
        <v>1138</v>
      </c>
      <c r="F29" s="59" t="s">
        <v>1022</v>
      </c>
      <c r="G29" s="60"/>
      <c r="H29" s="60"/>
      <c r="I29" s="60"/>
      <c r="J29" s="60"/>
      <c r="K29" s="60"/>
      <c r="L29" s="60"/>
      <c r="M29" s="60"/>
      <c r="N29" s="61" t="s">
        <v>607</v>
      </c>
      <c r="O29" s="61" t="s">
        <v>607</v>
      </c>
      <c r="P29" s="62" t="s">
        <v>1139</v>
      </c>
      <c r="Q29" s="62"/>
      <c r="R29" s="64" t="str">
        <f t="shared" si="0"/>
        <v>反射光环</v>
      </c>
      <c r="S29" s="64"/>
      <c r="T29" s="63" t="s">
        <v>1559</v>
      </c>
      <c r="U29" s="63"/>
      <c r="V29" s="65">
        <v>0</v>
      </c>
      <c r="W29" s="66" t="str">
        <f t="shared" si="8"/>
        <v>附近范围内所有友军可以反射一切法术。|n|n</v>
      </c>
      <c r="X29" s="66" t="str">
        <f t="shared" si="9"/>
        <v>|cff00ff00反射光环|r</v>
      </c>
      <c r="Y29" s="66" t="str">
        <f t="shared" si="7"/>
        <v>|cff00ff00|r</v>
      </c>
      <c r="Z29" s="66" t="str">
        <f t="shared" si="10"/>
        <v>物理状态：可以反射指向你的法术。</v>
      </c>
      <c r="AA29" s="66" t="str">
        <f t="shared" si="5"/>
        <v xml:space="preserve">Physical: </v>
      </c>
      <c r="AB29" s="130" t="s">
        <v>1693</v>
      </c>
    </row>
    <row r="30" spans="1:28" ht="28.5">
      <c r="A30" s="87"/>
      <c r="B30" s="59"/>
      <c r="C30" s="59"/>
      <c r="D30" s="59"/>
      <c r="E30" s="59" t="s">
        <v>1140</v>
      </c>
      <c r="F30" s="59" t="s">
        <v>1023</v>
      </c>
      <c r="G30" s="60"/>
      <c r="H30" s="60"/>
      <c r="I30" s="60">
        <v>900</v>
      </c>
      <c r="J30" s="60">
        <v>300</v>
      </c>
      <c r="K30" s="60"/>
      <c r="L30" s="60">
        <v>10</v>
      </c>
      <c r="M30" s="60">
        <v>13</v>
      </c>
      <c r="N30" s="61" t="s">
        <v>608</v>
      </c>
      <c r="O30" s="61" t="s">
        <v>606</v>
      </c>
      <c r="P30" s="62" t="s">
        <v>1141</v>
      </c>
      <c r="Q30" s="62"/>
      <c r="R30" s="64" t="str">
        <f t="shared" si="0"/>
        <v>法力流失</v>
      </c>
      <c r="S30" s="64"/>
      <c r="T30" s="63" t="s">
        <v>1560</v>
      </c>
      <c r="U30" s="63"/>
      <c r="V30" s="65" t="s">
        <v>279</v>
      </c>
      <c r="W30" s="66" t="str">
        <f t="shared" si="8"/>
        <v>受影响的单位每次施放法术，会流失等值的所消耗法力值。|n|n|cff99ccff施法距离:|r 900码|n|cff99ccff影响范围:|r 300码|n|cff99ccff持续时间:|r 10秒|n|cff99ccff冷却时间:|r 13秒|n</v>
      </c>
      <c r="X30" s="66" t="str">
        <f t="shared" si="9"/>
        <v>法力流失</v>
      </c>
      <c r="Y30" s="66" t="str">
        <f t="shared" si="7"/>
        <v/>
      </c>
      <c r="Z30" s="66" t="str">
        <f t="shared" si="10"/>
        <v>|cff6666ff魔法|r状态：每次施放法术，会流失额外1倍的法力值。</v>
      </c>
      <c r="AA30" s="66" t="str">
        <f t="shared" si="5"/>
        <v xml:space="preserve">|cff6666ffMagical|r: </v>
      </c>
      <c r="AB30" s="130" t="s">
        <v>1693</v>
      </c>
    </row>
    <row r="31" spans="1:28">
      <c r="A31" s="87">
        <v>4</v>
      </c>
      <c r="B31" s="88" t="s">
        <v>280</v>
      </c>
      <c r="C31" s="88" t="s">
        <v>1142</v>
      </c>
      <c r="D31" s="88" t="s">
        <v>1024</v>
      </c>
      <c r="E31" s="88" t="s">
        <v>1143</v>
      </c>
      <c r="F31" s="88" t="s">
        <v>1025</v>
      </c>
      <c r="G31" s="89"/>
      <c r="H31" s="89"/>
      <c r="I31" s="89">
        <v>900</v>
      </c>
      <c r="J31" s="89"/>
      <c r="K31" s="89"/>
      <c r="L31" s="89">
        <v>3</v>
      </c>
      <c r="M31" s="89">
        <v>8</v>
      </c>
      <c r="N31" s="90" t="s">
        <v>608</v>
      </c>
      <c r="O31" s="90" t="s">
        <v>606</v>
      </c>
      <c r="P31" s="91" t="s">
        <v>1144</v>
      </c>
      <c r="Q31" s="91"/>
      <c r="R31" s="64" t="str">
        <f t="shared" si="0"/>
        <v>冰冻坟墓</v>
      </c>
      <c r="S31" s="64"/>
      <c r="T31" s="63" t="s">
        <v>1561</v>
      </c>
      <c r="U31" s="63"/>
      <c r="V31" s="65" t="s">
        <v>279</v>
      </c>
      <c r="W31" s="66" t="str">
        <f t="shared" si="8"/>
        <v>冰冻目标，对冰冻的目标每秒造成200点法术伤害。|n|n|cff99ccff施法距离:|r 900码|n|cff99ccff持续时间:|r 3秒|n|cff99ccff冷却时间:|r 8秒|n</v>
      </c>
      <c r="X31" s="66" t="str">
        <f t="shared" si="9"/>
        <v>冰冻坟墓</v>
      </c>
      <c r="Y31" s="66" t="str">
        <f t="shared" si="7"/>
        <v/>
      </c>
      <c r="Z31" s="66" t="str">
        <f t="shared" si="10"/>
        <v>|cff6666ff魔法|r状态：昏迷，受到周期性的法术伤害。</v>
      </c>
      <c r="AA31" s="66" t="str">
        <f t="shared" si="5"/>
        <v xml:space="preserve">|cff6666ffMagical|r: </v>
      </c>
      <c r="AB31" s="130" t="s">
        <v>1693</v>
      </c>
    </row>
    <row r="32" spans="1:28" ht="28.5">
      <c r="A32" s="87"/>
      <c r="B32" s="88"/>
      <c r="C32" s="88"/>
      <c r="D32" s="88"/>
      <c r="E32" s="88" t="s">
        <v>1145</v>
      </c>
      <c r="F32" s="88" t="s">
        <v>1026</v>
      </c>
      <c r="G32" s="89"/>
      <c r="H32" s="89"/>
      <c r="I32" s="89">
        <v>1800</v>
      </c>
      <c r="J32" s="89">
        <v>300</v>
      </c>
      <c r="K32" s="89"/>
      <c r="L32" s="89">
        <v>5</v>
      </c>
      <c r="M32" s="89">
        <v>8</v>
      </c>
      <c r="N32" s="90"/>
      <c r="O32" s="90"/>
      <c r="P32" s="91" t="s">
        <v>1146</v>
      </c>
      <c r="Q32" s="91"/>
      <c r="R32" s="64"/>
      <c r="S32" s="64"/>
      <c r="T32" s="63"/>
      <c r="U32" s="63"/>
      <c r="V32" s="65" t="s">
        <v>265</v>
      </c>
      <c r="W32" s="66" t="str">
        <f t="shared" si="8"/>
        <v>召唤一片不断移动的凋零区域，每秒对里面的玩家单位造成30%生命上限的伤害。|n|n|cff99ccff施法距离:|r 1800码|n|cff99ccff影响范围:|r 300码|n|cff99ccff持续时间:|r 5秒|n|cff99ccff冷却时间:|r 8秒|n</v>
      </c>
      <c r="X32" s="66" t="str">
        <f t="shared" si="9"/>
        <v/>
      </c>
      <c r="Y32" s="66" t="str">
        <f t="shared" si="7"/>
        <v/>
      </c>
      <c r="Z32" s="66" t="str">
        <f t="shared" si="10"/>
        <v>物理状态：</v>
      </c>
      <c r="AA32" s="66" t="str">
        <f t="shared" si="5"/>
        <v xml:space="preserve">Physical: </v>
      </c>
      <c r="AB32" s="130" t="s">
        <v>1693</v>
      </c>
    </row>
    <row r="33" spans="1:28" ht="28.5">
      <c r="A33" s="92">
        <v>5</v>
      </c>
      <c r="B33" s="64" t="s">
        <v>1534</v>
      </c>
      <c r="C33" s="64" t="s">
        <v>1147</v>
      </c>
      <c r="D33" s="64" t="s">
        <v>309</v>
      </c>
      <c r="E33" s="64" t="s">
        <v>1148</v>
      </c>
      <c r="F33" s="64" t="s">
        <v>310</v>
      </c>
      <c r="G33" s="93"/>
      <c r="H33" s="93"/>
      <c r="I33" s="93">
        <v>600</v>
      </c>
      <c r="J33" s="93"/>
      <c r="K33" s="93"/>
      <c r="L33" s="93"/>
      <c r="M33" s="93">
        <v>7</v>
      </c>
      <c r="N33" s="94"/>
      <c r="O33" s="94"/>
      <c r="P33" s="63" t="s">
        <v>1149</v>
      </c>
      <c r="Q33" s="63"/>
      <c r="R33" s="64"/>
      <c r="S33" s="64"/>
      <c r="T33" s="63"/>
      <c r="U33" s="63"/>
      <c r="V33" s="72" t="s">
        <v>279</v>
      </c>
      <c r="W33" s="66" t="str">
        <f t="shared" si="8"/>
        <v>牺牲自身20%的生命值, 对生命值最高的目标造成1000法术伤害.|n|n|cff99ccff施法距离:|r 600码|n|cff99ccff冷却时间:|r 7秒|n</v>
      </c>
      <c r="X33" s="66" t="str">
        <f t="shared" si="9"/>
        <v/>
      </c>
      <c r="Y33" s="66" t="str">
        <f t="shared" si="7"/>
        <v/>
      </c>
      <c r="Z33" s="66" t="str">
        <f t="shared" si="10"/>
        <v>物理状态：</v>
      </c>
      <c r="AA33" s="66" t="str">
        <f t="shared" si="5"/>
        <v xml:space="preserve">Physical: </v>
      </c>
      <c r="AB33" s="130" t="s">
        <v>1693</v>
      </c>
    </row>
    <row r="34" spans="1:28" ht="28.5">
      <c r="A34" s="92"/>
      <c r="B34" s="64"/>
      <c r="C34" s="64"/>
      <c r="D34" s="64"/>
      <c r="E34" s="64" t="s">
        <v>1150</v>
      </c>
      <c r="F34" s="64" t="s">
        <v>311</v>
      </c>
      <c r="G34" s="93"/>
      <c r="H34" s="93"/>
      <c r="I34" s="93">
        <v>600</v>
      </c>
      <c r="J34" s="93"/>
      <c r="K34" s="93"/>
      <c r="L34" s="93"/>
      <c r="M34" s="93">
        <v>5</v>
      </c>
      <c r="N34" s="94"/>
      <c r="O34" s="94"/>
      <c r="P34" s="63" t="s">
        <v>1581</v>
      </c>
      <c r="Q34" s="63"/>
      <c r="R34" s="64"/>
      <c r="S34" s="64"/>
      <c r="T34" s="63"/>
      <c r="U34" s="63"/>
      <c r="V34" s="72" t="s">
        <v>285</v>
      </c>
      <c r="W34" s="66" t="str">
        <f t="shared" si="8"/>
        <v>对目标造成其生命上限20%的伤害，并以5倍的效果治疗自己。|n|n|cff99ccff施法距离:|r 600码|n|cff99ccff冷却时间:|r 5秒|n</v>
      </c>
      <c r="X34" s="66" t="str">
        <f t="shared" si="9"/>
        <v/>
      </c>
      <c r="Y34" s="66" t="str">
        <f t="shared" si="7"/>
        <v/>
      </c>
      <c r="Z34" s="66" t="str">
        <f t="shared" si="10"/>
        <v>物理状态：</v>
      </c>
      <c r="AA34" s="66" t="str">
        <f t="shared" si="5"/>
        <v xml:space="preserve">Physical: </v>
      </c>
      <c r="AB34" s="130" t="s">
        <v>1693</v>
      </c>
    </row>
    <row r="35" spans="1:28">
      <c r="A35" s="92">
        <v>5</v>
      </c>
      <c r="B35" s="95" t="s">
        <v>288</v>
      </c>
      <c r="C35" s="95" t="s">
        <v>1151</v>
      </c>
      <c r="D35" s="95" t="s">
        <v>312</v>
      </c>
      <c r="E35" s="95" t="s">
        <v>1152</v>
      </c>
      <c r="F35" s="95" t="s">
        <v>313</v>
      </c>
      <c r="G35" s="96"/>
      <c r="H35" s="96"/>
      <c r="I35" s="96">
        <v>600</v>
      </c>
      <c r="J35" s="96"/>
      <c r="K35" s="96"/>
      <c r="L35" s="96"/>
      <c r="M35" s="96">
        <v>7</v>
      </c>
      <c r="N35" s="97"/>
      <c r="O35" s="97"/>
      <c r="P35" s="98" t="s">
        <v>1153</v>
      </c>
      <c r="Q35" s="98"/>
      <c r="R35" s="64"/>
      <c r="S35" s="64"/>
      <c r="T35" s="63"/>
      <c r="U35" s="63"/>
      <c r="V35" s="72" t="s">
        <v>279</v>
      </c>
      <c r="W35" s="66" t="str">
        <f t="shared" si="8"/>
        <v>燃烧目标20%的法力值，并造成等量伤害。|n|n|cff99ccff施法距离:|r 600码|n|cff99ccff冷却时间:|r 7秒|n</v>
      </c>
      <c r="X35" s="66" t="str">
        <f t="shared" si="9"/>
        <v/>
      </c>
      <c r="Y35" s="66" t="str">
        <f t="shared" si="7"/>
        <v/>
      </c>
      <c r="Z35" s="66" t="str">
        <f t="shared" si="10"/>
        <v>物理状态：</v>
      </c>
      <c r="AA35" s="66" t="str">
        <f t="shared" si="5"/>
        <v xml:space="preserve">Physical: </v>
      </c>
      <c r="AB35" s="130" t="s">
        <v>1693</v>
      </c>
    </row>
    <row r="36" spans="1:28" ht="42.75">
      <c r="A36" s="92">
        <v>5</v>
      </c>
      <c r="B36" s="64" t="s">
        <v>1534</v>
      </c>
      <c r="C36" s="64" t="s">
        <v>1154</v>
      </c>
      <c r="D36" s="64" t="s">
        <v>314</v>
      </c>
      <c r="E36" s="64" t="s">
        <v>1155</v>
      </c>
      <c r="F36" s="64" t="s">
        <v>315</v>
      </c>
      <c r="G36" s="93"/>
      <c r="H36" s="93"/>
      <c r="I36" s="93">
        <v>600</v>
      </c>
      <c r="J36" s="93"/>
      <c r="K36" s="93"/>
      <c r="L36" s="93">
        <v>12</v>
      </c>
      <c r="M36" s="93">
        <v>5</v>
      </c>
      <c r="N36" s="94" t="s">
        <v>608</v>
      </c>
      <c r="O36" s="94" t="s">
        <v>606</v>
      </c>
      <c r="P36" s="63" t="s">
        <v>1585</v>
      </c>
      <c r="Q36" s="63" t="s">
        <v>316</v>
      </c>
      <c r="R36" s="64" t="str">
        <f t="shared" si="0"/>
        <v>暗影之刺</v>
      </c>
      <c r="S36" s="64"/>
      <c r="T36" s="63" t="s">
        <v>1550</v>
      </c>
      <c r="U36" s="63"/>
      <c r="V36" s="72" t="s">
        <v>279</v>
      </c>
      <c r="W36" s="66" t="str">
        <f t="shared" si="8"/>
        <v>造成直接的法术伤害，然后再持续地对目标造成基于损失生命的法术伤害。|n|n|cff99ccff施法距离:|r 600码|n|cff99ccff持续时间:|r 12秒|n|cff99ccff冷却时间:|r 5秒|n</v>
      </c>
      <c r="X36" s="66" t="str">
        <f t="shared" si="9"/>
        <v>暗影之刺</v>
      </c>
      <c r="Y36" s="66" t="str">
        <f t="shared" si="7"/>
        <v/>
      </c>
      <c r="Z36" s="66" t="str">
        <f t="shared" si="10"/>
        <v>|cff6666ff魔法|r状态：受到周期性的法术伤害。</v>
      </c>
      <c r="AA36" s="66" t="str">
        <f t="shared" si="5"/>
        <v xml:space="preserve">|cff6666ffMagical|r: </v>
      </c>
      <c r="AB36" s="130" t="s">
        <v>1693</v>
      </c>
    </row>
    <row r="37" spans="1:28" ht="28.5">
      <c r="A37" s="92"/>
      <c r="B37" s="64"/>
      <c r="C37" s="64"/>
      <c r="D37" s="64"/>
      <c r="E37" s="64" t="s">
        <v>1156</v>
      </c>
      <c r="F37" s="64" t="s">
        <v>317</v>
      </c>
      <c r="G37" s="93"/>
      <c r="H37" s="93"/>
      <c r="I37" s="93">
        <v>600</v>
      </c>
      <c r="J37" s="93"/>
      <c r="K37" s="93"/>
      <c r="L37" s="93"/>
      <c r="M37" s="93">
        <v>15</v>
      </c>
      <c r="N37" s="94" t="s">
        <v>608</v>
      </c>
      <c r="O37" s="94" t="s">
        <v>606</v>
      </c>
      <c r="P37" s="63" t="s">
        <v>1562</v>
      </c>
      <c r="Q37" s="63" t="s">
        <v>318</v>
      </c>
      <c r="R37" s="64" t="str">
        <f t="shared" si="0"/>
        <v>痛苦标记</v>
      </c>
      <c r="S37" s="64"/>
      <c r="T37" s="63" t="s">
        <v>1563</v>
      </c>
      <c r="U37" s="63"/>
      <c r="V37" s="72" t="s">
        <v>285</v>
      </c>
      <c r="W37" s="66" t="str">
        <f t="shared" si="8"/>
        <v>目标受到等同于痛苦之女受到的伤害。|n|n|cff99ccff施法距离:|r 600码|n|cff99ccff冷却时间:|r 15秒|n</v>
      </c>
      <c r="X37" s="66" t="str">
        <f t="shared" si="9"/>
        <v>痛苦标记</v>
      </c>
      <c r="Y37" s="66" t="str">
        <f t="shared" si="7"/>
        <v/>
      </c>
      <c r="Z37" s="66" t="str">
        <f t="shared" si="10"/>
        <v>|cff6666ff魔法|r状态：受到等同于痛苦之女所受的伤害。</v>
      </c>
      <c r="AA37" s="66" t="str">
        <f t="shared" si="5"/>
        <v xml:space="preserve">|cff6666ffMagical|r: </v>
      </c>
      <c r="AB37" s="130" t="s">
        <v>1693</v>
      </c>
    </row>
    <row r="38" spans="1:28">
      <c r="A38" s="92">
        <v>5</v>
      </c>
      <c r="B38" s="95" t="s">
        <v>280</v>
      </c>
      <c r="C38" s="95" t="s">
        <v>1157</v>
      </c>
      <c r="D38" s="95" t="s">
        <v>319</v>
      </c>
      <c r="E38" s="99" t="s">
        <v>1158</v>
      </c>
      <c r="F38" s="99" t="s">
        <v>320</v>
      </c>
      <c r="G38" s="100"/>
      <c r="H38" s="100"/>
      <c r="I38" s="100"/>
      <c r="J38" s="100"/>
      <c r="K38" s="100"/>
      <c r="L38" s="100"/>
      <c r="M38" s="100"/>
      <c r="N38" s="101"/>
      <c r="O38" s="101"/>
      <c r="P38" s="102" t="s">
        <v>1159</v>
      </c>
      <c r="Q38" s="102"/>
      <c r="R38" s="103" t="str">
        <f t="shared" ref="R38:R55" si="11">E38</f>
        <v>相位变换</v>
      </c>
      <c r="S38" s="103"/>
      <c r="T38" s="104" t="s">
        <v>1564</v>
      </c>
      <c r="U38" s="104"/>
      <c r="V38" s="105" t="s">
        <v>1196</v>
      </c>
      <c r="W38" s="106" t="str">
        <f t="shared" si="8"/>
        <v>X秒永久隐形|n|n</v>
      </c>
      <c r="X38" s="106" t="str">
        <f t="shared" si="9"/>
        <v>相位变换</v>
      </c>
      <c r="Y38" s="66" t="str">
        <f t="shared" si="7"/>
        <v/>
      </c>
      <c r="Z38" s="106" t="str">
        <f t="shared" si="10"/>
        <v>物理状态：隐身。</v>
      </c>
      <c r="AA38" s="66" t="str">
        <f t="shared" si="5"/>
        <v xml:space="preserve">Physical: </v>
      </c>
      <c r="AB38" s="130" t="s">
        <v>1693</v>
      </c>
    </row>
    <row r="39" spans="1:28" ht="28.5">
      <c r="A39" s="92"/>
      <c r="B39" s="95"/>
      <c r="C39" s="95"/>
      <c r="D39" s="95"/>
      <c r="E39" s="95" t="s">
        <v>1160</v>
      </c>
      <c r="F39" s="95" t="s">
        <v>321</v>
      </c>
      <c r="G39" s="96">
        <v>4</v>
      </c>
      <c r="H39" s="96"/>
      <c r="I39" s="96"/>
      <c r="J39" s="96"/>
      <c r="K39" s="96"/>
      <c r="L39" s="96"/>
      <c r="M39" s="96">
        <v>12</v>
      </c>
      <c r="N39" s="97"/>
      <c r="O39" s="97"/>
      <c r="P39" s="98" t="s">
        <v>1161</v>
      </c>
      <c r="Q39" s="98"/>
      <c r="R39" s="64"/>
      <c r="S39" s="64"/>
      <c r="T39" s="63"/>
      <c r="U39" s="63"/>
      <c r="V39" s="72" t="s">
        <v>1590</v>
      </c>
      <c r="W39" s="66" t="str">
        <f t="shared" si="8"/>
        <v>将所有敌人拉至身边, 然后开始施放魔爆术, 造成1500伤害.|n|n|cff99ccff施法时间:|r 4秒|n|cff99ccff冷却时间:|r 12秒|n</v>
      </c>
      <c r="X39" s="66" t="str">
        <f t="shared" si="9"/>
        <v/>
      </c>
      <c r="Y39" s="66" t="str">
        <f t="shared" si="7"/>
        <v/>
      </c>
      <c r="Z39" s="66" t="str">
        <f t="shared" si="10"/>
        <v>物理状态：</v>
      </c>
      <c r="AA39" s="66" t="str">
        <f t="shared" si="5"/>
        <v xml:space="preserve">Physical: </v>
      </c>
      <c r="AB39" s="130" t="s">
        <v>1693</v>
      </c>
    </row>
    <row r="40" spans="1:28">
      <c r="A40" s="92"/>
      <c r="B40" s="95"/>
      <c r="C40" s="95"/>
      <c r="D40" s="95"/>
      <c r="E40" s="95" t="s">
        <v>1162</v>
      </c>
      <c r="F40" s="95" t="s">
        <v>322</v>
      </c>
      <c r="G40" s="96"/>
      <c r="H40" s="96"/>
      <c r="I40" s="96"/>
      <c r="J40" s="96"/>
      <c r="K40" s="96"/>
      <c r="L40" s="96">
        <v>12</v>
      </c>
      <c r="M40" s="96">
        <v>9</v>
      </c>
      <c r="N40" s="97" t="s">
        <v>608</v>
      </c>
      <c r="O40" s="97" t="s">
        <v>606</v>
      </c>
      <c r="P40" s="98" t="s">
        <v>1163</v>
      </c>
      <c r="Q40" s="98"/>
      <c r="R40" s="64" t="str">
        <f t="shared" si="11"/>
        <v>虚空吐息</v>
      </c>
      <c r="S40" s="64"/>
      <c r="T40" s="63" t="s">
        <v>1565</v>
      </c>
      <c r="U40" s="63"/>
      <c r="V40" s="72" t="s">
        <v>1591</v>
      </c>
      <c r="W40" s="66" t="str">
        <f t="shared" si="8"/>
        <v>正面锥形AOE, 并且使受影响的目标受到的法伤增幅.|n|n|cff99ccff持续时间:|r 12秒|n|cff99ccff冷却时间:|r 9秒|n</v>
      </c>
      <c r="X40" s="66" t="str">
        <f t="shared" si="9"/>
        <v>虚空吐息</v>
      </c>
      <c r="Y40" s="66" t="str">
        <f t="shared" si="7"/>
        <v/>
      </c>
      <c r="Z40" s="66" t="str">
        <f t="shared" si="10"/>
        <v>|cff6666ff魔法|r状态：受到的法术伤害提高。</v>
      </c>
      <c r="AA40" s="66" t="str">
        <f t="shared" si="5"/>
        <v xml:space="preserve">|cff6666ffMagical|r: </v>
      </c>
      <c r="AB40" s="130" t="s">
        <v>1693</v>
      </c>
    </row>
    <row r="41" spans="1:28">
      <c r="A41" s="92">
        <v>5</v>
      </c>
      <c r="B41" s="64" t="s">
        <v>288</v>
      </c>
      <c r="C41" s="64" t="s">
        <v>1164</v>
      </c>
      <c r="D41" s="64" t="s">
        <v>323</v>
      </c>
      <c r="E41" s="103" t="s">
        <v>1158</v>
      </c>
      <c r="F41" s="103" t="s">
        <v>320</v>
      </c>
      <c r="G41" s="107"/>
      <c r="H41" s="107"/>
      <c r="I41" s="107"/>
      <c r="J41" s="107"/>
      <c r="K41" s="107"/>
      <c r="L41" s="107"/>
      <c r="M41" s="107"/>
      <c r="N41" s="108"/>
      <c r="O41" s="108"/>
      <c r="P41" s="104" t="s">
        <v>1159</v>
      </c>
      <c r="Q41" s="104"/>
      <c r="R41" s="103" t="str">
        <f t="shared" si="11"/>
        <v>相位变换</v>
      </c>
      <c r="S41" s="103"/>
      <c r="T41" s="104" t="s">
        <v>1564</v>
      </c>
      <c r="U41" s="104"/>
      <c r="V41" s="105" t="s">
        <v>1196</v>
      </c>
      <c r="W41" s="106" t="str">
        <f t="shared" si="8"/>
        <v>X秒永久隐形|n|n</v>
      </c>
      <c r="X41" s="106" t="str">
        <f t="shared" si="9"/>
        <v>相位变换</v>
      </c>
      <c r="Y41" s="66" t="str">
        <f t="shared" si="7"/>
        <v/>
      </c>
      <c r="Z41" s="106" t="str">
        <f t="shared" si="10"/>
        <v>物理状态：隐身。</v>
      </c>
      <c r="AA41" s="66" t="str">
        <f t="shared" si="5"/>
        <v xml:space="preserve">Physical: </v>
      </c>
      <c r="AB41" s="130" t="s">
        <v>1693</v>
      </c>
    </row>
    <row r="42" spans="1:28">
      <c r="A42" s="92"/>
      <c r="B42" s="64"/>
      <c r="C42" s="64"/>
      <c r="D42" s="64"/>
      <c r="E42" s="64" t="s">
        <v>1165</v>
      </c>
      <c r="F42" s="64" t="s">
        <v>324</v>
      </c>
      <c r="G42" s="93"/>
      <c r="H42" s="93"/>
      <c r="I42" s="93">
        <v>600</v>
      </c>
      <c r="J42" s="93"/>
      <c r="K42" s="93"/>
      <c r="L42" s="93"/>
      <c r="M42" s="93">
        <v>7</v>
      </c>
      <c r="N42" s="94" t="s">
        <v>608</v>
      </c>
      <c r="O42" s="94" t="s">
        <v>606</v>
      </c>
      <c r="P42" s="63" t="s">
        <v>1166</v>
      </c>
      <c r="Q42" s="63"/>
      <c r="R42" s="64" t="str">
        <f t="shared" si="11"/>
        <v>迟缓</v>
      </c>
      <c r="S42" s="64"/>
      <c r="T42" s="63" t="s">
        <v>1566</v>
      </c>
      <c r="U42" s="63"/>
      <c r="V42" s="72" t="s">
        <v>285</v>
      </c>
      <c r="W42" s="66" t="str">
        <f t="shared" si="8"/>
        <v>降低目标75%移动速度.|n|n|cff99ccff施法距离:|r 600码|n|cff99ccff冷却时间:|r 7秒|n</v>
      </c>
      <c r="X42" s="66" t="str">
        <f t="shared" si="9"/>
        <v>迟缓</v>
      </c>
      <c r="Y42" s="66" t="str">
        <f t="shared" si="7"/>
        <v/>
      </c>
      <c r="Z42" s="66" t="str">
        <f t="shared" si="10"/>
        <v>|cff6666ff魔法|r状态：移动速度降低。</v>
      </c>
      <c r="AA42" s="66" t="str">
        <f t="shared" si="5"/>
        <v xml:space="preserve">|cff6666ffMagical|r: </v>
      </c>
      <c r="AB42" s="130" t="s">
        <v>1693</v>
      </c>
    </row>
    <row r="43" spans="1:28">
      <c r="A43" s="92">
        <v>5</v>
      </c>
      <c r="B43" s="109" t="s">
        <v>280</v>
      </c>
      <c r="C43" s="109" t="s">
        <v>1167</v>
      </c>
      <c r="D43" s="109" t="s">
        <v>1027</v>
      </c>
      <c r="E43" s="109" t="s">
        <v>1168</v>
      </c>
      <c r="F43" s="109" t="s">
        <v>1028</v>
      </c>
      <c r="G43" s="110">
        <v>0</v>
      </c>
      <c r="H43" s="110"/>
      <c r="I43" s="110">
        <v>900</v>
      </c>
      <c r="J43" s="110">
        <v>350</v>
      </c>
      <c r="K43" s="110">
        <v>0</v>
      </c>
      <c r="L43" s="110"/>
      <c r="M43" s="110">
        <v>7</v>
      </c>
      <c r="N43" s="111"/>
      <c r="O43" s="111"/>
      <c r="P43" s="112" t="s">
        <v>1169</v>
      </c>
      <c r="Q43" s="112"/>
      <c r="R43" s="64"/>
      <c r="S43" s="64"/>
      <c r="T43" s="63"/>
      <c r="U43" s="63"/>
      <c r="V43" s="72" t="s">
        <v>1065</v>
      </c>
      <c r="W43" s="66" t="str">
        <f t="shared" si="8"/>
        <v>对目标区域内造成6000点物理伤害，由所有目标分担。|n|n|cff99ccff施法时间:|r 0秒|n|cff99ccff施法距离:|r 900码|n|cff99ccff影响范围:|r 350码|n|cff99ccff法力消耗:|r 0点|n|cff99ccff冷却时间:|r 7秒|n</v>
      </c>
      <c r="X43" s="66" t="str">
        <f t="shared" si="9"/>
        <v/>
      </c>
      <c r="Y43" s="66" t="str">
        <f t="shared" si="7"/>
        <v/>
      </c>
      <c r="Z43" s="66" t="str">
        <f t="shared" si="10"/>
        <v>物理状态：</v>
      </c>
      <c r="AA43" s="66" t="str">
        <f t="shared" si="5"/>
        <v xml:space="preserve">Physical: </v>
      </c>
      <c r="AB43" s="130" t="s">
        <v>1693</v>
      </c>
    </row>
    <row r="44" spans="1:28">
      <c r="A44" s="92"/>
      <c r="B44" s="109"/>
      <c r="C44" s="109"/>
      <c r="D44" s="109"/>
      <c r="E44" s="109" t="s">
        <v>1593</v>
      </c>
      <c r="F44" s="109" t="s">
        <v>1029</v>
      </c>
      <c r="G44" s="110"/>
      <c r="H44" s="110"/>
      <c r="I44" s="110"/>
      <c r="J44" s="110"/>
      <c r="K44" s="110"/>
      <c r="L44" s="110"/>
      <c r="M44" s="110">
        <v>20</v>
      </c>
      <c r="N44" s="111" t="s">
        <v>607</v>
      </c>
      <c r="O44" s="111" t="s">
        <v>607</v>
      </c>
      <c r="P44" s="112" t="s">
        <v>1170</v>
      </c>
      <c r="Q44" s="112"/>
      <c r="R44" s="64" t="s">
        <v>1593</v>
      </c>
      <c r="S44" s="64"/>
      <c r="T44" s="63" t="s">
        <v>1594</v>
      </c>
      <c r="U44" s="63"/>
      <c r="V44" s="113" t="s">
        <v>1590</v>
      </c>
      <c r="W44" s="66" t="str">
        <f t="shared" si="8"/>
        <v>每秒对附近的玩家单位造成100点法术伤害。|n|n|cff99ccff冷却时间:|r 20秒|n</v>
      </c>
      <c r="X44" s="66" t="str">
        <f t="shared" si="9"/>
        <v>|cff00ff00燃烧|r</v>
      </c>
      <c r="Y44" s="66" t="str">
        <f t="shared" si="7"/>
        <v>|cff00ff00|r</v>
      </c>
      <c r="Z44" s="66" t="str">
        <f t="shared" si="10"/>
        <v>物理状态：周期性地对周围敌军造成伤害。</v>
      </c>
      <c r="AA44" s="66" t="str">
        <f t="shared" si="5"/>
        <v xml:space="preserve">Physical: </v>
      </c>
      <c r="AB44" s="130" t="s">
        <v>1693</v>
      </c>
    </row>
    <row r="45" spans="1:28" ht="28.5">
      <c r="A45" s="92"/>
      <c r="B45" s="109"/>
      <c r="C45" s="109"/>
      <c r="D45" s="109"/>
      <c r="E45" s="103" t="s">
        <v>1171</v>
      </c>
      <c r="F45" s="103" t="s">
        <v>1030</v>
      </c>
      <c r="G45" s="107"/>
      <c r="H45" s="107"/>
      <c r="I45" s="107"/>
      <c r="J45" s="107"/>
      <c r="K45" s="107"/>
      <c r="L45" s="107"/>
      <c r="M45" s="107"/>
      <c r="N45" s="108"/>
      <c r="O45" s="108"/>
      <c r="P45" s="104" t="s">
        <v>1172</v>
      </c>
      <c r="Q45" s="104"/>
      <c r="R45" s="103"/>
      <c r="S45" s="103"/>
      <c r="T45" s="104"/>
      <c r="U45" s="104"/>
      <c r="V45" s="105" t="s">
        <v>1196</v>
      </c>
      <c r="W45" s="106" t="str">
        <f t="shared" si="8"/>
        <v>对附近生命百分比最高的单位造成80%生命上限的伤害。|n|n</v>
      </c>
      <c r="X45" s="106" t="str">
        <f t="shared" si="9"/>
        <v/>
      </c>
      <c r="Y45" s="66" t="str">
        <f t="shared" si="7"/>
        <v/>
      </c>
      <c r="Z45" s="106" t="str">
        <f t="shared" si="10"/>
        <v>物理状态：</v>
      </c>
      <c r="AA45" s="66" t="str">
        <f t="shared" si="5"/>
        <v xml:space="preserve">Physical: </v>
      </c>
      <c r="AB45" s="130" t="s">
        <v>1693</v>
      </c>
    </row>
    <row r="46" spans="1:28">
      <c r="A46" s="114">
        <v>6</v>
      </c>
      <c r="B46" s="59" t="s">
        <v>1534</v>
      </c>
      <c r="C46" s="59" t="s">
        <v>1173</v>
      </c>
      <c r="D46" s="59" t="s">
        <v>325</v>
      </c>
      <c r="E46" s="59" t="s">
        <v>1174</v>
      </c>
      <c r="F46" s="59" t="s">
        <v>326</v>
      </c>
      <c r="G46" s="60">
        <v>2</v>
      </c>
      <c r="H46" s="60"/>
      <c r="I46" s="60"/>
      <c r="J46" s="60"/>
      <c r="K46" s="60"/>
      <c r="L46" s="60"/>
      <c r="M46" s="60">
        <v>6</v>
      </c>
      <c r="N46" s="61"/>
      <c r="O46" s="61"/>
      <c r="P46" s="62" t="s">
        <v>1197</v>
      </c>
      <c r="Q46" s="62"/>
      <c r="R46" s="64"/>
      <c r="S46" s="64"/>
      <c r="T46" s="63"/>
      <c r="U46" s="63"/>
      <c r="V46" s="72" t="s">
        <v>279</v>
      </c>
      <c r="W46" s="66" t="str">
        <f t="shared" si="8"/>
        <v>立即对目标造成70%其生命上限的物理伤害。|n|n|cff99ccff施法时间:|r 2秒|n|cff99ccff冷却时间:|r 6秒|n</v>
      </c>
      <c r="X46" s="66" t="str">
        <f t="shared" si="9"/>
        <v/>
      </c>
      <c r="Y46" s="66" t="str">
        <f t="shared" si="7"/>
        <v/>
      </c>
      <c r="Z46" s="66" t="str">
        <f t="shared" si="10"/>
        <v>物理状态：</v>
      </c>
      <c r="AA46" s="66" t="str">
        <f t="shared" si="5"/>
        <v xml:space="preserve">Physical: </v>
      </c>
      <c r="AB46" s="130" t="s">
        <v>1693</v>
      </c>
    </row>
    <row r="47" spans="1:28" ht="28.5">
      <c r="A47" s="114"/>
      <c r="B47" s="59"/>
      <c r="C47" s="59"/>
      <c r="D47" s="84"/>
      <c r="E47" s="84" t="s">
        <v>1175</v>
      </c>
      <c r="F47" s="84" t="s">
        <v>327</v>
      </c>
      <c r="G47" s="60"/>
      <c r="H47" s="60"/>
      <c r="I47" s="60"/>
      <c r="J47" s="60"/>
      <c r="K47" s="60"/>
      <c r="L47" s="60">
        <v>3</v>
      </c>
      <c r="M47" s="60">
        <v>12</v>
      </c>
      <c r="N47" s="61" t="s">
        <v>607</v>
      </c>
      <c r="O47" s="61" t="s">
        <v>606</v>
      </c>
      <c r="P47" s="85" t="s">
        <v>1176</v>
      </c>
      <c r="Q47" s="85"/>
      <c r="R47" s="64" t="str">
        <f t="shared" si="11"/>
        <v>震地</v>
      </c>
      <c r="S47" s="64"/>
      <c r="T47" s="63" t="s">
        <v>1566</v>
      </c>
      <c r="U47" s="63"/>
      <c r="V47" s="24" t="s">
        <v>1590</v>
      </c>
      <c r="W47" s="66" t="str">
        <f t="shared" si="8"/>
        <v>击飞附近所有敌人，造成300点物理伤害，并降低他们的移动速度75%。|n|n|cff99ccff持续时间:|r 3秒|n|cff99ccff冷却时间:|r 12秒|n</v>
      </c>
      <c r="X47" s="66" t="str">
        <f t="shared" si="9"/>
        <v>震地</v>
      </c>
      <c r="Y47" s="66" t="str">
        <f t="shared" si="7"/>
        <v/>
      </c>
      <c r="Z47" s="66" t="str">
        <f t="shared" si="10"/>
        <v>物理状态：移动速度降低。</v>
      </c>
      <c r="AA47" s="66" t="str">
        <f t="shared" si="5"/>
        <v xml:space="preserve">Physical: </v>
      </c>
      <c r="AB47" s="130" t="s">
        <v>1693</v>
      </c>
    </row>
    <row r="48" spans="1:28">
      <c r="A48" s="115">
        <v>6</v>
      </c>
      <c r="B48" s="116" t="s">
        <v>1534</v>
      </c>
      <c r="C48" s="116" t="s">
        <v>1177</v>
      </c>
      <c r="D48" s="116" t="s">
        <v>1031</v>
      </c>
      <c r="E48" s="116" t="s">
        <v>1178</v>
      </c>
      <c r="F48" s="116" t="s">
        <v>1032</v>
      </c>
      <c r="G48" s="117"/>
      <c r="H48" s="117"/>
      <c r="I48" s="117"/>
      <c r="J48" s="117"/>
      <c r="K48" s="117"/>
      <c r="L48" s="117"/>
      <c r="M48" s="117"/>
      <c r="N48" s="118" t="s">
        <v>607</v>
      </c>
      <c r="O48" s="118" t="s">
        <v>607</v>
      </c>
      <c r="P48" s="119" t="s">
        <v>1179</v>
      </c>
      <c r="Q48" s="119"/>
      <c r="R48" s="64" t="str">
        <f t="shared" si="11"/>
        <v>狂热</v>
      </c>
      <c r="S48" s="64"/>
      <c r="T48" s="63" t="s">
        <v>1567</v>
      </c>
      <c r="U48" s="63"/>
      <c r="V48" s="24">
        <v>0</v>
      </c>
      <c r="W48" s="66" t="str">
        <f t="shared" si="8"/>
        <v>每次攻击可以使攻击力提高50点。|n|n</v>
      </c>
      <c r="X48" s="66" t="str">
        <f t="shared" si="9"/>
        <v>|cff00ff00狂热|r</v>
      </c>
      <c r="Y48" s="66" t="str">
        <f t="shared" si="7"/>
        <v>|cff00ff00|r</v>
      </c>
      <c r="Z48" s="66" t="str">
        <f t="shared" si="10"/>
        <v>物理状态：攻击强度提高。</v>
      </c>
      <c r="AA48" s="66" t="str">
        <f t="shared" si="5"/>
        <v xml:space="preserve">Physical: </v>
      </c>
      <c r="AB48" s="130" t="s">
        <v>1693</v>
      </c>
    </row>
    <row r="49" spans="1:28" ht="28.5">
      <c r="A49" s="115">
        <v>6</v>
      </c>
      <c r="B49" s="66" t="s">
        <v>1534</v>
      </c>
      <c r="C49" s="66" t="s">
        <v>1180</v>
      </c>
      <c r="D49" s="66" t="s">
        <v>1038</v>
      </c>
      <c r="E49" s="66" t="s">
        <v>1181</v>
      </c>
      <c r="F49" s="66" t="s">
        <v>1033</v>
      </c>
      <c r="M49" s="121">
        <v>12</v>
      </c>
      <c r="P49" s="120" t="s">
        <v>1182</v>
      </c>
      <c r="R49" s="64"/>
      <c r="S49" s="64"/>
      <c r="T49" s="63"/>
      <c r="U49" s="63"/>
      <c r="V49" s="24" t="s">
        <v>285</v>
      </c>
      <c r="W49" s="66" t="str">
        <f t="shared" si="8"/>
        <v>尸体从天而降，对范围内的友军治疗，对玩家单位造成伤害。|n|n|cff99ccff冷却时间:|r 12秒|n</v>
      </c>
      <c r="X49" s="66" t="str">
        <f t="shared" si="9"/>
        <v/>
      </c>
      <c r="Y49" s="66" t="str">
        <f t="shared" si="7"/>
        <v/>
      </c>
      <c r="Z49" s="66" t="str">
        <f t="shared" si="10"/>
        <v>物理状态：</v>
      </c>
      <c r="AA49" s="66" t="str">
        <f t="shared" si="5"/>
        <v xml:space="preserve">Physical: </v>
      </c>
      <c r="AB49" s="130" t="s">
        <v>1693</v>
      </c>
    </row>
    <row r="50" spans="1:28" ht="42.75">
      <c r="A50" s="115"/>
      <c r="E50" s="66" t="s">
        <v>1183</v>
      </c>
      <c r="F50" s="66" t="s">
        <v>1034</v>
      </c>
      <c r="M50" s="121">
        <v>20</v>
      </c>
      <c r="P50" s="120" t="s">
        <v>1568</v>
      </c>
      <c r="R50" s="64"/>
      <c r="S50" s="64"/>
      <c r="T50" s="63"/>
      <c r="U50" s="63"/>
      <c r="V50" s="24" t="s">
        <v>279</v>
      </c>
      <c r="W50" s="66" t="str">
        <f t="shared" si="8"/>
        <v>召唤目标的幻象，幻象受到伤害时，目标也会受到同样百分比的伤害。幻象每秒受到20%生命上限的伤害并恢复15%生命上限的生命值。|n|n|cff99ccff冷却时间:|r 20秒|n</v>
      </c>
      <c r="X50" s="66" t="str">
        <f t="shared" si="9"/>
        <v/>
      </c>
      <c r="Y50" s="66" t="str">
        <f t="shared" si="7"/>
        <v/>
      </c>
      <c r="Z50" s="66" t="str">
        <f t="shared" si="10"/>
        <v>物理状态：</v>
      </c>
      <c r="AA50" s="66" t="str">
        <f t="shared" si="5"/>
        <v xml:space="preserve">Physical: </v>
      </c>
      <c r="AB50" s="130" t="s">
        <v>1693</v>
      </c>
    </row>
    <row r="51" spans="1:28">
      <c r="A51" s="115">
        <v>6</v>
      </c>
      <c r="B51" s="116" t="s">
        <v>280</v>
      </c>
      <c r="C51" s="116" t="s">
        <v>1184</v>
      </c>
      <c r="D51" s="116" t="s">
        <v>1035</v>
      </c>
      <c r="E51" s="116" t="s">
        <v>1577</v>
      </c>
      <c r="F51" s="116" t="s">
        <v>1036</v>
      </c>
      <c r="G51" s="117"/>
      <c r="H51" s="117"/>
      <c r="I51" s="117"/>
      <c r="J51" s="117"/>
      <c r="K51" s="117"/>
      <c r="L51" s="117"/>
      <c r="M51" s="117"/>
      <c r="N51" s="118"/>
      <c r="O51" s="118"/>
      <c r="P51" s="119" t="s">
        <v>1185</v>
      </c>
      <c r="Q51" s="119"/>
      <c r="R51" s="64"/>
      <c r="S51" s="64"/>
      <c r="T51" s="63"/>
      <c r="U51" s="63"/>
      <c r="V51" s="24" t="s">
        <v>1590</v>
      </c>
      <c r="W51" s="66" t="str">
        <f t="shared" si="8"/>
        <v>每次攻击对附近所有玩家单位造成伤害。|n|n</v>
      </c>
      <c r="X51" s="66" t="str">
        <f t="shared" si="9"/>
        <v/>
      </c>
      <c r="Y51" s="66" t="str">
        <f t="shared" si="7"/>
        <v/>
      </c>
      <c r="Z51" s="66" t="str">
        <f t="shared" si="10"/>
        <v>物理状态：</v>
      </c>
      <c r="AA51" s="66" t="str">
        <f t="shared" si="5"/>
        <v xml:space="preserve">Physical: </v>
      </c>
      <c r="AB51" s="130" t="s">
        <v>1693</v>
      </c>
    </row>
    <row r="52" spans="1:28" ht="28.5">
      <c r="A52" s="115"/>
      <c r="B52" s="116"/>
      <c r="C52" s="116"/>
      <c r="D52" s="116"/>
      <c r="E52" s="116" t="s">
        <v>1186</v>
      </c>
      <c r="F52" s="116" t="s">
        <v>1037</v>
      </c>
      <c r="G52" s="117">
        <v>4</v>
      </c>
      <c r="H52" s="117"/>
      <c r="I52" s="117"/>
      <c r="J52" s="117"/>
      <c r="K52" s="117"/>
      <c r="L52" s="117"/>
      <c r="M52" s="117"/>
      <c r="N52" s="118" t="s">
        <v>608</v>
      </c>
      <c r="O52" s="118" t="s">
        <v>606</v>
      </c>
      <c r="P52" s="119" t="s">
        <v>1187</v>
      </c>
      <c r="Q52" s="119"/>
      <c r="R52" s="64" t="str">
        <f t="shared" si="11"/>
        <v>呕吐</v>
      </c>
      <c r="S52" s="64"/>
      <c r="T52" s="63" t="s">
        <v>1570</v>
      </c>
      <c r="U52" s="63"/>
      <c r="V52" s="24" t="s">
        <v>1591</v>
      </c>
      <c r="W52" s="66" t="str">
        <f t="shared" si="8"/>
        <v>呕吐出一堆蛆虫来攻击范围内的玩家单位，被蛆虫攻击的单位的命中率降低40%。|n|n|cff99ccff施法时间:|r 4秒|n</v>
      </c>
      <c r="X52" s="66" t="str">
        <f t="shared" si="9"/>
        <v>呕吐</v>
      </c>
      <c r="Y52" s="66" t="str">
        <f t="shared" si="7"/>
        <v/>
      </c>
      <c r="Z52" s="66" t="str">
        <f t="shared" si="10"/>
        <v>|cff6666ff魔法|r状态：命中几率降低。</v>
      </c>
      <c r="AA52" s="66" t="str">
        <f t="shared" si="5"/>
        <v xml:space="preserve">|cff6666ffMagical|r: </v>
      </c>
      <c r="AB52" s="130" t="s">
        <v>1693</v>
      </c>
    </row>
    <row r="53" spans="1:28" ht="28.5">
      <c r="A53" s="115">
        <v>6</v>
      </c>
      <c r="B53" s="66" t="s">
        <v>1534</v>
      </c>
      <c r="C53" s="66" t="s">
        <v>1572</v>
      </c>
      <c r="D53" s="66" t="s">
        <v>1039</v>
      </c>
      <c r="E53" s="66" t="s">
        <v>1188</v>
      </c>
      <c r="F53" s="66" t="s">
        <v>1040</v>
      </c>
      <c r="M53" s="121">
        <v>4</v>
      </c>
      <c r="P53" s="120" t="s">
        <v>1189</v>
      </c>
      <c r="R53" s="64"/>
      <c r="S53" s="64"/>
      <c r="T53" s="63"/>
      <c r="U53" s="63"/>
      <c r="V53" s="72" t="s">
        <v>279</v>
      </c>
      <c r="W53" s="66" t="str">
        <f t="shared" si="8"/>
        <v>发射一枝毒箭，对路径上的所有玩家单位造成伤害。恐怖图腾也会一起发射毒箭。|n|n|cff99ccff冷却时间:|r 4秒|n</v>
      </c>
      <c r="X53" s="66" t="str">
        <f t="shared" si="9"/>
        <v/>
      </c>
      <c r="Y53" s="66" t="str">
        <f t="shared" si="7"/>
        <v/>
      </c>
      <c r="Z53" s="66" t="str">
        <f t="shared" si="10"/>
        <v>物理状态：</v>
      </c>
      <c r="AA53" s="66" t="str">
        <f t="shared" si="5"/>
        <v xml:space="preserve">Physical: </v>
      </c>
      <c r="AB53" s="130" t="s">
        <v>1693</v>
      </c>
    </row>
    <row r="54" spans="1:28" ht="28.5">
      <c r="A54" s="115"/>
      <c r="E54" s="66" t="s">
        <v>1190</v>
      </c>
      <c r="F54" s="66" t="s">
        <v>1041</v>
      </c>
      <c r="M54" s="121">
        <v>8</v>
      </c>
      <c r="N54" s="122" t="s">
        <v>607</v>
      </c>
      <c r="O54" s="122" t="s">
        <v>606</v>
      </c>
      <c r="P54" s="120" t="s">
        <v>1579</v>
      </c>
      <c r="R54" s="64" t="str">
        <f t="shared" si="11"/>
        <v>恐怖图腾</v>
      </c>
      <c r="S54" s="64"/>
      <c r="T54" s="63" t="s">
        <v>1569</v>
      </c>
      <c r="U54" s="63"/>
      <c r="V54" s="65" t="s">
        <v>272</v>
      </c>
      <c r="W54" s="66" t="str">
        <f t="shared" si="8"/>
        <v>召唤一个无敌的恐怖图腾，附近的玩家单位造成的伤害降低15%。|n|n|cff99ccff冷却时间:|r 8秒|n</v>
      </c>
      <c r="X54" s="66" t="str">
        <f t="shared" si="9"/>
        <v>恐怖图腾</v>
      </c>
      <c r="Y54" s="66" t="str">
        <f t="shared" si="7"/>
        <v/>
      </c>
      <c r="Z54" s="66" t="str">
        <f t="shared" si="10"/>
        <v>物理状态：造成的伤害降低。</v>
      </c>
      <c r="AA54" s="66" t="str">
        <f t="shared" si="5"/>
        <v xml:space="preserve">Physical: </v>
      </c>
      <c r="AB54" s="130" t="s">
        <v>1693</v>
      </c>
    </row>
    <row r="55" spans="1:28">
      <c r="A55" s="115">
        <v>6</v>
      </c>
      <c r="B55" s="116" t="s">
        <v>280</v>
      </c>
      <c r="C55" s="116" t="s">
        <v>1191</v>
      </c>
      <c r="D55" s="116" t="s">
        <v>1042</v>
      </c>
      <c r="E55" s="116" t="s">
        <v>1192</v>
      </c>
      <c r="F55" s="116" t="s">
        <v>1043</v>
      </c>
      <c r="G55" s="117"/>
      <c r="H55" s="117"/>
      <c r="I55" s="117">
        <v>1200</v>
      </c>
      <c r="J55" s="117"/>
      <c r="K55" s="117"/>
      <c r="L55" s="117">
        <v>9</v>
      </c>
      <c r="M55" s="117">
        <v>12</v>
      </c>
      <c r="N55" s="118" t="s">
        <v>608</v>
      </c>
      <c r="O55" s="118" t="s">
        <v>606</v>
      </c>
      <c r="P55" s="119" t="s">
        <v>1193</v>
      </c>
      <c r="Q55" s="119"/>
      <c r="R55" s="64" t="str">
        <f t="shared" si="11"/>
        <v>险恶打击</v>
      </c>
      <c r="S55" s="64"/>
      <c r="T55" s="63" t="s">
        <v>1571</v>
      </c>
      <c r="U55" s="63"/>
      <c r="V55" s="65" t="s">
        <v>279</v>
      </c>
      <c r="W55" s="66" t="str">
        <f t="shared" si="8"/>
        <v>目标单位每2秒昏迷1秒。|n|n|cff99ccff施法距离:|r 1200码|n|cff99ccff持续时间:|r 9秒|n|cff99ccff冷却时间:|r 12秒|n</v>
      </c>
      <c r="X55" s="66" t="str">
        <f t="shared" si="9"/>
        <v>险恶打击</v>
      </c>
      <c r="Y55" s="66" t="str">
        <f t="shared" si="7"/>
        <v/>
      </c>
      <c r="Z55" s="66" t="str">
        <f t="shared" si="10"/>
        <v>|cff6666ff魔法|r状态：周期性的昏迷。</v>
      </c>
      <c r="AA55" s="66" t="str">
        <f t="shared" si="5"/>
        <v xml:space="preserve">|cff6666ffMagical|r: </v>
      </c>
      <c r="AB55" s="130" t="s">
        <v>1693</v>
      </c>
    </row>
    <row r="56" spans="1:28" ht="28.5">
      <c r="A56" s="115"/>
      <c r="B56" s="116"/>
      <c r="C56" s="116"/>
      <c r="D56" s="116"/>
      <c r="E56" s="116" t="s">
        <v>1194</v>
      </c>
      <c r="F56" s="116" t="s">
        <v>1044</v>
      </c>
      <c r="G56" s="117"/>
      <c r="H56" s="117"/>
      <c r="I56" s="117">
        <v>1200</v>
      </c>
      <c r="J56" s="117">
        <v>300</v>
      </c>
      <c r="K56" s="117"/>
      <c r="L56" s="117">
        <v>15</v>
      </c>
      <c r="M56" s="117">
        <v>18</v>
      </c>
      <c r="N56" s="118"/>
      <c r="O56" s="118"/>
      <c r="P56" s="119" t="s">
        <v>1195</v>
      </c>
      <c r="Q56" s="119"/>
      <c r="R56" s="64"/>
      <c r="S56" s="64"/>
      <c r="T56" s="63"/>
      <c r="U56" s="63"/>
      <c r="V56" s="65" t="s">
        <v>1590</v>
      </c>
      <c r="W56" s="66" t="str">
        <f t="shared" si="8"/>
        <v>对目标区域内的所有玩家每秒造成伤害，范围会逐渐扩大。|n|n|cff99ccff施法距离:|r 1200码|n|cff99ccff影响范围:|r 300码|n|cff99ccff持续时间:|r 15秒|n|cff99ccff冷却时间:|r 18秒|n</v>
      </c>
      <c r="X56" s="66" t="str">
        <f t="shared" si="9"/>
        <v/>
      </c>
      <c r="Y56" s="66" t="str">
        <f t="shared" si="7"/>
        <v/>
      </c>
      <c r="Z56" s="66" t="str">
        <f t="shared" si="10"/>
        <v>物理状态：</v>
      </c>
      <c r="AA56" s="66" t="str">
        <f t="shared" si="5"/>
        <v xml:space="preserve">Physical: </v>
      </c>
      <c r="AB56" s="130" t="s">
        <v>1693</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17" sqref="D17"/>
    </sheetView>
  </sheetViews>
  <sheetFormatPr defaultRowHeight="14.25"/>
  <cols>
    <col min="1" max="1" width="9.140625" style="155"/>
    <col min="2" max="2" width="6.140625" style="155" customWidth="1"/>
    <col min="3" max="3" width="13.28515625" style="155" bestFit="1" customWidth="1"/>
    <col min="4" max="4" width="43" style="155" bestFit="1" customWidth="1"/>
    <col min="5" max="16384" width="9.140625" style="155"/>
  </cols>
  <sheetData>
    <row r="1" spans="1:4">
      <c r="A1" s="155" t="s">
        <v>56</v>
      </c>
      <c r="B1" s="155" t="s">
        <v>2479</v>
      </c>
      <c r="C1" s="155" t="s">
        <v>2477</v>
      </c>
      <c r="D1" s="155" t="s">
        <v>2480</v>
      </c>
    </row>
    <row r="2" spans="1:4">
      <c r="A2" s="155" t="s">
        <v>2488</v>
      </c>
      <c r="B2" s="155">
        <v>2</v>
      </c>
      <c r="C2" s="155" t="s">
        <v>2478</v>
      </c>
      <c r="D2" s="155" t="s">
        <v>2481</v>
      </c>
    </row>
    <row r="3" spans="1:4">
      <c r="A3" s="155" t="s">
        <v>2489</v>
      </c>
      <c r="B3" s="155">
        <v>2</v>
      </c>
      <c r="C3" s="155" t="s">
        <v>2482</v>
      </c>
      <c r="D3" s="155" t="s">
        <v>2483</v>
      </c>
    </row>
    <row r="4" spans="1:4">
      <c r="A4" s="155" t="s">
        <v>2490</v>
      </c>
      <c r="B4" s="155">
        <v>2</v>
      </c>
      <c r="C4" s="155" t="s">
        <v>2484</v>
      </c>
      <c r="D4" s="155" t="s">
        <v>2485</v>
      </c>
    </row>
    <row r="5" spans="1:4">
      <c r="A5" s="155" t="s">
        <v>2491</v>
      </c>
      <c r="B5" s="155">
        <v>2</v>
      </c>
      <c r="C5" s="155" t="s">
        <v>2486</v>
      </c>
      <c r="D5" s="155" t="s">
        <v>2487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86"/>
  <sheetViews>
    <sheetView workbookViewId="0">
      <pane ySplit="1" topLeftCell="A44" activePane="bottomLeft" state="frozen"/>
      <selection pane="bottomLeft" activeCell="D67" sqref="D67"/>
    </sheetView>
  </sheetViews>
  <sheetFormatPr defaultRowHeight="14.25"/>
  <cols>
    <col min="1" max="1" width="29.7109375" style="29" bestFit="1" customWidth="1"/>
    <col min="2" max="2" width="9" style="29" bestFit="1" customWidth="1"/>
    <col min="3" max="3" width="8.140625" style="29" customWidth="1"/>
    <col min="4" max="4" width="5.42578125" style="29" bestFit="1" customWidth="1"/>
    <col min="5" max="5" width="5.28515625" style="29" bestFit="1" customWidth="1"/>
    <col min="6" max="6" width="5.140625" style="29" bestFit="1" customWidth="1"/>
    <col min="7" max="8" width="8.140625" style="29" customWidth="1"/>
    <col min="9" max="9" width="5" style="29" bestFit="1" customWidth="1"/>
    <col min="10" max="11" width="5.28515625" style="29" bestFit="1" customWidth="1"/>
    <col min="12" max="12" width="4.85546875" style="29" bestFit="1" customWidth="1"/>
    <col min="13" max="14" width="5.28515625" style="29" bestFit="1" customWidth="1"/>
    <col min="15" max="15" width="19.140625" style="29" customWidth="1"/>
    <col min="16" max="16" width="8.85546875" style="29" bestFit="1" customWidth="1"/>
    <col min="17" max="17" width="6.5703125" style="29" customWidth="1"/>
    <col min="18" max="18" width="4.85546875" style="29" bestFit="1" customWidth="1"/>
    <col min="19" max="20" width="4.85546875" style="29" customWidth="1"/>
    <col min="21" max="21" width="63.140625" style="29" bestFit="1" customWidth="1"/>
    <col min="22" max="22" width="11" style="29" bestFit="1" customWidth="1"/>
    <col min="23" max="23" width="12.85546875" style="29" customWidth="1"/>
    <col min="24" max="24" width="4.140625" style="29" bestFit="1" customWidth="1"/>
    <col min="25" max="16384" width="9.140625" style="29"/>
  </cols>
  <sheetData>
    <row r="1" spans="1:214" s="25" customFormat="1">
      <c r="A1" s="25" t="s">
        <v>1002</v>
      </c>
      <c r="B1" s="25" t="s">
        <v>1001</v>
      </c>
      <c r="C1" s="25" t="s">
        <v>1535</v>
      </c>
      <c r="D1" s="25" t="s">
        <v>1538</v>
      </c>
      <c r="E1" s="25" t="s">
        <v>1539</v>
      </c>
      <c r="F1" s="25" t="s">
        <v>1540</v>
      </c>
      <c r="G1" s="25" t="s">
        <v>1536</v>
      </c>
      <c r="H1" s="25" t="s">
        <v>1537</v>
      </c>
      <c r="I1" s="25" t="s">
        <v>997</v>
      </c>
      <c r="J1" s="25" t="s">
        <v>996</v>
      </c>
      <c r="K1" s="25" t="s">
        <v>995</v>
      </c>
      <c r="L1" s="25" t="s">
        <v>994</v>
      </c>
      <c r="M1" s="25" t="s">
        <v>993</v>
      </c>
      <c r="N1" s="25" t="s">
        <v>992</v>
      </c>
      <c r="O1" s="25" t="s">
        <v>991</v>
      </c>
      <c r="P1" s="25" t="s">
        <v>1000</v>
      </c>
      <c r="Q1" s="25" t="s">
        <v>999</v>
      </c>
      <c r="R1" s="25" t="s">
        <v>998</v>
      </c>
      <c r="S1" s="25" t="s">
        <v>1541</v>
      </c>
      <c r="T1" s="25" t="s">
        <v>1542</v>
      </c>
      <c r="U1" s="25" t="s">
        <v>990</v>
      </c>
      <c r="V1" s="25" t="s">
        <v>989</v>
      </c>
      <c r="X1" s="25" t="s">
        <v>1693</v>
      </c>
    </row>
    <row r="2" spans="1:214">
      <c r="A2" s="136" t="s">
        <v>1714</v>
      </c>
      <c r="B2" s="26" t="s">
        <v>907</v>
      </c>
      <c r="C2" s="26">
        <v>500000</v>
      </c>
      <c r="D2" s="26">
        <v>0</v>
      </c>
      <c r="E2" s="26">
        <v>0</v>
      </c>
      <c r="F2" s="26">
        <v>0</v>
      </c>
      <c r="G2" s="26">
        <v>5</v>
      </c>
      <c r="H2" s="26">
        <v>5</v>
      </c>
      <c r="I2" s="27">
        <v>0</v>
      </c>
      <c r="J2" s="27">
        <v>0</v>
      </c>
      <c r="K2" s="27">
        <v>0</v>
      </c>
      <c r="L2" s="27">
        <v>0</v>
      </c>
      <c r="M2" s="27">
        <v>1</v>
      </c>
      <c r="N2" s="27">
        <v>0</v>
      </c>
      <c r="O2" s="26" t="s">
        <v>906</v>
      </c>
      <c r="P2" s="28">
        <f t="shared" ref="P2" si="0">C2-1-D2*10</f>
        <v>499999</v>
      </c>
      <c r="Q2" s="28">
        <f t="shared" ref="Q2" si="1">G2-CHOOSE( IF( B2="ATT_AGI", 2, IF( B2="ATT_INT", 3, 1 ) ), D2, E2, F2 )</f>
        <v>5</v>
      </c>
      <c r="R2" s="28">
        <f t="shared" ref="R2" si="2">H2-G2</f>
        <v>0</v>
      </c>
      <c r="S2" s="28">
        <f>Q2-1</f>
        <v>4</v>
      </c>
      <c r="T2" s="28">
        <f>R2+1</f>
        <v>1</v>
      </c>
      <c r="U2" s="26" t="s">
        <v>987</v>
      </c>
      <c r="V2" s="26"/>
      <c r="W2" s="29"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33" t="s">
        <v>1693</v>
      </c>
    </row>
    <row r="3" spans="1:214">
      <c r="A3" s="26" t="s">
        <v>988</v>
      </c>
      <c r="B3" s="26" t="s">
        <v>907</v>
      </c>
      <c r="C3" s="26">
        <v>50000</v>
      </c>
      <c r="D3" s="26">
        <v>0</v>
      </c>
      <c r="E3" s="26">
        <v>0</v>
      </c>
      <c r="F3" s="26">
        <v>0</v>
      </c>
      <c r="G3" s="26">
        <v>5</v>
      </c>
      <c r="H3" s="26">
        <v>5</v>
      </c>
      <c r="I3" s="27">
        <v>0</v>
      </c>
      <c r="J3" s="27">
        <v>0</v>
      </c>
      <c r="K3" s="27">
        <v>0</v>
      </c>
      <c r="L3" s="27">
        <v>0</v>
      </c>
      <c r="M3" s="27">
        <v>1</v>
      </c>
      <c r="N3" s="27">
        <v>0</v>
      </c>
      <c r="O3" s="26" t="s">
        <v>906</v>
      </c>
      <c r="P3" s="28">
        <f t="shared" ref="P3:P6" si="4">C3-1-D3*10</f>
        <v>49999</v>
      </c>
      <c r="Q3" s="28">
        <f t="shared" ref="Q3:Q6" si="5">G3-CHOOSE( IF( B3="ATT_AGI", 2, IF( B3="ATT_INT", 3, 1 ) ), D3, E3, F3 )</f>
        <v>5</v>
      </c>
      <c r="R3" s="28">
        <f t="shared" ref="R3:R6" si="6">H3-G3</f>
        <v>0</v>
      </c>
      <c r="S3" s="28">
        <f>Q3-1</f>
        <v>4</v>
      </c>
      <c r="T3" s="28">
        <f>R3+1</f>
        <v>1</v>
      </c>
      <c r="U3" s="26" t="s">
        <v>987</v>
      </c>
      <c r="V3" s="26"/>
      <c r="W3" s="29" t="str">
        <f t="shared" ca="1" si="3"/>
        <v>ModelInfo.rg(UTID_STATIC_TARGET,ATT_NON,49999,5,0,0,0,0,0,1,0,CAREER_TYPE_CREEP,"ReplaceableTextures\\CommandButtons\\BTNHeroPaladin.blp");</v>
      </c>
      <c r="X3" s="133" t="s">
        <v>1693</v>
      </c>
    </row>
    <row r="4" spans="1:214">
      <c r="A4" s="26" t="s">
        <v>986</v>
      </c>
      <c r="B4" s="26" t="s">
        <v>907</v>
      </c>
      <c r="C4" s="26">
        <v>50000</v>
      </c>
      <c r="D4" s="26">
        <v>0</v>
      </c>
      <c r="E4" s="26">
        <v>0</v>
      </c>
      <c r="F4" s="26">
        <v>0</v>
      </c>
      <c r="G4" s="26">
        <v>30</v>
      </c>
      <c r="H4" s="26">
        <v>35</v>
      </c>
      <c r="I4" s="27">
        <v>0</v>
      </c>
      <c r="J4" s="27">
        <v>0</v>
      </c>
      <c r="K4" s="27">
        <v>0</v>
      </c>
      <c r="L4" s="27">
        <v>0</v>
      </c>
      <c r="M4" s="27">
        <v>1</v>
      </c>
      <c r="N4" s="27">
        <v>0</v>
      </c>
      <c r="O4" s="26" t="s">
        <v>906</v>
      </c>
      <c r="P4" s="28">
        <f t="shared" si="4"/>
        <v>49999</v>
      </c>
      <c r="Q4" s="28">
        <f t="shared" si="5"/>
        <v>30</v>
      </c>
      <c r="R4" s="28">
        <f t="shared" si="6"/>
        <v>5</v>
      </c>
      <c r="S4" s="28">
        <f t="shared" ref="S4:S84" si="7">Q4-1</f>
        <v>29</v>
      </c>
      <c r="T4" s="28">
        <f t="shared" ref="T4:T84" si="8">R4+1</f>
        <v>6</v>
      </c>
      <c r="U4" s="26" t="s">
        <v>985</v>
      </c>
      <c r="V4" s="26"/>
      <c r="W4" s="29" t="str">
        <f t="shared" ca="1" si="3"/>
        <v>ModelInfo.rg(UTID_TARGET,ATT_NON,49999,30,5,0,0,0,0,1,0,CAREER_TYPE_CREEP,"ReplaceableTextures\\CommandButtons\\BTNPeasant.blp");</v>
      </c>
      <c r="X4" s="133" t="s">
        <v>1693</v>
      </c>
    </row>
    <row r="5" spans="1:214">
      <c r="A5" s="26" t="s">
        <v>984</v>
      </c>
      <c r="B5" s="26" t="s">
        <v>907</v>
      </c>
      <c r="C5" s="26">
        <v>50000</v>
      </c>
      <c r="D5" s="26">
        <v>0</v>
      </c>
      <c r="E5" s="26">
        <v>0</v>
      </c>
      <c r="F5" s="26">
        <v>0</v>
      </c>
      <c r="G5" s="26">
        <v>300</v>
      </c>
      <c r="H5" s="26">
        <v>300</v>
      </c>
      <c r="I5" s="27">
        <v>0</v>
      </c>
      <c r="J5" s="27">
        <v>0</v>
      </c>
      <c r="K5" s="27">
        <v>0</v>
      </c>
      <c r="L5" s="27">
        <v>0</v>
      </c>
      <c r="M5" s="27">
        <v>1</v>
      </c>
      <c r="N5" s="27">
        <v>0</v>
      </c>
      <c r="O5" s="26" t="s">
        <v>906</v>
      </c>
      <c r="P5" s="28">
        <f t="shared" si="4"/>
        <v>49999</v>
      </c>
      <c r="Q5" s="28">
        <f t="shared" si="5"/>
        <v>300</v>
      </c>
      <c r="R5" s="28">
        <f t="shared" si="6"/>
        <v>0</v>
      </c>
      <c r="S5" s="28">
        <f t="shared" si="7"/>
        <v>299</v>
      </c>
      <c r="T5" s="28">
        <f t="shared" si="8"/>
        <v>1</v>
      </c>
      <c r="U5" s="26" t="s">
        <v>983</v>
      </c>
      <c r="V5" s="26"/>
      <c r="W5" s="29" t="str">
        <f t="shared" ca="1" si="3"/>
        <v>ModelInfo.rg(UTID_TANK_TESTER,ATT_NON,49999,300,0,0,0,0,0,1,0,CAREER_TYPE_CREEP,"ReplaceableTextures\\CommandButtons\\BTNVengeanceIncarnate.blp");</v>
      </c>
      <c r="X5" s="133" t="s">
        <v>1693</v>
      </c>
    </row>
    <row r="6" spans="1:214">
      <c r="A6" s="26" t="s">
        <v>982</v>
      </c>
      <c r="B6" s="26" t="s">
        <v>907</v>
      </c>
      <c r="C6" s="26">
        <v>50000</v>
      </c>
      <c r="D6" s="26">
        <v>0</v>
      </c>
      <c r="E6" s="26">
        <v>0</v>
      </c>
      <c r="F6" s="26">
        <v>0</v>
      </c>
      <c r="G6" s="26">
        <v>300</v>
      </c>
      <c r="H6" s="26">
        <v>300</v>
      </c>
      <c r="I6" s="27">
        <v>0</v>
      </c>
      <c r="J6" s="27">
        <v>0</v>
      </c>
      <c r="K6" s="27">
        <v>0</v>
      </c>
      <c r="L6" s="27">
        <v>0</v>
      </c>
      <c r="M6" s="27">
        <v>1</v>
      </c>
      <c r="N6" s="27">
        <v>0</v>
      </c>
      <c r="O6" s="26" t="s">
        <v>906</v>
      </c>
      <c r="P6" s="28">
        <f t="shared" si="4"/>
        <v>49999</v>
      </c>
      <c r="Q6" s="28">
        <f t="shared" si="5"/>
        <v>300</v>
      </c>
      <c r="R6" s="28">
        <f t="shared" si="6"/>
        <v>0</v>
      </c>
      <c r="S6" s="28">
        <f t="shared" si="7"/>
        <v>299</v>
      </c>
      <c r="T6" s="28">
        <f t="shared" si="8"/>
        <v>1</v>
      </c>
      <c r="U6" s="26" t="s">
        <v>981</v>
      </c>
      <c r="V6" s="26"/>
      <c r="W6" s="29" t="str">
        <f t="shared" ca="1" si="3"/>
        <v>ModelInfo.rg(UTID_HEALER_TESTER,ATT_NON,49999,300,0,0,0,0,0,1,0,CAREER_TYPE_CREEP,"ReplaceableTextures\\CommandButtons\\BTNPandarenBrewmaster.blp");</v>
      </c>
      <c r="X6" s="133" t="s">
        <v>1693</v>
      </c>
    </row>
    <row r="7" spans="1:214">
      <c r="A7" s="30" t="s">
        <v>1715</v>
      </c>
      <c r="B7" s="30" t="s">
        <v>929</v>
      </c>
      <c r="C7" s="30">
        <v>1300</v>
      </c>
      <c r="D7" s="30">
        <v>24</v>
      </c>
      <c r="E7" s="30">
        <v>11</v>
      </c>
      <c r="F7" s="30">
        <v>15</v>
      </c>
      <c r="G7" s="30">
        <v>26</v>
      </c>
      <c r="H7" s="30">
        <v>36</v>
      </c>
      <c r="I7" s="31">
        <v>39</v>
      </c>
      <c r="J7" s="31">
        <v>0.06</v>
      </c>
      <c r="K7" s="31">
        <v>0.19</v>
      </c>
      <c r="L7" s="31">
        <v>12</v>
      </c>
      <c r="M7" s="31">
        <v>0.75</v>
      </c>
      <c r="N7" s="31">
        <v>0.05</v>
      </c>
      <c r="O7" s="30" t="s">
        <v>979</v>
      </c>
      <c r="P7" s="28">
        <f t="shared" ref="P7:P48" si="9">C7-1-D7*10</f>
        <v>1059</v>
      </c>
      <c r="Q7" s="28">
        <f t="shared" ref="Q7:Q48" si="10">G7-CHOOSE( IF( B7="ATT_AGI", 2, IF( B7="ATT_INT", 3, 1 ) ), D7, E7, F7 )</f>
        <v>2</v>
      </c>
      <c r="R7" s="28">
        <f t="shared" ref="R7:R48" si="11">H7-G7</f>
        <v>10</v>
      </c>
      <c r="S7" s="28">
        <f t="shared" si="7"/>
        <v>1</v>
      </c>
      <c r="T7" s="28">
        <f t="shared" si="8"/>
        <v>11</v>
      </c>
      <c r="U7" s="30" t="s">
        <v>980</v>
      </c>
      <c r="V7" s="30"/>
      <c r="W7" s="29" t="str">
        <f t="shared" ca="1" si="3"/>
        <v>ModelInfo.rg(UTID_BLOOD_ELF_DEFENDER,ATT_STR,1059,2,10,39,0.06,0.19,12,0.75,0.05,CAREER_TYPE_TANK,"ReplaceableTextures\\CommandButtons\\BTNSpellBreaker.blp");</v>
      </c>
      <c r="X7" s="133" t="s">
        <v>1693</v>
      </c>
    </row>
    <row r="8" spans="1:214">
      <c r="A8" s="30" t="s">
        <v>1716</v>
      </c>
      <c r="B8" s="30" t="s">
        <v>950</v>
      </c>
      <c r="C8" s="30">
        <v>1500</v>
      </c>
      <c r="D8" s="30">
        <v>22</v>
      </c>
      <c r="E8" s="30">
        <v>25</v>
      </c>
      <c r="F8" s="30">
        <v>7</v>
      </c>
      <c r="G8" s="30">
        <v>27</v>
      </c>
      <c r="H8" s="30">
        <v>37</v>
      </c>
      <c r="I8" s="31">
        <v>42</v>
      </c>
      <c r="J8" s="31">
        <v>0.15</v>
      </c>
      <c r="K8" s="31">
        <v>0</v>
      </c>
      <c r="L8" s="31">
        <v>0</v>
      </c>
      <c r="M8" s="31">
        <v>0.75</v>
      </c>
      <c r="N8" s="31">
        <v>0.05</v>
      </c>
      <c r="O8" s="30" t="s">
        <v>979</v>
      </c>
      <c r="P8" s="28">
        <f t="shared" si="9"/>
        <v>1279</v>
      </c>
      <c r="Q8" s="28">
        <f t="shared" si="10"/>
        <v>2</v>
      </c>
      <c r="R8" s="28">
        <f t="shared" si="11"/>
        <v>10</v>
      </c>
      <c r="S8" s="28">
        <f t="shared" si="7"/>
        <v>1</v>
      </c>
      <c r="T8" s="28">
        <f t="shared" si="8"/>
        <v>11</v>
      </c>
      <c r="U8" s="30" t="s">
        <v>978</v>
      </c>
      <c r="V8" s="30"/>
      <c r="W8" s="29" t="str">
        <f t="shared" ca="1" si="3"/>
        <v>ModelInfo.rg(UTID_CLAW_DRUID,ATT_AGI,1279,2,10,42,0.15,0,0,0.75,0.05,CAREER_TYPE_TANK,"ReplaceableTextures\\CommandButtons\\BTNGrizzlyBear.blp");</v>
      </c>
      <c r="X8" s="133" t="s">
        <v>1693</v>
      </c>
    </row>
    <row r="9" spans="1:214">
      <c r="A9" s="30" t="s">
        <v>1717</v>
      </c>
      <c r="B9" s="30" t="s">
        <v>932</v>
      </c>
      <c r="C9" s="30">
        <v>900</v>
      </c>
      <c r="D9" s="30">
        <v>17</v>
      </c>
      <c r="E9" s="30">
        <v>9</v>
      </c>
      <c r="F9" s="30">
        <v>68</v>
      </c>
      <c r="G9" s="30">
        <v>70</v>
      </c>
      <c r="H9" s="30">
        <v>76</v>
      </c>
      <c r="I9" s="31">
        <v>6</v>
      </c>
      <c r="J9" s="31">
        <v>0.05</v>
      </c>
      <c r="K9" s="31">
        <v>0</v>
      </c>
      <c r="L9" s="31">
        <v>0</v>
      </c>
      <c r="M9" s="31">
        <v>1</v>
      </c>
      <c r="N9" s="31">
        <v>0.05</v>
      </c>
      <c r="O9" s="30" t="s">
        <v>975</v>
      </c>
      <c r="P9" s="28">
        <f t="shared" si="9"/>
        <v>729</v>
      </c>
      <c r="Q9" s="28">
        <f t="shared" si="10"/>
        <v>2</v>
      </c>
      <c r="R9" s="28">
        <f t="shared" si="11"/>
        <v>6</v>
      </c>
      <c r="S9" s="28">
        <f t="shared" si="7"/>
        <v>1</v>
      </c>
      <c r="T9" s="28">
        <f t="shared" si="8"/>
        <v>7</v>
      </c>
      <c r="U9" s="30" t="s">
        <v>977</v>
      </c>
      <c r="V9" s="30"/>
      <c r="W9" s="29" t="str">
        <f t="shared" ca="1" si="3"/>
        <v>ModelInfo.rg(UTID_KEEPER_OF_GROVE,ATT_INT,729,2,6,6,0.05,0,0,1,0.05,CAREER_TYPE_HEALER,"ReplaceableTextures\\CommandButtons\\BTNFurion.blp");</v>
      </c>
      <c r="X9" s="133" t="s">
        <v>1693</v>
      </c>
    </row>
    <row r="10" spans="1:214">
      <c r="A10" s="30" t="s">
        <v>1718</v>
      </c>
      <c r="B10" s="30" t="s">
        <v>932</v>
      </c>
      <c r="C10" s="30">
        <v>900</v>
      </c>
      <c r="D10" s="30">
        <v>22</v>
      </c>
      <c r="E10" s="30">
        <v>11</v>
      </c>
      <c r="F10" s="30">
        <v>62</v>
      </c>
      <c r="G10" s="30">
        <v>64</v>
      </c>
      <c r="H10" s="30">
        <v>74</v>
      </c>
      <c r="I10" s="31">
        <v>18</v>
      </c>
      <c r="J10" s="31">
        <v>0.15</v>
      </c>
      <c r="K10" s="31">
        <v>0.2</v>
      </c>
      <c r="L10" s="31">
        <v>20</v>
      </c>
      <c r="M10" s="31">
        <v>1</v>
      </c>
      <c r="N10" s="31">
        <v>0.05</v>
      </c>
      <c r="O10" s="30" t="s">
        <v>975</v>
      </c>
      <c r="P10" s="28">
        <f t="shared" si="9"/>
        <v>679</v>
      </c>
      <c r="Q10" s="28">
        <f t="shared" si="10"/>
        <v>2</v>
      </c>
      <c r="R10" s="28">
        <f t="shared" si="11"/>
        <v>10</v>
      </c>
      <c r="S10" s="28">
        <f t="shared" si="7"/>
        <v>1</v>
      </c>
      <c r="T10" s="28">
        <f t="shared" si="8"/>
        <v>11</v>
      </c>
      <c r="U10" s="30" t="s">
        <v>976</v>
      </c>
      <c r="V10" s="30"/>
      <c r="W10" s="29" t="str">
        <f t="shared" ca="1" si="3"/>
        <v>ModelInfo.rg(UTID_PALADIN,ATT_INT,679,2,10,18,0.15,0.2,20,1,0.05,CAREER_TYPE_HEALER,"ReplaceableTextures\\CommandButtons\\BTNArthas.blp");</v>
      </c>
      <c r="X10" s="133" t="s">
        <v>1693</v>
      </c>
    </row>
    <row r="11" spans="1:214">
      <c r="A11" s="30" t="s">
        <v>1719</v>
      </c>
      <c r="B11" s="30" t="s">
        <v>932</v>
      </c>
      <c r="C11" s="30">
        <v>800</v>
      </c>
      <c r="D11" s="30">
        <v>15</v>
      </c>
      <c r="E11" s="30">
        <v>10</v>
      </c>
      <c r="F11" s="30">
        <v>65</v>
      </c>
      <c r="G11" s="30">
        <v>67</v>
      </c>
      <c r="H11" s="30">
        <v>73</v>
      </c>
      <c r="I11" s="31">
        <v>3</v>
      </c>
      <c r="J11" s="31">
        <v>0.05</v>
      </c>
      <c r="K11" s="31">
        <v>0</v>
      </c>
      <c r="L11" s="31">
        <v>0</v>
      </c>
      <c r="M11" s="31">
        <v>1</v>
      </c>
      <c r="N11" s="31">
        <v>0.05</v>
      </c>
      <c r="O11" s="30" t="s">
        <v>975</v>
      </c>
      <c r="P11" s="28">
        <f t="shared" si="9"/>
        <v>649</v>
      </c>
      <c r="Q11" s="28">
        <f t="shared" si="10"/>
        <v>2</v>
      </c>
      <c r="R11" s="28">
        <f t="shared" si="11"/>
        <v>6</v>
      </c>
      <c r="S11" s="28">
        <f t="shared" si="7"/>
        <v>1</v>
      </c>
      <c r="T11" s="28">
        <f t="shared" si="8"/>
        <v>7</v>
      </c>
      <c r="U11" s="30" t="s">
        <v>974</v>
      </c>
      <c r="V11" s="30"/>
      <c r="W11" s="29" t="str">
        <f t="shared" ca="1" si="3"/>
        <v>ModelInfo.rg(UTID_PRIEST,ATT_INT,649,2,6,3,0.05,0,0,1,0.05,CAREER_TYPE_HEALER,"ReplaceableTextures\\CommandButtons\\BTNPriest.blp");</v>
      </c>
      <c r="X11" s="133" t="s">
        <v>1693</v>
      </c>
    </row>
    <row r="12" spans="1:214">
      <c r="A12" s="30" t="s">
        <v>1720</v>
      </c>
      <c r="B12" s="30" t="s">
        <v>929</v>
      </c>
      <c r="C12" s="30">
        <v>1000</v>
      </c>
      <c r="D12" s="30">
        <v>28</v>
      </c>
      <c r="E12" s="30">
        <v>24</v>
      </c>
      <c r="F12" s="30">
        <v>10</v>
      </c>
      <c r="G12" s="30">
        <v>72</v>
      </c>
      <c r="H12" s="30">
        <v>128</v>
      </c>
      <c r="I12" s="31">
        <v>10</v>
      </c>
      <c r="J12" s="31">
        <v>0.15</v>
      </c>
      <c r="K12" s="31">
        <v>0</v>
      </c>
      <c r="L12" s="31">
        <v>0</v>
      </c>
      <c r="M12" s="31">
        <v>1</v>
      </c>
      <c r="N12" s="31">
        <v>0.15</v>
      </c>
      <c r="O12" s="30" t="s">
        <v>959</v>
      </c>
      <c r="P12" s="28">
        <f t="shared" si="9"/>
        <v>719</v>
      </c>
      <c r="Q12" s="28">
        <f t="shared" si="10"/>
        <v>44</v>
      </c>
      <c r="R12" s="28">
        <f t="shared" si="11"/>
        <v>56</v>
      </c>
      <c r="S12" s="28">
        <f t="shared" si="7"/>
        <v>43</v>
      </c>
      <c r="T12" s="28">
        <f t="shared" si="8"/>
        <v>57</v>
      </c>
      <c r="U12" s="30" t="s">
        <v>973</v>
      </c>
      <c r="V12" s="30"/>
      <c r="W12" s="29" t="str">
        <f t="shared" ca="1" si="3"/>
        <v>ModelInfo.rg(UTID_BLADE_MASTER,ATT_STR,719,44,56,10,0.15,0,0,1,0.15,CAREER_TYPE_DPS,"ReplaceableTextures\\CommandButtons\\BTNHeroBlademaster.blp");</v>
      </c>
      <c r="X12" s="133" t="s">
        <v>1693</v>
      </c>
    </row>
    <row r="13" spans="1:214">
      <c r="A13" s="30" t="s">
        <v>1721</v>
      </c>
      <c r="B13" s="30" t="s">
        <v>950</v>
      </c>
      <c r="C13" s="30">
        <v>900</v>
      </c>
      <c r="D13" s="30">
        <v>18</v>
      </c>
      <c r="E13" s="30">
        <v>26</v>
      </c>
      <c r="F13" s="30">
        <v>20</v>
      </c>
      <c r="G13" s="30">
        <v>87</v>
      </c>
      <c r="H13" s="30">
        <v>103</v>
      </c>
      <c r="I13" s="31">
        <v>7</v>
      </c>
      <c r="J13" s="31">
        <v>0.1</v>
      </c>
      <c r="K13" s="31">
        <v>0</v>
      </c>
      <c r="L13" s="31">
        <v>0</v>
      </c>
      <c r="M13" s="31">
        <v>1</v>
      </c>
      <c r="N13" s="31">
        <v>0.1</v>
      </c>
      <c r="O13" s="30" t="s">
        <v>959</v>
      </c>
      <c r="P13" s="28">
        <f t="shared" si="9"/>
        <v>719</v>
      </c>
      <c r="Q13" s="28">
        <f t="shared" si="10"/>
        <v>61</v>
      </c>
      <c r="R13" s="28">
        <f t="shared" si="11"/>
        <v>16</v>
      </c>
      <c r="S13" s="28">
        <f t="shared" si="7"/>
        <v>60</v>
      </c>
      <c r="T13" s="28">
        <f t="shared" si="8"/>
        <v>17</v>
      </c>
      <c r="U13" s="30" t="s">
        <v>972</v>
      </c>
      <c r="V13" s="30"/>
      <c r="W13" s="29" t="str">
        <f t="shared" ca="1" si="3"/>
        <v>ModelInfo.rg(UTID_DARK_RANGER,ATT_AGI,719,61,16,7,0.1,0,0,1,0.1,CAREER_TYPE_DPS,"ReplaceableTextures\\CommandButtons\\BTNBansheeRanger.blp");</v>
      </c>
      <c r="X13" s="133" t="s">
        <v>1693</v>
      </c>
    </row>
    <row r="14" spans="1:214" s="34" customFormat="1">
      <c r="A14" s="32" t="s">
        <v>1722</v>
      </c>
      <c r="B14" s="32" t="s">
        <v>907</v>
      </c>
      <c r="C14" s="32">
        <v>600</v>
      </c>
      <c r="D14" s="32">
        <v>0</v>
      </c>
      <c r="E14" s="32">
        <v>0</v>
      </c>
      <c r="F14" s="32">
        <v>0</v>
      </c>
      <c r="G14" s="32">
        <v>12</v>
      </c>
      <c r="H14" s="32">
        <v>14</v>
      </c>
      <c r="I14" s="33">
        <v>10</v>
      </c>
      <c r="J14" s="33">
        <v>0.25</v>
      </c>
      <c r="K14" s="33">
        <v>0</v>
      </c>
      <c r="L14" s="33">
        <v>0</v>
      </c>
      <c r="M14" s="33">
        <v>0.75</v>
      </c>
      <c r="N14" s="33">
        <v>0.35</v>
      </c>
      <c r="O14" s="32" t="s">
        <v>962</v>
      </c>
      <c r="P14" s="28">
        <f t="shared" si="9"/>
        <v>599</v>
      </c>
      <c r="Q14" s="28">
        <f t="shared" si="10"/>
        <v>12</v>
      </c>
      <c r="R14" s="28">
        <f t="shared" si="11"/>
        <v>2</v>
      </c>
      <c r="S14" s="28">
        <f t="shared" si="7"/>
        <v>11</v>
      </c>
      <c r="T14" s="28">
        <f t="shared" si="8"/>
        <v>3</v>
      </c>
      <c r="U14" s="32" t="s">
        <v>971</v>
      </c>
      <c r="V14" s="32"/>
      <c r="W14" s="29" t="str">
        <f t="shared" ca="1" si="3"/>
        <v>ModelInfo.rg(UTID_GHOUL,ATT_NON,599,12,2,10,0.25,0,0,0.75,0.35,CAREER_TYPE_MINION,"ReplaceableTextures\\CommandButtons\\BTNGhoul.blp");</v>
      </c>
      <c r="X14" s="133" t="s">
        <v>1693</v>
      </c>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5"/>
      <c r="DR14" s="135"/>
      <c r="DS14" s="135"/>
      <c r="DT14" s="135"/>
      <c r="DU14" s="135"/>
      <c r="DV14" s="135"/>
      <c r="DW14" s="135"/>
      <c r="DX14" s="135"/>
      <c r="DY14" s="135"/>
      <c r="DZ14" s="135"/>
      <c r="EA14" s="135"/>
      <c r="EB14" s="135"/>
      <c r="EC14" s="135"/>
      <c r="ED14" s="135"/>
      <c r="EE14" s="135"/>
      <c r="EF14" s="135"/>
      <c r="EG14" s="135"/>
      <c r="EH14" s="135"/>
      <c r="EI14" s="135"/>
      <c r="EJ14" s="135"/>
      <c r="EK14" s="135"/>
      <c r="EL14" s="135"/>
      <c r="EM14" s="135"/>
      <c r="EN14" s="135"/>
      <c r="EO14" s="135"/>
      <c r="EP14" s="135"/>
      <c r="EQ14" s="135"/>
      <c r="ER14" s="135"/>
      <c r="ES14" s="135"/>
      <c r="ET14" s="135"/>
      <c r="EU14" s="135"/>
      <c r="EV14" s="135"/>
      <c r="EW14" s="135"/>
      <c r="EX14" s="135"/>
      <c r="EY14" s="135"/>
      <c r="EZ14" s="135"/>
      <c r="FA14" s="135"/>
      <c r="FB14" s="135"/>
      <c r="FC14" s="135"/>
      <c r="FD14" s="135"/>
      <c r="FE14" s="135"/>
      <c r="FF14" s="135"/>
      <c r="FG14" s="135"/>
      <c r="FH14" s="135"/>
      <c r="FI14" s="135"/>
      <c r="FJ14" s="135"/>
      <c r="FK14" s="135"/>
      <c r="FL14" s="135"/>
      <c r="FM14" s="135"/>
      <c r="FN14" s="135"/>
      <c r="FO14" s="135"/>
      <c r="FP14" s="135"/>
      <c r="FQ14" s="135"/>
      <c r="FR14" s="135"/>
      <c r="FS14" s="135"/>
      <c r="FT14" s="135"/>
      <c r="FU14" s="135"/>
      <c r="FV14" s="135"/>
      <c r="FW14" s="135"/>
      <c r="FX14" s="135"/>
      <c r="FY14" s="135"/>
      <c r="FZ14" s="135"/>
      <c r="GA14" s="135"/>
      <c r="GB14" s="135"/>
      <c r="GC14" s="135"/>
      <c r="GD14" s="135"/>
      <c r="GE14" s="135"/>
      <c r="GF14" s="135"/>
      <c r="GG14" s="135"/>
      <c r="GH14" s="135"/>
      <c r="GI14" s="135"/>
      <c r="GJ14" s="135"/>
      <c r="GK14" s="135"/>
      <c r="GL14" s="135"/>
      <c r="GM14" s="135"/>
      <c r="GN14" s="135"/>
      <c r="GO14" s="135"/>
      <c r="GP14" s="135"/>
      <c r="GQ14" s="135"/>
      <c r="GR14" s="135"/>
      <c r="GS14" s="135"/>
      <c r="GT14" s="135"/>
      <c r="GU14" s="135"/>
      <c r="GV14" s="135"/>
      <c r="GW14" s="135"/>
      <c r="GX14" s="135"/>
      <c r="GY14" s="135"/>
      <c r="GZ14" s="135"/>
      <c r="HA14" s="135"/>
      <c r="HB14" s="135"/>
      <c r="HC14" s="135"/>
      <c r="HD14" s="135"/>
      <c r="HE14" s="135"/>
      <c r="HF14" s="135"/>
    </row>
    <row r="15" spans="1:214">
      <c r="A15" s="30" t="s">
        <v>1723</v>
      </c>
      <c r="B15" s="30" t="s">
        <v>932</v>
      </c>
      <c r="C15" s="30">
        <v>800</v>
      </c>
      <c r="D15" s="30">
        <v>15</v>
      </c>
      <c r="E15" s="30">
        <v>10</v>
      </c>
      <c r="F15" s="30">
        <v>38</v>
      </c>
      <c r="G15" s="30">
        <v>40</v>
      </c>
      <c r="H15" s="30">
        <v>46</v>
      </c>
      <c r="I15" s="31">
        <v>3</v>
      </c>
      <c r="J15" s="31">
        <v>0.05</v>
      </c>
      <c r="K15" s="31">
        <v>0</v>
      </c>
      <c r="L15" s="31">
        <v>0</v>
      </c>
      <c r="M15" s="31">
        <v>1</v>
      </c>
      <c r="N15" s="31">
        <v>0.05</v>
      </c>
      <c r="O15" s="30" t="s">
        <v>959</v>
      </c>
      <c r="P15" s="28">
        <f t="shared" si="9"/>
        <v>649</v>
      </c>
      <c r="Q15" s="28">
        <f t="shared" si="10"/>
        <v>2</v>
      </c>
      <c r="R15" s="28">
        <f t="shared" si="11"/>
        <v>6</v>
      </c>
      <c r="S15" s="28">
        <f t="shared" si="7"/>
        <v>1</v>
      </c>
      <c r="T15" s="28">
        <f t="shared" si="8"/>
        <v>7</v>
      </c>
      <c r="U15" s="30" t="s">
        <v>970</v>
      </c>
      <c r="V15" s="30"/>
      <c r="W15" s="29" t="str">
        <f t="shared" ca="1" si="3"/>
        <v>ModelInfo.rg(UTID_FROST_MAGE,ATT_INT,649,2,6,3,0.05,0,0,1,0.05,CAREER_TYPE_DPS,"ReplaceableTextures\\CommandButtons\\BTNJaina.blp");</v>
      </c>
      <c r="X15" s="133" t="s">
        <v>1693</v>
      </c>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row>
    <row r="16" spans="1:214">
      <c r="A16" s="30" t="s">
        <v>1724</v>
      </c>
      <c r="B16" s="30" t="s">
        <v>929</v>
      </c>
      <c r="C16" s="30">
        <v>900</v>
      </c>
      <c r="D16" s="30">
        <v>22</v>
      </c>
      <c r="E16" s="30">
        <v>13</v>
      </c>
      <c r="F16" s="30">
        <v>23</v>
      </c>
      <c r="G16" s="30">
        <v>84</v>
      </c>
      <c r="H16" s="30">
        <v>88</v>
      </c>
      <c r="I16" s="31">
        <v>13</v>
      </c>
      <c r="J16" s="31">
        <v>0.15</v>
      </c>
      <c r="K16" s="31">
        <v>0</v>
      </c>
      <c r="L16" s="31">
        <v>0</v>
      </c>
      <c r="M16" s="31">
        <v>1</v>
      </c>
      <c r="N16" s="31">
        <v>0.12</v>
      </c>
      <c r="O16" s="30" t="s">
        <v>959</v>
      </c>
      <c r="P16" s="28">
        <f t="shared" si="9"/>
        <v>679</v>
      </c>
      <c r="Q16" s="28">
        <f t="shared" si="10"/>
        <v>62</v>
      </c>
      <c r="R16" s="28">
        <f t="shared" si="11"/>
        <v>4</v>
      </c>
      <c r="S16" s="28">
        <f t="shared" si="7"/>
        <v>61</v>
      </c>
      <c r="T16" s="28">
        <f t="shared" si="8"/>
        <v>5</v>
      </c>
      <c r="U16" s="30" t="s">
        <v>969</v>
      </c>
      <c r="V16" s="30"/>
      <c r="W16" s="29" t="str">
        <f t="shared" ca="1" si="3"/>
        <v>ModelInfo.rg(UTID_EARTH_BINDER,ATT_STR,679,62,4,13,0.15,0,0,1,0.12,CAREER_TYPE_DPS,"ReplaceableTextures\\CommandButtons\\BTNSpiritWalker.blp");</v>
      </c>
      <c r="X16" s="133" t="s">
        <v>1693</v>
      </c>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row>
    <row r="17" spans="1:214" s="34" customFormat="1">
      <c r="A17" s="32" t="s">
        <v>968</v>
      </c>
      <c r="B17" s="32" t="s">
        <v>929</v>
      </c>
      <c r="C17" s="32">
        <v>900</v>
      </c>
      <c r="D17" s="32">
        <v>22</v>
      </c>
      <c r="E17" s="32">
        <v>13</v>
      </c>
      <c r="F17" s="32">
        <v>23</v>
      </c>
      <c r="G17" s="32">
        <v>84</v>
      </c>
      <c r="H17" s="32">
        <v>88</v>
      </c>
      <c r="I17" s="33">
        <v>13</v>
      </c>
      <c r="J17" s="33">
        <v>0.15</v>
      </c>
      <c r="K17" s="33">
        <v>0</v>
      </c>
      <c r="L17" s="33">
        <v>0</v>
      </c>
      <c r="M17" s="33">
        <v>1</v>
      </c>
      <c r="N17" s="33">
        <v>0.12</v>
      </c>
      <c r="O17" s="32" t="s">
        <v>959</v>
      </c>
      <c r="P17" s="28">
        <f t="shared" si="9"/>
        <v>679</v>
      </c>
      <c r="Q17" s="28">
        <f t="shared" si="10"/>
        <v>62</v>
      </c>
      <c r="R17" s="28">
        <f t="shared" si="11"/>
        <v>4</v>
      </c>
      <c r="S17" s="28">
        <f t="shared" si="7"/>
        <v>61</v>
      </c>
      <c r="T17" s="28">
        <f t="shared" si="8"/>
        <v>5</v>
      </c>
      <c r="U17" s="32" t="s">
        <v>967</v>
      </c>
      <c r="V17" s="32"/>
      <c r="W17" s="29" t="str">
        <f t="shared" ca="1" si="3"/>
        <v>ModelInfo.rg(UTID_EARTH_BINDER_ASC,ATT_STR,679,62,4,13,0.15,0,0,1,0.12,CAREER_TYPE_DPS,"ReplaceableTextures\\CommandButtons\\BTNRevenant.blp");</v>
      </c>
      <c r="X17" s="133" t="s">
        <v>1693</v>
      </c>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row>
    <row r="18" spans="1:214" s="34" customFormat="1">
      <c r="A18" s="137" t="s">
        <v>1725</v>
      </c>
      <c r="B18" s="32" t="s">
        <v>907</v>
      </c>
      <c r="C18" s="32">
        <v>100</v>
      </c>
      <c r="D18" s="32">
        <v>0</v>
      </c>
      <c r="E18" s="32">
        <v>0</v>
      </c>
      <c r="F18" s="32">
        <v>0</v>
      </c>
      <c r="G18" s="32">
        <v>1</v>
      </c>
      <c r="H18" s="32">
        <v>1</v>
      </c>
      <c r="I18" s="33">
        <v>0</v>
      </c>
      <c r="J18" s="33">
        <v>0</v>
      </c>
      <c r="K18" s="33">
        <v>0</v>
      </c>
      <c r="L18" s="33">
        <v>0</v>
      </c>
      <c r="M18" s="33">
        <v>1</v>
      </c>
      <c r="N18" s="33">
        <v>0</v>
      </c>
      <c r="O18" s="32" t="s">
        <v>962</v>
      </c>
      <c r="P18" s="28">
        <f t="shared" si="9"/>
        <v>99</v>
      </c>
      <c r="Q18" s="28">
        <f t="shared" si="10"/>
        <v>1</v>
      </c>
      <c r="R18" s="28">
        <f t="shared" si="11"/>
        <v>0</v>
      </c>
      <c r="S18" s="28">
        <f t="shared" si="7"/>
        <v>0</v>
      </c>
      <c r="T18" s="28">
        <f t="shared" si="8"/>
        <v>1</v>
      </c>
      <c r="U18" s="32" t="s">
        <v>966</v>
      </c>
      <c r="V18" s="32"/>
      <c r="W18" s="29" t="str">
        <f t="shared" ca="1" si="3"/>
        <v>ModelInfo.rg(UTID_LIGHTNING_TOTEM,ATT_NON,99,1,0,0,0,0,0,1,0,CAREER_TYPE_MINION,"ReplaceableTextures\\CommandButtons\\BTNStasisTrap.blp");</v>
      </c>
      <c r="X18" s="133" t="s">
        <v>1693</v>
      </c>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5"/>
      <c r="DR18" s="135"/>
      <c r="DS18" s="135"/>
      <c r="DT18" s="135"/>
      <c r="DU18" s="135"/>
      <c r="DV18" s="135"/>
      <c r="DW18" s="135"/>
      <c r="DX18" s="135"/>
      <c r="DY18" s="135"/>
      <c r="DZ18" s="135"/>
      <c r="EA18" s="135"/>
      <c r="EB18" s="135"/>
      <c r="EC18" s="135"/>
      <c r="ED18" s="135"/>
      <c r="EE18" s="135"/>
      <c r="EF18" s="135"/>
      <c r="EG18" s="135"/>
      <c r="EH18" s="135"/>
      <c r="EI18" s="135"/>
      <c r="EJ18" s="135"/>
      <c r="EK18" s="135"/>
      <c r="EL18" s="135"/>
      <c r="EM18" s="135"/>
      <c r="EN18" s="135"/>
      <c r="EO18" s="135"/>
      <c r="EP18" s="135"/>
      <c r="EQ18" s="135"/>
      <c r="ER18" s="135"/>
      <c r="ES18" s="135"/>
      <c r="ET18" s="135"/>
      <c r="EU18" s="135"/>
      <c r="EV18" s="135"/>
      <c r="EW18" s="135"/>
      <c r="EX18" s="135"/>
      <c r="EY18" s="135"/>
      <c r="EZ18" s="135"/>
      <c r="FA18" s="135"/>
      <c r="FB18" s="135"/>
      <c r="FC18" s="135"/>
      <c r="FD18" s="135"/>
      <c r="FE18" s="135"/>
      <c r="FF18" s="135"/>
      <c r="FG18" s="135"/>
      <c r="FH18" s="135"/>
      <c r="FI18" s="135"/>
      <c r="FJ18" s="135"/>
      <c r="FK18" s="135"/>
      <c r="FL18" s="135"/>
      <c r="FM18" s="135"/>
      <c r="FN18" s="135"/>
      <c r="FO18" s="135"/>
      <c r="FP18" s="135"/>
      <c r="FQ18" s="135"/>
      <c r="FR18" s="135"/>
      <c r="FS18" s="135"/>
      <c r="FT18" s="135"/>
      <c r="FU18" s="135"/>
      <c r="FV18" s="135"/>
      <c r="FW18" s="135"/>
      <c r="FX18" s="135"/>
      <c r="FY18" s="135"/>
      <c r="FZ18" s="135"/>
      <c r="GA18" s="135"/>
      <c r="GB18" s="135"/>
      <c r="GC18" s="135"/>
      <c r="GD18" s="135"/>
      <c r="GE18" s="135"/>
      <c r="GF18" s="135"/>
      <c r="GG18" s="135"/>
      <c r="GH18" s="135"/>
      <c r="GI18" s="135"/>
      <c r="GJ18" s="135"/>
      <c r="GK18" s="135"/>
      <c r="GL18" s="135"/>
      <c r="GM18" s="135"/>
      <c r="GN18" s="135"/>
      <c r="GO18" s="135"/>
      <c r="GP18" s="135"/>
      <c r="GQ18" s="135"/>
      <c r="GR18" s="135"/>
      <c r="GS18" s="135"/>
      <c r="GT18" s="135"/>
      <c r="GU18" s="135"/>
      <c r="GV18" s="135"/>
      <c r="GW18" s="135"/>
      <c r="GX18" s="135"/>
      <c r="GY18" s="135"/>
      <c r="GZ18" s="135"/>
      <c r="HA18" s="135"/>
      <c r="HB18" s="135"/>
      <c r="HC18" s="135"/>
      <c r="HD18" s="135"/>
      <c r="HE18" s="135"/>
      <c r="HF18" s="135"/>
    </row>
    <row r="19" spans="1:214" s="34" customFormat="1">
      <c r="A19" s="32" t="s">
        <v>965</v>
      </c>
      <c r="B19" s="32" t="s">
        <v>907</v>
      </c>
      <c r="C19" s="32">
        <v>100</v>
      </c>
      <c r="D19" s="32">
        <v>0</v>
      </c>
      <c r="E19" s="32">
        <v>0</v>
      </c>
      <c r="F19" s="32">
        <v>0</v>
      </c>
      <c r="G19" s="32">
        <v>1</v>
      </c>
      <c r="H19" s="32">
        <v>1</v>
      </c>
      <c r="I19" s="33">
        <v>0</v>
      </c>
      <c r="J19" s="33">
        <v>0</v>
      </c>
      <c r="K19" s="33">
        <v>0</v>
      </c>
      <c r="L19" s="33">
        <v>0</v>
      </c>
      <c r="M19" s="33">
        <v>1</v>
      </c>
      <c r="N19" s="33">
        <v>0</v>
      </c>
      <c r="O19" s="32" t="s">
        <v>962</v>
      </c>
      <c r="P19" s="28">
        <f t="shared" si="9"/>
        <v>99</v>
      </c>
      <c r="Q19" s="28">
        <f t="shared" si="10"/>
        <v>1</v>
      </c>
      <c r="R19" s="28">
        <f t="shared" si="11"/>
        <v>0</v>
      </c>
      <c r="S19" s="28">
        <f t="shared" si="7"/>
        <v>0</v>
      </c>
      <c r="T19" s="28">
        <f t="shared" si="8"/>
        <v>1</v>
      </c>
      <c r="U19" s="32" t="s">
        <v>964</v>
      </c>
      <c r="V19" s="32"/>
      <c r="W19" s="29" t="str">
        <f t="shared" ca="1" si="3"/>
        <v>ModelInfo.rg(UTID_EARTH_BIND_TOTEM,ATT_NON,99,1,0,0,0,0,0,1,0,CAREER_TYPE_MINION,"ReplaceableTextures\\CommandButtons\\BTNDryadDispelMagic.blp");</v>
      </c>
      <c r="X19" s="133" t="s">
        <v>1693</v>
      </c>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row>
    <row r="20" spans="1:214" s="34" customFormat="1">
      <c r="A20" s="32" t="s">
        <v>963</v>
      </c>
      <c r="B20" s="32" t="s">
        <v>907</v>
      </c>
      <c r="C20" s="32">
        <v>100</v>
      </c>
      <c r="D20" s="32">
        <v>0</v>
      </c>
      <c r="E20" s="32">
        <v>0</v>
      </c>
      <c r="F20" s="32">
        <v>0</v>
      </c>
      <c r="G20" s="32">
        <v>1</v>
      </c>
      <c r="H20" s="32">
        <v>1</v>
      </c>
      <c r="I20" s="33">
        <v>0</v>
      </c>
      <c r="J20" s="33">
        <v>0</v>
      </c>
      <c r="K20" s="33">
        <v>0</v>
      </c>
      <c r="L20" s="33">
        <v>0</v>
      </c>
      <c r="M20" s="33">
        <v>1</v>
      </c>
      <c r="N20" s="33">
        <v>0</v>
      </c>
      <c r="O20" s="32" t="s">
        <v>962</v>
      </c>
      <c r="P20" s="28">
        <f t="shared" si="9"/>
        <v>99</v>
      </c>
      <c r="Q20" s="28">
        <f t="shared" si="10"/>
        <v>1</v>
      </c>
      <c r="R20" s="28">
        <f t="shared" si="11"/>
        <v>0</v>
      </c>
      <c r="S20" s="28">
        <f t="shared" si="7"/>
        <v>0</v>
      </c>
      <c r="T20" s="28">
        <f t="shared" si="8"/>
        <v>1</v>
      </c>
      <c r="U20" s="32" t="s">
        <v>961</v>
      </c>
      <c r="V20" s="32"/>
      <c r="W20" s="29" t="str">
        <f t="shared" ca="1" si="3"/>
        <v>ModelInfo.rg(UTID_TORRENT_TOTEM,ATT_NON,99,1,0,0,0,0,0,1,0,CAREER_TYPE_MINION,"ReplaceableTextures\\CommandButtons\\BTNStaffOfNegation.blp");</v>
      </c>
      <c r="X20" s="133" t="s">
        <v>1693</v>
      </c>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row>
    <row r="21" spans="1:214">
      <c r="A21" s="138" t="s">
        <v>1726</v>
      </c>
      <c r="B21" s="30" t="s">
        <v>950</v>
      </c>
      <c r="C21" s="30">
        <v>1000</v>
      </c>
      <c r="D21" s="30">
        <v>19</v>
      </c>
      <c r="E21" s="30">
        <v>27</v>
      </c>
      <c r="F21" s="30">
        <v>20</v>
      </c>
      <c r="G21" s="30">
        <v>78</v>
      </c>
      <c r="H21" s="30">
        <v>110</v>
      </c>
      <c r="I21" s="31">
        <v>7</v>
      </c>
      <c r="J21" s="31">
        <v>0.1</v>
      </c>
      <c r="K21" s="31">
        <v>0</v>
      </c>
      <c r="L21" s="31">
        <v>0</v>
      </c>
      <c r="M21" s="31">
        <v>1</v>
      </c>
      <c r="N21" s="31">
        <v>0.2</v>
      </c>
      <c r="O21" s="30" t="s">
        <v>959</v>
      </c>
      <c r="P21" s="28">
        <f t="shared" si="9"/>
        <v>809</v>
      </c>
      <c r="Q21" s="28">
        <f t="shared" si="10"/>
        <v>51</v>
      </c>
      <c r="R21" s="28">
        <f t="shared" si="11"/>
        <v>32</v>
      </c>
      <c r="S21" s="28">
        <f t="shared" si="7"/>
        <v>50</v>
      </c>
      <c r="T21" s="28">
        <f t="shared" si="8"/>
        <v>33</v>
      </c>
      <c r="U21" s="30" t="s">
        <v>960</v>
      </c>
      <c r="V21" s="30"/>
      <c r="W21" s="29" t="str">
        <f t="shared" ca="1" si="3"/>
        <v>ModelInfo.rg(UTID_ROGUE,ATT_AGI,809,51,32,7,0.1,0,0,1,0.2,CAREER_TYPE_DPS,"ReplaceableTextures\\CommandButtons\\BTNHeroDemonHunter.blp");</v>
      </c>
      <c r="X21" s="133" t="s">
        <v>1693</v>
      </c>
    </row>
    <row r="22" spans="1:214">
      <c r="A22" s="138" t="s">
        <v>1727</v>
      </c>
      <c r="B22" s="30" t="s">
        <v>932</v>
      </c>
      <c r="C22" s="30">
        <v>800</v>
      </c>
      <c r="D22" s="30">
        <v>18</v>
      </c>
      <c r="E22" s="30">
        <v>9</v>
      </c>
      <c r="F22" s="30">
        <v>35</v>
      </c>
      <c r="G22" s="30">
        <v>37</v>
      </c>
      <c r="H22" s="30">
        <v>43</v>
      </c>
      <c r="I22" s="31">
        <v>3</v>
      </c>
      <c r="J22" s="31">
        <v>0.05</v>
      </c>
      <c r="K22" s="31">
        <v>0</v>
      </c>
      <c r="L22" s="31">
        <v>0</v>
      </c>
      <c r="M22" s="31">
        <v>1</v>
      </c>
      <c r="N22" s="31">
        <v>0.05</v>
      </c>
      <c r="O22" s="30" t="s">
        <v>959</v>
      </c>
      <c r="P22" s="28">
        <f t="shared" si="9"/>
        <v>619</v>
      </c>
      <c r="Q22" s="28">
        <f t="shared" si="10"/>
        <v>2</v>
      </c>
      <c r="R22" s="28">
        <f t="shared" si="11"/>
        <v>6</v>
      </c>
      <c r="S22" s="28">
        <f t="shared" si="7"/>
        <v>1</v>
      </c>
      <c r="T22" s="28">
        <f t="shared" si="8"/>
        <v>7</v>
      </c>
      <c r="U22" s="30" t="s">
        <v>958</v>
      </c>
      <c r="V22" s="30"/>
      <c r="W22" s="29" t="str">
        <f t="shared" ca="1" si="3"/>
        <v>ModelInfo.rg(UTID_HEATHEN,ATT_INT,619,2,6,3,0.05,0,0,1,0.05,CAREER_TYPE_DPS,"ReplaceableTextures\\CommandButtons\\BTNKelThuzad.blp");</v>
      </c>
      <c r="X22" s="133" t="s">
        <v>1693</v>
      </c>
    </row>
    <row r="23" spans="1:214">
      <c r="A23" s="35" t="s">
        <v>957</v>
      </c>
      <c r="B23" s="35" t="s">
        <v>932</v>
      </c>
      <c r="C23" s="35">
        <v>75000</v>
      </c>
      <c r="D23" s="35">
        <v>20</v>
      </c>
      <c r="E23" s="35">
        <v>20</v>
      </c>
      <c r="F23" s="35">
        <v>20</v>
      </c>
      <c r="G23" s="35">
        <v>275</v>
      </c>
      <c r="H23" s="35">
        <v>350</v>
      </c>
      <c r="I23" s="36">
        <v>5</v>
      </c>
      <c r="J23" s="36">
        <v>0.05</v>
      </c>
      <c r="K23" s="36">
        <v>0</v>
      </c>
      <c r="L23" s="36">
        <v>0</v>
      </c>
      <c r="M23" s="36">
        <v>1</v>
      </c>
      <c r="N23" s="36">
        <v>0.03</v>
      </c>
      <c r="O23" s="35" t="s">
        <v>928</v>
      </c>
      <c r="P23" s="28">
        <f t="shared" si="9"/>
        <v>74799</v>
      </c>
      <c r="Q23" s="28">
        <f t="shared" si="10"/>
        <v>255</v>
      </c>
      <c r="R23" s="28">
        <f t="shared" si="11"/>
        <v>75</v>
      </c>
      <c r="S23" s="28">
        <f t="shared" si="7"/>
        <v>254</v>
      </c>
      <c r="T23" s="28">
        <f t="shared" si="8"/>
        <v>76</v>
      </c>
      <c r="U23" s="35" t="s">
        <v>955</v>
      </c>
      <c r="V23" s="35" t="s">
        <v>941</v>
      </c>
      <c r="W23" s="29" t="str">
        <f t="shared" ca="1" si="3"/>
        <v>ModelInfo.rg(UTID_ARCH_TINKER,ATT_INT,74799,255,75,5,0.05,0,0,1,0.03,CAREER_TYPE_BOSS,"ReplaceableTextures\\CommandButtons\\BTNHeroTinker.blp").setScale(1.7);</v>
      </c>
      <c r="X23" s="133" t="s">
        <v>1693</v>
      </c>
    </row>
    <row r="24" spans="1:214">
      <c r="A24" s="35" t="s">
        <v>956</v>
      </c>
      <c r="B24" s="35" t="s">
        <v>932</v>
      </c>
      <c r="C24" s="35">
        <v>75000</v>
      </c>
      <c r="D24" s="35">
        <v>20</v>
      </c>
      <c r="E24" s="35">
        <v>20</v>
      </c>
      <c r="F24" s="35">
        <v>20</v>
      </c>
      <c r="G24" s="35">
        <v>275</v>
      </c>
      <c r="H24" s="35">
        <v>350</v>
      </c>
      <c r="I24" s="36">
        <v>5</v>
      </c>
      <c r="J24" s="36">
        <v>0.05</v>
      </c>
      <c r="K24" s="36">
        <v>0</v>
      </c>
      <c r="L24" s="36">
        <v>0</v>
      </c>
      <c r="M24" s="36">
        <v>1</v>
      </c>
      <c r="N24" s="36">
        <v>0.03</v>
      </c>
      <c r="O24" s="35" t="s">
        <v>928</v>
      </c>
      <c r="P24" s="28">
        <f t="shared" si="9"/>
        <v>74799</v>
      </c>
      <c r="Q24" s="28">
        <f t="shared" si="10"/>
        <v>255</v>
      </c>
      <c r="R24" s="28">
        <f t="shared" si="11"/>
        <v>75</v>
      </c>
      <c r="S24" s="28">
        <f t="shared" si="7"/>
        <v>254</v>
      </c>
      <c r="T24" s="28">
        <f t="shared" si="8"/>
        <v>76</v>
      </c>
      <c r="U24" s="35" t="s">
        <v>955</v>
      </c>
      <c r="V24" s="35" t="s">
        <v>941</v>
      </c>
      <c r="W24" s="29" t="str">
        <f t="shared" ca="1" si="3"/>
        <v>ModelInfo.rg(UTID_ARCH_TINKER_MORPH,ATT_INT,74799,255,75,5,0.05,0,0,1,0.03,CAREER_TYPE_BOSS,"ReplaceableTextures\\CommandButtons\\BTNHeroTinker.blp").setScale(1.7);</v>
      </c>
      <c r="X24" s="133" t="s">
        <v>1693</v>
      </c>
    </row>
    <row r="25" spans="1:214">
      <c r="A25" s="35" t="s">
        <v>954</v>
      </c>
      <c r="B25" s="35" t="s">
        <v>907</v>
      </c>
      <c r="C25" s="35">
        <v>2000</v>
      </c>
      <c r="D25" s="35">
        <v>0</v>
      </c>
      <c r="E25" s="35">
        <v>0</v>
      </c>
      <c r="F25" s="35">
        <v>0</v>
      </c>
      <c r="G25" s="35">
        <v>1</v>
      </c>
      <c r="H25" s="35">
        <v>1</v>
      </c>
      <c r="I25" s="36">
        <v>0</v>
      </c>
      <c r="J25" s="36">
        <v>0</v>
      </c>
      <c r="K25" s="36">
        <v>0</v>
      </c>
      <c r="L25" s="36">
        <v>0</v>
      </c>
      <c r="M25" s="36">
        <v>1</v>
      </c>
      <c r="N25" s="36">
        <v>0</v>
      </c>
      <c r="O25" s="35" t="s">
        <v>906</v>
      </c>
      <c r="P25" s="28">
        <f t="shared" si="9"/>
        <v>1999</v>
      </c>
      <c r="Q25" s="28">
        <f t="shared" si="10"/>
        <v>1</v>
      </c>
      <c r="R25" s="28">
        <f t="shared" si="11"/>
        <v>0</v>
      </c>
      <c r="S25" s="28">
        <f t="shared" si="7"/>
        <v>0</v>
      </c>
      <c r="T25" s="28">
        <f t="shared" si="8"/>
        <v>1</v>
      </c>
      <c r="U25" s="35" t="s">
        <v>953</v>
      </c>
      <c r="V25" s="35"/>
      <c r="W25" s="29" t="str">
        <f t="shared" ca="1" si="3"/>
        <v>ModelInfo.rg(UTID_POCKET_FACTORY,ATT_NON,1999,1,0,0,0,0,0,1,0,CAREER_TYPE_CREEP,"ReplaceableTextures\\CommandButtons\\BTNPocketFactory.blp");</v>
      </c>
      <c r="X25" s="133" t="s">
        <v>1693</v>
      </c>
    </row>
    <row r="26" spans="1:214">
      <c r="A26" s="35" t="s">
        <v>952</v>
      </c>
      <c r="B26" s="35" t="s">
        <v>907</v>
      </c>
      <c r="C26" s="35">
        <v>10000</v>
      </c>
      <c r="D26" s="35">
        <v>0</v>
      </c>
      <c r="E26" s="35">
        <v>0</v>
      </c>
      <c r="F26" s="35">
        <v>0</v>
      </c>
      <c r="G26" s="35">
        <v>10</v>
      </c>
      <c r="H26" s="35">
        <v>50</v>
      </c>
      <c r="I26" s="36">
        <v>0</v>
      </c>
      <c r="J26" s="36">
        <v>0</v>
      </c>
      <c r="K26" s="36">
        <v>0</v>
      </c>
      <c r="L26" s="36">
        <v>0</v>
      </c>
      <c r="M26" s="36">
        <v>1</v>
      </c>
      <c r="N26" s="36">
        <v>0.1</v>
      </c>
      <c r="O26" s="35" t="s">
        <v>906</v>
      </c>
      <c r="P26" s="28">
        <f t="shared" si="9"/>
        <v>9999</v>
      </c>
      <c r="Q26" s="28">
        <f t="shared" si="10"/>
        <v>10</v>
      </c>
      <c r="R26" s="28">
        <f t="shared" si="11"/>
        <v>40</v>
      </c>
      <c r="S26" s="28">
        <f t="shared" si="7"/>
        <v>9</v>
      </c>
      <c r="T26" s="28">
        <f t="shared" si="8"/>
        <v>41</v>
      </c>
      <c r="U26" s="35" t="s">
        <v>951</v>
      </c>
      <c r="V26" s="35"/>
      <c r="W26" s="29" t="str">
        <f t="shared" ca="1" si="3"/>
        <v>ModelInfo.rg(UTID_CLOCKWORK_GOBLIN,ATT_NON,9999,10,40,0,0,0,0,1,0.1,CAREER_TYPE_CREEP,"ReplaceableTextures\\CommandButtons\\BTNClockWerkGoblin.blp");</v>
      </c>
      <c r="X26" s="133" t="s">
        <v>1693</v>
      </c>
    </row>
    <row r="27" spans="1:214">
      <c r="A27" s="37" t="s">
        <v>1584</v>
      </c>
      <c r="B27" s="37" t="s">
        <v>950</v>
      </c>
      <c r="C27" s="37">
        <v>155000</v>
      </c>
      <c r="D27" s="37">
        <v>10</v>
      </c>
      <c r="E27" s="37">
        <v>10</v>
      </c>
      <c r="F27" s="37">
        <v>10</v>
      </c>
      <c r="G27" s="37">
        <v>500</v>
      </c>
      <c r="H27" s="37">
        <v>800</v>
      </c>
      <c r="I27" s="38">
        <v>5</v>
      </c>
      <c r="J27" s="38">
        <v>0.05</v>
      </c>
      <c r="K27" s="38">
        <v>0</v>
      </c>
      <c r="L27" s="38">
        <v>0</v>
      </c>
      <c r="M27" s="38">
        <v>1</v>
      </c>
      <c r="N27" s="38">
        <v>0.03</v>
      </c>
      <c r="O27" s="37" t="s">
        <v>928</v>
      </c>
      <c r="P27" s="28">
        <f t="shared" si="9"/>
        <v>154899</v>
      </c>
      <c r="Q27" s="28">
        <f t="shared" si="10"/>
        <v>490</v>
      </c>
      <c r="R27" s="28">
        <f t="shared" si="11"/>
        <v>300</v>
      </c>
      <c r="S27" s="28">
        <f t="shared" si="7"/>
        <v>489</v>
      </c>
      <c r="T27" s="28">
        <f t="shared" si="8"/>
        <v>301</v>
      </c>
      <c r="U27" s="37" t="s">
        <v>949</v>
      </c>
      <c r="V27" s="37" t="s">
        <v>941</v>
      </c>
      <c r="W27" s="29" t="str">
        <f t="shared" ca="1" si="3"/>
        <v>ModelInfo.rg(UTID_NAGA_SEA_WITCH,ATT_AGI,154899,490,300,5,0.05,0,0,1,0.03,CAREER_TYPE_BOSS,"ReplaceableTextures\\CommandButtons\\BTNNagaSeaWitch.blp").setScale(1.7);</v>
      </c>
      <c r="X27" s="133" t="s">
        <v>1693</v>
      </c>
    </row>
    <row r="28" spans="1:214">
      <c r="A28" s="37" t="s">
        <v>948</v>
      </c>
      <c r="B28" s="37" t="s">
        <v>907</v>
      </c>
      <c r="C28" s="37">
        <v>1500</v>
      </c>
      <c r="D28" s="37">
        <v>0</v>
      </c>
      <c r="E28" s="37">
        <v>0</v>
      </c>
      <c r="F28" s="37">
        <v>0</v>
      </c>
      <c r="G28" s="37">
        <v>21</v>
      </c>
      <c r="H28" s="37">
        <v>80</v>
      </c>
      <c r="I28" s="38">
        <v>5</v>
      </c>
      <c r="J28" s="38">
        <v>0.05</v>
      </c>
      <c r="K28" s="38">
        <v>0</v>
      </c>
      <c r="L28" s="38">
        <v>0</v>
      </c>
      <c r="M28" s="38">
        <v>1</v>
      </c>
      <c r="N28" s="38">
        <v>0.1</v>
      </c>
      <c r="O28" s="37" t="s">
        <v>906</v>
      </c>
      <c r="P28" s="28">
        <f t="shared" si="9"/>
        <v>1499</v>
      </c>
      <c r="Q28" s="28">
        <f t="shared" si="10"/>
        <v>21</v>
      </c>
      <c r="R28" s="28">
        <f t="shared" si="11"/>
        <v>59</v>
      </c>
      <c r="S28" s="28">
        <f t="shared" si="7"/>
        <v>20</v>
      </c>
      <c r="T28" s="28">
        <f t="shared" si="8"/>
        <v>60</v>
      </c>
      <c r="U28" s="37" t="s">
        <v>909</v>
      </c>
      <c r="V28" s="37"/>
      <c r="W28" s="29" t="str">
        <f t="shared" ca="1" si="3"/>
        <v>ModelInfo.rg(UTID_FLYING_SERPENT,ATT_NON,1499,21,59,5,0.05,0,0,1,0.1,CAREER_TYPE_CREEP,"ReplaceableTextures\\CommandButtons\\BTNWindSerpent.blp");</v>
      </c>
      <c r="X28" s="133" t="s">
        <v>1693</v>
      </c>
    </row>
    <row r="29" spans="1:214">
      <c r="A29" s="139" t="s">
        <v>1728</v>
      </c>
      <c r="B29" s="35" t="s">
        <v>929</v>
      </c>
      <c r="C29" s="35">
        <v>210000</v>
      </c>
      <c r="D29" s="35">
        <v>40</v>
      </c>
      <c r="E29" s="35">
        <v>10</v>
      </c>
      <c r="F29" s="35">
        <v>10</v>
      </c>
      <c r="G29" s="35">
        <v>700</v>
      </c>
      <c r="H29" s="35">
        <v>1100</v>
      </c>
      <c r="I29" s="36">
        <v>5</v>
      </c>
      <c r="J29" s="36">
        <v>0.05</v>
      </c>
      <c r="K29" s="36">
        <v>0</v>
      </c>
      <c r="L29" s="36">
        <v>0</v>
      </c>
      <c r="M29" s="36">
        <v>1</v>
      </c>
      <c r="N29" s="36">
        <v>0.03</v>
      </c>
      <c r="O29" s="35" t="s">
        <v>928</v>
      </c>
      <c r="P29" s="28">
        <f t="shared" si="9"/>
        <v>209599</v>
      </c>
      <c r="Q29" s="28">
        <f t="shared" si="10"/>
        <v>660</v>
      </c>
      <c r="R29" s="28">
        <f t="shared" si="11"/>
        <v>400</v>
      </c>
      <c r="S29" s="28">
        <f t="shared" si="7"/>
        <v>659</v>
      </c>
      <c r="T29" s="28">
        <f t="shared" si="8"/>
        <v>401</v>
      </c>
      <c r="U29" s="35" t="s">
        <v>915</v>
      </c>
      <c r="V29" s="35"/>
      <c r="W29" s="29" t="str">
        <f t="shared" ca="1" si="3"/>
        <v>ModelInfo.rg(UTID_TIDE_BARON,ATT_STR,209599,660,400,5,0.05,0,0,1,0.03,CAREER_TYPE_BOSS,"ReplaceableTextures\\CommandButtons\\BTNNagaMyrmidonRoyalGuard.blp");</v>
      </c>
      <c r="X29" s="133" t="s">
        <v>1693</v>
      </c>
    </row>
    <row r="30" spans="1:214">
      <c r="A30" s="139" t="s">
        <v>1729</v>
      </c>
      <c r="B30" s="35" t="s">
        <v>929</v>
      </c>
      <c r="C30" s="35">
        <v>210000</v>
      </c>
      <c r="D30" s="35">
        <v>40</v>
      </c>
      <c r="E30" s="35">
        <v>10</v>
      </c>
      <c r="F30" s="35">
        <v>10</v>
      </c>
      <c r="G30" s="35">
        <v>350</v>
      </c>
      <c r="H30" s="35">
        <v>500</v>
      </c>
      <c r="I30" s="36">
        <v>40</v>
      </c>
      <c r="J30" s="36">
        <v>0.1</v>
      </c>
      <c r="K30" s="36">
        <v>0</v>
      </c>
      <c r="L30" s="36">
        <v>0</v>
      </c>
      <c r="M30" s="36">
        <v>1</v>
      </c>
      <c r="N30" s="36">
        <v>0.03</v>
      </c>
      <c r="O30" s="35" t="s">
        <v>928</v>
      </c>
      <c r="P30" s="28">
        <f t="shared" si="9"/>
        <v>209599</v>
      </c>
      <c r="Q30" s="28">
        <f t="shared" si="10"/>
        <v>310</v>
      </c>
      <c r="R30" s="28">
        <f t="shared" si="11"/>
        <v>150</v>
      </c>
      <c r="S30" s="28">
        <f t="shared" si="7"/>
        <v>309</v>
      </c>
      <c r="T30" s="28">
        <f t="shared" si="8"/>
        <v>151</v>
      </c>
      <c r="U30" s="35" t="s">
        <v>947</v>
      </c>
      <c r="V30" s="35"/>
      <c r="W30" s="29" t="str">
        <f t="shared" ca="1" si="3"/>
        <v>ModelInfo.rg(UTID_TIDE_BARON_WATER,ATT_STR,209599,310,150,40,0.1,0,0,1,0.03,CAREER_TYPE_BOSS,"ReplaceableTextures\\CommandButtons\\BTNSeaElemental.blp");</v>
      </c>
      <c r="X30" s="133" t="s">
        <v>1693</v>
      </c>
    </row>
    <row r="31" spans="1:214">
      <c r="A31" s="140" t="s">
        <v>1730</v>
      </c>
      <c r="B31" s="37" t="s">
        <v>932</v>
      </c>
      <c r="C31" s="37">
        <v>400000</v>
      </c>
      <c r="D31" s="37">
        <v>10</v>
      </c>
      <c r="E31" s="37">
        <v>10</v>
      </c>
      <c r="F31" s="37">
        <v>30</v>
      </c>
      <c r="G31" s="37">
        <v>1000</v>
      </c>
      <c r="H31" s="37">
        <v>1500</v>
      </c>
      <c r="I31" s="38">
        <v>5</v>
      </c>
      <c r="J31" s="38">
        <v>0.05</v>
      </c>
      <c r="K31" s="38">
        <v>0</v>
      </c>
      <c r="L31" s="38">
        <v>0</v>
      </c>
      <c r="M31" s="38">
        <v>1</v>
      </c>
      <c r="N31" s="38">
        <v>0.03</v>
      </c>
      <c r="O31" s="37" t="s">
        <v>928</v>
      </c>
      <c r="P31" s="28">
        <f t="shared" si="9"/>
        <v>399899</v>
      </c>
      <c r="Q31" s="28">
        <f t="shared" si="10"/>
        <v>970</v>
      </c>
      <c r="R31" s="28">
        <f t="shared" si="11"/>
        <v>500</v>
      </c>
      <c r="S31" s="28">
        <f t="shared" si="7"/>
        <v>969</v>
      </c>
      <c r="T31" s="28">
        <f t="shared" si="8"/>
        <v>501</v>
      </c>
      <c r="U31" s="37" t="s">
        <v>946</v>
      </c>
      <c r="V31" s="37"/>
      <c r="W31" s="29" t="str">
        <f t="shared" ca="1" si="3"/>
        <v>ModelInfo.rg(UTID_WARLOCK,ATT_INT,399899,970,500,5,0.05,0,0,1,0.03,CAREER_TYPE_BOSS,"ReplaceableTextures\\CommandButtons\\BTNOrcWarlock.blp");</v>
      </c>
      <c r="X31" s="133" t="s">
        <v>1693</v>
      </c>
    </row>
    <row r="32" spans="1:214">
      <c r="A32" s="37" t="s">
        <v>945</v>
      </c>
      <c r="B32" s="37" t="s">
        <v>907</v>
      </c>
      <c r="C32" s="37">
        <v>800</v>
      </c>
      <c r="D32" s="37">
        <v>0</v>
      </c>
      <c r="E32" s="37">
        <v>0</v>
      </c>
      <c r="F32" s="37">
        <v>0</v>
      </c>
      <c r="G32" s="37">
        <v>50</v>
      </c>
      <c r="H32" s="37">
        <v>50</v>
      </c>
      <c r="I32" s="38">
        <v>0</v>
      </c>
      <c r="J32" s="38">
        <v>0.05</v>
      </c>
      <c r="K32" s="38">
        <v>0</v>
      </c>
      <c r="L32" s="38">
        <v>0</v>
      </c>
      <c r="M32" s="38">
        <v>1</v>
      </c>
      <c r="N32" s="38">
        <v>0.05</v>
      </c>
      <c r="O32" s="37" t="s">
        <v>906</v>
      </c>
      <c r="P32" s="28">
        <f t="shared" si="9"/>
        <v>799</v>
      </c>
      <c r="Q32" s="28">
        <f t="shared" si="10"/>
        <v>50</v>
      </c>
      <c r="R32" s="28">
        <f t="shared" si="11"/>
        <v>0</v>
      </c>
      <c r="S32" s="28">
        <f t="shared" si="7"/>
        <v>49</v>
      </c>
      <c r="T32" s="28">
        <f t="shared" si="8"/>
        <v>1</v>
      </c>
      <c r="U32" s="37" t="s">
        <v>944</v>
      </c>
      <c r="V32" s="37"/>
      <c r="W32" s="29" t="str">
        <f t="shared" ca="1" si="3"/>
        <v>ModelInfo.rg(UTID_LAVA_SPAWN,ATT_NON,799,50,0,0,0.05,0,0,1,0.05,CAREER_TYPE_CREEP,"ReplaceableTextures\\CommandButtons\\BTNLavaSpawn.blp");</v>
      </c>
      <c r="X32" s="133" t="s">
        <v>1693</v>
      </c>
    </row>
    <row r="33" spans="1:24">
      <c r="A33" s="35" t="s">
        <v>943</v>
      </c>
      <c r="B33" s="35" t="s">
        <v>929</v>
      </c>
      <c r="C33" s="35">
        <v>450000</v>
      </c>
      <c r="D33" s="35">
        <v>10</v>
      </c>
      <c r="E33" s="35">
        <v>10</v>
      </c>
      <c r="F33" s="35">
        <v>10</v>
      </c>
      <c r="G33" s="35">
        <v>750</v>
      </c>
      <c r="H33" s="35">
        <v>1250</v>
      </c>
      <c r="I33" s="36">
        <v>5</v>
      </c>
      <c r="J33" s="36">
        <v>0.05</v>
      </c>
      <c r="K33" s="36">
        <v>0</v>
      </c>
      <c r="L33" s="36">
        <v>0</v>
      </c>
      <c r="M33" s="36">
        <v>1</v>
      </c>
      <c r="N33" s="36">
        <v>0.03</v>
      </c>
      <c r="O33" s="35" t="s">
        <v>928</v>
      </c>
      <c r="P33" s="28">
        <f t="shared" si="9"/>
        <v>449899</v>
      </c>
      <c r="Q33" s="28">
        <f t="shared" si="10"/>
        <v>740</v>
      </c>
      <c r="R33" s="28">
        <f t="shared" si="11"/>
        <v>500</v>
      </c>
      <c r="S33" s="28">
        <f t="shared" si="7"/>
        <v>739</v>
      </c>
      <c r="T33" s="28">
        <f t="shared" si="8"/>
        <v>501</v>
      </c>
      <c r="U33" s="35" t="s">
        <v>942</v>
      </c>
      <c r="V33" s="35" t="s">
        <v>941</v>
      </c>
      <c r="W33" s="29" t="str">
        <f t="shared" ca="1" si="3"/>
        <v>ModelInfo.rg(UTID_PIT_ARCHON,ATT_STR,449899,740,500,5,0.05,0,0,1,0.03,CAREER_TYPE_BOSS,"ReplaceableTextures\\CommandButtons\\BTNHeroCryptLord.blp").setScale(1.7);</v>
      </c>
      <c r="X33" s="133" t="s">
        <v>1693</v>
      </c>
    </row>
    <row r="34" spans="1:24">
      <c r="A34" s="35" t="s">
        <v>940</v>
      </c>
      <c r="B34" s="35" t="s">
        <v>907</v>
      </c>
      <c r="C34" s="35">
        <v>3000</v>
      </c>
      <c r="D34" s="35">
        <v>0</v>
      </c>
      <c r="E34" s="35">
        <v>0</v>
      </c>
      <c r="F34" s="35">
        <v>0</v>
      </c>
      <c r="G34" s="35">
        <v>100</v>
      </c>
      <c r="H34" s="35">
        <v>150</v>
      </c>
      <c r="I34" s="36">
        <v>0</v>
      </c>
      <c r="J34" s="36">
        <v>0</v>
      </c>
      <c r="K34" s="36">
        <v>0</v>
      </c>
      <c r="L34" s="36">
        <v>0</v>
      </c>
      <c r="M34" s="36">
        <v>1</v>
      </c>
      <c r="N34" s="36">
        <v>0</v>
      </c>
      <c r="O34" s="35" t="s">
        <v>906</v>
      </c>
      <c r="P34" s="28">
        <f t="shared" si="9"/>
        <v>2999</v>
      </c>
      <c r="Q34" s="28">
        <f t="shared" si="10"/>
        <v>100</v>
      </c>
      <c r="R34" s="28">
        <f t="shared" si="11"/>
        <v>50</v>
      </c>
      <c r="S34" s="28">
        <f t="shared" si="7"/>
        <v>99</v>
      </c>
      <c r="T34" s="28">
        <f t="shared" si="8"/>
        <v>51</v>
      </c>
      <c r="U34" s="35" t="s">
        <v>939</v>
      </c>
      <c r="V34" s="35"/>
      <c r="W34" s="29" t="str">
        <f t="shared" ca="1" si="3"/>
        <v>ModelInfo.rg(UTID_SPIKE,ATT_NON,2999,100,50,0,0,0,0,1,0,CAREER_TYPE_CREEP,"ReplaceableTextures\\CommandButtons\\BTNImpale.blp");</v>
      </c>
      <c r="X34" s="133" t="s">
        <v>1693</v>
      </c>
    </row>
    <row r="35" spans="1:24">
      <c r="A35" s="35" t="s">
        <v>938</v>
      </c>
      <c r="B35" s="35" t="s">
        <v>907</v>
      </c>
      <c r="C35" s="35">
        <v>5000</v>
      </c>
      <c r="D35" s="35">
        <v>0</v>
      </c>
      <c r="E35" s="35">
        <v>0</v>
      </c>
      <c r="F35" s="35">
        <v>0</v>
      </c>
      <c r="G35" s="35">
        <v>100</v>
      </c>
      <c r="H35" s="35">
        <v>300</v>
      </c>
      <c r="I35" s="36">
        <v>0</v>
      </c>
      <c r="J35" s="36">
        <v>0</v>
      </c>
      <c r="K35" s="36">
        <v>0</v>
      </c>
      <c r="L35" s="36">
        <v>0</v>
      </c>
      <c r="M35" s="36">
        <v>1</v>
      </c>
      <c r="N35" s="36">
        <v>0.05</v>
      </c>
      <c r="O35" s="35" t="s">
        <v>906</v>
      </c>
      <c r="P35" s="28">
        <f t="shared" si="9"/>
        <v>4999</v>
      </c>
      <c r="Q35" s="28">
        <f t="shared" si="10"/>
        <v>100</v>
      </c>
      <c r="R35" s="28">
        <f t="shared" si="11"/>
        <v>200</v>
      </c>
      <c r="S35" s="28">
        <f t="shared" si="7"/>
        <v>99</v>
      </c>
      <c r="T35" s="28">
        <f t="shared" si="8"/>
        <v>201</v>
      </c>
      <c r="U35" s="35" t="s">
        <v>937</v>
      </c>
      <c r="V35" s="35"/>
      <c r="W35" s="29" t="str">
        <f t="shared" ref="W35:W7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33" t="s">
        <v>1693</v>
      </c>
    </row>
    <row r="36" spans="1:24">
      <c r="A36" s="35" t="s">
        <v>936</v>
      </c>
      <c r="B36" s="35" t="s">
        <v>907</v>
      </c>
      <c r="C36" s="35">
        <v>20000</v>
      </c>
      <c r="D36" s="35">
        <v>0</v>
      </c>
      <c r="E36" s="35">
        <v>0</v>
      </c>
      <c r="F36" s="35">
        <v>0</v>
      </c>
      <c r="G36" s="35">
        <v>300</v>
      </c>
      <c r="H36" s="35">
        <v>500</v>
      </c>
      <c r="I36" s="36">
        <v>0</v>
      </c>
      <c r="J36" s="36">
        <v>0</v>
      </c>
      <c r="K36" s="36">
        <v>0</v>
      </c>
      <c r="L36" s="36">
        <v>0</v>
      </c>
      <c r="M36" s="36">
        <v>1</v>
      </c>
      <c r="N36" s="36">
        <v>0.15</v>
      </c>
      <c r="O36" s="35" t="s">
        <v>906</v>
      </c>
      <c r="P36" s="28">
        <f t="shared" si="9"/>
        <v>19999</v>
      </c>
      <c r="Q36" s="28">
        <f t="shared" si="10"/>
        <v>300</v>
      </c>
      <c r="R36" s="28">
        <f t="shared" si="11"/>
        <v>200</v>
      </c>
      <c r="S36" s="28">
        <f t="shared" si="7"/>
        <v>299</v>
      </c>
      <c r="T36" s="28">
        <f t="shared" si="8"/>
        <v>201</v>
      </c>
      <c r="U36" s="35" t="s">
        <v>935</v>
      </c>
      <c r="V36" s="35"/>
      <c r="W36" s="29" t="str">
        <f t="shared" ca="1" si="12"/>
        <v>ModelInfo.rg(UTID_ABOMINATION,ATT_NON,19999,300,200,0,0,0,0,1,0.15,CAREER_TYPE_CREEP,"ReplaceableTextures\\CommandButtons\\BTNAbomination.blp");</v>
      </c>
      <c r="X36" s="133" t="s">
        <v>1693</v>
      </c>
    </row>
    <row r="37" spans="1:24">
      <c r="A37" s="35" t="s">
        <v>934</v>
      </c>
      <c r="B37" s="35" t="s">
        <v>907</v>
      </c>
      <c r="C37" s="35">
        <v>500</v>
      </c>
      <c r="D37" s="35">
        <v>0</v>
      </c>
      <c r="E37" s="35">
        <v>0</v>
      </c>
      <c r="F37" s="35">
        <v>0</v>
      </c>
      <c r="G37" s="35">
        <v>5</v>
      </c>
      <c r="H37" s="35">
        <v>10</v>
      </c>
      <c r="I37" s="36">
        <v>0</v>
      </c>
      <c r="J37" s="36">
        <v>1</v>
      </c>
      <c r="K37" s="36">
        <v>0</v>
      </c>
      <c r="L37" s="36">
        <v>0</v>
      </c>
      <c r="M37" s="36">
        <v>0</v>
      </c>
      <c r="N37" s="36">
        <v>0</v>
      </c>
      <c r="O37" s="35" t="s">
        <v>906</v>
      </c>
      <c r="P37" s="28">
        <f t="shared" si="9"/>
        <v>499</v>
      </c>
      <c r="Q37" s="28">
        <f t="shared" si="10"/>
        <v>5</v>
      </c>
      <c r="R37" s="28">
        <f t="shared" si="11"/>
        <v>5</v>
      </c>
      <c r="S37" s="28">
        <f t="shared" si="7"/>
        <v>4</v>
      </c>
      <c r="T37" s="28">
        <f t="shared" si="8"/>
        <v>6</v>
      </c>
      <c r="U37" s="35" t="s">
        <v>933</v>
      </c>
      <c r="V37" s="35"/>
      <c r="W37" s="29" t="str">
        <f t="shared" ca="1" si="12"/>
        <v>ModelInfo.rg(UTID_WRAITH,ATT_NON,499,5,5,0,1,0,0,0,0,CAREER_TYPE_CREEP,"ReplaceableTextures\\CommandButtons\\BTNShade.blp");</v>
      </c>
      <c r="X37" s="133" t="s">
        <v>1693</v>
      </c>
    </row>
    <row r="38" spans="1:24">
      <c r="A38" s="140" t="s">
        <v>1754</v>
      </c>
      <c r="B38" s="37" t="s">
        <v>929</v>
      </c>
      <c r="C38" s="37">
        <v>400000</v>
      </c>
      <c r="D38" s="37">
        <v>10</v>
      </c>
      <c r="E38" s="37">
        <v>10</v>
      </c>
      <c r="F38" s="37">
        <v>10</v>
      </c>
      <c r="G38" s="37">
        <v>1200</v>
      </c>
      <c r="H38" s="37">
        <v>1700</v>
      </c>
      <c r="I38" s="38">
        <v>20</v>
      </c>
      <c r="J38" s="38">
        <v>0.05</v>
      </c>
      <c r="K38" s="38">
        <v>0</v>
      </c>
      <c r="L38" s="38">
        <v>0</v>
      </c>
      <c r="M38" s="38">
        <v>1</v>
      </c>
      <c r="N38" s="38">
        <v>0.03</v>
      </c>
      <c r="O38" s="37" t="s">
        <v>928</v>
      </c>
      <c r="P38" s="28">
        <f t="shared" si="9"/>
        <v>399899</v>
      </c>
      <c r="Q38" s="28">
        <f t="shared" si="10"/>
        <v>1190</v>
      </c>
      <c r="R38" s="28">
        <f t="shared" si="11"/>
        <v>500</v>
      </c>
      <c r="S38" s="28">
        <f t="shared" si="7"/>
        <v>1189</v>
      </c>
      <c r="T38" s="28">
        <f t="shared" si="8"/>
        <v>501</v>
      </c>
      <c r="U38" s="140" t="s">
        <v>1755</v>
      </c>
      <c r="V38" s="37"/>
      <c r="W38" s="29" t="str">
        <f t="shared" ca="1" si="12"/>
        <v>ModelInfo.rg(UTID_FEL_GUARD,ATT_STR,399899,1190,500,20,0.05,0,0,1,0.03,CAREER_TYPE_BOSS,"ReplaceableTextures\\CommandButtons\\BTNFelGuard.blp");</v>
      </c>
      <c r="X38" s="133" t="s">
        <v>1693</v>
      </c>
    </row>
    <row r="39" spans="1:24">
      <c r="A39" s="140" t="s">
        <v>1766</v>
      </c>
      <c r="B39" s="37" t="s">
        <v>929</v>
      </c>
      <c r="C39" s="37">
        <v>400000</v>
      </c>
      <c r="D39" s="37">
        <v>10</v>
      </c>
      <c r="E39" s="37">
        <v>10</v>
      </c>
      <c r="F39" s="37">
        <v>10</v>
      </c>
      <c r="G39" s="37">
        <v>1000</v>
      </c>
      <c r="H39" s="37">
        <v>1400</v>
      </c>
      <c r="I39" s="38">
        <v>0</v>
      </c>
      <c r="J39" s="38">
        <v>0</v>
      </c>
      <c r="K39" s="38">
        <v>0</v>
      </c>
      <c r="L39" s="38">
        <v>0</v>
      </c>
      <c r="M39" s="38">
        <v>0.8</v>
      </c>
      <c r="N39" s="38">
        <v>0.03</v>
      </c>
      <c r="O39" s="37" t="s">
        <v>928</v>
      </c>
      <c r="P39" s="28">
        <f t="shared" ref="P39" si="13">C39-1-D39*10</f>
        <v>399899</v>
      </c>
      <c r="Q39" s="28">
        <f t="shared" ref="Q39" si="14">G39-CHOOSE( IF( B39="ATT_AGI", 2, IF( B39="ATT_INT", 3, 1 ) ), D39, E39, F39 )</f>
        <v>990</v>
      </c>
      <c r="R39" s="28">
        <f t="shared" ref="R39" si="15">H39-G39</f>
        <v>400</v>
      </c>
      <c r="S39" s="28">
        <f t="shared" ref="S39" si="16">Q39-1</f>
        <v>989</v>
      </c>
      <c r="T39" s="28">
        <f t="shared" ref="T39" si="17">R39+1</f>
        <v>401</v>
      </c>
      <c r="U39" s="140" t="s">
        <v>1755</v>
      </c>
      <c r="V39" s="37"/>
      <c r="W39" s="29" t="str">
        <f t="shared" ca="1" si="12"/>
        <v>ModelInfo.rg(UTID_FEL_DEFENDER,ATT_STR,399899,990,400,0,0,0,0,0.8,0.03,CAREER_TYPE_BOSS,"ReplaceableTextures\\CommandButtons\\BTNFelGuard.blp");</v>
      </c>
      <c r="X39" s="133" t="s">
        <v>1693</v>
      </c>
    </row>
    <row r="40" spans="1:24">
      <c r="A40" s="35" t="s">
        <v>1731</v>
      </c>
      <c r="B40" s="35" t="s">
        <v>932</v>
      </c>
      <c r="C40" s="35">
        <v>800000</v>
      </c>
      <c r="D40" s="35">
        <v>10</v>
      </c>
      <c r="E40" s="35">
        <v>10</v>
      </c>
      <c r="F40" s="35">
        <v>50</v>
      </c>
      <c r="G40" s="35">
        <v>1400</v>
      </c>
      <c r="H40" s="35">
        <v>2100</v>
      </c>
      <c r="I40" s="36">
        <v>5</v>
      </c>
      <c r="J40" s="36">
        <v>0.05</v>
      </c>
      <c r="K40" s="36">
        <v>0</v>
      </c>
      <c r="L40" s="36">
        <v>0</v>
      </c>
      <c r="M40" s="36">
        <v>1</v>
      </c>
      <c r="N40" s="36">
        <v>0.03</v>
      </c>
      <c r="O40" s="35" t="s">
        <v>928</v>
      </c>
      <c r="P40" s="28">
        <f t="shared" si="9"/>
        <v>799899</v>
      </c>
      <c r="Q40" s="28">
        <f t="shared" si="10"/>
        <v>1350</v>
      </c>
      <c r="R40" s="28">
        <f t="shared" si="11"/>
        <v>700</v>
      </c>
      <c r="S40" s="28">
        <f t="shared" si="7"/>
        <v>1349</v>
      </c>
      <c r="T40" s="28">
        <f t="shared" si="8"/>
        <v>701</v>
      </c>
      <c r="U40" s="35" t="s">
        <v>931</v>
      </c>
      <c r="V40" s="35"/>
      <c r="W40" s="29" t="str">
        <f t="shared" ca="1" si="12"/>
        <v>ModelInfo.rg(UTID_HEX_LORD,ATT_INT,799899,1350,700,5,0.05,0,0,1,0.03,CAREER_TYPE_BOSS,"ReplaceableTextures\\CommandButtons\\BTNShadowHunter.blp");</v>
      </c>
      <c r="X40" s="133" t="s">
        <v>1693</v>
      </c>
    </row>
    <row r="41" spans="1:24">
      <c r="A41" s="199" t="str">
        <f>"UTID_"&amp;UPPER(SUBSTITUTE(BossAbilities!A69," ","_"))</f>
        <v>UTID_THURG</v>
      </c>
      <c r="B41" s="35" t="s">
        <v>907</v>
      </c>
      <c r="C41" s="35">
        <v>40000</v>
      </c>
      <c r="D41" s="35">
        <v>0</v>
      </c>
      <c r="E41" s="35">
        <v>0</v>
      </c>
      <c r="F41" s="35">
        <v>0</v>
      </c>
      <c r="G41" s="35">
        <v>500</v>
      </c>
      <c r="H41" s="35">
        <v>700</v>
      </c>
      <c r="I41" s="36">
        <v>10</v>
      </c>
      <c r="J41" s="36">
        <v>0.05</v>
      </c>
      <c r="K41" s="36">
        <v>0.35</v>
      </c>
      <c r="L41" s="36">
        <v>200</v>
      </c>
      <c r="M41" s="36">
        <v>1</v>
      </c>
      <c r="N41" s="36">
        <v>0.05</v>
      </c>
      <c r="O41" s="35" t="s">
        <v>906</v>
      </c>
      <c r="P41" s="28">
        <f t="shared" si="9"/>
        <v>39999</v>
      </c>
      <c r="Q41" s="28">
        <f t="shared" si="10"/>
        <v>500</v>
      </c>
      <c r="R41" s="28">
        <f t="shared" si="11"/>
        <v>200</v>
      </c>
      <c r="S41" s="28">
        <f t="shared" si="7"/>
        <v>499</v>
      </c>
      <c r="T41" s="28">
        <f t="shared" si="8"/>
        <v>201</v>
      </c>
      <c r="U41" s="139" t="s">
        <v>2471</v>
      </c>
      <c r="V41" s="35"/>
      <c r="W41" s="29" t="str">
        <f t="shared" ca="1" si="12"/>
        <v>ModelInfo.rg(UTID_THURG,ATT_NON,39999,500,200,10,0.05,0.35,200,1,0.05,CAREER_TYPE_CREEP,"ReplaceableTextures\\CommandButtons\\BTNOneHeadedOgre.blp");</v>
      </c>
      <c r="X41" s="133" t="s">
        <v>1693</v>
      </c>
    </row>
    <row r="42" spans="1:24">
      <c r="A42" s="199" t="str">
        <f>"UTID_"&amp;UPPER(SUBSTITUTE(BossAbilities!A70," ","_"))</f>
        <v>UTID_GAZAKROTH</v>
      </c>
      <c r="B42" s="35" t="s">
        <v>907</v>
      </c>
      <c r="C42" s="35">
        <v>20000</v>
      </c>
      <c r="D42" s="35">
        <v>0</v>
      </c>
      <c r="E42" s="35">
        <v>0</v>
      </c>
      <c r="F42" s="35">
        <v>0</v>
      </c>
      <c r="G42" s="35">
        <v>100</v>
      </c>
      <c r="H42" s="35">
        <v>200</v>
      </c>
      <c r="I42" s="36">
        <v>0</v>
      </c>
      <c r="J42" s="36">
        <v>0.05</v>
      </c>
      <c r="K42" s="36">
        <v>0</v>
      </c>
      <c r="L42" s="36">
        <v>0</v>
      </c>
      <c r="M42" s="36">
        <v>0.4</v>
      </c>
      <c r="N42" s="36">
        <v>0</v>
      </c>
      <c r="O42" s="35" t="s">
        <v>906</v>
      </c>
      <c r="P42" s="28">
        <f t="shared" si="9"/>
        <v>19999</v>
      </c>
      <c r="Q42" s="28">
        <f t="shared" si="10"/>
        <v>100</v>
      </c>
      <c r="R42" s="28">
        <f t="shared" si="11"/>
        <v>100</v>
      </c>
      <c r="S42" s="28">
        <f t="shared" si="7"/>
        <v>99</v>
      </c>
      <c r="T42" s="28">
        <f t="shared" si="8"/>
        <v>101</v>
      </c>
      <c r="U42" s="139" t="s">
        <v>944</v>
      </c>
      <c r="V42" s="35"/>
      <c r="W42" s="29" t="str">
        <f t="shared" ca="1" si="12"/>
        <v>ModelInfo.rg(UTID_GAZAKROTH,ATT_NON,19999,100,100,0,0.05,0,0,0.4,0,CAREER_TYPE_CREEP,"ReplaceableTextures\\CommandButtons\\BTNLavaSpawn.blp");</v>
      </c>
      <c r="X42" s="133" t="s">
        <v>1693</v>
      </c>
    </row>
    <row r="43" spans="1:24">
      <c r="A43" s="199" t="str">
        <f>"UTID_"&amp;UPPER(SUBSTITUTE(BossAbilities!A71," ","_"))</f>
        <v>UTID_LORD_RAADAN</v>
      </c>
      <c r="B43" s="35" t="s">
        <v>907</v>
      </c>
      <c r="C43" s="35">
        <v>35000</v>
      </c>
      <c r="D43" s="35">
        <v>0</v>
      </c>
      <c r="E43" s="35">
        <v>0</v>
      </c>
      <c r="F43" s="35">
        <v>0</v>
      </c>
      <c r="G43" s="35">
        <v>400</v>
      </c>
      <c r="H43" s="35">
        <v>800</v>
      </c>
      <c r="I43" s="36">
        <v>5</v>
      </c>
      <c r="J43" s="36">
        <v>0.05</v>
      </c>
      <c r="K43" s="36">
        <v>0</v>
      </c>
      <c r="L43" s="36">
        <v>0</v>
      </c>
      <c r="M43" s="36">
        <v>0.6</v>
      </c>
      <c r="N43" s="36">
        <v>0.15</v>
      </c>
      <c r="O43" s="35" t="s">
        <v>906</v>
      </c>
      <c r="P43" s="28">
        <f t="shared" si="9"/>
        <v>34999</v>
      </c>
      <c r="Q43" s="28">
        <f t="shared" si="10"/>
        <v>400</v>
      </c>
      <c r="R43" s="28">
        <f t="shared" si="11"/>
        <v>400</v>
      </c>
      <c r="S43" s="28">
        <f t="shared" si="7"/>
        <v>399</v>
      </c>
      <c r="T43" s="28">
        <f t="shared" si="8"/>
        <v>401</v>
      </c>
      <c r="U43" s="139" t="s">
        <v>2472</v>
      </c>
      <c r="V43" s="35"/>
      <c r="W43" s="29" t="str">
        <f t="shared" ca="1" si="12"/>
        <v>ModelInfo.rg(UTID_LORD_RAADAN,ATT_NON,34999,400,400,5,0.05,0,0,0.6,0.15,CAREER_TYPE_CREEP,"ReplaceableTextures\\CommandButtons\\BTNBlueDragonSpawn.blp");</v>
      </c>
      <c r="X43" s="133" t="s">
        <v>1693</v>
      </c>
    </row>
    <row r="44" spans="1:24">
      <c r="A44" s="199" t="str">
        <f>"UTID_"&amp;UPPER(SUBSTITUTE(BossAbilities!A72," ","_"))</f>
        <v>UTID_DARKHEART</v>
      </c>
      <c r="B44" s="35" t="s">
        <v>907</v>
      </c>
      <c r="C44" s="35">
        <v>25000</v>
      </c>
      <c r="D44" s="35">
        <v>0</v>
      </c>
      <c r="E44" s="35">
        <v>0</v>
      </c>
      <c r="F44" s="35">
        <v>0</v>
      </c>
      <c r="G44" s="35">
        <v>300</v>
      </c>
      <c r="H44" s="35">
        <v>600</v>
      </c>
      <c r="I44" s="36">
        <v>0</v>
      </c>
      <c r="J44" s="36">
        <v>0.5</v>
      </c>
      <c r="K44" s="36">
        <v>0</v>
      </c>
      <c r="L44" s="36">
        <v>0</v>
      </c>
      <c r="M44" s="36">
        <v>1</v>
      </c>
      <c r="N44" s="36">
        <v>0.3</v>
      </c>
      <c r="O44" s="35" t="s">
        <v>906</v>
      </c>
      <c r="P44" s="28">
        <f t="shared" si="9"/>
        <v>24999</v>
      </c>
      <c r="Q44" s="28">
        <f t="shared" si="10"/>
        <v>300</v>
      </c>
      <c r="R44" s="28">
        <f t="shared" si="11"/>
        <v>300</v>
      </c>
      <c r="S44" s="28">
        <f t="shared" si="7"/>
        <v>299</v>
      </c>
      <c r="T44" s="28">
        <f t="shared" si="8"/>
        <v>301</v>
      </c>
      <c r="U44" s="139" t="s">
        <v>2473</v>
      </c>
      <c r="V44" s="35"/>
      <c r="W44" s="29" t="str">
        <f t="shared" ca="1" si="12"/>
        <v>ModelInfo.rg(UTID_DARKHEART,ATT_NON,24999,300,300,0,0.5,0,0,1,0.3,CAREER_TYPE_CREEP,"ReplaceableTextures\\CommandButtons\\BTNBanshee.blp");</v>
      </c>
      <c r="X44" s="133" t="s">
        <v>1693</v>
      </c>
    </row>
    <row r="45" spans="1:24">
      <c r="A45" s="199" t="str">
        <f>"UTID_"&amp;UPPER(SUBSTITUTE(BossAbilities!A73," ","_"))</f>
        <v>UTID_ALYSON_ANTILLE</v>
      </c>
      <c r="B45" s="35" t="s">
        <v>907</v>
      </c>
      <c r="C45" s="35">
        <v>25000</v>
      </c>
      <c r="D45" s="35">
        <v>0</v>
      </c>
      <c r="E45" s="35">
        <v>0</v>
      </c>
      <c r="F45" s="35">
        <v>0</v>
      </c>
      <c r="G45" s="35">
        <v>200</v>
      </c>
      <c r="H45" s="35">
        <v>500</v>
      </c>
      <c r="I45" s="36">
        <v>0</v>
      </c>
      <c r="J45" s="36">
        <v>0.2</v>
      </c>
      <c r="K45" s="36">
        <v>0</v>
      </c>
      <c r="L45" s="36">
        <v>0</v>
      </c>
      <c r="M45" s="36">
        <v>0.8</v>
      </c>
      <c r="N45" s="36">
        <v>0</v>
      </c>
      <c r="O45" s="35" t="s">
        <v>906</v>
      </c>
      <c r="P45" s="28">
        <f t="shared" si="9"/>
        <v>24999</v>
      </c>
      <c r="Q45" s="28">
        <f t="shared" si="10"/>
        <v>200</v>
      </c>
      <c r="R45" s="28">
        <f t="shared" si="11"/>
        <v>300</v>
      </c>
      <c r="S45" s="28">
        <f t="shared" si="7"/>
        <v>199</v>
      </c>
      <c r="T45" s="28">
        <f t="shared" si="8"/>
        <v>301</v>
      </c>
      <c r="U45" s="139" t="s">
        <v>2474</v>
      </c>
      <c r="V45" s="35"/>
      <c r="W45" s="29" t="str">
        <f t="shared" ca="1" si="12"/>
        <v>ModelInfo.rg(UTID_ALYSON_ANTILLE,ATT_NON,24999,200,300,0,0.2,0,0,0.8,0,CAREER_TYPE_CREEP,"ReplaceableTextures\\CommandButtons\\BTNSorceress.blp");</v>
      </c>
      <c r="X45" s="133" t="s">
        <v>1693</v>
      </c>
    </row>
    <row r="46" spans="1:24">
      <c r="A46" s="199" t="str">
        <f>"UTID_"&amp;UPPER(SUBSTITUTE(BossAbilities!A74," ","_"))</f>
        <v>UTID_SLITHER</v>
      </c>
      <c r="B46" s="35" t="s">
        <v>907</v>
      </c>
      <c r="C46" s="35">
        <v>30000</v>
      </c>
      <c r="D46" s="35">
        <v>0</v>
      </c>
      <c r="E46" s="35">
        <v>0</v>
      </c>
      <c r="F46" s="35">
        <v>0</v>
      </c>
      <c r="G46" s="35">
        <v>200</v>
      </c>
      <c r="H46" s="35">
        <v>600</v>
      </c>
      <c r="I46" s="36">
        <v>0</v>
      </c>
      <c r="J46" s="36">
        <v>0.4</v>
      </c>
      <c r="K46" s="36">
        <v>0</v>
      </c>
      <c r="L46" s="36">
        <v>0</v>
      </c>
      <c r="M46" s="36">
        <v>1</v>
      </c>
      <c r="N46" s="36">
        <v>0.25</v>
      </c>
      <c r="O46" s="35" t="s">
        <v>906</v>
      </c>
      <c r="P46" s="28">
        <f t="shared" si="9"/>
        <v>29999</v>
      </c>
      <c r="Q46" s="28">
        <f t="shared" si="10"/>
        <v>200</v>
      </c>
      <c r="R46" s="28">
        <f t="shared" si="11"/>
        <v>400</v>
      </c>
      <c r="S46" s="28">
        <f t="shared" si="7"/>
        <v>199</v>
      </c>
      <c r="T46" s="28">
        <f t="shared" si="8"/>
        <v>401</v>
      </c>
      <c r="U46" s="139" t="s">
        <v>2475</v>
      </c>
      <c r="V46" s="35"/>
      <c r="W46" s="29" t="str">
        <f t="shared" ca="1" si="12"/>
        <v>ModelInfo.rg(UTID_SLITHER,ATT_NON,29999,200,400,0,0.4,0,0,1,0.25,CAREER_TYPE_CREEP,"ReplaceableTextures\\CommandButtons\\BTNSkink.blp");</v>
      </c>
      <c r="X46" s="133" t="s">
        <v>1693</v>
      </c>
    </row>
    <row r="47" spans="1:24">
      <c r="A47" s="199" t="str">
        <f>"UTID_"&amp;UPPER(SUBSTITUTE(BossAbilities!A75," ","_"))</f>
        <v>UTID_FENSTALKER</v>
      </c>
      <c r="B47" s="35" t="s">
        <v>907</v>
      </c>
      <c r="C47" s="35">
        <v>35000</v>
      </c>
      <c r="D47" s="35">
        <v>0</v>
      </c>
      <c r="E47" s="35">
        <v>0</v>
      </c>
      <c r="F47" s="35">
        <v>0</v>
      </c>
      <c r="G47" s="35">
        <v>400</v>
      </c>
      <c r="H47" s="35">
        <v>500</v>
      </c>
      <c r="I47" s="36">
        <v>10</v>
      </c>
      <c r="J47" s="36">
        <v>0.05</v>
      </c>
      <c r="K47" s="36">
        <v>0.2</v>
      </c>
      <c r="L47" s="36">
        <v>150</v>
      </c>
      <c r="M47" s="36">
        <v>1</v>
      </c>
      <c r="N47" s="36">
        <v>0</v>
      </c>
      <c r="O47" s="35" t="s">
        <v>906</v>
      </c>
      <c r="P47" s="28">
        <f t="shared" si="9"/>
        <v>34999</v>
      </c>
      <c r="Q47" s="28">
        <f t="shared" si="10"/>
        <v>400</v>
      </c>
      <c r="R47" s="28">
        <f t="shared" si="11"/>
        <v>100</v>
      </c>
      <c r="S47" s="28">
        <f t="shared" si="7"/>
        <v>399</v>
      </c>
      <c r="T47" s="28">
        <f t="shared" si="8"/>
        <v>101</v>
      </c>
      <c r="U47" s="139" t="s">
        <v>2476</v>
      </c>
      <c r="V47" s="35"/>
      <c r="W47" s="29" t="str">
        <f t="shared" ca="1" si="12"/>
        <v>ModelInfo.rg(UTID_FENSTALKER,ATT_NON,34999,400,100,10,0.05,0.2,150,1,0,CAREER_TYPE_CREEP,"ReplaceableTextures\\CommandButtons\\BTNSasquatch.blp");</v>
      </c>
      <c r="X47" s="133" t="s">
        <v>1693</v>
      </c>
    </row>
    <row r="48" spans="1:24">
      <c r="A48" s="199" t="str">
        <f>"UTID_"&amp;UPPER(SUBSTITUTE(BossAbilities!A76," ","_"))</f>
        <v>UTID_KORAGG</v>
      </c>
      <c r="B48" s="35" t="s">
        <v>907</v>
      </c>
      <c r="C48" s="35">
        <v>25000</v>
      </c>
      <c r="D48" s="35">
        <v>0</v>
      </c>
      <c r="E48" s="35">
        <v>0</v>
      </c>
      <c r="F48" s="35">
        <v>0</v>
      </c>
      <c r="G48" s="35">
        <v>300</v>
      </c>
      <c r="H48" s="35">
        <v>500</v>
      </c>
      <c r="I48" s="36">
        <v>5</v>
      </c>
      <c r="J48" s="36">
        <v>0.05</v>
      </c>
      <c r="K48" s="36">
        <v>0</v>
      </c>
      <c r="L48" s="36">
        <v>0</v>
      </c>
      <c r="M48" s="36">
        <v>0.9</v>
      </c>
      <c r="N48" s="36">
        <v>0.15</v>
      </c>
      <c r="O48" s="35" t="s">
        <v>906</v>
      </c>
      <c r="P48" s="28">
        <f t="shared" si="9"/>
        <v>24999</v>
      </c>
      <c r="Q48" s="28">
        <f t="shared" si="10"/>
        <v>300</v>
      </c>
      <c r="R48" s="28">
        <f t="shared" si="11"/>
        <v>200</v>
      </c>
      <c r="S48" s="28">
        <f t="shared" si="7"/>
        <v>299</v>
      </c>
      <c r="T48" s="28">
        <f t="shared" si="8"/>
        <v>201</v>
      </c>
      <c r="U48" s="139" t="s">
        <v>971</v>
      </c>
      <c r="V48" s="35"/>
      <c r="W48" s="29" t="str">
        <f t="shared" ca="1" si="12"/>
        <v>ModelInfo.rg(UTID_KORAGG,ATT_NON,24999,300,200,5,0.05,0,0,0.9,0.15,CAREER_TYPE_CREEP,"ReplaceableTextures\\CommandButtons\\BTNGhoul.blp");</v>
      </c>
      <c r="X48" s="133" t="s">
        <v>1693</v>
      </c>
    </row>
    <row r="49" spans="1:24">
      <c r="A49" s="140" t="s">
        <v>930</v>
      </c>
      <c r="B49" s="37" t="s">
        <v>929</v>
      </c>
      <c r="C49" s="37">
        <v>1500000</v>
      </c>
      <c r="D49" s="37">
        <v>50</v>
      </c>
      <c r="E49" s="37">
        <v>10</v>
      </c>
      <c r="F49" s="37">
        <v>50</v>
      </c>
      <c r="G49" s="37">
        <v>60</v>
      </c>
      <c r="H49" s="37">
        <v>100</v>
      </c>
      <c r="I49" s="38">
        <v>15</v>
      </c>
      <c r="J49" s="38">
        <v>0.05</v>
      </c>
      <c r="K49" s="38">
        <v>0.05</v>
      </c>
      <c r="L49" s="38">
        <v>100</v>
      </c>
      <c r="M49" s="38">
        <v>1</v>
      </c>
      <c r="N49" s="38">
        <v>0</v>
      </c>
      <c r="O49" s="37" t="s">
        <v>928</v>
      </c>
      <c r="P49" s="28">
        <f t="shared" ref="P49:P84" si="18">C49-1-D49*10</f>
        <v>1499499</v>
      </c>
      <c r="Q49" s="28">
        <f t="shared" ref="Q49:Q84" si="19">G49-CHOOSE( IF( B49="ATT_AGI", 2, IF( B49="ATT_INT", 3, 1 ) ), D49, E49, F49 )</f>
        <v>10</v>
      </c>
      <c r="R49" s="28">
        <f t="shared" ref="R49:R84" si="20">H49-G49</f>
        <v>40</v>
      </c>
      <c r="S49" s="28">
        <f t="shared" si="7"/>
        <v>9</v>
      </c>
      <c r="T49" s="28">
        <f t="shared" si="8"/>
        <v>41</v>
      </c>
      <c r="U49" s="140" t="s">
        <v>927</v>
      </c>
      <c r="V49" s="37"/>
      <c r="W49" s="29" t="str">
        <f t="shared" ca="1" si="12"/>
        <v>ModelInfo.rg(UTID_GOD_OF_DEATH,ATT_STR,1499499,10,40,15,0.05,0.05,100,1,0,CAREER_TYPE_BOSS,"ReplaceableTextures\\CommandButtons\\BTNForgottenOne.blp");</v>
      </c>
      <c r="X49" s="133" t="s">
        <v>1693</v>
      </c>
    </row>
    <row r="50" spans="1:24">
      <c r="A50" s="43" t="s">
        <v>914</v>
      </c>
      <c r="B50" s="39" t="s">
        <v>907</v>
      </c>
      <c r="C50" s="39">
        <v>8500</v>
      </c>
      <c r="D50" s="39">
        <v>0</v>
      </c>
      <c r="E50" s="39">
        <v>0</v>
      </c>
      <c r="F50" s="39">
        <v>0</v>
      </c>
      <c r="G50" s="39">
        <v>150</v>
      </c>
      <c r="H50" s="39">
        <v>250</v>
      </c>
      <c r="I50" s="40">
        <v>5</v>
      </c>
      <c r="J50" s="40">
        <v>0.05</v>
      </c>
      <c r="K50" s="40">
        <v>0</v>
      </c>
      <c r="L50" s="40">
        <v>0</v>
      </c>
      <c r="M50" s="40">
        <v>1</v>
      </c>
      <c r="N50" s="40">
        <v>0.05</v>
      </c>
      <c r="O50" s="39" t="s">
        <v>906</v>
      </c>
      <c r="P50" s="28">
        <f t="shared" si="18"/>
        <v>8499</v>
      </c>
      <c r="Q50" s="28">
        <f t="shared" si="19"/>
        <v>150</v>
      </c>
      <c r="R50" s="28">
        <f t="shared" si="20"/>
        <v>100</v>
      </c>
      <c r="S50" s="28">
        <f t="shared" si="7"/>
        <v>149</v>
      </c>
      <c r="T50" s="28">
        <f t="shared" si="8"/>
        <v>101</v>
      </c>
      <c r="U50" s="39" t="s">
        <v>913</v>
      </c>
      <c r="V50" s="39"/>
      <c r="W50" s="29" t="str">
        <f t="shared" ca="1" si="12"/>
        <v>ModelInfo.rg(UTID_SEA_LIZARD,ATT_NON,8499,150,100,5,0.05,0,0,1,0.05,CAREER_TYPE_CREEP,"ReplaceableTextures\\CommandButtons\\BTNSnapDragon.blp");</v>
      </c>
      <c r="X50" s="133" t="s">
        <v>1693</v>
      </c>
    </row>
    <row r="51" spans="1:24">
      <c r="A51" s="43" t="s">
        <v>912</v>
      </c>
      <c r="B51" s="39" t="s">
        <v>907</v>
      </c>
      <c r="C51" s="39">
        <v>5500</v>
      </c>
      <c r="D51" s="39">
        <v>0</v>
      </c>
      <c r="E51" s="39">
        <v>0</v>
      </c>
      <c r="F51" s="39">
        <v>0</v>
      </c>
      <c r="G51" s="39">
        <v>100</v>
      </c>
      <c r="H51" s="39">
        <v>150</v>
      </c>
      <c r="I51" s="40">
        <v>2</v>
      </c>
      <c r="J51" s="40">
        <v>0</v>
      </c>
      <c r="K51" s="40">
        <v>0.05</v>
      </c>
      <c r="L51" s="40">
        <v>20</v>
      </c>
      <c r="M51" s="40">
        <v>1</v>
      </c>
      <c r="N51" s="40">
        <v>0.02</v>
      </c>
      <c r="O51" s="39" t="s">
        <v>906</v>
      </c>
      <c r="P51" s="28">
        <f t="shared" si="18"/>
        <v>5499</v>
      </c>
      <c r="Q51" s="28">
        <f t="shared" si="19"/>
        <v>100</v>
      </c>
      <c r="R51" s="28">
        <f t="shared" si="20"/>
        <v>50</v>
      </c>
      <c r="S51" s="28">
        <f t="shared" si="7"/>
        <v>99</v>
      </c>
      <c r="T51" s="28">
        <f t="shared" si="8"/>
        <v>51</v>
      </c>
      <c r="U51" s="39" t="s">
        <v>911</v>
      </c>
      <c r="V51" s="39"/>
      <c r="W51" s="29" t="str">
        <f t="shared" ca="1" si="12"/>
        <v>ModelInfo.rg(UTID_MURLOC_SLAVE,ATT_NON,5499,100,50,2,0,0.05,20,1,0.02,CAREER_TYPE_CREEP,"ReplaceableTextures\\CommandButtons\\BTNMurgalSlave.blp");</v>
      </c>
      <c r="X51" s="133" t="s">
        <v>1693</v>
      </c>
    </row>
    <row r="52" spans="1:24">
      <c r="A52" s="42" t="s">
        <v>926</v>
      </c>
      <c r="B52" s="39" t="s">
        <v>907</v>
      </c>
      <c r="C52" s="39">
        <v>13500</v>
      </c>
      <c r="D52" s="39">
        <v>0</v>
      </c>
      <c r="E52" s="39">
        <v>0</v>
      </c>
      <c r="F52" s="39">
        <v>0</v>
      </c>
      <c r="G52" s="39">
        <v>250</v>
      </c>
      <c r="H52" s="39">
        <v>350</v>
      </c>
      <c r="I52" s="40">
        <v>5</v>
      </c>
      <c r="J52" s="40">
        <v>0.05</v>
      </c>
      <c r="K52" s="40">
        <v>0</v>
      </c>
      <c r="L52" s="40">
        <v>0</v>
      </c>
      <c r="M52" s="40">
        <v>1</v>
      </c>
      <c r="N52" s="40">
        <v>0</v>
      </c>
      <c r="O52" s="39" t="s">
        <v>906</v>
      </c>
      <c r="P52" s="28">
        <f t="shared" si="18"/>
        <v>13499</v>
      </c>
      <c r="Q52" s="28">
        <f t="shared" si="19"/>
        <v>250</v>
      </c>
      <c r="R52" s="28">
        <f t="shared" si="20"/>
        <v>100</v>
      </c>
      <c r="S52" s="28">
        <f t="shared" si="7"/>
        <v>249</v>
      </c>
      <c r="T52" s="28">
        <f t="shared" si="8"/>
        <v>101</v>
      </c>
      <c r="U52" s="39" t="s">
        <v>925</v>
      </c>
      <c r="V52" s="39"/>
      <c r="W52" s="29" t="str">
        <f t="shared" ca="1" si="12"/>
        <v>ModelInfo.rg(UTID_NAGA_SIREN,ATT_NON,13499,250,100,5,0.05,0,0,1,0,CAREER_TYPE_CREEP,"ReplaceableTextures\\CommandButtons\\BTNSeaWitch.blp");</v>
      </c>
      <c r="X52" s="133" t="s">
        <v>1693</v>
      </c>
    </row>
    <row r="53" spans="1:24">
      <c r="A53" s="42" t="s">
        <v>924</v>
      </c>
      <c r="B53" s="39" t="s">
        <v>907</v>
      </c>
      <c r="C53" s="39">
        <v>13500</v>
      </c>
      <c r="D53" s="39">
        <v>0</v>
      </c>
      <c r="E53" s="39">
        <v>0</v>
      </c>
      <c r="F53" s="39">
        <v>0</v>
      </c>
      <c r="G53" s="39">
        <v>200</v>
      </c>
      <c r="H53" s="39">
        <v>300</v>
      </c>
      <c r="I53" s="40">
        <v>5</v>
      </c>
      <c r="J53" s="40">
        <v>0.05</v>
      </c>
      <c r="K53" s="40">
        <v>0</v>
      </c>
      <c r="L53" s="40">
        <v>0</v>
      </c>
      <c r="M53" s="40">
        <v>1</v>
      </c>
      <c r="N53" s="40">
        <v>0</v>
      </c>
      <c r="O53" s="39" t="s">
        <v>906</v>
      </c>
      <c r="P53" s="28">
        <f t="shared" si="18"/>
        <v>13499</v>
      </c>
      <c r="Q53" s="28">
        <f t="shared" si="19"/>
        <v>200</v>
      </c>
      <c r="R53" s="28">
        <f t="shared" si="20"/>
        <v>100</v>
      </c>
      <c r="S53" s="28">
        <f t="shared" si="7"/>
        <v>199</v>
      </c>
      <c r="T53" s="28">
        <f t="shared" si="8"/>
        <v>101</v>
      </c>
      <c r="U53" s="39" t="s">
        <v>923</v>
      </c>
      <c r="V53" s="39"/>
      <c r="W53" s="29" t="str">
        <f t="shared" ca="1" si="12"/>
        <v>ModelInfo.rg(UTID_NAGA_TIDE_PRIEST,ATT_NON,13499,200,100,5,0.05,0,0,1,0,CAREER_TYPE_CREEP,"ReplaceableTextures\\CommandButtons\\BTNNagaSummoner.blp");</v>
      </c>
      <c r="X53" s="133" t="s">
        <v>1693</v>
      </c>
    </row>
    <row r="54" spans="1:24">
      <c r="A54" s="42" t="s">
        <v>922</v>
      </c>
      <c r="B54" s="39" t="s">
        <v>907</v>
      </c>
      <c r="C54" s="39">
        <v>250</v>
      </c>
      <c r="D54" s="39">
        <v>0</v>
      </c>
      <c r="E54" s="39">
        <v>0</v>
      </c>
      <c r="F54" s="39">
        <v>0</v>
      </c>
      <c r="G54" s="39">
        <v>1</v>
      </c>
      <c r="H54" s="39">
        <v>1</v>
      </c>
      <c r="I54" s="40">
        <v>0</v>
      </c>
      <c r="J54" s="40">
        <v>0</v>
      </c>
      <c r="K54" s="40">
        <v>0</v>
      </c>
      <c r="L54" s="40">
        <v>0</v>
      </c>
      <c r="M54" s="40">
        <v>1</v>
      </c>
      <c r="N54" s="40">
        <v>0</v>
      </c>
      <c r="O54" s="39" t="s">
        <v>906</v>
      </c>
      <c r="P54" s="28">
        <f t="shared" si="18"/>
        <v>249</v>
      </c>
      <c r="Q54" s="28">
        <f t="shared" si="19"/>
        <v>1</v>
      </c>
      <c r="R54" s="28">
        <f t="shared" si="20"/>
        <v>0</v>
      </c>
      <c r="S54" s="28">
        <f t="shared" si="7"/>
        <v>0</v>
      </c>
      <c r="T54" s="28">
        <f t="shared" si="8"/>
        <v>1</v>
      </c>
      <c r="U54" s="39" t="s">
        <v>921</v>
      </c>
      <c r="V54" s="39"/>
      <c r="W54" s="29" t="str">
        <f t="shared" ca="1" si="12"/>
        <v>ModelInfo.rg(UTID_NTR_HEALING_WARD,ATT_NON,249,1,0,0,0,0,0,1,0,CAREER_TYPE_CREEP,"ReplaceableTextures\\CommandButtons\\BTNHealingWard.blp");</v>
      </c>
      <c r="X54" s="133" t="s">
        <v>1693</v>
      </c>
    </row>
    <row r="55" spans="1:24">
      <c r="A55" s="42" t="s">
        <v>920</v>
      </c>
      <c r="B55" s="39" t="s">
        <v>907</v>
      </c>
      <c r="C55" s="39">
        <v>250</v>
      </c>
      <c r="D55" s="39">
        <v>0</v>
      </c>
      <c r="E55" s="39">
        <v>0</v>
      </c>
      <c r="F55" s="39">
        <v>0</v>
      </c>
      <c r="G55" s="39">
        <v>1</v>
      </c>
      <c r="H55" s="39">
        <v>1</v>
      </c>
      <c r="I55" s="40">
        <v>0</v>
      </c>
      <c r="J55" s="40">
        <v>0</v>
      </c>
      <c r="K55" s="40">
        <v>0</v>
      </c>
      <c r="L55" s="40">
        <v>0</v>
      </c>
      <c r="M55" s="40">
        <v>1</v>
      </c>
      <c r="N55" s="40">
        <v>0</v>
      </c>
      <c r="O55" s="39" t="s">
        <v>906</v>
      </c>
      <c r="P55" s="28">
        <f t="shared" si="18"/>
        <v>249</v>
      </c>
      <c r="Q55" s="28">
        <f t="shared" si="19"/>
        <v>1</v>
      </c>
      <c r="R55" s="28">
        <f t="shared" si="20"/>
        <v>0</v>
      </c>
      <c r="S55" s="28">
        <f t="shared" si="7"/>
        <v>0</v>
      </c>
      <c r="T55" s="28">
        <f t="shared" si="8"/>
        <v>1</v>
      </c>
      <c r="U55" s="39" t="s">
        <v>919</v>
      </c>
      <c r="V55" s="39"/>
      <c r="W55" s="29" t="str">
        <f t="shared" ca="1" si="12"/>
        <v>ModelInfo.rg(UTID_NTR_PROTECTION_WARD,ATT_NON,249,1,0,0,0,0,0,1,0,CAREER_TYPE_CREEP,"ReplaceableTextures\\CommandButtons\\BTNBigBadVoodooSpell.blp");</v>
      </c>
      <c r="X55" s="133" t="s">
        <v>1693</v>
      </c>
    </row>
    <row r="56" spans="1:24">
      <c r="A56" s="42" t="s">
        <v>910</v>
      </c>
      <c r="B56" s="39" t="s">
        <v>907</v>
      </c>
      <c r="C56" s="39">
        <v>32000</v>
      </c>
      <c r="D56" s="39">
        <v>0</v>
      </c>
      <c r="E56" s="39">
        <v>0</v>
      </c>
      <c r="F56" s="39">
        <v>0</v>
      </c>
      <c r="G56" s="39">
        <v>275</v>
      </c>
      <c r="H56" s="39">
        <v>400</v>
      </c>
      <c r="I56" s="40">
        <v>7</v>
      </c>
      <c r="J56" s="40">
        <v>0.1</v>
      </c>
      <c r="K56" s="40">
        <v>0</v>
      </c>
      <c r="L56" s="40">
        <v>0</v>
      </c>
      <c r="M56" s="40">
        <v>1</v>
      </c>
      <c r="N56" s="40">
        <v>0.1</v>
      </c>
      <c r="O56" s="39" t="s">
        <v>906</v>
      </c>
      <c r="P56" s="28">
        <f t="shared" si="18"/>
        <v>31999</v>
      </c>
      <c r="Q56" s="28">
        <f t="shared" si="19"/>
        <v>275</v>
      </c>
      <c r="R56" s="28">
        <f t="shared" si="20"/>
        <v>125</v>
      </c>
      <c r="S56" s="28">
        <f t="shared" si="7"/>
        <v>274</v>
      </c>
      <c r="T56" s="28">
        <f t="shared" si="8"/>
        <v>126</v>
      </c>
      <c r="U56" s="39" t="s">
        <v>909</v>
      </c>
      <c r="V56" s="39"/>
      <c r="W56" s="29" t="str">
        <f t="shared" ca="1" si="12"/>
        <v>ModelInfo.rg(UTID_WIND_SERPENT,ATT_NON,31999,275,125,7,0.1,0,0,1,0.1,CAREER_TYPE_CREEP,"ReplaceableTextures\\CommandButtons\\BTNWindSerpent.blp");</v>
      </c>
      <c r="X56" s="133" t="s">
        <v>1693</v>
      </c>
    </row>
    <row r="57" spans="1:24">
      <c r="A57" s="44" t="s">
        <v>918</v>
      </c>
      <c r="B57" s="39" t="s">
        <v>907</v>
      </c>
      <c r="C57" s="39">
        <v>24000</v>
      </c>
      <c r="D57" s="39">
        <v>0</v>
      </c>
      <c r="E57" s="39">
        <v>0</v>
      </c>
      <c r="F57" s="39">
        <v>0</v>
      </c>
      <c r="G57" s="39">
        <v>200</v>
      </c>
      <c r="H57" s="39">
        <v>400</v>
      </c>
      <c r="I57" s="40">
        <v>15</v>
      </c>
      <c r="J57" s="40">
        <v>0.05</v>
      </c>
      <c r="K57" s="40">
        <v>0.1</v>
      </c>
      <c r="L57" s="40">
        <v>30</v>
      </c>
      <c r="M57" s="40">
        <v>1</v>
      </c>
      <c r="N57" s="40">
        <v>0.05</v>
      </c>
      <c r="O57" s="39" t="s">
        <v>906</v>
      </c>
      <c r="P57" s="28">
        <f t="shared" si="18"/>
        <v>23999</v>
      </c>
      <c r="Q57" s="28">
        <f t="shared" si="19"/>
        <v>200</v>
      </c>
      <c r="R57" s="28">
        <f t="shared" si="20"/>
        <v>200</v>
      </c>
      <c r="S57" s="28">
        <f t="shared" si="7"/>
        <v>199</v>
      </c>
      <c r="T57" s="28">
        <f t="shared" si="8"/>
        <v>201</v>
      </c>
      <c r="U57" s="39" t="s">
        <v>917</v>
      </c>
      <c r="V57" s="39"/>
      <c r="W57" s="29" t="str">
        <f t="shared" ca="1" si="12"/>
        <v>ModelInfo.rg(UTID_NAGA_MYRMIDON,ATT_NON,23999,200,200,15,0.05,0.1,30,1,0.05,CAREER_TYPE_CREEP,"ReplaceableTextures\\CommandButtons\\BTNNagaMyrmidon.blp");</v>
      </c>
      <c r="X57" s="133" t="s">
        <v>1693</v>
      </c>
    </row>
    <row r="58" spans="1:24">
      <c r="A58" s="44" t="s">
        <v>1071</v>
      </c>
      <c r="B58" s="39" t="s">
        <v>907</v>
      </c>
      <c r="C58" s="39">
        <v>24000</v>
      </c>
      <c r="D58" s="39">
        <v>0</v>
      </c>
      <c r="E58" s="39">
        <v>0</v>
      </c>
      <c r="F58" s="39">
        <v>0</v>
      </c>
      <c r="G58" s="39">
        <v>200</v>
      </c>
      <c r="H58" s="39">
        <v>400</v>
      </c>
      <c r="I58" s="40">
        <v>15</v>
      </c>
      <c r="J58" s="40">
        <v>0.05</v>
      </c>
      <c r="K58" s="40">
        <v>0.1</v>
      </c>
      <c r="L58" s="40">
        <v>30</v>
      </c>
      <c r="M58" s="40">
        <v>1</v>
      </c>
      <c r="N58" s="40">
        <v>0.05</v>
      </c>
      <c r="O58" s="39" t="s">
        <v>906</v>
      </c>
      <c r="P58" s="28">
        <v>23999</v>
      </c>
      <c r="Q58" s="28">
        <v>200</v>
      </c>
      <c r="R58" s="28">
        <v>200</v>
      </c>
      <c r="S58" s="28">
        <v>199</v>
      </c>
      <c r="T58" s="28">
        <v>201</v>
      </c>
      <c r="U58" s="39" t="s">
        <v>917</v>
      </c>
      <c r="V58" s="39"/>
      <c r="W58" s="29" t="str">
        <f t="shared" ca="1" si="12"/>
        <v>ModelInfo.rg(UTID_CHMP_NAGA_MYRMIDON,ATT_NON,23999,200,200,15,0.05,0.1,30,1,0.05,CAREER_TYPE_CREEP,"ReplaceableTextures\\CommandButtons\\BTNNagaMyrmidon.blp");</v>
      </c>
      <c r="X58" s="133" t="s">
        <v>1693</v>
      </c>
    </row>
    <row r="59" spans="1:24">
      <c r="A59" s="44" t="s">
        <v>916</v>
      </c>
      <c r="B59" s="39" t="s">
        <v>907</v>
      </c>
      <c r="C59" s="39">
        <v>48000</v>
      </c>
      <c r="D59" s="39">
        <v>0</v>
      </c>
      <c r="E59" s="39">
        <v>0</v>
      </c>
      <c r="F59" s="39">
        <v>0</v>
      </c>
      <c r="G59" s="39">
        <v>300</v>
      </c>
      <c r="H59" s="39">
        <v>450</v>
      </c>
      <c r="I59" s="40">
        <v>15</v>
      </c>
      <c r="J59" s="40">
        <v>0.05</v>
      </c>
      <c r="K59" s="40">
        <v>0.1</v>
      </c>
      <c r="L59" s="40">
        <v>30</v>
      </c>
      <c r="M59" s="40">
        <v>1</v>
      </c>
      <c r="N59" s="40">
        <v>0.05</v>
      </c>
      <c r="O59" s="39" t="s">
        <v>906</v>
      </c>
      <c r="P59" s="28">
        <f t="shared" si="18"/>
        <v>47999</v>
      </c>
      <c r="Q59" s="28">
        <f t="shared" si="19"/>
        <v>300</v>
      </c>
      <c r="R59" s="28">
        <f t="shared" si="20"/>
        <v>150</v>
      </c>
      <c r="S59" s="28">
        <f t="shared" si="7"/>
        <v>299</v>
      </c>
      <c r="T59" s="28">
        <f t="shared" si="8"/>
        <v>151</v>
      </c>
      <c r="U59" s="39" t="s">
        <v>915</v>
      </c>
      <c r="V59" s="39"/>
      <c r="W59" s="29" t="str">
        <f t="shared" ca="1" si="12"/>
        <v>ModelInfo.rg(UTID_NAGA_ROYAL_GUARD,ATT_NON,47999,300,150,15,0.05,0.1,30,1,0.05,CAREER_TYPE_CREEP,"ReplaceableTextures\\CommandButtons\\BTNNagaMyrmidonRoyalGuard.blp");</v>
      </c>
      <c r="X59" s="133" t="s">
        <v>1693</v>
      </c>
    </row>
    <row r="60" spans="1:24">
      <c r="A60" s="200" t="s">
        <v>2493</v>
      </c>
      <c r="B60" s="39" t="s">
        <v>907</v>
      </c>
      <c r="C60" s="39">
        <v>48000</v>
      </c>
      <c r="D60" s="39">
        <v>0</v>
      </c>
      <c r="E60" s="39">
        <v>0</v>
      </c>
      <c r="F60" s="39">
        <v>0</v>
      </c>
      <c r="G60" s="39">
        <v>300</v>
      </c>
      <c r="H60" s="39">
        <v>450</v>
      </c>
      <c r="I60" s="40">
        <v>15</v>
      </c>
      <c r="J60" s="40">
        <v>0.05</v>
      </c>
      <c r="K60" s="40">
        <v>0.1</v>
      </c>
      <c r="L60" s="40">
        <v>30</v>
      </c>
      <c r="M60" s="40">
        <v>1</v>
      </c>
      <c r="N60" s="40">
        <v>0.05</v>
      </c>
      <c r="O60" s="39" t="s">
        <v>906</v>
      </c>
      <c r="P60" s="28">
        <f t="shared" ref="P60" si="21">C60-1-D60*10</f>
        <v>47999</v>
      </c>
      <c r="Q60" s="28">
        <f t="shared" ref="Q60" si="22">G60-CHOOSE( IF( B60="ATT_AGI", 2, IF( B60="ATT_INT", 3, 1 ) ), D60, E60, F60 )</f>
        <v>300</v>
      </c>
      <c r="R60" s="28">
        <f t="shared" ref="R60" si="23">H60-G60</f>
        <v>150</v>
      </c>
      <c r="S60" s="28">
        <f t="shared" ref="S60" si="24">Q60-1</f>
        <v>299</v>
      </c>
      <c r="T60" s="28">
        <f t="shared" ref="T60" si="25">R60+1</f>
        <v>151</v>
      </c>
      <c r="U60" s="39" t="s">
        <v>915</v>
      </c>
      <c r="V60" s="39"/>
      <c r="W60" s="29" t="str">
        <f t="shared" ca="1" si="12"/>
        <v>ModelInfo.rg(UTID_CHMP_NAGA_ROYAL_GUARD,ATT_NON,47999,300,150,15,0.05,0.1,30,1,0.05,CAREER_TYPE_CREEP,"ReplaceableTextures\\CommandButtons\\BTNNagaMyrmidonRoyalGuard.blp");</v>
      </c>
      <c r="X60" s="133" t="s">
        <v>1693</v>
      </c>
    </row>
    <row r="61" spans="1:24">
      <c r="A61" s="126" t="s">
        <v>1706</v>
      </c>
      <c r="B61" s="39" t="s">
        <v>907</v>
      </c>
      <c r="C61" s="39">
        <v>35000</v>
      </c>
      <c r="D61" s="39">
        <v>0</v>
      </c>
      <c r="E61" s="39">
        <v>0</v>
      </c>
      <c r="F61" s="39">
        <v>0</v>
      </c>
      <c r="G61" s="39">
        <v>420</v>
      </c>
      <c r="H61" s="39">
        <v>600</v>
      </c>
      <c r="I61" s="40">
        <v>5</v>
      </c>
      <c r="J61" s="40">
        <v>0.05</v>
      </c>
      <c r="K61" s="40">
        <v>0.05</v>
      </c>
      <c r="L61" s="40">
        <v>0</v>
      </c>
      <c r="M61" s="40">
        <v>1</v>
      </c>
      <c r="N61" s="40">
        <v>0.01</v>
      </c>
      <c r="O61" s="39" t="s">
        <v>906</v>
      </c>
      <c r="P61" s="28">
        <f t="shared" si="18"/>
        <v>34999</v>
      </c>
      <c r="Q61" s="28">
        <f t="shared" si="19"/>
        <v>420</v>
      </c>
      <c r="R61" s="28">
        <f t="shared" si="20"/>
        <v>180</v>
      </c>
      <c r="S61" s="28">
        <f t="shared" si="7"/>
        <v>419</v>
      </c>
      <c r="T61" s="28">
        <f t="shared" si="8"/>
        <v>181</v>
      </c>
      <c r="U61" s="41" t="s">
        <v>1707</v>
      </c>
      <c r="V61" s="39"/>
      <c r="W61" s="29" t="str">
        <f t="shared" ca="1" si="12"/>
        <v>ModelInfo.rg(UTID_FEL_PEON,ATT_NON,34999,420,180,5,0.05,0.05,0,1,0.01,CAREER_TYPE_CREEP,"ReplaceableTextures\\CommandButtons\\BTNChaosPeon.blp");</v>
      </c>
      <c r="X61" s="133" t="s">
        <v>1693</v>
      </c>
    </row>
    <row r="62" spans="1:24">
      <c r="A62" s="45" t="s">
        <v>1004</v>
      </c>
      <c r="B62" s="39" t="s">
        <v>907</v>
      </c>
      <c r="C62" s="39">
        <v>55000</v>
      </c>
      <c r="D62" s="39">
        <v>0</v>
      </c>
      <c r="E62" s="39">
        <v>0</v>
      </c>
      <c r="F62" s="39">
        <v>0</v>
      </c>
      <c r="G62" s="39">
        <v>650</v>
      </c>
      <c r="H62" s="39">
        <v>950</v>
      </c>
      <c r="I62" s="40">
        <v>5</v>
      </c>
      <c r="J62" s="40">
        <v>0.05</v>
      </c>
      <c r="K62" s="40">
        <v>0.05</v>
      </c>
      <c r="L62" s="40">
        <v>100</v>
      </c>
      <c r="M62" s="40">
        <v>0.95</v>
      </c>
      <c r="N62" s="40">
        <v>0.05</v>
      </c>
      <c r="O62" s="39" t="s">
        <v>906</v>
      </c>
      <c r="P62" s="28">
        <f t="shared" si="18"/>
        <v>54999</v>
      </c>
      <c r="Q62" s="28">
        <f t="shared" si="19"/>
        <v>650</v>
      </c>
      <c r="R62" s="28">
        <f t="shared" si="20"/>
        <v>300</v>
      </c>
      <c r="S62" s="28">
        <f t="shared" si="7"/>
        <v>649</v>
      </c>
      <c r="T62" s="28">
        <f t="shared" si="8"/>
        <v>301</v>
      </c>
      <c r="U62" s="39" t="s">
        <v>1005</v>
      </c>
      <c r="V62" s="39"/>
      <c r="W62" s="29" t="str">
        <f t="shared" ca="1" si="12"/>
        <v>ModelInfo.rg(UTID_FEL_GRUNT,ATT_NON,54999,650,300,5,0.05,0.05,100,0.95,0.05,CAREER_TYPE_CREEP,"ReplaceableTextures\\CommandButtons\\BTNChaosGrunt.blp");</v>
      </c>
      <c r="X62" s="133" t="s">
        <v>1693</v>
      </c>
    </row>
    <row r="63" spans="1:24">
      <c r="A63" s="45" t="s">
        <v>1008</v>
      </c>
      <c r="B63" s="39" t="s">
        <v>907</v>
      </c>
      <c r="C63" s="39">
        <v>50000</v>
      </c>
      <c r="D63" s="39">
        <v>0</v>
      </c>
      <c r="E63" s="39">
        <v>0</v>
      </c>
      <c r="F63" s="39">
        <v>0</v>
      </c>
      <c r="G63" s="39">
        <v>600</v>
      </c>
      <c r="H63" s="39">
        <v>800</v>
      </c>
      <c r="I63" s="40">
        <v>10</v>
      </c>
      <c r="J63" s="40">
        <v>0.05</v>
      </c>
      <c r="K63" s="40">
        <v>0</v>
      </c>
      <c r="L63" s="40">
        <v>0</v>
      </c>
      <c r="M63" s="40">
        <v>1</v>
      </c>
      <c r="N63" s="40">
        <v>0.1</v>
      </c>
      <c r="O63" s="39" t="s">
        <v>906</v>
      </c>
      <c r="P63" s="28">
        <f t="shared" si="18"/>
        <v>49999</v>
      </c>
      <c r="Q63" s="28">
        <f t="shared" si="19"/>
        <v>600</v>
      </c>
      <c r="R63" s="28">
        <f t="shared" si="20"/>
        <v>200</v>
      </c>
      <c r="S63" s="28">
        <f t="shared" si="7"/>
        <v>599</v>
      </c>
      <c r="T63" s="28">
        <f t="shared" si="8"/>
        <v>201</v>
      </c>
      <c r="U63" s="39" t="s">
        <v>1009</v>
      </c>
      <c r="V63" s="39"/>
      <c r="W63" s="29" t="str">
        <f t="shared" ca="1" si="12"/>
        <v>ModelInfo.rg(UTID_FEL_RIDER,ATT_NON,49999,600,200,10,0.05,0,0,1,0.1,CAREER_TYPE_CREEP,"ReplaceableTextures\\CommandButtons\\BTNChaosWolfRider.blp");</v>
      </c>
      <c r="X63" s="133" t="s">
        <v>1693</v>
      </c>
    </row>
    <row r="64" spans="1:24">
      <c r="A64" s="45" t="s">
        <v>1011</v>
      </c>
      <c r="B64" s="39" t="s">
        <v>907</v>
      </c>
      <c r="C64" s="39">
        <v>100000</v>
      </c>
      <c r="D64" s="39">
        <v>0</v>
      </c>
      <c r="E64" s="39">
        <v>0</v>
      </c>
      <c r="F64" s="39">
        <v>0</v>
      </c>
      <c r="G64" s="39">
        <v>750</v>
      </c>
      <c r="H64" s="39">
        <v>900</v>
      </c>
      <c r="I64" s="40">
        <v>5</v>
      </c>
      <c r="J64" s="40">
        <v>0.05</v>
      </c>
      <c r="K64" s="40">
        <v>0.15</v>
      </c>
      <c r="L64" s="40">
        <v>240</v>
      </c>
      <c r="M64" s="40">
        <v>0.8</v>
      </c>
      <c r="N64" s="40">
        <v>0.05</v>
      </c>
      <c r="O64" s="39" t="s">
        <v>906</v>
      </c>
      <c r="P64" s="28">
        <f t="shared" si="18"/>
        <v>99999</v>
      </c>
      <c r="Q64" s="28">
        <f t="shared" si="19"/>
        <v>750</v>
      </c>
      <c r="R64" s="28">
        <f t="shared" si="20"/>
        <v>150</v>
      </c>
      <c r="S64" s="28">
        <f t="shared" si="7"/>
        <v>749</v>
      </c>
      <c r="T64" s="28">
        <f t="shared" si="8"/>
        <v>151</v>
      </c>
      <c r="U64" s="39" t="s">
        <v>1012</v>
      </c>
      <c r="V64" s="39"/>
      <c r="W64" s="29" t="str">
        <f t="shared" ca="1" si="12"/>
        <v>ModelInfo.rg(UTID_FEL_WAR_BRINGER,ATT_NON,99999,750,150,5,0.05,0.15,240,0.8,0.05,CAREER_TYPE_CREEP,"ReplaceableTextures\\CommandButtons\\BTNChaosKotoBeast.blp");</v>
      </c>
      <c r="X64" s="133" t="s">
        <v>1693</v>
      </c>
    </row>
    <row r="65" spans="1:24">
      <c r="A65" s="45" t="s">
        <v>908</v>
      </c>
      <c r="B65" s="39" t="s">
        <v>907</v>
      </c>
      <c r="C65" s="39">
        <v>45000</v>
      </c>
      <c r="D65" s="39">
        <v>0</v>
      </c>
      <c r="E65" s="39">
        <v>0</v>
      </c>
      <c r="F65" s="39">
        <v>0</v>
      </c>
      <c r="G65" s="39">
        <v>400</v>
      </c>
      <c r="H65" s="39">
        <v>600</v>
      </c>
      <c r="I65" s="40">
        <v>5</v>
      </c>
      <c r="J65" s="40">
        <v>0.05</v>
      </c>
      <c r="K65" s="40">
        <v>0</v>
      </c>
      <c r="L65" s="40">
        <v>0</v>
      </c>
      <c r="M65" s="40">
        <v>1</v>
      </c>
      <c r="N65" s="40">
        <v>0.05</v>
      </c>
      <c r="O65" s="39" t="s">
        <v>906</v>
      </c>
      <c r="P65" s="28">
        <f t="shared" si="18"/>
        <v>44999</v>
      </c>
      <c r="Q65" s="28">
        <f t="shared" si="19"/>
        <v>400</v>
      </c>
      <c r="R65" s="28">
        <f t="shared" si="20"/>
        <v>200</v>
      </c>
      <c r="S65" s="28">
        <f t="shared" si="7"/>
        <v>399</v>
      </c>
      <c r="T65" s="28">
        <f t="shared" si="8"/>
        <v>201</v>
      </c>
      <c r="U65" s="39" t="s">
        <v>905</v>
      </c>
      <c r="V65" s="39"/>
      <c r="W65" s="29" t="str">
        <f t="shared" ca="1" si="12"/>
        <v>ModelInfo.rg(UTID_DEMONIC_WITCH,ATT_NON,44999,400,200,5,0.05,0,0,1,0.05,CAREER_TYPE_CREEP,"ReplaceableTextures\\CommandButtons\\BTNChaosWarlock.blp");</v>
      </c>
      <c r="X65" s="133" t="s">
        <v>1693</v>
      </c>
    </row>
    <row r="66" spans="1:24">
      <c r="A66" s="126" t="s">
        <v>1625</v>
      </c>
      <c r="B66" s="39" t="s">
        <v>907</v>
      </c>
      <c r="C66" s="39">
        <v>10000</v>
      </c>
      <c r="D66" s="39">
        <v>0</v>
      </c>
      <c r="E66" s="39">
        <v>0</v>
      </c>
      <c r="F66" s="39">
        <v>0</v>
      </c>
      <c r="G66" s="39">
        <v>1000</v>
      </c>
      <c r="H66" s="39">
        <v>1200</v>
      </c>
      <c r="I66" s="40">
        <v>50</v>
      </c>
      <c r="J66" s="40">
        <v>0</v>
      </c>
      <c r="K66" s="40">
        <v>0</v>
      </c>
      <c r="L66" s="40">
        <v>0</v>
      </c>
      <c r="M66" s="40">
        <v>0.5</v>
      </c>
      <c r="N66" s="40">
        <v>0</v>
      </c>
      <c r="O66" s="39" t="s">
        <v>906</v>
      </c>
      <c r="P66" s="28">
        <f t="shared" si="18"/>
        <v>9999</v>
      </c>
      <c r="Q66" s="28">
        <f t="shared" si="19"/>
        <v>1000</v>
      </c>
      <c r="R66" s="28">
        <f t="shared" si="20"/>
        <v>200</v>
      </c>
      <c r="S66" s="28">
        <f t="shared" si="7"/>
        <v>999</v>
      </c>
      <c r="T66" s="28">
        <f t="shared" si="8"/>
        <v>201</v>
      </c>
      <c r="U66" s="41" t="s">
        <v>1626</v>
      </c>
      <c r="V66" s="39"/>
      <c r="W66" s="29" t="str">
        <f t="shared" ca="1" si="12"/>
        <v>ModelInfo.rg(UTID_SMOLDERING_TOWER,ATT_NON,9999,1000,200,50,0,0,0,0.5,0,CAREER_TYPE_CREEP,"ReplaceableTextures\\CommandButtons\\BTNAdvancedDeathTower.blp");</v>
      </c>
      <c r="X66" s="133" t="s">
        <v>1693</v>
      </c>
    </row>
    <row r="67" spans="1:24">
      <c r="A67" s="47" t="s">
        <v>1069</v>
      </c>
      <c r="B67" s="39" t="s">
        <v>907</v>
      </c>
      <c r="C67" s="39">
        <v>87500</v>
      </c>
      <c r="D67" s="39">
        <v>0</v>
      </c>
      <c r="E67" s="39">
        <v>0</v>
      </c>
      <c r="F67" s="39">
        <v>0</v>
      </c>
      <c r="G67" s="39">
        <v>700</v>
      </c>
      <c r="H67" s="39">
        <v>1000</v>
      </c>
      <c r="I67" s="40">
        <v>5</v>
      </c>
      <c r="J67" s="40">
        <v>0.05</v>
      </c>
      <c r="K67" s="40">
        <v>0</v>
      </c>
      <c r="L67" s="40">
        <v>0</v>
      </c>
      <c r="M67" s="40">
        <v>1</v>
      </c>
      <c r="N67" s="40">
        <v>0.05</v>
      </c>
      <c r="O67" s="39" t="s">
        <v>906</v>
      </c>
      <c r="P67" s="28">
        <f t="shared" si="18"/>
        <v>87499</v>
      </c>
      <c r="Q67" s="28">
        <f t="shared" si="19"/>
        <v>700</v>
      </c>
      <c r="R67" s="28">
        <f t="shared" si="20"/>
        <v>300</v>
      </c>
      <c r="S67" s="28">
        <f t="shared" si="7"/>
        <v>699</v>
      </c>
      <c r="T67" s="28">
        <f t="shared" si="8"/>
        <v>301</v>
      </c>
      <c r="U67" s="39" t="s">
        <v>1070</v>
      </c>
      <c r="V67" s="39"/>
      <c r="W67" s="29" t="str">
        <f t="shared" ca="1" si="12"/>
        <v>ModelInfo.rg(UTID_NOXIOUS_SPIDER,ATT_NON,87499,700,300,5,0.05,0,0,1,0.05,CAREER_TYPE_CREEP,"ReplaceableTextures\\CommandButtons\\BTNCryptFiend.blp");</v>
      </c>
      <c r="X67" s="133" t="s">
        <v>1693</v>
      </c>
    </row>
    <row r="68" spans="1:24">
      <c r="A68" s="47" t="s">
        <v>1061</v>
      </c>
      <c r="B68" s="39" t="s">
        <v>907</v>
      </c>
      <c r="C68" s="39">
        <v>55000</v>
      </c>
      <c r="D68" s="39">
        <v>0</v>
      </c>
      <c r="E68" s="39">
        <v>0</v>
      </c>
      <c r="F68" s="39">
        <v>0</v>
      </c>
      <c r="G68" s="39">
        <v>300</v>
      </c>
      <c r="H68" s="39">
        <v>400</v>
      </c>
      <c r="I68" s="40">
        <v>0</v>
      </c>
      <c r="J68" s="40">
        <v>0.05</v>
      </c>
      <c r="K68" s="40">
        <v>0</v>
      </c>
      <c r="L68" s="40">
        <v>0</v>
      </c>
      <c r="M68" s="40">
        <v>0.95</v>
      </c>
      <c r="N68" s="40">
        <v>0.05</v>
      </c>
      <c r="O68" s="39" t="s">
        <v>906</v>
      </c>
      <c r="P68" s="28">
        <f t="shared" si="18"/>
        <v>54999</v>
      </c>
      <c r="Q68" s="28">
        <f t="shared" si="19"/>
        <v>300</v>
      </c>
      <c r="R68" s="28">
        <f t="shared" si="20"/>
        <v>100</v>
      </c>
      <c r="S68" s="28">
        <f t="shared" si="7"/>
        <v>299</v>
      </c>
      <c r="T68" s="28">
        <f t="shared" si="8"/>
        <v>101</v>
      </c>
      <c r="U68" s="39" t="s">
        <v>1062</v>
      </c>
      <c r="V68" s="39"/>
      <c r="W68" s="29" t="str">
        <f t="shared" ca="1" si="12"/>
        <v>ModelInfo.rg(UTID_PARASITICAL_ROACH,ATT_NON,54999,300,100,0,0.05,0,0,0.95,0.05,CAREER_TYPE_CREEP,"ReplaceableTextures\\CommandButtons\\BTNCarrionScarabs.blp");</v>
      </c>
      <c r="X68" s="133" t="s">
        <v>1693</v>
      </c>
    </row>
    <row r="69" spans="1:24">
      <c r="A69" s="47" t="s">
        <v>1058</v>
      </c>
      <c r="B69" s="39" t="s">
        <v>907</v>
      </c>
      <c r="C69" s="39">
        <v>95000</v>
      </c>
      <c r="D69" s="39">
        <v>0</v>
      </c>
      <c r="E69" s="39">
        <v>0</v>
      </c>
      <c r="F69" s="39">
        <v>0</v>
      </c>
      <c r="G69" s="39">
        <v>400</v>
      </c>
      <c r="H69" s="39">
        <v>700</v>
      </c>
      <c r="I69" s="40">
        <v>5</v>
      </c>
      <c r="J69" s="40">
        <v>0</v>
      </c>
      <c r="K69" s="40">
        <v>0</v>
      </c>
      <c r="L69" s="40">
        <v>0</v>
      </c>
      <c r="M69" s="40">
        <v>1</v>
      </c>
      <c r="N69" s="40">
        <v>0.05</v>
      </c>
      <c r="O69" s="39" t="s">
        <v>906</v>
      </c>
      <c r="P69" s="28">
        <f t="shared" si="18"/>
        <v>94999</v>
      </c>
      <c r="Q69" s="28">
        <f t="shared" si="19"/>
        <v>400</v>
      </c>
      <c r="R69" s="28">
        <f t="shared" si="20"/>
        <v>300</v>
      </c>
      <c r="S69" s="28">
        <f t="shared" si="7"/>
        <v>399</v>
      </c>
      <c r="T69" s="28">
        <f t="shared" si="8"/>
        <v>301</v>
      </c>
      <c r="U69" s="39" t="s">
        <v>1059</v>
      </c>
      <c r="V69" s="39"/>
      <c r="W69" s="29" t="str">
        <f t="shared" ca="1" si="12"/>
        <v>ModelInfo.rg(UTID_ZOMBIE,ATT_NON,94999,400,300,5,0,0,0,1,0.05,CAREER_TYPE_CREEP,"ReplaceableTextures\\CommandButtons\\BTNZombie.blp");</v>
      </c>
      <c r="X69" s="133" t="s">
        <v>1693</v>
      </c>
    </row>
    <row r="70" spans="1:24">
      <c r="A70" s="134" t="s">
        <v>1708</v>
      </c>
      <c r="B70" s="39" t="s">
        <v>907</v>
      </c>
      <c r="C70" s="39">
        <v>80000</v>
      </c>
      <c r="D70" s="39">
        <v>0</v>
      </c>
      <c r="E70" s="39">
        <v>0</v>
      </c>
      <c r="F70" s="39">
        <v>0</v>
      </c>
      <c r="G70" s="39">
        <v>300</v>
      </c>
      <c r="H70" s="39">
        <v>600</v>
      </c>
      <c r="I70" s="40">
        <v>25</v>
      </c>
      <c r="J70" s="40">
        <v>0.25</v>
      </c>
      <c r="K70" s="40">
        <v>0</v>
      </c>
      <c r="L70" s="40">
        <v>0</v>
      </c>
      <c r="M70" s="40">
        <v>0.8</v>
      </c>
      <c r="N70" s="40">
        <v>0.01</v>
      </c>
      <c r="O70" s="39" t="s">
        <v>906</v>
      </c>
      <c r="P70" s="28">
        <f t="shared" si="18"/>
        <v>79999</v>
      </c>
      <c r="Q70" s="28">
        <f t="shared" si="19"/>
        <v>300</v>
      </c>
      <c r="R70" s="28">
        <f t="shared" si="20"/>
        <v>300</v>
      </c>
      <c r="S70" s="28">
        <f t="shared" si="7"/>
        <v>299</v>
      </c>
      <c r="T70" s="28">
        <f t="shared" si="8"/>
        <v>301</v>
      </c>
      <c r="U70" s="41" t="s">
        <v>1709</v>
      </c>
      <c r="V70" s="39"/>
      <c r="W70" s="29" t="str">
        <f t="shared" ca="1" si="12"/>
        <v>ModelInfo.rg(UTID_SKELETAL_MAGE,ATT_NON,79999,300,300,25,0.25,0,0,0.8,0.01,CAREER_TYPE_CREEP,"ReplaceableTextures\\CommandButtons\\BTNSkeletonMage.blp");</v>
      </c>
      <c r="X70" s="133" t="s">
        <v>1693</v>
      </c>
    </row>
    <row r="71" spans="1:24">
      <c r="A71" s="47" t="s">
        <v>1056</v>
      </c>
      <c r="B71" s="39" t="s">
        <v>907</v>
      </c>
      <c r="C71" s="39">
        <v>100000</v>
      </c>
      <c r="D71" s="39">
        <v>0</v>
      </c>
      <c r="E71" s="39">
        <v>0</v>
      </c>
      <c r="F71" s="39">
        <v>0</v>
      </c>
      <c r="G71" s="39">
        <v>500</v>
      </c>
      <c r="H71" s="39">
        <v>500</v>
      </c>
      <c r="I71" s="40">
        <v>30</v>
      </c>
      <c r="J71" s="40">
        <v>0</v>
      </c>
      <c r="K71" s="40">
        <v>0</v>
      </c>
      <c r="L71" s="40">
        <v>0</v>
      </c>
      <c r="M71" s="40">
        <v>0.7</v>
      </c>
      <c r="N71" s="40">
        <v>0</v>
      </c>
      <c r="O71" s="39" t="s">
        <v>906</v>
      </c>
      <c r="P71" s="28">
        <f t="shared" si="18"/>
        <v>99999</v>
      </c>
      <c r="Q71" s="28">
        <f t="shared" si="19"/>
        <v>500</v>
      </c>
      <c r="R71" s="28">
        <f t="shared" si="20"/>
        <v>0</v>
      </c>
      <c r="S71" s="28">
        <f t="shared" si="7"/>
        <v>499</v>
      </c>
      <c r="T71" s="28">
        <f t="shared" si="8"/>
        <v>1</v>
      </c>
      <c r="U71" s="39" t="s">
        <v>1057</v>
      </c>
      <c r="V71" s="39"/>
      <c r="W71" s="29" t="str">
        <f t="shared" ca="1" si="12"/>
        <v>ModelInfo.rg(UTID_OBSIDIAN_CONSTRUCT,ATT_NON,99999,500,0,30,0,0,0,0.7,0,CAREER_TYPE_CREEP,"ReplaceableTextures\\CommandButtons\\BTNObsidianStatue.blp");</v>
      </c>
      <c r="X71" s="133" t="s">
        <v>1693</v>
      </c>
    </row>
    <row r="72" spans="1:24">
      <c r="A72" s="47" t="s">
        <v>1054</v>
      </c>
      <c r="B72" s="39" t="s">
        <v>907</v>
      </c>
      <c r="C72" s="39">
        <v>125000</v>
      </c>
      <c r="D72" s="39">
        <v>0</v>
      </c>
      <c r="E72" s="39">
        <v>0</v>
      </c>
      <c r="F72" s="39">
        <v>0</v>
      </c>
      <c r="G72" s="39">
        <v>800</v>
      </c>
      <c r="H72" s="39">
        <v>1000</v>
      </c>
      <c r="I72" s="40">
        <v>10</v>
      </c>
      <c r="J72" s="40">
        <v>0.05</v>
      </c>
      <c r="K72" s="40">
        <v>0</v>
      </c>
      <c r="L72" s="40">
        <v>0</v>
      </c>
      <c r="M72" s="40">
        <v>0.9</v>
      </c>
      <c r="N72" s="40">
        <v>0.05</v>
      </c>
      <c r="O72" s="39" t="s">
        <v>906</v>
      </c>
      <c r="P72" s="28">
        <f t="shared" si="18"/>
        <v>124999</v>
      </c>
      <c r="Q72" s="28">
        <f t="shared" si="19"/>
        <v>800</v>
      </c>
      <c r="R72" s="28">
        <f t="shared" si="20"/>
        <v>200</v>
      </c>
      <c r="S72" s="28">
        <f t="shared" si="7"/>
        <v>799</v>
      </c>
      <c r="T72" s="28">
        <f t="shared" si="8"/>
        <v>201</v>
      </c>
      <c r="U72" s="39" t="s">
        <v>1055</v>
      </c>
      <c r="V72" s="39"/>
      <c r="W72" s="29" t="str">
        <f t="shared" ca="1" si="12"/>
        <v>ModelInfo.rg(UTID_DRACOLICH,ATT_NON,124999,800,200,10,0.05,0,0,0.9,0.05,CAREER_TYPE_CREEP,"ReplaceableTextures\\CommandButtons\\BTNFrostWyrm.blp");</v>
      </c>
      <c r="X72" s="133" t="s">
        <v>1693</v>
      </c>
    </row>
    <row r="73" spans="1:24">
      <c r="A73" s="48" t="s">
        <v>1198</v>
      </c>
      <c r="B73" s="39" t="s">
        <v>907</v>
      </c>
      <c r="C73" s="39">
        <v>100000</v>
      </c>
      <c r="D73" s="39">
        <v>0</v>
      </c>
      <c r="E73" s="39">
        <v>0</v>
      </c>
      <c r="F73" s="39">
        <v>0</v>
      </c>
      <c r="G73" s="39">
        <v>950</v>
      </c>
      <c r="H73" s="39">
        <v>1000</v>
      </c>
      <c r="I73" s="40">
        <v>20</v>
      </c>
      <c r="J73" s="40">
        <v>0.05</v>
      </c>
      <c r="K73" s="40">
        <v>0</v>
      </c>
      <c r="L73" s="40">
        <v>0</v>
      </c>
      <c r="M73" s="40">
        <v>1</v>
      </c>
      <c r="N73" s="40">
        <v>0.01</v>
      </c>
      <c r="O73" s="39" t="s">
        <v>906</v>
      </c>
      <c r="P73" s="28">
        <f t="shared" si="18"/>
        <v>99999</v>
      </c>
      <c r="Q73" s="28">
        <f t="shared" si="19"/>
        <v>950</v>
      </c>
      <c r="R73" s="28">
        <f t="shared" si="20"/>
        <v>50</v>
      </c>
      <c r="S73" s="28">
        <f t="shared" si="7"/>
        <v>949</v>
      </c>
      <c r="T73" s="28">
        <f t="shared" si="8"/>
        <v>51</v>
      </c>
      <c r="U73" s="39" t="s">
        <v>1199</v>
      </c>
      <c r="V73" s="39"/>
      <c r="W73" s="29" t="str">
        <f t="shared" ca="1" si="12"/>
        <v>ModelInfo.rg(UTID_VOID_WALKER,ATT_NON,99999,950,50,20,0.05,0,0,1,0.01,CAREER_TYPE_CREEP,"ReplaceableTextures\\CommandButtons\\BTNVoidWalker.blp");</v>
      </c>
      <c r="X73" s="133" t="s">
        <v>1693</v>
      </c>
    </row>
    <row r="74" spans="1:24">
      <c r="A74" s="48" t="s">
        <v>1582</v>
      </c>
      <c r="B74" s="39" t="s">
        <v>907</v>
      </c>
      <c r="C74" s="39">
        <v>70000</v>
      </c>
      <c r="D74" s="39">
        <v>0</v>
      </c>
      <c r="E74" s="39">
        <v>0</v>
      </c>
      <c r="F74" s="39">
        <v>0</v>
      </c>
      <c r="G74" s="39">
        <v>550</v>
      </c>
      <c r="H74" s="39">
        <v>750</v>
      </c>
      <c r="I74" s="40">
        <v>5</v>
      </c>
      <c r="J74" s="40">
        <v>0.05</v>
      </c>
      <c r="K74" s="40">
        <v>0</v>
      </c>
      <c r="L74" s="40">
        <v>0</v>
      </c>
      <c r="M74" s="40">
        <v>1</v>
      </c>
      <c r="N74" s="40">
        <v>0.01</v>
      </c>
      <c r="O74" s="39" t="s">
        <v>906</v>
      </c>
      <c r="P74" s="28">
        <f t="shared" si="18"/>
        <v>69999</v>
      </c>
      <c r="Q74" s="28">
        <f t="shared" si="19"/>
        <v>550</v>
      </c>
      <c r="R74" s="28">
        <f t="shared" si="20"/>
        <v>200</v>
      </c>
      <c r="S74" s="28">
        <f t="shared" si="7"/>
        <v>549</v>
      </c>
      <c r="T74" s="28">
        <f t="shared" si="8"/>
        <v>201</v>
      </c>
      <c r="U74" s="39" t="s">
        <v>1583</v>
      </c>
      <c r="V74" s="39"/>
      <c r="W74" s="29" t="str">
        <f t="shared" ca="1" si="12"/>
        <v>ModelInfo.rg(UTID_FEL_HOUND,ATT_NON,69999,550,200,5,0.05,0,0,1,0.01,CAREER_TYPE_CREEP,"ReplaceableTextures\\CommandButtons\\BTNPurpleFelhound.blp");</v>
      </c>
      <c r="X74" s="133" t="s">
        <v>1693</v>
      </c>
    </row>
    <row r="75" spans="1:24">
      <c r="A75" s="49" t="s">
        <v>1586</v>
      </c>
      <c r="B75" s="39" t="s">
        <v>907</v>
      </c>
      <c r="C75" s="39">
        <v>90000</v>
      </c>
      <c r="D75" s="39">
        <v>0</v>
      </c>
      <c r="E75" s="39">
        <v>0</v>
      </c>
      <c r="F75" s="39">
        <v>0</v>
      </c>
      <c r="G75" s="39">
        <v>800</v>
      </c>
      <c r="H75" s="39">
        <v>1100</v>
      </c>
      <c r="I75" s="40">
        <v>5</v>
      </c>
      <c r="J75" s="40">
        <v>0.2</v>
      </c>
      <c r="K75" s="40">
        <v>0</v>
      </c>
      <c r="L75" s="40">
        <v>0</v>
      </c>
      <c r="M75" s="40">
        <v>0.9</v>
      </c>
      <c r="N75" s="40">
        <v>0.1</v>
      </c>
      <c r="O75" s="39" t="s">
        <v>906</v>
      </c>
      <c r="P75" s="28">
        <f t="shared" si="18"/>
        <v>89999</v>
      </c>
      <c r="Q75" s="28">
        <f t="shared" si="19"/>
        <v>800</v>
      </c>
      <c r="R75" s="28">
        <f t="shared" si="20"/>
        <v>300</v>
      </c>
      <c r="S75" s="28">
        <f t="shared" si="7"/>
        <v>799</v>
      </c>
      <c r="T75" s="28">
        <f t="shared" si="8"/>
        <v>301</v>
      </c>
      <c r="U75" s="41" t="s">
        <v>1587</v>
      </c>
      <c r="V75" s="39"/>
      <c r="W75" s="29" t="str">
        <f t="shared" ca="1" si="12"/>
        <v>ModelInfo.rg(UTID_MAID_OF_AGONY,ATT_NON,89999,800,300,5,0.2,0,0,0.9,0.1,CAREER_TYPE_CREEP,"ReplaceableTextures\\CommandButtons\\BTNBlueDemoness.blp");</v>
      </c>
      <c r="X75" s="133" t="s">
        <v>1693</v>
      </c>
    </row>
    <row r="76" spans="1:24">
      <c r="A76" s="49" t="s">
        <v>1588</v>
      </c>
      <c r="B76" s="39" t="s">
        <v>907</v>
      </c>
      <c r="C76" s="39">
        <v>180000</v>
      </c>
      <c r="D76" s="39">
        <v>0</v>
      </c>
      <c r="E76" s="39">
        <v>0</v>
      </c>
      <c r="F76" s="39">
        <v>0</v>
      </c>
      <c r="G76" s="39">
        <v>750</v>
      </c>
      <c r="H76" s="39">
        <v>1100</v>
      </c>
      <c r="I76" s="40">
        <v>0</v>
      </c>
      <c r="J76" s="40">
        <v>0.1</v>
      </c>
      <c r="K76" s="40">
        <v>0</v>
      </c>
      <c r="L76" s="40">
        <v>0</v>
      </c>
      <c r="M76" s="40">
        <v>0.8</v>
      </c>
      <c r="N76" s="40">
        <v>0.01</v>
      </c>
      <c r="O76" s="39" t="s">
        <v>906</v>
      </c>
      <c r="P76" s="28">
        <f t="shared" si="18"/>
        <v>179999</v>
      </c>
      <c r="Q76" s="28">
        <f t="shared" si="19"/>
        <v>750</v>
      </c>
      <c r="R76" s="28">
        <f t="shared" si="20"/>
        <v>350</v>
      </c>
      <c r="S76" s="28">
        <f t="shared" si="7"/>
        <v>749</v>
      </c>
      <c r="T76" s="28">
        <f t="shared" si="8"/>
        <v>351</v>
      </c>
      <c r="U76" s="41" t="s">
        <v>1589</v>
      </c>
      <c r="V76" s="39"/>
      <c r="W76" s="29" t="str">
        <f t="shared" ca="1" si="12"/>
        <v>ModelInfo.rg(UTID_NETHER_DRAKE,ATT_NON,179999,750,350,0,0.1,0,0,0.8,0.01,CAREER_TYPE_CREEP,"ReplaceableTextures\\CommandButtons\\BTNNetherDragon.blp");</v>
      </c>
      <c r="X76" s="133" t="s">
        <v>1693</v>
      </c>
    </row>
    <row r="77" spans="1:24">
      <c r="A77" s="49" t="s">
        <v>1592</v>
      </c>
      <c r="B77" s="39" t="s">
        <v>907</v>
      </c>
      <c r="C77" s="39">
        <v>60000</v>
      </c>
      <c r="D77" s="39">
        <v>0</v>
      </c>
      <c r="E77" s="39">
        <v>0</v>
      </c>
      <c r="F77" s="39">
        <v>0</v>
      </c>
      <c r="G77" s="39">
        <v>300</v>
      </c>
      <c r="H77" s="39">
        <v>600</v>
      </c>
      <c r="I77" s="40">
        <v>0</v>
      </c>
      <c r="J77" s="40">
        <v>0.03</v>
      </c>
      <c r="K77" s="40">
        <v>0</v>
      </c>
      <c r="L77" s="40">
        <v>0</v>
      </c>
      <c r="M77" s="40">
        <v>1</v>
      </c>
      <c r="N77" s="40">
        <v>0</v>
      </c>
      <c r="O77" s="39" t="s">
        <v>906</v>
      </c>
      <c r="P77" s="28">
        <f t="shared" si="18"/>
        <v>59999</v>
      </c>
      <c r="Q77" s="28">
        <f t="shared" si="19"/>
        <v>300</v>
      </c>
      <c r="R77" s="28">
        <f t="shared" si="20"/>
        <v>300</v>
      </c>
      <c r="S77" s="28">
        <f t="shared" si="7"/>
        <v>299</v>
      </c>
      <c r="T77" s="28">
        <f t="shared" si="8"/>
        <v>301</v>
      </c>
      <c r="U77" s="41" t="s">
        <v>1589</v>
      </c>
      <c r="V77" s="39"/>
      <c r="W77" s="29" t="str">
        <f t="shared" ca="1" si="12"/>
        <v>ModelInfo.rg(UTID_NETHER_HATCHLING,ATT_NON,59999,300,300,0,0.03,0,0,1,0,CAREER_TYPE_CREEP,"ReplaceableTextures\\CommandButtons\\BTNNetherDragon.blp");</v>
      </c>
      <c r="X77" s="133" t="s">
        <v>1693</v>
      </c>
    </row>
    <row r="78" spans="1:24">
      <c r="A78" s="48" t="s">
        <v>1063</v>
      </c>
      <c r="B78" s="39" t="s">
        <v>907</v>
      </c>
      <c r="C78" s="39">
        <v>220000</v>
      </c>
      <c r="D78" s="39">
        <v>0</v>
      </c>
      <c r="E78" s="39">
        <v>0</v>
      </c>
      <c r="F78" s="39">
        <v>0</v>
      </c>
      <c r="G78" s="39">
        <v>900</v>
      </c>
      <c r="H78" s="39">
        <v>1200</v>
      </c>
      <c r="I78" s="40">
        <v>10</v>
      </c>
      <c r="J78" s="40">
        <v>0.05</v>
      </c>
      <c r="K78" s="40">
        <v>10</v>
      </c>
      <c r="L78" s="40">
        <v>150</v>
      </c>
      <c r="M78" s="40">
        <v>1</v>
      </c>
      <c r="N78" s="40">
        <v>0.1</v>
      </c>
      <c r="O78" s="39" t="s">
        <v>906</v>
      </c>
      <c r="P78" s="28">
        <f t="shared" si="18"/>
        <v>219999</v>
      </c>
      <c r="Q78" s="28">
        <f t="shared" si="19"/>
        <v>900</v>
      </c>
      <c r="R78" s="28">
        <f t="shared" si="20"/>
        <v>300</v>
      </c>
      <c r="S78" s="28">
        <f t="shared" si="7"/>
        <v>899</v>
      </c>
      <c r="T78" s="28">
        <f t="shared" si="8"/>
        <v>301</v>
      </c>
      <c r="U78" s="39" t="s">
        <v>1064</v>
      </c>
      <c r="V78" s="39"/>
      <c r="W78" s="29" t="str">
        <f t="shared" ref="W78:W86" ca="1" si="2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78" s="133" t="s">
        <v>1693</v>
      </c>
    </row>
    <row r="79" spans="1:24">
      <c r="A79" s="50" t="s">
        <v>1595</v>
      </c>
      <c r="B79" s="39" t="s">
        <v>907</v>
      </c>
      <c r="C79" s="39">
        <v>150000</v>
      </c>
      <c r="D79" s="39">
        <v>0</v>
      </c>
      <c r="E79" s="39">
        <v>0</v>
      </c>
      <c r="F79" s="39">
        <v>0</v>
      </c>
      <c r="G79" s="39">
        <v>1200</v>
      </c>
      <c r="H79" s="39">
        <v>1500</v>
      </c>
      <c r="I79" s="40">
        <v>5</v>
      </c>
      <c r="J79" s="40">
        <v>0.01</v>
      </c>
      <c r="K79" s="40">
        <v>0</v>
      </c>
      <c r="L79" s="40">
        <v>0</v>
      </c>
      <c r="M79" s="40">
        <v>1</v>
      </c>
      <c r="N79" s="40">
        <v>0.01</v>
      </c>
      <c r="O79" s="39" t="s">
        <v>906</v>
      </c>
      <c r="P79" s="28">
        <f t="shared" si="18"/>
        <v>149999</v>
      </c>
      <c r="Q79" s="28">
        <f t="shared" si="19"/>
        <v>1200</v>
      </c>
      <c r="R79" s="28">
        <f t="shared" si="20"/>
        <v>300</v>
      </c>
      <c r="S79" s="28">
        <f t="shared" si="7"/>
        <v>1199</v>
      </c>
      <c r="T79" s="28">
        <f t="shared" si="8"/>
        <v>301</v>
      </c>
      <c r="U79" s="41" t="s">
        <v>1596</v>
      </c>
      <c r="V79" s="39"/>
      <c r="W79" s="29" t="str">
        <f t="shared" ca="1" si="26"/>
        <v>ModelInfo.rg(UTID_FOREST_TROLL,ATT_NON,149999,1200,300,5,0.01,0,0,1,0.01,CAREER_TYPE_CREEP,"ReplaceableTextures\\CommandButtons\\BTNFurbolgTracker.blp");</v>
      </c>
      <c r="X79" s="133" t="s">
        <v>1693</v>
      </c>
    </row>
    <row r="80" spans="1:24">
      <c r="A80" s="50" t="s">
        <v>1597</v>
      </c>
      <c r="B80" s="39" t="s">
        <v>907</v>
      </c>
      <c r="C80" s="39">
        <v>150000</v>
      </c>
      <c r="D80" s="39">
        <v>0</v>
      </c>
      <c r="E80" s="39">
        <v>0</v>
      </c>
      <c r="F80" s="39">
        <v>0</v>
      </c>
      <c r="G80" s="39">
        <v>1200</v>
      </c>
      <c r="H80" s="39">
        <v>1400</v>
      </c>
      <c r="I80" s="40">
        <v>5</v>
      </c>
      <c r="J80" s="40">
        <v>0.01</v>
      </c>
      <c r="K80" s="40">
        <v>0</v>
      </c>
      <c r="L80" s="40">
        <v>0</v>
      </c>
      <c r="M80" s="40">
        <v>1</v>
      </c>
      <c r="N80" s="40">
        <v>0.05</v>
      </c>
      <c r="O80" s="39" t="s">
        <v>906</v>
      </c>
      <c r="P80" s="28">
        <f t="shared" si="18"/>
        <v>149999</v>
      </c>
      <c r="Q80" s="28">
        <f t="shared" si="19"/>
        <v>1200</v>
      </c>
      <c r="R80" s="28">
        <f t="shared" si="20"/>
        <v>200</v>
      </c>
      <c r="S80" s="28">
        <f t="shared" si="7"/>
        <v>1199</v>
      </c>
      <c r="T80" s="28">
        <f t="shared" si="8"/>
        <v>201</v>
      </c>
      <c r="U80" s="41" t="s">
        <v>1598</v>
      </c>
      <c r="V80" s="39"/>
      <c r="W80" s="29" t="str">
        <f t="shared" ca="1" si="26"/>
        <v>ModelInfo.rg(UTID_CURSED_HUNTER,ATT_NON,149999,1200,200,5,0.01,0,0,1,0.05,CAREER_TYPE_CREEP,"ReplaceableTextures\\CommandButtons\\BTNHeadhunter.blp");</v>
      </c>
      <c r="X80" s="133" t="s">
        <v>1693</v>
      </c>
    </row>
    <row r="81" spans="1:24">
      <c r="A81" s="50" t="s">
        <v>1599</v>
      </c>
      <c r="B81" s="39" t="s">
        <v>907</v>
      </c>
      <c r="C81" s="39">
        <v>120000</v>
      </c>
      <c r="D81" s="39">
        <v>0</v>
      </c>
      <c r="E81" s="39">
        <v>0</v>
      </c>
      <c r="F81" s="39">
        <v>0</v>
      </c>
      <c r="G81" s="39">
        <v>1000</v>
      </c>
      <c r="H81" s="39">
        <v>1200</v>
      </c>
      <c r="I81" s="40">
        <v>5</v>
      </c>
      <c r="J81" s="40">
        <v>0.01</v>
      </c>
      <c r="K81" s="40">
        <v>0</v>
      </c>
      <c r="L81" s="40">
        <v>0</v>
      </c>
      <c r="M81" s="40">
        <v>0.9</v>
      </c>
      <c r="N81" s="40">
        <v>0.01</v>
      </c>
      <c r="O81" s="39" t="s">
        <v>906</v>
      </c>
      <c r="P81" s="28">
        <f t="shared" si="18"/>
        <v>119999</v>
      </c>
      <c r="Q81" s="28">
        <f t="shared" si="19"/>
        <v>1000</v>
      </c>
      <c r="R81" s="28">
        <f t="shared" si="20"/>
        <v>200</v>
      </c>
      <c r="S81" s="28">
        <f t="shared" si="7"/>
        <v>999</v>
      </c>
      <c r="T81" s="28">
        <f t="shared" si="8"/>
        <v>201</v>
      </c>
      <c r="U81" s="41" t="s">
        <v>1600</v>
      </c>
      <c r="V81" s="39"/>
      <c r="W81" s="29" t="str">
        <f t="shared" ca="1" si="26"/>
        <v>ModelInfo.rg(UTID_DERANGED_PRIEST,ATT_NON,119999,1000,200,5,0.01,0,0,0.9,0.01,CAREER_TYPE_CREEP,"ReplaceableTextures\\CommandButtons\\BTNWitchDoctor.blp");</v>
      </c>
      <c r="X81" s="133" t="s">
        <v>1693</v>
      </c>
    </row>
    <row r="82" spans="1:24">
      <c r="A82" s="50" t="s">
        <v>1732</v>
      </c>
      <c r="B82" s="39" t="s">
        <v>907</v>
      </c>
      <c r="C82" s="39">
        <v>220000</v>
      </c>
      <c r="D82" s="39">
        <v>0</v>
      </c>
      <c r="E82" s="39">
        <v>0</v>
      </c>
      <c r="F82" s="39">
        <v>0</v>
      </c>
      <c r="G82" s="39">
        <v>1200</v>
      </c>
      <c r="H82" s="39">
        <v>1500</v>
      </c>
      <c r="I82" s="40">
        <v>10</v>
      </c>
      <c r="J82" s="40">
        <v>0.05</v>
      </c>
      <c r="K82" s="40">
        <v>0</v>
      </c>
      <c r="L82" s="40">
        <v>0</v>
      </c>
      <c r="M82" s="40">
        <v>0.9</v>
      </c>
      <c r="N82" s="40">
        <v>0.05</v>
      </c>
      <c r="O82" s="39" t="s">
        <v>906</v>
      </c>
      <c r="P82" s="28">
        <f t="shared" si="18"/>
        <v>219999</v>
      </c>
      <c r="Q82" s="28">
        <f t="shared" si="19"/>
        <v>1200</v>
      </c>
      <c r="R82" s="28">
        <f t="shared" si="20"/>
        <v>300</v>
      </c>
      <c r="S82" s="28">
        <f t="shared" si="7"/>
        <v>1199</v>
      </c>
      <c r="T82" s="28">
        <f t="shared" si="8"/>
        <v>301</v>
      </c>
      <c r="U82" s="41" t="s">
        <v>935</v>
      </c>
      <c r="V82" s="39"/>
      <c r="W82" s="29" t="str">
        <f t="shared" ca="1" si="26"/>
        <v>ModelInfo.rg(UTID_GARGANTUAN,ATT_NON,219999,1200,300,10,0.05,0,0,0.9,0.05,CAREER_TYPE_CREEP,"ReplaceableTextures\\CommandButtons\\BTNAbomination.blp");</v>
      </c>
      <c r="X82" s="133" t="s">
        <v>1693</v>
      </c>
    </row>
    <row r="83" spans="1:24">
      <c r="A83" s="50" t="s">
        <v>1733</v>
      </c>
      <c r="B83" s="39" t="s">
        <v>907</v>
      </c>
      <c r="C83" s="39">
        <v>2000</v>
      </c>
      <c r="D83" s="39">
        <v>0</v>
      </c>
      <c r="E83" s="39">
        <v>0</v>
      </c>
      <c r="F83" s="39">
        <v>0</v>
      </c>
      <c r="G83" s="39">
        <v>100</v>
      </c>
      <c r="H83" s="39">
        <v>200</v>
      </c>
      <c r="I83" s="40">
        <v>0</v>
      </c>
      <c r="J83" s="40">
        <v>0</v>
      </c>
      <c r="K83" s="40">
        <v>0</v>
      </c>
      <c r="L83" s="40">
        <v>0</v>
      </c>
      <c r="M83" s="40">
        <v>1</v>
      </c>
      <c r="N83" s="40">
        <v>0</v>
      </c>
      <c r="O83" s="39" t="s">
        <v>906</v>
      </c>
      <c r="P83" s="28">
        <f t="shared" si="18"/>
        <v>1999</v>
      </c>
      <c r="Q83" s="28">
        <f t="shared" si="19"/>
        <v>100</v>
      </c>
      <c r="R83" s="28">
        <f t="shared" si="20"/>
        <v>100</v>
      </c>
      <c r="S83" s="28">
        <f t="shared" si="7"/>
        <v>99</v>
      </c>
      <c r="T83" s="28">
        <f t="shared" si="8"/>
        <v>101</v>
      </c>
      <c r="U83" s="41" t="s">
        <v>1734</v>
      </c>
      <c r="V83" s="39"/>
      <c r="W83" s="29" t="str">
        <f t="shared" ca="1" si="26"/>
        <v>ModelInfo.rg(UTID_VOMIT_MAGGOT,ATT_NON,1999,100,100,0,0,0,0,1,0,CAREER_TYPE_CREEP,"ReplaceableTextures\\CommandButtons\\BTNDuneWorm.blp");</v>
      </c>
      <c r="X83" s="133" t="s">
        <v>1693</v>
      </c>
    </row>
    <row r="84" spans="1:24">
      <c r="A84" s="46" t="s">
        <v>1573</v>
      </c>
      <c r="B84" s="39" t="s">
        <v>907</v>
      </c>
      <c r="C84" s="39">
        <v>140000</v>
      </c>
      <c r="D84" s="39">
        <v>0</v>
      </c>
      <c r="E84" s="39">
        <v>0</v>
      </c>
      <c r="F84" s="39">
        <v>0</v>
      </c>
      <c r="G84" s="39">
        <v>1100</v>
      </c>
      <c r="H84" s="39">
        <v>1400</v>
      </c>
      <c r="I84" s="40">
        <v>5</v>
      </c>
      <c r="J84" s="40">
        <v>0.05</v>
      </c>
      <c r="K84" s="40">
        <v>0</v>
      </c>
      <c r="L84" s="40">
        <v>0</v>
      </c>
      <c r="M84" s="40">
        <v>1</v>
      </c>
      <c r="N84" s="40">
        <v>0.05</v>
      </c>
      <c r="O84" s="39" t="s">
        <v>906</v>
      </c>
      <c r="P84" s="28">
        <f t="shared" si="18"/>
        <v>139999</v>
      </c>
      <c r="Q84" s="28">
        <f t="shared" si="19"/>
        <v>1100</v>
      </c>
      <c r="R84" s="28">
        <f t="shared" si="20"/>
        <v>300</v>
      </c>
      <c r="S84" s="28">
        <f t="shared" si="7"/>
        <v>1099</v>
      </c>
      <c r="T84" s="28">
        <f t="shared" si="8"/>
        <v>301</v>
      </c>
      <c r="U84" s="39" t="s">
        <v>1574</v>
      </c>
      <c r="V84" s="39"/>
      <c r="W84" s="29" t="str">
        <f t="shared" ca="1" si="26"/>
        <v>ModelInfo.rg(UTID_TWILIGHT_WITCH_DOCTOR,ATT_NON,139999,1100,300,5,0.05,0,0,1,0.05,CAREER_TYPE_CREEP,"ReplaceableTextures\\CommandButtons\\BTNDarkTrollShadowPriest.blp");</v>
      </c>
      <c r="X84" s="133" t="s">
        <v>1693</v>
      </c>
    </row>
    <row r="85" spans="1:24">
      <c r="A85" s="46" t="s">
        <v>1580</v>
      </c>
      <c r="B85" s="39" t="s">
        <v>907</v>
      </c>
      <c r="C85" s="39">
        <v>200000</v>
      </c>
      <c r="D85" s="39">
        <v>0</v>
      </c>
      <c r="E85" s="39">
        <v>0</v>
      </c>
      <c r="F85" s="39">
        <v>0</v>
      </c>
      <c r="G85" s="39">
        <v>1</v>
      </c>
      <c r="H85" s="39">
        <v>1</v>
      </c>
      <c r="I85" s="40">
        <v>0</v>
      </c>
      <c r="J85" s="40">
        <v>0</v>
      </c>
      <c r="K85" s="40">
        <v>0</v>
      </c>
      <c r="L85" s="40">
        <v>0</v>
      </c>
      <c r="M85" s="40">
        <v>1</v>
      </c>
      <c r="N85" s="40">
        <v>0</v>
      </c>
      <c r="O85" s="39" t="s">
        <v>906</v>
      </c>
      <c r="P85" s="28">
        <f t="shared" ref="P85" si="27">C85-1-D85*10</f>
        <v>199999</v>
      </c>
      <c r="Q85" s="28">
        <f t="shared" ref="Q85" si="28">G85-CHOOSE( IF( B85="ATT_AGI", 2, IF( B85="ATT_INT", 3, 1 ) ), D85, E85, F85 )</f>
        <v>1</v>
      </c>
      <c r="R85" s="28">
        <f t="shared" ref="R85" si="29">H85-G85</f>
        <v>0</v>
      </c>
      <c r="S85" s="28">
        <f t="shared" ref="S85" si="30">Q85-1</f>
        <v>0</v>
      </c>
      <c r="T85" s="28">
        <f t="shared" ref="T85" si="31">R85+1</f>
        <v>1</v>
      </c>
      <c r="U85" s="39" t="s">
        <v>921</v>
      </c>
      <c r="V85" s="39"/>
      <c r="W85" s="29" t="str">
        <f t="shared" ca="1" si="26"/>
        <v>ModelInfo.rg(UTID_GRIM_TOTEM,ATT_NON,199999,1,0,0,0,0,0,1,0,CAREER_TYPE_CREEP,"ReplaceableTextures\\CommandButtons\\BTNHealingWard.blp");</v>
      </c>
      <c r="X85" s="133" t="s">
        <v>1693</v>
      </c>
    </row>
    <row r="86" spans="1:24">
      <c r="A86" s="46" t="s">
        <v>1735</v>
      </c>
      <c r="B86" s="39" t="s">
        <v>907</v>
      </c>
      <c r="C86" s="39">
        <v>220000</v>
      </c>
      <c r="D86" s="39">
        <v>0</v>
      </c>
      <c r="E86" s="39">
        <v>0</v>
      </c>
      <c r="F86" s="39">
        <v>0</v>
      </c>
      <c r="G86" s="39">
        <v>1300</v>
      </c>
      <c r="H86" s="39">
        <v>1600</v>
      </c>
      <c r="I86" s="40">
        <v>5</v>
      </c>
      <c r="J86" s="40">
        <v>0</v>
      </c>
      <c r="K86" s="40">
        <v>0</v>
      </c>
      <c r="L86" s="40">
        <v>0</v>
      </c>
      <c r="M86" s="40">
        <v>1</v>
      </c>
      <c r="N86" s="40">
        <v>0.05</v>
      </c>
      <c r="O86" s="39" t="s">
        <v>906</v>
      </c>
      <c r="P86" s="28">
        <f t="shared" ref="P86" si="32">C86-1-D86*10</f>
        <v>219999</v>
      </c>
      <c r="Q86" s="28">
        <f t="shared" ref="Q86" si="33">G86-CHOOSE( IF( B86="ATT_AGI", 2, IF( B86="ATT_INT", 3, 1 ) ), D86, E86, F86 )</f>
        <v>1300</v>
      </c>
      <c r="R86" s="28">
        <f t="shared" ref="R86" si="34">H86-G86</f>
        <v>300</v>
      </c>
      <c r="S86" s="28">
        <f t="shared" ref="S86" si="35">Q86-1</f>
        <v>1299</v>
      </c>
      <c r="T86" s="28">
        <f t="shared" ref="T86" si="36">R86+1</f>
        <v>301</v>
      </c>
      <c r="U86" s="39" t="s">
        <v>1736</v>
      </c>
      <c r="V86" s="39"/>
      <c r="W86" s="29" t="str">
        <f t="shared" ca="1" si="26"/>
        <v>ModelInfo.rg(UTID_FACELESS_ONE,ATT_NON,219999,1300,300,5,0,0,0,1,0.05,CAREER_TYPE_CREEP,"ReplaceableTextures\\CommandButtons\\BTNFacelessOne.blp");</v>
      </c>
      <c r="X86" s="133" t="s">
        <v>1693</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16"/>
  <sheetViews>
    <sheetView tabSelected="1" workbookViewId="0">
      <pane ySplit="1" topLeftCell="A65" activePane="bottomLeft" state="frozen"/>
      <selection pane="bottomLeft" activeCell="I86" sqref="I86"/>
    </sheetView>
  </sheetViews>
  <sheetFormatPr defaultColWidth="14.42578125" defaultRowHeight="14.25"/>
  <cols>
    <col min="1" max="1" width="24.42578125" style="155" customWidth="1"/>
    <col min="2" max="2" width="42.28515625" style="155" bestFit="1" customWidth="1"/>
    <col min="3" max="3" width="16" style="155" hidden="1" customWidth="1"/>
    <col min="4" max="4" width="5.140625" style="155" bestFit="1" customWidth="1"/>
    <col min="5" max="5" width="5" style="155" bestFit="1" customWidth="1"/>
    <col min="6" max="6" width="4" style="155" bestFit="1" customWidth="1"/>
    <col min="7" max="7" width="23.140625" style="155" bestFit="1" customWidth="1"/>
    <col min="8" max="8" width="2" style="155" bestFit="1" customWidth="1"/>
    <col min="9" max="9" width="20.85546875" style="155" bestFit="1" customWidth="1"/>
    <col min="10" max="10" width="13.85546875" style="155" customWidth="1"/>
    <col min="11" max="11" width="11.7109375" style="155" customWidth="1"/>
    <col min="12" max="12" width="12" style="155" customWidth="1"/>
    <col min="13" max="13" width="4.140625" style="155" bestFit="1" customWidth="1"/>
    <col min="14" max="16384" width="14.42578125" style="155"/>
  </cols>
  <sheetData>
    <row r="1" spans="1:24">
      <c r="A1" s="154" t="s">
        <v>903</v>
      </c>
      <c r="B1" s="154" t="s">
        <v>1060</v>
      </c>
      <c r="C1" s="154" t="s">
        <v>904</v>
      </c>
      <c r="D1" s="154" t="s">
        <v>901</v>
      </c>
      <c r="E1" s="154" t="s">
        <v>902</v>
      </c>
      <c r="F1" s="154" t="s">
        <v>0</v>
      </c>
      <c r="G1" s="154" t="s">
        <v>900</v>
      </c>
      <c r="H1" s="154" t="s">
        <v>607</v>
      </c>
      <c r="I1" s="154" t="s">
        <v>899</v>
      </c>
      <c r="J1" s="154" t="s">
        <v>898</v>
      </c>
      <c r="K1" s="154" t="s">
        <v>1628</v>
      </c>
      <c r="L1" s="154" t="s">
        <v>1627</v>
      </c>
      <c r="M1" s="154" t="s">
        <v>1693</v>
      </c>
      <c r="N1" s="154"/>
      <c r="O1" s="154"/>
      <c r="P1" s="154"/>
      <c r="Q1" s="154"/>
      <c r="R1" s="154"/>
      <c r="S1" s="154"/>
      <c r="T1" s="154"/>
      <c r="U1" s="154"/>
      <c r="V1" s="154"/>
      <c r="W1" s="154"/>
      <c r="X1" s="154"/>
    </row>
    <row r="2" spans="1:24">
      <c r="A2" s="156" t="s">
        <v>896</v>
      </c>
      <c r="B2" s="156">
        <v>0</v>
      </c>
      <c r="C2" s="156" t="s">
        <v>897</v>
      </c>
      <c r="D2" s="156">
        <v>0</v>
      </c>
      <c r="E2" s="156">
        <v>0</v>
      </c>
      <c r="F2" s="156">
        <v>0</v>
      </c>
      <c r="G2" s="156">
        <v>0</v>
      </c>
      <c r="H2" s="156">
        <v>1</v>
      </c>
      <c r="I2" s="156" t="s">
        <v>609</v>
      </c>
      <c r="J2" s="156"/>
      <c r="K2" s="157" t="str">
        <f t="shared" ref="K2:K66" si="0">IF(C2="N/A","//",CONCATENATE("SpellData.create(",B2,",",CHAR(34),C2,CHAR(34),",",E2,",",D2,",",F2,",",G2,",",H2,",",I2,")",J2,";"))</f>
        <v>SpellData.create(0,"马甲",0,0,0,0,1,ORDER_TYPE_IMMEDIATE);</v>
      </c>
      <c r="L2" s="157" t="str">
        <f>IF(A2="N/A","//",CONCATENATE("SpellData.create(",B2,",",CHAR(34),A2,CHAR(34),",",E2,",",D2,",",F2,",",G2,",",H2,",",I2,")",J2,";"))</f>
        <v>SpellData.create(0,"Dummy",0,0,0,0,1,ORDER_TYPE_IMMEDIATE);</v>
      </c>
      <c r="M2" s="156" t="s">
        <v>1693</v>
      </c>
      <c r="N2" s="156"/>
      <c r="O2" s="156"/>
      <c r="P2" s="156"/>
      <c r="Q2" s="156"/>
      <c r="R2" s="156"/>
      <c r="S2" s="156"/>
      <c r="T2" s="156"/>
      <c r="U2" s="156"/>
      <c r="V2" s="156"/>
      <c r="W2" s="156"/>
      <c r="X2" s="156"/>
    </row>
    <row r="3" spans="1:24">
      <c r="A3" s="156" t="s">
        <v>1630</v>
      </c>
      <c r="B3" s="158" t="str">
        <f>"SID_"&amp;UPPER(SUBSTITUTE(A3," ","_"))</f>
        <v>SID_ATTACK_LL</v>
      </c>
      <c r="C3" s="156" t="s">
        <v>895</v>
      </c>
      <c r="D3" s="156">
        <v>0</v>
      </c>
      <c r="E3" s="156">
        <v>0</v>
      </c>
      <c r="F3" s="156">
        <v>1</v>
      </c>
      <c r="G3" s="156">
        <v>0</v>
      </c>
      <c r="H3" s="156">
        <v>1</v>
      </c>
      <c r="I3" s="156" t="s">
        <v>609</v>
      </c>
      <c r="J3" s="156"/>
      <c r="K3" s="157" t="str">
        <f t="shared" si="0"/>
        <v>SpellData.create(SID_ATTACK_LL,"吸血攻击",0,0,1,0,1,ORDER_TYPE_IMMEDIATE);</v>
      </c>
      <c r="L3" s="157" t="str">
        <f t="shared" ref="L3:L57" si="1">IF(A3="N/A","//",CONCATENATE("SpellData.create(",B3,",",CHAR(34),A3,CHAR(34),",",E3,",",D3,",",F3,",",G3,",",H3,",",I3,")",J3,";"))</f>
        <v>SpellData.create(SID_ATTACK_LL,"Attack LL",0,0,1,0,1,ORDER_TYPE_IMMEDIATE);</v>
      </c>
      <c r="M3" s="156" t="s">
        <v>1693</v>
      </c>
      <c r="N3" s="156"/>
      <c r="O3" s="156"/>
      <c r="P3" s="156"/>
      <c r="Q3" s="156"/>
      <c r="R3" s="156"/>
      <c r="S3" s="156"/>
      <c r="T3" s="156"/>
      <c r="U3" s="156"/>
      <c r="V3" s="156"/>
      <c r="W3" s="156"/>
      <c r="X3" s="156"/>
    </row>
    <row r="4" spans="1:24">
      <c r="A4" s="156" t="s">
        <v>1737</v>
      </c>
      <c r="B4" s="158" t="str">
        <f>"SID_"&amp;UPPER(SUBSTITUTE(A4," ","_"))</f>
        <v>SID_EXTRA_MAGIC_DAMAGE</v>
      </c>
      <c r="C4" s="156" t="s">
        <v>1738</v>
      </c>
      <c r="D4" s="156">
        <v>0</v>
      </c>
      <c r="E4" s="156">
        <v>0</v>
      </c>
      <c r="F4" s="156">
        <v>0</v>
      </c>
      <c r="G4" s="156">
        <v>0</v>
      </c>
      <c r="H4" s="156">
        <v>1</v>
      </c>
      <c r="I4" s="156" t="s">
        <v>609</v>
      </c>
      <c r="J4" s="156"/>
      <c r="K4" s="157" t="str">
        <f t="shared" ref="K4" si="2">IF(C4="N/A","//",CONCATENATE("SpellData.create(",B4,",",CHAR(34),C4,CHAR(34),",",E4,",",D4,",",F4,",",G4,",",H4,",",I4,")",J4,";"))</f>
        <v>SpellData.create(SID_EXTRA_MAGIC_DAMAGE,"附加法术伤害",0,0,0,0,1,ORDER_TYPE_IMMEDIATE);</v>
      </c>
      <c r="L4" s="157" t="str">
        <f t="shared" ref="L4" si="3">IF(A4="N/A","//",CONCATENATE("SpellData.create(",B4,",",CHAR(34),A4,CHAR(34),",",E4,",",D4,",",F4,",",G4,",",H4,",",I4,")",J4,";"))</f>
        <v>SpellData.create(SID_EXTRA_MAGIC_DAMAGE,"Extra Magic Damage",0,0,0,0,1,ORDER_TYPE_IMMEDIATE);</v>
      </c>
      <c r="M4" s="156" t="s">
        <v>1693</v>
      </c>
      <c r="N4" s="156"/>
      <c r="O4" s="156"/>
      <c r="P4" s="156"/>
      <c r="Q4" s="156"/>
      <c r="R4" s="156"/>
      <c r="S4" s="156"/>
      <c r="T4" s="156"/>
      <c r="U4" s="156"/>
      <c r="V4" s="156"/>
      <c r="W4" s="156"/>
      <c r="X4" s="156"/>
    </row>
    <row r="5" spans="1:24">
      <c r="A5" s="156" t="s">
        <v>1629</v>
      </c>
      <c r="B5" s="158" t="str">
        <f t="shared" ref="B5:B60" si="4">"SID_"&amp;UPPER(SUBSTITUTE(A5," ","_"))</f>
        <v>SID_GENERAL_STUN</v>
      </c>
      <c r="C5" s="156" t="s">
        <v>894</v>
      </c>
      <c r="D5" s="156">
        <v>0</v>
      </c>
      <c r="E5" s="156">
        <v>0</v>
      </c>
      <c r="F5" s="156">
        <v>1</v>
      </c>
      <c r="G5" s="156">
        <v>0</v>
      </c>
      <c r="H5" s="156">
        <v>1</v>
      </c>
      <c r="I5" s="156" t="s">
        <v>735</v>
      </c>
      <c r="J5" s="156"/>
      <c r="K5" s="157" t="str">
        <f t="shared" si="0"/>
        <v>SpellData.create(SID_GENERAL_STUN,"昏迷",0,0,1,0,1,ORDER_TYPE_TARGET);</v>
      </c>
      <c r="L5" s="157" t="str">
        <f t="shared" si="1"/>
        <v>SpellData.create(SID_GENERAL_STUN,"General Stun",0,0,1,0,1,ORDER_TYPE_TARGET);</v>
      </c>
      <c r="M5" s="156" t="s">
        <v>1693</v>
      </c>
      <c r="N5" s="156"/>
      <c r="O5" s="156"/>
      <c r="P5" s="156"/>
      <c r="Q5" s="156"/>
      <c r="R5" s="156"/>
      <c r="S5" s="156"/>
      <c r="T5" s="156"/>
      <c r="U5" s="156"/>
      <c r="V5" s="156"/>
      <c r="W5" s="156"/>
      <c r="X5" s="156"/>
    </row>
    <row r="6" spans="1:24">
      <c r="A6" s="156" t="s">
        <v>892</v>
      </c>
      <c r="B6" s="158" t="str">
        <f t="shared" si="4"/>
        <v>SID_HAUNT</v>
      </c>
      <c r="C6" s="156" t="s">
        <v>893</v>
      </c>
      <c r="D6" s="156">
        <v>0</v>
      </c>
      <c r="E6" s="156">
        <v>0</v>
      </c>
      <c r="F6" s="156">
        <v>5</v>
      </c>
      <c r="G6" s="156">
        <v>852581</v>
      </c>
      <c r="H6" s="156">
        <v>1</v>
      </c>
      <c r="I6" s="156" t="s">
        <v>609</v>
      </c>
      <c r="J6" s="156"/>
      <c r="K6" s="157" t="str">
        <f t="shared" si="0"/>
        <v>SpellData.create(SID_HAUNT,"鬼哭狼嚎",0,0,5,852581,1,ORDER_TYPE_IMMEDIATE);</v>
      </c>
      <c r="L6" s="157" t="str">
        <f t="shared" si="1"/>
        <v>SpellData.create(SID_HAUNT,"Haunt",0,0,5,852581,1,ORDER_TYPE_IMMEDIATE);</v>
      </c>
      <c r="M6" s="156" t="s">
        <v>1693</v>
      </c>
      <c r="N6" s="156"/>
      <c r="O6" s="156"/>
      <c r="P6" s="156"/>
      <c r="Q6" s="156"/>
      <c r="R6" s="156"/>
      <c r="S6" s="156"/>
      <c r="T6" s="156"/>
      <c r="U6" s="156"/>
      <c r="V6" s="156"/>
      <c r="W6" s="156"/>
      <c r="X6" s="156"/>
    </row>
    <row r="7" spans="1:24">
      <c r="A7" s="156" t="s">
        <v>1631</v>
      </c>
      <c r="B7" s="158" t="str">
        <f t="shared" si="4"/>
        <v>SID_HEAL_TESTER</v>
      </c>
      <c r="C7" s="156" t="s">
        <v>891</v>
      </c>
      <c r="D7" s="156">
        <v>0</v>
      </c>
      <c r="E7" s="156">
        <v>0</v>
      </c>
      <c r="F7" s="156">
        <v>5</v>
      </c>
      <c r="G7" s="156" t="s">
        <v>610</v>
      </c>
      <c r="H7" s="156">
        <v>1</v>
      </c>
      <c r="I7" s="156" t="s">
        <v>609</v>
      </c>
      <c r="J7" s="156"/>
      <c r="K7" s="157" t="str">
        <f t="shared" si="0"/>
        <v>SpellData.create(SID_HEAL_TESTER,"搞毛",0,0,5,OrderId("channel"),1,ORDER_TYPE_IMMEDIATE);</v>
      </c>
      <c r="L7" s="157" t="str">
        <f t="shared" si="1"/>
        <v>SpellData.create(SID_HEAL_TESTER,"Heal Tester",0,0,5,OrderId("channel"),1,ORDER_TYPE_IMMEDIATE);</v>
      </c>
      <c r="M7" s="156" t="s">
        <v>1693</v>
      </c>
      <c r="N7" s="156"/>
      <c r="O7" s="156"/>
      <c r="P7" s="156"/>
      <c r="Q7" s="156"/>
      <c r="R7" s="156"/>
      <c r="S7" s="156"/>
      <c r="T7" s="156"/>
      <c r="U7" s="156"/>
      <c r="V7" s="156"/>
      <c r="W7" s="156"/>
      <c r="X7" s="156"/>
    </row>
    <row r="8" spans="1:24">
      <c r="A8" s="156" t="s">
        <v>2492</v>
      </c>
      <c r="B8" s="158" t="str">
        <f t="shared" si="4"/>
        <v>SID_CHAMPION_THORNS</v>
      </c>
      <c r="C8" s="156"/>
      <c r="D8" s="156">
        <v>0</v>
      </c>
      <c r="E8" s="156">
        <v>0</v>
      </c>
      <c r="F8" s="156">
        <v>0</v>
      </c>
      <c r="G8" s="156">
        <v>0</v>
      </c>
      <c r="H8" s="156">
        <v>1</v>
      </c>
      <c r="I8" s="156" t="s">
        <v>609</v>
      </c>
      <c r="J8" s="156"/>
      <c r="K8" s="157" t="str">
        <f t="shared" ref="K8" si="5">IF(C8="N/A","//",CONCATENATE("SpellData.create(",B8,",",CHAR(34),C8,CHAR(34),",",E8,",",D8,",",F8,",",G8,",",H8,",",I8,")",J8,";"))</f>
        <v>SpellData.create(SID_CHAMPION_THORNS,"",0,0,0,0,1,ORDER_TYPE_IMMEDIATE);</v>
      </c>
      <c r="L8" s="157" t="str">
        <f t="shared" ref="L8" si="6">IF(A8="N/A","//",CONCATENATE("SpellData.create(",B8,",",CHAR(34),A8,CHAR(34),",",E8,",",D8,",",F8,",",G8,",",H8,",",I8,")",J8,";"))</f>
        <v>SpellData.create(SID_CHAMPION_THORNS,"Champion Thorns",0,0,0,0,1,ORDER_TYPE_IMMEDIATE);</v>
      </c>
      <c r="M8" s="156" t="s">
        <v>1693</v>
      </c>
      <c r="N8" s="156"/>
      <c r="O8" s="156"/>
      <c r="P8" s="156"/>
      <c r="Q8" s="156"/>
      <c r="R8" s="156"/>
      <c r="S8" s="156"/>
      <c r="T8" s="156"/>
      <c r="U8" s="156"/>
      <c r="V8" s="156"/>
      <c r="W8" s="156"/>
      <c r="X8" s="156"/>
    </row>
    <row r="9" spans="1:24">
      <c r="A9" s="159" t="s">
        <v>576</v>
      </c>
      <c r="B9" s="158" t="str">
        <f t="shared" si="4"/>
        <v>SID_SHIELD_BLOCK</v>
      </c>
      <c r="C9" s="159" t="s">
        <v>2</v>
      </c>
      <c r="D9" s="159">
        <v>0</v>
      </c>
      <c r="E9" s="159">
        <v>30</v>
      </c>
      <c r="F9" s="159">
        <v>7</v>
      </c>
      <c r="G9" s="159">
        <v>852055</v>
      </c>
      <c r="H9" s="159">
        <v>1</v>
      </c>
      <c r="I9" s="159" t="s">
        <v>609</v>
      </c>
      <c r="J9" s="159"/>
      <c r="K9" s="157" t="str">
        <f t="shared" si="0"/>
        <v>SpellData.create(SID_SHIELD_BLOCK,"盾牌格档",30,0,7,852055,1,ORDER_TYPE_IMMEDIATE);</v>
      </c>
      <c r="L9" s="157" t="str">
        <f t="shared" si="1"/>
        <v>SpellData.create(SID_SHIELD_BLOCK,"Shield Block",30,0,7,852055,1,ORDER_TYPE_IMMEDIATE);</v>
      </c>
      <c r="M9" s="159" t="s">
        <v>1693</v>
      </c>
      <c r="N9" s="159"/>
      <c r="O9" s="159"/>
      <c r="P9" s="159"/>
      <c r="Q9" s="159"/>
      <c r="R9" s="159"/>
      <c r="S9" s="159"/>
      <c r="T9" s="159"/>
      <c r="U9" s="159"/>
      <c r="V9" s="159"/>
      <c r="W9" s="159"/>
      <c r="X9" s="159"/>
    </row>
    <row r="10" spans="1:24">
      <c r="A10" s="159" t="s">
        <v>1632</v>
      </c>
      <c r="B10" s="158" t="str">
        <f t="shared" si="4"/>
        <v>SID_SUN_FIRE_STORM</v>
      </c>
      <c r="C10" s="159" t="s">
        <v>8</v>
      </c>
      <c r="D10" s="159">
        <v>0</v>
      </c>
      <c r="E10" s="159">
        <v>20</v>
      </c>
      <c r="F10" s="159">
        <v>8</v>
      </c>
      <c r="G10" s="159">
        <v>852488</v>
      </c>
      <c r="H10" s="159">
        <v>1</v>
      </c>
      <c r="I10" s="159" t="s">
        <v>609</v>
      </c>
      <c r="J10" s="159"/>
      <c r="K10" s="157" t="str">
        <f t="shared" si="0"/>
        <v>SpellData.create(SID_SUN_FIRE_STORM,"阳炎风暴",20,0,8,852488,1,ORDER_TYPE_IMMEDIATE);</v>
      </c>
      <c r="L10" s="157" t="str">
        <f t="shared" si="1"/>
        <v>SpellData.create(SID_SUN_FIRE_STORM,"Sun Fire Storm",20,0,8,852488,1,ORDER_TYPE_IMMEDIATE);</v>
      </c>
      <c r="M10" s="159" t="s">
        <v>1693</v>
      </c>
      <c r="N10" s="159"/>
      <c r="O10" s="159"/>
      <c r="P10" s="159"/>
      <c r="Q10" s="159"/>
      <c r="R10" s="159"/>
      <c r="S10" s="159"/>
      <c r="T10" s="159"/>
      <c r="U10" s="159"/>
      <c r="V10" s="159"/>
      <c r="W10" s="159"/>
      <c r="X10" s="159"/>
    </row>
    <row r="11" spans="1:24">
      <c r="A11" s="159" t="s">
        <v>578</v>
      </c>
      <c r="B11" s="158" t="str">
        <f t="shared" si="4"/>
        <v>SID_ARCANE_SHOCK</v>
      </c>
      <c r="C11" s="159" t="s">
        <v>13</v>
      </c>
      <c r="D11" s="159">
        <v>0</v>
      </c>
      <c r="E11" s="159">
        <v>10</v>
      </c>
      <c r="F11" s="159">
        <v>2</v>
      </c>
      <c r="G11" s="159">
        <v>852480</v>
      </c>
      <c r="H11" s="159">
        <v>1</v>
      </c>
      <c r="I11" s="159" t="s">
        <v>735</v>
      </c>
      <c r="J11" s="159" t="s">
        <v>890</v>
      </c>
      <c r="K11" s="157" t="str">
        <f t="shared" si="0"/>
        <v>SpellData.create(SID_ARCANE_SHOCK,"秘法震击",10,0,2,852480,1,ORDER_TYPE_TARGET).setCCC2(17,0,2).setCCC3(24,0,2);</v>
      </c>
      <c r="L11" s="157" t="str">
        <f t="shared" si="1"/>
        <v>SpellData.create(SID_ARCANE_SHOCK,"Arcane Shock",10,0,2,852480,1,ORDER_TYPE_TARGET).setCCC2(17,0,2).setCCC3(24,0,2);</v>
      </c>
      <c r="M11" s="159" t="s">
        <v>1693</v>
      </c>
      <c r="N11" s="159"/>
      <c r="O11" s="159"/>
      <c r="P11" s="159"/>
      <c r="Q11" s="159"/>
      <c r="R11" s="159"/>
      <c r="S11" s="159"/>
      <c r="T11" s="159"/>
      <c r="U11" s="159"/>
      <c r="V11" s="159"/>
      <c r="W11" s="159"/>
      <c r="X11" s="159"/>
    </row>
    <row r="12" spans="1:24">
      <c r="A12" s="159" t="s">
        <v>579</v>
      </c>
      <c r="B12" s="158" t="str">
        <f t="shared" si="4"/>
        <v>SID_DISCORD</v>
      </c>
      <c r="C12" s="159" t="s">
        <v>14</v>
      </c>
      <c r="D12" s="159">
        <v>0</v>
      </c>
      <c r="E12" s="159">
        <v>0</v>
      </c>
      <c r="F12" s="159">
        <v>14</v>
      </c>
      <c r="G12" s="159">
        <v>852128</v>
      </c>
      <c r="H12" s="159">
        <v>1</v>
      </c>
      <c r="I12" s="159" t="s">
        <v>735</v>
      </c>
      <c r="J12" s="159" t="s">
        <v>889</v>
      </c>
      <c r="K12" s="157" t="str">
        <f t="shared" si="0"/>
        <v>SpellData.create(SID_DISCORD,"纷争",0,0,14,852128,1,ORDER_TYPE_TARGET).setCCC2(0,0,12).setCCC3(0,0,10);</v>
      </c>
      <c r="L12" s="157" t="str">
        <f t="shared" si="1"/>
        <v>SpellData.create(SID_DISCORD,"Discord",0,0,14,852128,1,ORDER_TYPE_TARGET).setCCC2(0,0,12).setCCC3(0,0,10);</v>
      </c>
      <c r="M12" s="159" t="s">
        <v>1693</v>
      </c>
      <c r="N12" s="159"/>
      <c r="O12" s="159"/>
      <c r="P12" s="159"/>
      <c r="Q12" s="159"/>
      <c r="R12" s="159"/>
      <c r="S12" s="159"/>
      <c r="T12" s="159"/>
      <c r="U12" s="159"/>
      <c r="V12" s="159"/>
      <c r="W12" s="159"/>
      <c r="X12" s="159"/>
    </row>
    <row r="13" spans="1:24">
      <c r="A13" s="159" t="s">
        <v>580</v>
      </c>
      <c r="B13" s="158" t="str">
        <f t="shared" si="4"/>
        <v>SID_SHIELD_OF_SINDOREI</v>
      </c>
      <c r="C13" s="159" t="s">
        <v>15</v>
      </c>
      <c r="D13" s="159">
        <v>0</v>
      </c>
      <c r="E13" s="159">
        <v>0</v>
      </c>
      <c r="F13" s="159">
        <v>30</v>
      </c>
      <c r="G13" s="159">
        <v>852090</v>
      </c>
      <c r="H13" s="159">
        <v>1</v>
      </c>
      <c r="I13" s="159" t="s">
        <v>609</v>
      </c>
      <c r="J13" s="159"/>
      <c r="K13" s="157" t="str">
        <f t="shared" si="0"/>
        <v>SpellData.create(SID_SHIELD_OF_SINDOREI,"辛多雷之盾",0,0,30,852090,1,ORDER_TYPE_IMMEDIATE);</v>
      </c>
      <c r="L13" s="157" t="str">
        <f t="shared" si="1"/>
        <v>SpellData.create(SID_SHIELD_OF_SINDOREI,"Shield of Sindorei",0,0,30,852090,1,ORDER_TYPE_IMMEDIATE);</v>
      </c>
      <c r="M13" s="159" t="s">
        <v>1693</v>
      </c>
      <c r="N13" s="159"/>
      <c r="O13" s="159"/>
      <c r="P13" s="159"/>
      <c r="Q13" s="159"/>
      <c r="R13" s="159"/>
      <c r="S13" s="159"/>
      <c r="T13" s="159"/>
      <c r="U13" s="159"/>
      <c r="V13" s="159"/>
      <c r="W13" s="159"/>
      <c r="X13" s="159"/>
    </row>
    <row r="14" spans="1:24">
      <c r="A14" s="160" t="s">
        <v>888</v>
      </c>
      <c r="B14" s="158" t="str">
        <f t="shared" si="4"/>
        <v>SID_LACERATE</v>
      </c>
      <c r="C14" s="160" t="s">
        <v>19</v>
      </c>
      <c r="D14" s="160">
        <v>0</v>
      </c>
      <c r="E14" s="160">
        <v>0</v>
      </c>
      <c r="F14" s="160">
        <v>1.5</v>
      </c>
      <c r="G14" s="160" t="s">
        <v>887</v>
      </c>
      <c r="H14" s="160">
        <v>1</v>
      </c>
      <c r="I14" s="160" t="s">
        <v>735</v>
      </c>
      <c r="J14" s="160"/>
      <c r="K14" s="157" t="str">
        <f t="shared" si="0"/>
        <v>SpellData.create(SID_LACERATE,"割伤",0,0,1.5,OrderId("coldarrowstarg"),1,ORDER_TYPE_TARGET);</v>
      </c>
      <c r="L14" s="157" t="str">
        <f t="shared" si="1"/>
        <v>SpellData.create(SID_LACERATE,"Lacerate",0,0,1.5,OrderId("coldarrowstarg"),1,ORDER_TYPE_TARGET);</v>
      </c>
      <c r="M14" s="160" t="s">
        <v>1693</v>
      </c>
      <c r="N14" s="160"/>
      <c r="O14" s="160"/>
      <c r="P14" s="160"/>
      <c r="Q14" s="160"/>
      <c r="R14" s="160"/>
      <c r="S14" s="160"/>
      <c r="T14" s="160"/>
      <c r="U14" s="160"/>
      <c r="V14" s="160"/>
      <c r="W14" s="160"/>
      <c r="X14" s="160"/>
    </row>
    <row r="15" spans="1:24">
      <c r="A15" s="160" t="s">
        <v>760</v>
      </c>
      <c r="B15" s="158" t="str">
        <f t="shared" si="4"/>
        <v>SID_SAVAGE_ROAR</v>
      </c>
      <c r="C15" s="160" t="s">
        <v>20</v>
      </c>
      <c r="D15" s="160">
        <v>0</v>
      </c>
      <c r="E15" s="160">
        <v>0</v>
      </c>
      <c r="F15" s="160">
        <v>5</v>
      </c>
      <c r="G15" s="160" t="s">
        <v>826</v>
      </c>
      <c r="H15" s="160">
        <v>1</v>
      </c>
      <c r="I15" s="160" t="s">
        <v>609</v>
      </c>
      <c r="J15" s="160"/>
      <c r="K15" s="157" t="str">
        <f t="shared" si="0"/>
        <v>SpellData.create(SID_SAVAGE_ROAR,"野蛮咆哮",0,0,5,OrderId("purge"),1,ORDER_TYPE_IMMEDIATE);</v>
      </c>
      <c r="L15" s="157" t="str">
        <f t="shared" si="1"/>
        <v>SpellData.create(SID_SAVAGE_ROAR,"Savage Roar",0,0,5,OrderId("purge"),1,ORDER_TYPE_IMMEDIATE);</v>
      </c>
      <c r="M15" s="160" t="s">
        <v>1693</v>
      </c>
      <c r="N15" s="160"/>
      <c r="O15" s="160"/>
      <c r="P15" s="160"/>
      <c r="Q15" s="160"/>
      <c r="R15" s="160"/>
      <c r="S15" s="160"/>
      <c r="T15" s="160"/>
      <c r="U15" s="160"/>
      <c r="V15" s="160"/>
      <c r="W15" s="160"/>
      <c r="X15" s="160"/>
    </row>
    <row r="16" spans="1:24">
      <c r="A16" s="160" t="s">
        <v>886</v>
      </c>
      <c r="B16" s="158" t="str">
        <f t="shared" si="4"/>
        <v>SID_FOREST_CURE</v>
      </c>
      <c r="C16" s="160" t="s">
        <v>24</v>
      </c>
      <c r="D16" s="160">
        <v>0</v>
      </c>
      <c r="E16" s="160">
        <v>0</v>
      </c>
      <c r="F16" s="160">
        <v>1</v>
      </c>
      <c r="G16" s="160" t="s">
        <v>814</v>
      </c>
      <c r="H16" s="160">
        <v>1</v>
      </c>
      <c r="I16" s="160" t="s">
        <v>609</v>
      </c>
      <c r="J16" s="160"/>
      <c r="K16" s="157" t="str">
        <f t="shared" si="0"/>
        <v>SpellData.create(SID_FOREST_CURE,"丛林治愈",0,0,1,OrderId("deathcoil"),1,ORDER_TYPE_IMMEDIATE);</v>
      </c>
      <c r="L16" s="157" t="str">
        <f t="shared" si="1"/>
        <v>SpellData.create(SID_FOREST_CURE,"Forest Cure",0,0,1,OrderId("deathcoil"),1,ORDER_TYPE_IMMEDIATE);</v>
      </c>
      <c r="M16" s="160" t="s">
        <v>1693</v>
      </c>
      <c r="N16" s="160"/>
      <c r="O16" s="160"/>
      <c r="P16" s="160"/>
      <c r="Q16" s="160"/>
      <c r="R16" s="160"/>
      <c r="S16" s="160"/>
      <c r="T16" s="160"/>
      <c r="U16" s="160"/>
      <c r="V16" s="160"/>
      <c r="W16" s="160"/>
      <c r="X16" s="160"/>
    </row>
    <row r="17" spans="1:24">
      <c r="A17" s="160" t="s">
        <v>759</v>
      </c>
      <c r="B17" s="158" t="str">
        <f t="shared" si="4"/>
        <v>SID_NATURAL_REFLEX</v>
      </c>
      <c r="C17" s="160" t="s">
        <v>26</v>
      </c>
      <c r="D17" s="160">
        <v>0</v>
      </c>
      <c r="E17" s="160">
        <v>0</v>
      </c>
      <c r="F17" s="160">
        <v>15</v>
      </c>
      <c r="G17" s="160" t="s">
        <v>803</v>
      </c>
      <c r="H17" s="160">
        <v>1</v>
      </c>
      <c r="I17" s="160" t="s">
        <v>609</v>
      </c>
      <c r="J17" s="160"/>
      <c r="K17" s="157" t="str">
        <f t="shared" si="0"/>
        <v>SpellData.create(SID_NATURAL_REFLEX,"自然反射",0,0,15,OrderId("dispel"),1,ORDER_TYPE_IMMEDIATE);</v>
      </c>
      <c r="L17" s="157" t="str">
        <f t="shared" si="1"/>
        <v>SpellData.create(SID_NATURAL_REFLEX,"Natural Reflex",0,0,15,OrderId("dispel"),1,ORDER_TYPE_IMMEDIATE);</v>
      </c>
      <c r="M17" s="160" t="s">
        <v>1693</v>
      </c>
      <c r="N17" s="160"/>
      <c r="O17" s="160"/>
      <c r="P17" s="160"/>
      <c r="Q17" s="160"/>
      <c r="R17" s="160"/>
      <c r="S17" s="160"/>
      <c r="T17" s="160"/>
      <c r="U17" s="160"/>
      <c r="V17" s="160"/>
      <c r="W17" s="160"/>
      <c r="X17" s="160"/>
    </row>
    <row r="18" spans="1:24">
      <c r="A18" s="160" t="s">
        <v>885</v>
      </c>
      <c r="B18" s="158" t="str">
        <f t="shared" si="4"/>
        <v>SID_SURVIVAL_INSTINCTS</v>
      </c>
      <c r="C18" s="160" t="s">
        <v>28</v>
      </c>
      <c r="D18" s="160">
        <v>0</v>
      </c>
      <c r="E18" s="160">
        <v>0</v>
      </c>
      <c r="F18" s="160">
        <v>60</v>
      </c>
      <c r="G18" s="160" t="s">
        <v>875</v>
      </c>
      <c r="H18" s="160">
        <v>1</v>
      </c>
      <c r="I18" s="160" t="s">
        <v>609</v>
      </c>
      <c r="J18" s="160"/>
      <c r="K18" s="157" t="str">
        <f t="shared" si="0"/>
        <v>SpellData.create(SID_SURVIVAL_INSTINCTS,"生存本能",0,0,60,OrderId("cripple"),1,ORDER_TYPE_IMMEDIATE);</v>
      </c>
      <c r="L18" s="157" t="str">
        <f t="shared" si="1"/>
        <v>SpellData.create(SID_SURVIVAL_INSTINCTS,"Survival Instincts",0,0,60,OrderId("cripple"),1,ORDER_TYPE_IMMEDIATE);</v>
      </c>
      <c r="M18" s="160" t="s">
        <v>1693</v>
      </c>
      <c r="N18" s="160"/>
      <c r="O18" s="160"/>
      <c r="P18" s="160"/>
      <c r="Q18" s="160"/>
      <c r="R18" s="160"/>
      <c r="S18" s="160"/>
      <c r="T18" s="160"/>
      <c r="U18" s="160"/>
      <c r="V18" s="160"/>
      <c r="W18" s="160"/>
      <c r="X18" s="160"/>
    </row>
    <row r="19" spans="1:24">
      <c r="A19" s="161" t="s">
        <v>757</v>
      </c>
      <c r="B19" s="158" t="str">
        <f>"SID_"&amp;UPPER(SUBSTITUTE(A19," ","_"))</f>
        <v>SID_LIFE_BLOOM</v>
      </c>
      <c r="C19" s="161" t="s">
        <v>38</v>
      </c>
      <c r="D19" s="161">
        <v>0</v>
      </c>
      <c r="E19" s="161">
        <v>50</v>
      </c>
      <c r="F19" s="161">
        <v>1</v>
      </c>
      <c r="G19" s="161" t="s">
        <v>875</v>
      </c>
      <c r="H19" s="161">
        <v>1</v>
      </c>
      <c r="I19" s="161" t="s">
        <v>735</v>
      </c>
      <c r="J19" s="161"/>
      <c r="K19" s="157" t="str">
        <f t="shared" si="0"/>
        <v>SpellData.create(SID_LIFE_BLOOM,"生命绽放",50,0,1,OrderId("cripple"),1,ORDER_TYPE_TARGET);</v>
      </c>
      <c r="L19" s="157" t="str">
        <f t="shared" si="1"/>
        <v>SpellData.create(SID_LIFE_BLOOM,"Life Bloom",50,0,1,OrderId("cripple"),1,ORDER_TYPE_TARGET);</v>
      </c>
      <c r="M19" s="161" t="s">
        <v>1693</v>
      </c>
      <c r="N19" s="161"/>
      <c r="O19" s="161"/>
      <c r="P19" s="161"/>
      <c r="Q19" s="161"/>
      <c r="R19" s="161"/>
      <c r="S19" s="161"/>
      <c r="T19" s="161"/>
      <c r="U19" s="161"/>
      <c r="V19" s="161"/>
      <c r="W19" s="161"/>
      <c r="X19" s="161"/>
    </row>
    <row r="20" spans="1:24">
      <c r="A20" s="161" t="s">
        <v>884</v>
      </c>
      <c r="B20" s="158" t="str">
        <f t="shared" si="4"/>
        <v>SID_REJUVENATION</v>
      </c>
      <c r="C20" s="161" t="s">
        <v>39</v>
      </c>
      <c r="D20" s="161">
        <v>0</v>
      </c>
      <c r="E20" s="161">
        <v>75</v>
      </c>
      <c r="F20" s="161">
        <v>1</v>
      </c>
      <c r="G20" s="161" t="s">
        <v>883</v>
      </c>
      <c r="H20" s="161">
        <v>1</v>
      </c>
      <c r="I20" s="161" t="s">
        <v>735</v>
      </c>
      <c r="J20" s="161" t="s">
        <v>882</v>
      </c>
      <c r="K20" s="157" t="str">
        <f t="shared" si="0"/>
        <v>SpellData.create(SID_REJUVENATION,"回春术",75,0,1,OrderId("rejuvination"),1,ORDER_TYPE_TARGET).setCCC2(110,0,1).setCCC3(145,0,1);</v>
      </c>
      <c r="L20" s="157" t="str">
        <f t="shared" si="1"/>
        <v>SpellData.create(SID_REJUVENATION,"Rejuvenation",75,0,1,OrderId("rejuvination"),1,ORDER_TYPE_TARGET).setCCC2(110,0,1).setCCC3(145,0,1);</v>
      </c>
      <c r="M20" s="161" t="s">
        <v>1693</v>
      </c>
      <c r="N20" s="161"/>
      <c r="O20" s="161"/>
      <c r="P20" s="161"/>
      <c r="Q20" s="161"/>
      <c r="R20" s="161"/>
      <c r="S20" s="161"/>
      <c r="T20" s="161"/>
      <c r="U20" s="161"/>
      <c r="V20" s="161"/>
      <c r="W20" s="161"/>
      <c r="X20" s="161"/>
    </row>
    <row r="21" spans="1:24">
      <c r="A21" s="161" t="s">
        <v>881</v>
      </c>
      <c r="B21" s="158" t="str">
        <f t="shared" si="4"/>
        <v>SID_REGROWTH</v>
      </c>
      <c r="C21" s="161" t="s">
        <v>42</v>
      </c>
      <c r="D21" s="161">
        <v>3</v>
      </c>
      <c r="E21" s="161">
        <v>100</v>
      </c>
      <c r="F21" s="161">
        <v>0</v>
      </c>
      <c r="G21" s="161" t="s">
        <v>736</v>
      </c>
      <c r="H21" s="161">
        <v>1</v>
      </c>
      <c r="I21" s="161" t="s">
        <v>735</v>
      </c>
      <c r="J21" s="161" t="s">
        <v>880</v>
      </c>
      <c r="K21" s="157" t="str">
        <f t="shared" si="0"/>
        <v>SpellData.create(SID_REGROWTH,"愈合",100,3,0,OrderId("healingwave"),1,ORDER_TYPE_TARGET).setCCC2(120,3,0).setCCC3(140,3,0);</v>
      </c>
      <c r="L21" s="157" t="str">
        <f t="shared" si="1"/>
        <v>SpellData.create(SID_REGROWTH,"Regrowth",100,3,0,OrderId("healingwave"),1,ORDER_TYPE_TARGET).setCCC2(120,3,0).setCCC3(140,3,0);</v>
      </c>
      <c r="M21" s="161" t="s">
        <v>1693</v>
      </c>
      <c r="N21" s="161"/>
      <c r="O21" s="161"/>
      <c r="P21" s="161"/>
      <c r="Q21" s="161"/>
      <c r="R21" s="161"/>
      <c r="S21" s="161"/>
      <c r="T21" s="161"/>
      <c r="U21" s="161"/>
      <c r="V21" s="161"/>
      <c r="W21" s="161"/>
      <c r="X21" s="161"/>
    </row>
    <row r="22" spans="1:24">
      <c r="A22" s="161" t="s">
        <v>879</v>
      </c>
      <c r="B22" s="158" t="str">
        <f t="shared" si="4"/>
        <v>SID_SWIFT_MEND</v>
      </c>
      <c r="C22" s="161" t="s">
        <v>43</v>
      </c>
      <c r="D22" s="161">
        <v>0</v>
      </c>
      <c r="E22" s="161">
        <v>150</v>
      </c>
      <c r="F22" s="161">
        <v>11</v>
      </c>
      <c r="G22" s="161" t="s">
        <v>878</v>
      </c>
      <c r="H22" s="161">
        <v>1</v>
      </c>
      <c r="I22" s="161" t="s">
        <v>735</v>
      </c>
      <c r="J22" s="161"/>
      <c r="K22" s="157" t="str">
        <f t="shared" si="0"/>
        <v>SpellData.create(SID_SWIFT_MEND,"迅捷治愈",150,0,11,OrderId("replenishlife"),1,ORDER_TYPE_TARGET);</v>
      </c>
      <c r="L22" s="157" t="str">
        <f t="shared" si="1"/>
        <v>SpellData.create(SID_SWIFT_MEND,"Swift Mend",150,0,11,OrderId("replenishlife"),1,ORDER_TYPE_TARGET);</v>
      </c>
      <c r="M22" s="161" t="s">
        <v>1693</v>
      </c>
      <c r="N22" s="161"/>
      <c r="O22" s="161"/>
      <c r="P22" s="161"/>
      <c r="Q22" s="161"/>
      <c r="R22" s="161"/>
      <c r="S22" s="161"/>
      <c r="T22" s="161"/>
      <c r="U22" s="161"/>
      <c r="V22" s="161"/>
      <c r="W22" s="161"/>
      <c r="X22" s="161"/>
    </row>
    <row r="23" spans="1:24">
      <c r="A23" s="161" t="s">
        <v>758</v>
      </c>
      <c r="B23" s="158" t="str">
        <f t="shared" si="4"/>
        <v>SID_TRANQUILITY</v>
      </c>
      <c r="C23" s="161" t="s">
        <v>46</v>
      </c>
      <c r="D23" s="161">
        <v>8</v>
      </c>
      <c r="E23" s="161">
        <v>200</v>
      </c>
      <c r="F23" s="161">
        <v>40</v>
      </c>
      <c r="G23" s="161" t="s">
        <v>877</v>
      </c>
      <c r="H23" s="161">
        <v>1</v>
      </c>
      <c r="I23" s="161" t="s">
        <v>609</v>
      </c>
      <c r="J23" s="161"/>
      <c r="K23" s="157" t="str">
        <f t="shared" si="0"/>
        <v>SpellData.create(SID_TRANQUILITY,"宁静",200,8,40,OrderId("tranquility"),1,ORDER_TYPE_IMMEDIATE);</v>
      </c>
      <c r="L23" s="157" t="str">
        <f t="shared" si="1"/>
        <v>SpellData.create(SID_TRANQUILITY,"Tranquility",200,8,40,OrderId("tranquility"),1,ORDER_TYPE_IMMEDIATE);</v>
      </c>
      <c r="M23" s="161" t="s">
        <v>1693</v>
      </c>
      <c r="N23" s="161"/>
      <c r="O23" s="161"/>
      <c r="P23" s="161"/>
      <c r="Q23" s="161"/>
      <c r="R23" s="161"/>
      <c r="S23" s="161"/>
      <c r="T23" s="161"/>
      <c r="U23" s="161"/>
      <c r="V23" s="161"/>
      <c r="W23" s="161"/>
      <c r="X23" s="161"/>
    </row>
    <row r="24" spans="1:24">
      <c r="A24" s="161" t="s">
        <v>1633</v>
      </c>
      <c r="B24" s="158" t="str">
        <f t="shared" si="4"/>
        <v>SID_TRANQUILITY_1</v>
      </c>
      <c r="C24" s="161" t="s">
        <v>46</v>
      </c>
      <c r="D24" s="161">
        <v>8</v>
      </c>
      <c r="E24" s="161">
        <v>200</v>
      </c>
      <c r="F24" s="161">
        <v>1</v>
      </c>
      <c r="G24" s="161" t="s">
        <v>610</v>
      </c>
      <c r="H24" s="161">
        <v>1</v>
      </c>
      <c r="I24" s="161" t="s">
        <v>609</v>
      </c>
      <c r="J24" s="161"/>
      <c r="K24" s="157" t="str">
        <f t="shared" si="0"/>
        <v>SpellData.create(SID_TRANQUILITY_1,"宁静",200,8,1,OrderId("channel"),1,ORDER_TYPE_IMMEDIATE);</v>
      </c>
      <c r="L24" s="157" t="str">
        <f t="shared" si="1"/>
        <v>SpellData.create(SID_TRANQUILITY_1,"Tranquility 1",200,8,1,OrderId("channel"),1,ORDER_TYPE_IMMEDIATE);</v>
      </c>
      <c r="M24" s="161" t="s">
        <v>1693</v>
      </c>
      <c r="N24" s="161"/>
      <c r="O24" s="161"/>
      <c r="P24" s="161"/>
      <c r="Q24" s="161"/>
      <c r="R24" s="161"/>
      <c r="S24" s="161"/>
      <c r="T24" s="161"/>
      <c r="U24" s="161"/>
      <c r="V24" s="161"/>
      <c r="W24" s="161"/>
      <c r="X24" s="161"/>
    </row>
    <row r="25" spans="1:24">
      <c r="A25" s="162" t="s">
        <v>876</v>
      </c>
      <c r="B25" s="158" t="str">
        <f t="shared" si="4"/>
        <v>SID_FLASH_LIGHT</v>
      </c>
      <c r="C25" s="162" t="s">
        <v>80</v>
      </c>
      <c r="D25" s="162">
        <v>0</v>
      </c>
      <c r="E25" s="162">
        <v>50</v>
      </c>
      <c r="F25" s="162">
        <v>3.5</v>
      </c>
      <c r="G25" s="162" t="s">
        <v>800</v>
      </c>
      <c r="H25" s="162">
        <v>1</v>
      </c>
      <c r="I25" s="162" t="s">
        <v>735</v>
      </c>
      <c r="J25" s="162"/>
      <c r="K25" s="157" t="str">
        <f t="shared" si="0"/>
        <v>SpellData.create(SID_FLASH_LIGHT,"闪耀之光",50,0,3.5,OrderId("innerfire"),1,ORDER_TYPE_TARGET);</v>
      </c>
      <c r="L25" s="157" t="str">
        <f t="shared" si="1"/>
        <v>SpellData.create(SID_FLASH_LIGHT,"Flash Light",50,0,3.5,OrderId("innerfire"),1,ORDER_TYPE_TARGET);</v>
      </c>
      <c r="M25" s="162" t="s">
        <v>1693</v>
      </c>
      <c r="N25" s="162"/>
      <c r="O25" s="162"/>
      <c r="P25" s="162"/>
      <c r="Q25" s="162"/>
      <c r="R25" s="162"/>
      <c r="S25" s="162"/>
      <c r="T25" s="162"/>
      <c r="U25" s="162"/>
      <c r="V25" s="162"/>
      <c r="W25" s="162"/>
      <c r="X25" s="162"/>
    </row>
    <row r="26" spans="1:24">
      <c r="A26" s="162" t="s">
        <v>756</v>
      </c>
      <c r="B26" s="158" t="str">
        <f t="shared" si="4"/>
        <v>SID_HOLY_LIGHT</v>
      </c>
      <c r="C26" s="162" t="s">
        <v>86</v>
      </c>
      <c r="D26" s="162">
        <v>2.6</v>
      </c>
      <c r="E26" s="162">
        <v>100</v>
      </c>
      <c r="F26" s="162">
        <v>0</v>
      </c>
      <c r="G26" s="162" t="s">
        <v>874</v>
      </c>
      <c r="H26" s="162">
        <v>1</v>
      </c>
      <c r="I26" s="162" t="s">
        <v>735</v>
      </c>
      <c r="J26" s="162" t="s">
        <v>873</v>
      </c>
      <c r="K26" s="157" t="str">
        <f t="shared" si="0"/>
        <v>SpellData.create(SID_HOLY_LIGHT,"圣光术",100,2.6,0,OrderId("holybolt"),1,ORDER_TYPE_TARGET).setCCC2(115,2.6,0).setCCC3(130,2.6,0);</v>
      </c>
      <c r="L26" s="157" t="str">
        <f t="shared" si="1"/>
        <v>SpellData.create(SID_HOLY_LIGHT,"Holy Light",100,2.6,0,OrderId("holybolt"),1,ORDER_TYPE_TARGET).setCCC2(115,2.6,0).setCCC3(130,2.6,0);</v>
      </c>
      <c r="M26" s="162" t="s">
        <v>1693</v>
      </c>
      <c r="N26" s="162"/>
      <c r="O26" s="162"/>
      <c r="P26" s="162"/>
      <c r="Q26" s="162"/>
      <c r="R26" s="162"/>
      <c r="S26" s="162"/>
      <c r="T26" s="162"/>
      <c r="U26" s="162"/>
      <c r="V26" s="162"/>
      <c r="W26" s="162"/>
      <c r="X26" s="162"/>
    </row>
    <row r="27" spans="1:24">
      <c r="A27" s="162" t="s">
        <v>755</v>
      </c>
      <c r="B27" s="158" t="str">
        <f t="shared" si="4"/>
        <v>SID_HOLY_SHOCK</v>
      </c>
      <c r="C27" s="162" t="s">
        <v>91</v>
      </c>
      <c r="D27" s="162">
        <v>0</v>
      </c>
      <c r="E27" s="162">
        <v>100</v>
      </c>
      <c r="F27" s="162">
        <v>15</v>
      </c>
      <c r="G27" s="162" t="s">
        <v>872</v>
      </c>
      <c r="H27" s="162">
        <v>1</v>
      </c>
      <c r="I27" s="162" t="s">
        <v>735</v>
      </c>
      <c r="J27" s="162" t="s">
        <v>871</v>
      </c>
      <c r="K27" s="157" t="str">
        <f t="shared" si="0"/>
        <v>SpellData.create(SID_HOLY_SHOCK,"神圣震击",100,0,15,OrderId("resurrection"),1,ORDER_TYPE_TARGET).setCCC2(150,0,15).setCCC3(200,0,15);</v>
      </c>
      <c r="L27" s="157" t="str">
        <f t="shared" si="1"/>
        <v>SpellData.create(SID_HOLY_SHOCK,"Holy Shock",100,0,15,OrderId("resurrection"),1,ORDER_TYPE_TARGET).setCCC2(150,0,15).setCCC3(200,0,15);</v>
      </c>
      <c r="M27" s="162" t="s">
        <v>1693</v>
      </c>
      <c r="N27" s="162"/>
      <c r="O27" s="162"/>
      <c r="P27" s="162"/>
      <c r="Q27" s="162"/>
      <c r="R27" s="162"/>
      <c r="S27" s="162"/>
      <c r="T27" s="162"/>
      <c r="U27" s="162"/>
      <c r="V27" s="162"/>
      <c r="W27" s="162"/>
      <c r="X27" s="162"/>
    </row>
    <row r="28" spans="1:24">
      <c r="A28" s="162" t="s">
        <v>870</v>
      </c>
      <c r="B28" s="158" t="str">
        <f>"SID_"&amp;UPPER(SUBSTITUTE(A28," ","_"))</f>
        <v>SID_DIVINE_FAVOR</v>
      </c>
      <c r="C28" s="162" t="s">
        <v>96</v>
      </c>
      <c r="D28" s="162">
        <v>0</v>
      </c>
      <c r="E28" s="162">
        <v>50</v>
      </c>
      <c r="F28" s="162">
        <v>40</v>
      </c>
      <c r="G28" s="162" t="s">
        <v>842</v>
      </c>
      <c r="H28" s="162">
        <v>1</v>
      </c>
      <c r="I28" s="162" t="s">
        <v>609</v>
      </c>
      <c r="J28" s="162" t="s">
        <v>1634</v>
      </c>
      <c r="K28" s="157" t="str">
        <f t="shared" si="0"/>
        <v>SpellData.create(SID_DIVINE_FAVOR,"神恩",50,0,40,OrderId("massteleport"),1,ORDER_TYPE_IMMEDIATE).setCCC2(50,0,40).setCCC3(50,0,40);</v>
      </c>
      <c r="L28" s="157" t="str">
        <f t="shared" si="1"/>
        <v>SpellData.create(SID_DIVINE_FAVOR,"Divine Favor",50,0,40,OrderId("massteleport"),1,ORDER_TYPE_IMMEDIATE).setCCC2(50,0,40).setCCC3(50,0,40);</v>
      </c>
      <c r="M28" s="162" t="s">
        <v>1693</v>
      </c>
      <c r="N28" s="162"/>
      <c r="O28" s="162"/>
      <c r="P28" s="162"/>
      <c r="Q28" s="162"/>
      <c r="R28" s="162"/>
      <c r="S28" s="162"/>
      <c r="T28" s="162"/>
      <c r="U28" s="162"/>
      <c r="V28" s="162"/>
      <c r="W28" s="162"/>
      <c r="X28" s="162"/>
    </row>
    <row r="29" spans="1:24">
      <c r="A29" s="162" t="s">
        <v>869</v>
      </c>
      <c r="B29" s="158" t="str">
        <f t="shared" si="4"/>
        <v>SID_BEACON_OF_LIGHT</v>
      </c>
      <c r="C29" s="162" t="s">
        <v>98</v>
      </c>
      <c r="D29" s="162">
        <v>0</v>
      </c>
      <c r="E29" s="162">
        <v>10</v>
      </c>
      <c r="F29" s="162">
        <v>10</v>
      </c>
      <c r="G29" s="162" t="s">
        <v>868</v>
      </c>
      <c r="H29" s="162">
        <v>1</v>
      </c>
      <c r="I29" s="162" t="s">
        <v>735</v>
      </c>
      <c r="J29" s="162"/>
      <c r="K29" s="157" t="str">
        <f t="shared" si="0"/>
        <v>SpellData.create(SID_BEACON_OF_LIGHT,"圣光印记",10,0,10,OrderId("summonphoenix"),1,ORDER_TYPE_TARGET);</v>
      </c>
      <c r="L29" s="157" t="str">
        <f t="shared" si="1"/>
        <v>SpellData.create(SID_BEACON_OF_LIGHT,"Beacon of Light",10,0,10,OrderId("summonphoenix"),1,ORDER_TYPE_TARGET);</v>
      </c>
      <c r="M29" s="162" t="s">
        <v>1693</v>
      </c>
      <c r="N29" s="162"/>
      <c r="O29" s="162"/>
      <c r="P29" s="162"/>
      <c r="Q29" s="162"/>
      <c r="R29" s="162"/>
      <c r="S29" s="162"/>
      <c r="T29" s="162"/>
      <c r="U29" s="162"/>
      <c r="V29" s="162"/>
      <c r="W29" s="162"/>
      <c r="X29" s="162"/>
    </row>
    <row r="30" spans="1:24">
      <c r="A30" s="163" t="s">
        <v>754</v>
      </c>
      <c r="B30" s="158" t="str">
        <f t="shared" si="4"/>
        <v>SID_HEAL</v>
      </c>
      <c r="C30" s="163" t="s">
        <v>867</v>
      </c>
      <c r="D30" s="163">
        <v>0</v>
      </c>
      <c r="E30" s="163">
        <v>75</v>
      </c>
      <c r="F30" s="163">
        <v>1</v>
      </c>
      <c r="G30" s="163">
        <v>852063</v>
      </c>
      <c r="H30" s="163">
        <v>1</v>
      </c>
      <c r="I30" s="163" t="s">
        <v>735</v>
      </c>
      <c r="J30" s="163" t="s">
        <v>866</v>
      </c>
      <c r="K30" s="157" t="str">
        <f t="shared" si="0"/>
        <v>SpellData.create(SID_HEAL,"治疗术",75,0,1,852063,1,ORDER_TYPE_TARGET).setCCC2(100,0,1).setCCC3(125,0,1);</v>
      </c>
      <c r="L30" s="157" t="str">
        <f t="shared" si="1"/>
        <v>SpellData.create(SID_HEAL,"Heal",75,0,1,852063,1,ORDER_TYPE_TARGET).setCCC2(100,0,1).setCCC3(125,0,1);</v>
      </c>
      <c r="M30" s="163" t="s">
        <v>1693</v>
      </c>
      <c r="N30" s="163"/>
      <c r="O30" s="163"/>
      <c r="P30" s="163"/>
      <c r="Q30" s="163"/>
      <c r="R30" s="163"/>
      <c r="S30" s="163"/>
      <c r="T30" s="163"/>
      <c r="U30" s="163"/>
      <c r="V30" s="163"/>
      <c r="W30" s="163"/>
      <c r="X30" s="163"/>
    </row>
    <row r="31" spans="1:24">
      <c r="A31" s="163" t="s">
        <v>865</v>
      </c>
      <c r="B31" s="158" t="str">
        <f t="shared" si="4"/>
        <v>SID_PRAYER_OF_HEALING</v>
      </c>
      <c r="C31" s="163" t="s">
        <v>110</v>
      </c>
      <c r="D31" s="163">
        <v>2.4</v>
      </c>
      <c r="E31" s="163">
        <v>100</v>
      </c>
      <c r="F31" s="163">
        <v>0</v>
      </c>
      <c r="G31" s="163" t="s">
        <v>824</v>
      </c>
      <c r="H31" s="163">
        <v>1</v>
      </c>
      <c r="I31" s="163" t="s">
        <v>781</v>
      </c>
      <c r="J31" s="163" t="s">
        <v>864</v>
      </c>
      <c r="K31" s="157" t="str">
        <f t="shared" si="0"/>
        <v>SpellData.create(SID_PRAYER_OF_HEALING,"治疗祷言",100,2.4,0,OrderId("blizzard"),1,ORDER_TYPE_POINT).setCCC2(100,2.1,0).setCCC3(100,1.8,0);</v>
      </c>
      <c r="L31" s="157" t="str">
        <f t="shared" si="1"/>
        <v>SpellData.create(SID_PRAYER_OF_HEALING,"Prayer of Healing",100,2.4,0,OrderId("blizzard"),1,ORDER_TYPE_POINT).setCCC2(100,2.1,0).setCCC3(100,1.8,0);</v>
      </c>
      <c r="M31" s="163" t="s">
        <v>1693</v>
      </c>
      <c r="N31" s="163"/>
      <c r="O31" s="163"/>
      <c r="P31" s="163"/>
      <c r="Q31" s="163"/>
      <c r="R31" s="163"/>
      <c r="S31" s="163"/>
      <c r="T31" s="163"/>
      <c r="U31" s="163"/>
      <c r="V31" s="163"/>
      <c r="W31" s="163"/>
      <c r="X31" s="163"/>
    </row>
    <row r="32" spans="1:24">
      <c r="A32" s="163" t="s">
        <v>753</v>
      </c>
      <c r="B32" s="158" t="str">
        <f t="shared" si="4"/>
        <v>SID_SHIELD</v>
      </c>
      <c r="C32" s="163" t="s">
        <v>115</v>
      </c>
      <c r="D32" s="163">
        <v>0</v>
      </c>
      <c r="E32" s="163">
        <v>100</v>
      </c>
      <c r="F32" s="163">
        <v>4</v>
      </c>
      <c r="G32" s="163">
        <v>852055</v>
      </c>
      <c r="H32" s="163">
        <v>1</v>
      </c>
      <c r="I32" s="163" t="s">
        <v>735</v>
      </c>
      <c r="J32" s="163" t="s">
        <v>863</v>
      </c>
      <c r="K32" s="157" t="str">
        <f t="shared" si="0"/>
        <v>SpellData.create(SID_SHIELD,"护盾术",100,0,4,852055,1,ORDER_TYPE_TARGET).setCCC2(125,0,4).setCCC3(150,0,4);</v>
      </c>
      <c r="L32" s="157" t="str">
        <f t="shared" si="1"/>
        <v>SpellData.create(SID_SHIELD,"Shield",100,0,4,852055,1,ORDER_TYPE_TARGET).setCCC2(125,0,4).setCCC3(150,0,4);</v>
      </c>
      <c r="M32" s="163" t="s">
        <v>1693</v>
      </c>
      <c r="N32" s="163"/>
      <c r="O32" s="163"/>
      <c r="P32" s="163"/>
      <c r="Q32" s="163"/>
      <c r="R32" s="163"/>
      <c r="S32" s="163"/>
      <c r="T32" s="163"/>
      <c r="U32" s="163"/>
      <c r="V32" s="163"/>
      <c r="W32" s="163"/>
      <c r="X32" s="163"/>
    </row>
    <row r="33" spans="1:24">
      <c r="A33" s="163" t="s">
        <v>753</v>
      </c>
      <c r="B33" s="163" t="s">
        <v>862</v>
      </c>
      <c r="C33" s="163" t="s">
        <v>115</v>
      </c>
      <c r="D33" s="163">
        <v>0</v>
      </c>
      <c r="E33" s="163">
        <v>0</v>
      </c>
      <c r="F33" s="163">
        <v>0</v>
      </c>
      <c r="G33" s="163">
        <v>1</v>
      </c>
      <c r="H33" s="163">
        <v>1</v>
      </c>
      <c r="I33" s="163" t="s">
        <v>735</v>
      </c>
      <c r="J33" s="163"/>
      <c r="K33" s="157" t="str">
        <f t="shared" si="0"/>
        <v>SpellData.create(BID_SHIELD,"护盾术",0,0,0,1,1,ORDER_TYPE_TARGET);</v>
      </c>
      <c r="L33" s="157" t="str">
        <f t="shared" si="1"/>
        <v>SpellData.create(BID_SHIELD,"Shield",0,0,0,1,1,ORDER_TYPE_TARGET);</v>
      </c>
      <c r="M33" s="163" t="s">
        <v>1693</v>
      </c>
      <c r="N33" s="163"/>
      <c r="O33" s="163"/>
      <c r="P33" s="163"/>
      <c r="Q33" s="163"/>
      <c r="R33" s="163"/>
      <c r="S33" s="163"/>
      <c r="T33" s="163"/>
      <c r="U33" s="163"/>
      <c r="V33" s="163"/>
      <c r="W33" s="163"/>
      <c r="X33" s="163"/>
    </row>
    <row r="34" spans="1:24">
      <c r="A34" s="163" t="s">
        <v>861</v>
      </c>
      <c r="B34" s="158" t="str">
        <f t="shared" si="4"/>
        <v>SID_PRAYER_OF_MENDING</v>
      </c>
      <c r="C34" s="163" t="s">
        <v>120</v>
      </c>
      <c r="D34" s="163">
        <v>0</v>
      </c>
      <c r="E34" s="163">
        <v>75</v>
      </c>
      <c r="F34" s="163">
        <v>9</v>
      </c>
      <c r="G34" s="163">
        <v>852075</v>
      </c>
      <c r="H34" s="163">
        <v>1</v>
      </c>
      <c r="I34" s="163" t="s">
        <v>735</v>
      </c>
      <c r="J34" s="163" t="s">
        <v>860</v>
      </c>
      <c r="K34" s="157" t="str">
        <f t="shared" si="0"/>
        <v>SpellData.create(SID_PRAYER_OF_MENDING,"愈合祷言",75,0,9,852075,1,ORDER_TYPE_TARGET).setCCC2(85,0,7).setCCC3(95,0,5);</v>
      </c>
      <c r="L34" s="157" t="str">
        <f t="shared" si="1"/>
        <v>SpellData.create(SID_PRAYER_OF_MENDING,"Prayer of Mending",75,0,9,852075,1,ORDER_TYPE_TARGET).setCCC2(85,0,7).setCCC3(95,0,5);</v>
      </c>
      <c r="M34" s="163" t="s">
        <v>1693</v>
      </c>
      <c r="N34" s="163"/>
      <c r="O34" s="163"/>
      <c r="P34" s="163"/>
      <c r="Q34" s="163"/>
      <c r="R34" s="163"/>
      <c r="S34" s="163"/>
      <c r="T34" s="163"/>
      <c r="U34" s="163"/>
      <c r="V34" s="163"/>
      <c r="W34" s="163"/>
      <c r="X34" s="163"/>
    </row>
    <row r="35" spans="1:24">
      <c r="A35" s="163" t="s">
        <v>858</v>
      </c>
      <c r="B35" s="158" t="str">
        <f t="shared" si="4"/>
        <v>SID_DISPEL</v>
      </c>
      <c r="C35" s="163" t="s">
        <v>859</v>
      </c>
      <c r="D35" s="163">
        <v>0</v>
      </c>
      <c r="E35" s="163">
        <v>45</v>
      </c>
      <c r="F35" s="163">
        <v>3</v>
      </c>
      <c r="G35" s="163">
        <v>852057</v>
      </c>
      <c r="H35" s="163">
        <v>1</v>
      </c>
      <c r="I35" s="163" t="s">
        <v>735</v>
      </c>
      <c r="J35" s="163" t="s">
        <v>857</v>
      </c>
      <c r="K35" s="157" t="str">
        <f t="shared" si="0"/>
        <v>SpellData.create(SID_DISPEL,"驱散魔法",45,0,3,852057,1,ORDER_TYPE_TARGET).setCCC2(60,0,3).setCCC3(75,0,3);</v>
      </c>
      <c r="L35" s="157" t="str">
        <f t="shared" si="1"/>
        <v>SpellData.create(SID_DISPEL,"Dispel",45,0,3,852057,1,ORDER_TYPE_TARGET).setCCC2(60,0,3).setCCC3(75,0,3);</v>
      </c>
      <c r="M35" s="163" t="s">
        <v>1693</v>
      </c>
      <c r="N35" s="163"/>
      <c r="O35" s="163"/>
      <c r="P35" s="163"/>
      <c r="Q35" s="163"/>
      <c r="R35" s="163"/>
      <c r="S35" s="163"/>
      <c r="T35" s="163"/>
      <c r="U35" s="163"/>
      <c r="V35" s="163"/>
      <c r="W35" s="163"/>
      <c r="X35" s="163"/>
    </row>
    <row r="36" spans="1:24">
      <c r="A36" s="164" t="s">
        <v>1635</v>
      </c>
      <c r="B36" s="158" t="str">
        <f t="shared" si="4"/>
        <v>SID_DARK_ARROW</v>
      </c>
      <c r="C36" s="164" t="s">
        <v>139</v>
      </c>
      <c r="D36" s="164">
        <v>0</v>
      </c>
      <c r="E36" s="164">
        <v>4</v>
      </c>
      <c r="F36" s="164">
        <v>5</v>
      </c>
      <c r="G36" s="164" t="s">
        <v>806</v>
      </c>
      <c r="H36" s="164">
        <v>1</v>
      </c>
      <c r="I36" s="164" t="s">
        <v>735</v>
      </c>
      <c r="J36" s="164" t="s">
        <v>856</v>
      </c>
      <c r="K36" s="157" t="str">
        <f t="shared" si="0"/>
        <v>SpellData.create(SID_DARK_ARROW,"黑箭",4,0,5,OrderId("thunderbolt"),1,ORDER_TYPE_TARGET).setCCC2(5,0,5).setCCC2(6,0,5);</v>
      </c>
      <c r="L36" s="157" t="str">
        <f t="shared" si="1"/>
        <v>SpellData.create(SID_DARK_ARROW,"Dark Arrow",4,0,5,OrderId("thunderbolt"),1,ORDER_TYPE_TARGET).setCCC2(5,0,5).setCCC2(6,0,5);</v>
      </c>
      <c r="M36" s="164" t="s">
        <v>1693</v>
      </c>
      <c r="N36" s="164"/>
      <c r="O36" s="164"/>
      <c r="P36" s="164"/>
      <c r="Q36" s="164"/>
      <c r="R36" s="164"/>
      <c r="S36" s="164"/>
      <c r="T36" s="164"/>
      <c r="U36" s="164"/>
      <c r="V36" s="164"/>
      <c r="W36" s="164"/>
      <c r="X36" s="164"/>
    </row>
    <row r="37" spans="1:24">
      <c r="A37" s="164" t="s">
        <v>855</v>
      </c>
      <c r="B37" s="158" t="str">
        <f t="shared" si="4"/>
        <v>SID_CONCERNTRATION</v>
      </c>
      <c r="C37" s="164" t="s">
        <v>141</v>
      </c>
      <c r="D37" s="164">
        <v>0</v>
      </c>
      <c r="E37" s="164">
        <v>0</v>
      </c>
      <c r="F37" s="164">
        <v>13</v>
      </c>
      <c r="G37" s="164" t="s">
        <v>739</v>
      </c>
      <c r="H37" s="164">
        <v>1</v>
      </c>
      <c r="I37" s="164" t="s">
        <v>609</v>
      </c>
      <c r="J37" s="164"/>
      <c r="K37" s="157" t="str">
        <f t="shared" si="0"/>
        <v>SpellData.create(SID_CONCERNTRATION,"专注",0,0,13,OrderId("thunderclap"),1,ORDER_TYPE_IMMEDIATE);</v>
      </c>
      <c r="L37" s="157" t="str">
        <f t="shared" si="1"/>
        <v>SpellData.create(SID_CONCERNTRATION,"Concerntration",0,0,13,OrderId("thunderclap"),1,ORDER_TYPE_IMMEDIATE);</v>
      </c>
      <c r="M37" s="164" t="s">
        <v>1693</v>
      </c>
      <c r="N37" s="164"/>
      <c r="O37" s="164"/>
      <c r="P37" s="164"/>
      <c r="Q37" s="164"/>
      <c r="R37" s="164"/>
      <c r="S37" s="164"/>
      <c r="T37" s="164"/>
      <c r="U37" s="164"/>
      <c r="V37" s="164"/>
      <c r="W37" s="164"/>
      <c r="X37" s="164"/>
    </row>
    <row r="38" spans="1:24">
      <c r="A38" s="164" t="s">
        <v>751</v>
      </c>
      <c r="B38" s="158" t="str">
        <f t="shared" si="4"/>
        <v>SID_FREEZING_TRAP</v>
      </c>
      <c r="C38" s="164" t="s">
        <v>142</v>
      </c>
      <c r="D38" s="164">
        <v>0</v>
      </c>
      <c r="E38" s="164">
        <v>0</v>
      </c>
      <c r="F38" s="164">
        <v>16</v>
      </c>
      <c r="G38" s="164" t="s">
        <v>824</v>
      </c>
      <c r="H38" s="164">
        <v>1</v>
      </c>
      <c r="I38" s="164" t="s">
        <v>781</v>
      </c>
      <c r="J38" s="164" t="s">
        <v>854</v>
      </c>
      <c r="K38" s="157" t="str">
        <f t="shared" si="0"/>
        <v>SpellData.create(SID_FREEZING_TRAP,"冰冻陷阱",0,0,16,OrderId("blizzard"),1,ORDER_TYPE_POINT).setCCC2(0,0,13).setCCC3(0,0,10);</v>
      </c>
      <c r="L38" s="157" t="str">
        <f t="shared" si="1"/>
        <v>SpellData.create(SID_FREEZING_TRAP,"Freezing Trap",0,0,16,OrderId("blizzard"),1,ORDER_TYPE_POINT).setCCC2(0,0,13).setCCC3(0,0,10);</v>
      </c>
      <c r="M38" s="164" t="s">
        <v>1693</v>
      </c>
      <c r="N38" s="164"/>
      <c r="O38" s="164"/>
      <c r="P38" s="164"/>
      <c r="Q38" s="164"/>
      <c r="R38" s="164"/>
      <c r="S38" s="164"/>
      <c r="T38" s="164"/>
      <c r="U38" s="164"/>
      <c r="V38" s="164"/>
      <c r="W38" s="164"/>
      <c r="X38" s="164"/>
    </row>
    <row r="39" spans="1:24">
      <c r="A39" s="164" t="s">
        <v>1636</v>
      </c>
      <c r="B39" s="158" t="str">
        <f t="shared" si="4"/>
        <v>SID_POWER_OF_BANSHEE</v>
      </c>
      <c r="C39" s="164" t="s">
        <v>853</v>
      </c>
      <c r="D39" s="164">
        <v>0</v>
      </c>
      <c r="E39" s="164">
        <v>0</v>
      </c>
      <c r="F39" s="164">
        <v>1</v>
      </c>
      <c r="G39" s="164" t="s">
        <v>1637</v>
      </c>
      <c r="H39" s="164">
        <v>1</v>
      </c>
      <c r="I39" s="164" t="s">
        <v>609</v>
      </c>
      <c r="J39" s="164"/>
      <c r="K39" s="157" t="str">
        <f t="shared" si="0"/>
        <v>SpellData.create(SID_POWER_OF_BANSHEE,"憎恶之力",0,0,1,OrderId("howlofterror"),1,ORDER_TYPE_IMMEDIATE);</v>
      </c>
      <c r="L39" s="157" t="str">
        <f t="shared" si="1"/>
        <v>SpellData.create(SID_POWER_OF_BANSHEE,"Power of Banshee",0,0,1,OrderId("howlofterror"),1,ORDER_TYPE_IMMEDIATE);</v>
      </c>
      <c r="M39" s="164" t="s">
        <v>1693</v>
      </c>
      <c r="N39" s="164"/>
      <c r="O39" s="164"/>
      <c r="P39" s="164"/>
      <c r="Q39" s="164"/>
      <c r="R39" s="164"/>
      <c r="S39" s="164"/>
      <c r="T39" s="164"/>
      <c r="U39" s="164"/>
      <c r="V39" s="164"/>
      <c r="W39" s="164"/>
      <c r="X39" s="164"/>
    </row>
    <row r="40" spans="1:24">
      <c r="A40" s="164" t="s">
        <v>852</v>
      </c>
      <c r="B40" s="158" t="str">
        <f t="shared" si="4"/>
        <v>SID_DEATH_PACT</v>
      </c>
      <c r="C40" s="164" t="s">
        <v>146</v>
      </c>
      <c r="D40" s="164">
        <v>0</v>
      </c>
      <c r="E40" s="164">
        <v>0</v>
      </c>
      <c r="F40" s="164">
        <v>5</v>
      </c>
      <c r="G40" s="164" t="s">
        <v>744</v>
      </c>
      <c r="H40" s="164">
        <v>1</v>
      </c>
      <c r="I40" s="164" t="s">
        <v>609</v>
      </c>
      <c r="J40" s="164"/>
      <c r="K40" s="157" t="str">
        <f t="shared" si="0"/>
        <v>SpellData.create(SID_DEATH_PACT,"死亡契约",0,0,5,OrderId("stomp"),1,ORDER_TYPE_IMMEDIATE);</v>
      </c>
      <c r="L40" s="157" t="str">
        <f t="shared" si="1"/>
        <v>SpellData.create(SID_DEATH_PACT,"Death Pact",0,0,5,OrderId("stomp"),1,ORDER_TYPE_IMMEDIATE);</v>
      </c>
      <c r="M40" s="164" t="s">
        <v>1693</v>
      </c>
      <c r="N40" s="164"/>
      <c r="O40" s="164"/>
      <c r="P40" s="164"/>
      <c r="Q40" s="164"/>
      <c r="R40" s="164"/>
      <c r="S40" s="164"/>
      <c r="T40" s="164"/>
      <c r="U40" s="164"/>
      <c r="V40" s="164"/>
      <c r="W40" s="164"/>
      <c r="X40" s="164"/>
    </row>
    <row r="41" spans="1:24">
      <c r="A41" s="164" t="s">
        <v>851</v>
      </c>
      <c r="B41" s="158" t="str">
        <f t="shared" si="4"/>
        <v>SID_SUMMON_GHOUL</v>
      </c>
      <c r="C41" s="164" t="s">
        <v>147</v>
      </c>
      <c r="D41" s="164">
        <v>0</v>
      </c>
      <c r="E41" s="164">
        <v>50</v>
      </c>
      <c r="F41" s="164">
        <v>60</v>
      </c>
      <c r="G41" s="164" t="s">
        <v>841</v>
      </c>
      <c r="H41" s="164">
        <v>1</v>
      </c>
      <c r="I41" s="164" t="s">
        <v>609</v>
      </c>
      <c r="J41" s="164" t="s">
        <v>850</v>
      </c>
      <c r="K41" s="157" t="str">
        <f t="shared" si="0"/>
        <v>SpellData.create(SID_SUMMON_GHOUL,"食尸鬼仆从",50,0,60,OrderId("voodoo"),1,ORDER_TYPE_IMMEDIATE).setCCC2(0,0,45).setCCC3(0,0,30);</v>
      </c>
      <c r="L41" s="157" t="str">
        <f t="shared" si="1"/>
        <v>SpellData.create(SID_SUMMON_GHOUL,"Summon Ghoul",50,0,60,OrderId("voodoo"),1,ORDER_TYPE_IMMEDIATE).setCCC2(0,0,45).setCCC3(0,0,30);</v>
      </c>
      <c r="M41" s="164" t="s">
        <v>1693</v>
      </c>
      <c r="N41" s="164"/>
      <c r="O41" s="164"/>
      <c r="P41" s="164"/>
      <c r="Q41" s="164"/>
      <c r="R41" s="164"/>
      <c r="S41" s="164"/>
      <c r="T41" s="164"/>
      <c r="U41" s="164"/>
      <c r="V41" s="164"/>
      <c r="W41" s="164"/>
      <c r="X41" s="164"/>
    </row>
    <row r="42" spans="1:24">
      <c r="A42" s="164" t="s">
        <v>849</v>
      </c>
      <c r="B42" s="158" t="str">
        <f t="shared" si="4"/>
        <v>SID_LIFE_LEECH</v>
      </c>
      <c r="C42" s="164" t="s">
        <v>154</v>
      </c>
      <c r="D42" s="164">
        <v>0</v>
      </c>
      <c r="E42" s="164">
        <v>0</v>
      </c>
      <c r="F42" s="164">
        <v>1</v>
      </c>
      <c r="G42" s="164">
        <v>0</v>
      </c>
      <c r="H42" s="164">
        <v>1</v>
      </c>
      <c r="I42" s="164" t="s">
        <v>609</v>
      </c>
      <c r="J42" s="164"/>
      <c r="K42" s="157" t="str">
        <f t="shared" si="0"/>
        <v>SpellData.create(SID_LIFE_LEECH,"生命偷取",0,0,1,0,1,ORDER_TYPE_IMMEDIATE);</v>
      </c>
      <c r="L42" s="157" t="str">
        <f t="shared" si="1"/>
        <v>SpellData.create(SID_LIFE_LEECH,"Life Leech",0,0,1,0,1,ORDER_TYPE_IMMEDIATE);</v>
      </c>
      <c r="M42" s="164" t="s">
        <v>1693</v>
      </c>
      <c r="N42" s="164"/>
      <c r="O42" s="164"/>
      <c r="P42" s="164"/>
      <c r="Q42" s="164"/>
      <c r="R42" s="164"/>
      <c r="S42" s="164"/>
      <c r="T42" s="164"/>
      <c r="U42" s="164"/>
      <c r="V42" s="164"/>
      <c r="W42" s="164"/>
      <c r="X42" s="164"/>
    </row>
    <row r="43" spans="1:24">
      <c r="A43" s="165" t="s">
        <v>848</v>
      </c>
      <c r="B43" s="158" t="str">
        <f t="shared" si="4"/>
        <v>SID_HEROIC_STRIKE</v>
      </c>
      <c r="C43" s="165" t="s">
        <v>179</v>
      </c>
      <c r="D43" s="165">
        <v>0</v>
      </c>
      <c r="E43" s="165">
        <v>0</v>
      </c>
      <c r="F43" s="165">
        <v>1</v>
      </c>
      <c r="G43" s="165" t="s">
        <v>1578</v>
      </c>
      <c r="H43" s="165">
        <v>1</v>
      </c>
      <c r="I43" s="165" t="s">
        <v>609</v>
      </c>
      <c r="J43" s="165"/>
      <c r="K43" s="157" t="str">
        <f t="shared" si="0"/>
        <v>SpellData.create(SID_HEROIC_STRIKE,"英勇打击",0,0,1,OrderId("roar"),1,ORDER_TYPE_IMMEDIATE);</v>
      </c>
      <c r="L43" s="157" t="str">
        <f t="shared" si="1"/>
        <v>SpellData.create(SID_HEROIC_STRIKE,"Heroic Strike",0,0,1,OrderId("roar"),1,ORDER_TYPE_IMMEDIATE);</v>
      </c>
      <c r="M43" s="165" t="s">
        <v>1693</v>
      </c>
      <c r="N43" s="165"/>
      <c r="O43" s="165"/>
      <c r="P43" s="165"/>
      <c r="Q43" s="165"/>
      <c r="R43" s="165"/>
      <c r="S43" s="165"/>
      <c r="T43" s="165"/>
      <c r="U43" s="165"/>
      <c r="V43" s="165"/>
      <c r="W43" s="165"/>
      <c r="X43" s="165"/>
    </row>
    <row r="44" spans="1:24">
      <c r="A44" s="165" t="s">
        <v>847</v>
      </c>
      <c r="B44" s="158" t="str">
        <f t="shared" si="4"/>
        <v>SID_REND</v>
      </c>
      <c r="C44" s="165" t="s">
        <v>174</v>
      </c>
      <c r="D44" s="158">
        <f ca="1">OFFSET(PlayerAbilities!$A$1, MATCH($A44,PlayerAbilities!$D$1:$D$187,0)-1, MATCH("Cast",PlayerAbilities!$A$1:$AK$1,0)-1)</f>
        <v>0</v>
      </c>
      <c r="E44" s="158">
        <f ca="1">OFFSET(PlayerAbilities!$A$1, MATCH($A44,PlayerAbilities!$D$1:$D$187,0)-1, MATCH("Cost",PlayerAbilities!$A$1:$AK$1,0)-1)</f>
        <v>0</v>
      </c>
      <c r="F44" s="158">
        <f ca="1">OFFSET(PlayerAbilities!$A$1, MATCH($A44,PlayerAbilities!$D$1:$D$187,0)-1, MATCH("CD",PlayerAbilities!$A$1:$AK$1,0)-1)</f>
        <v>6</v>
      </c>
      <c r="G44" s="165" t="s">
        <v>846</v>
      </c>
      <c r="H44" s="165">
        <v>1</v>
      </c>
      <c r="I44" s="165" t="s">
        <v>735</v>
      </c>
      <c r="J44" s="165"/>
      <c r="K44" s="157" t="str">
        <f t="shared" ca="1" si="0"/>
        <v>SpellData.create(SID_REND,"撕裂",0,0,6,OrderId("whirlwind"),1,ORDER_TYPE_TARGET);</v>
      </c>
      <c r="L44" s="157" t="str">
        <f t="shared" ca="1" si="1"/>
        <v>SpellData.create(SID_REND,"Rend",0,0,6,OrderId("whirlwind"),1,ORDER_TYPE_TARGET);</v>
      </c>
      <c r="M44" s="165" t="s">
        <v>1693</v>
      </c>
      <c r="N44" s="165"/>
      <c r="O44" s="165"/>
      <c r="P44" s="165"/>
      <c r="Q44" s="165"/>
      <c r="R44" s="165"/>
      <c r="S44" s="165"/>
      <c r="T44" s="165"/>
      <c r="U44" s="165"/>
      <c r="V44" s="165"/>
      <c r="W44" s="165"/>
      <c r="X44" s="165"/>
    </row>
    <row r="45" spans="1:24">
      <c r="A45" s="165" t="s">
        <v>1638</v>
      </c>
      <c r="B45" s="158" t="str">
        <f t="shared" si="4"/>
        <v>SID_OVER_POWER</v>
      </c>
      <c r="C45" s="165" t="s">
        <v>187</v>
      </c>
      <c r="D45" s="165">
        <v>0</v>
      </c>
      <c r="E45" s="165">
        <v>0</v>
      </c>
      <c r="F45" s="165">
        <v>3.5</v>
      </c>
      <c r="G45" s="165" t="s">
        <v>845</v>
      </c>
      <c r="H45" s="165">
        <v>1</v>
      </c>
      <c r="I45" s="165" t="s">
        <v>735</v>
      </c>
      <c r="J45" s="165"/>
      <c r="K45" s="157" t="str">
        <f t="shared" si="0"/>
        <v>SpellData.create(SID_OVER_POWER,"压制",0,0,3.5,OrderId("windwalk"),1,ORDER_TYPE_TARGET);</v>
      </c>
      <c r="L45" s="157" t="str">
        <f t="shared" si="1"/>
        <v>SpellData.create(SID_OVER_POWER,"Over Power",0,0,3.5,OrderId("windwalk"),1,ORDER_TYPE_TARGET);</v>
      </c>
      <c r="M45" s="165" t="s">
        <v>1693</v>
      </c>
      <c r="N45" s="165"/>
      <c r="O45" s="165"/>
      <c r="P45" s="165"/>
      <c r="Q45" s="165"/>
      <c r="R45" s="165"/>
      <c r="S45" s="165"/>
      <c r="T45" s="165"/>
      <c r="U45" s="165"/>
      <c r="V45" s="165"/>
      <c r="W45" s="165"/>
      <c r="X45" s="165"/>
    </row>
    <row r="46" spans="1:24">
      <c r="A46" s="165" t="s">
        <v>752</v>
      </c>
      <c r="B46" s="158" t="str">
        <f t="shared" si="4"/>
        <v>SID_MORTAL_STRIKE</v>
      </c>
      <c r="C46" s="165" t="s">
        <v>189</v>
      </c>
      <c r="D46" s="165">
        <v>0</v>
      </c>
      <c r="E46" s="165">
        <v>15</v>
      </c>
      <c r="F46" s="165">
        <v>9</v>
      </c>
      <c r="G46" s="165" t="s">
        <v>844</v>
      </c>
      <c r="H46" s="165">
        <v>1</v>
      </c>
      <c r="I46" s="165" t="s">
        <v>735</v>
      </c>
      <c r="J46" s="165" t="s">
        <v>843</v>
      </c>
      <c r="K46" s="157" t="str">
        <f t="shared" si="0"/>
        <v>SpellData.create(SID_MORTAL_STRIKE,"致死打击",15,0,9,OrderId("drunkenhaze"),1,ORDER_TYPE_TARGET).setCCC2(25,0,8).setCCC3(35,0,7);</v>
      </c>
      <c r="L46" s="157" t="str">
        <f t="shared" si="1"/>
        <v>SpellData.create(SID_MORTAL_STRIKE,"Mortal Strike",15,0,9,OrderId("drunkenhaze"),1,ORDER_TYPE_TARGET).setCCC2(25,0,8).setCCC3(35,0,7);</v>
      </c>
      <c r="M46" s="165" t="s">
        <v>1693</v>
      </c>
      <c r="N46" s="165"/>
      <c r="O46" s="165"/>
      <c r="P46" s="165"/>
      <c r="Q46" s="165"/>
      <c r="R46" s="165"/>
      <c r="S46" s="165"/>
      <c r="T46" s="165"/>
      <c r="U46" s="165"/>
      <c r="V46" s="165"/>
      <c r="W46" s="165"/>
      <c r="X46" s="165"/>
    </row>
    <row r="47" spans="1:24">
      <c r="A47" s="165" t="s">
        <v>840</v>
      </c>
      <c r="B47" s="158" t="str">
        <f>"SID_"&amp;UPPER(SUBSTITUTE(A47," ","_"))</f>
        <v>SID_EXECUTE</v>
      </c>
      <c r="C47" s="165" t="s">
        <v>193</v>
      </c>
      <c r="D47" s="165">
        <v>0</v>
      </c>
      <c r="E47" s="165">
        <v>0</v>
      </c>
      <c r="F47" s="165">
        <v>1</v>
      </c>
      <c r="G47" s="165" t="s">
        <v>738</v>
      </c>
      <c r="H47" s="165">
        <v>1</v>
      </c>
      <c r="I47" s="165" t="s">
        <v>735</v>
      </c>
      <c r="J47" s="165"/>
      <c r="K47" s="157" t="str">
        <f t="shared" si="0"/>
        <v>SpellData.create(SID_EXECUTE,"斩杀",0,0,1,OrderId("slow"),1,ORDER_TYPE_TARGET);</v>
      </c>
      <c r="L47" s="157" t="str">
        <f t="shared" si="1"/>
        <v>SpellData.create(SID_EXECUTE,"Execute",0,0,1,OrderId("slow"),1,ORDER_TYPE_TARGET);</v>
      </c>
      <c r="M47" s="165" t="s">
        <v>1693</v>
      </c>
      <c r="N47" s="165"/>
      <c r="O47" s="165"/>
      <c r="P47" s="165"/>
      <c r="Q47" s="165"/>
      <c r="R47" s="165"/>
      <c r="S47" s="165"/>
      <c r="T47" s="165"/>
      <c r="U47" s="165"/>
      <c r="V47" s="165"/>
      <c r="W47" s="165"/>
      <c r="X47" s="165"/>
    </row>
    <row r="48" spans="1:24">
      <c r="A48" s="166" t="s">
        <v>750</v>
      </c>
      <c r="B48" s="158" t="str">
        <f t="shared" si="4"/>
        <v>SID_FROST_BOLT</v>
      </c>
      <c r="C48" s="166" t="s">
        <v>205</v>
      </c>
      <c r="D48" s="166">
        <v>2</v>
      </c>
      <c r="E48" s="166">
        <v>15</v>
      </c>
      <c r="F48" s="166">
        <v>0</v>
      </c>
      <c r="G48" s="166" t="s">
        <v>737</v>
      </c>
      <c r="H48" s="166">
        <v>1</v>
      </c>
      <c r="I48" s="166" t="s">
        <v>735</v>
      </c>
      <c r="J48" s="166" t="s">
        <v>839</v>
      </c>
      <c r="K48" s="157" t="str">
        <f t="shared" si="0"/>
        <v>SpellData.create(SID_FROST_BOLT,"寒冰箭",15,2,0,OrderId("heal"),1,ORDER_TYPE_TARGET).setCCC2(30,2,0).setCCC3(45,2,0);</v>
      </c>
      <c r="L48" s="157" t="str">
        <f t="shared" si="1"/>
        <v>SpellData.create(SID_FROST_BOLT,"Frost Bolt",15,2,0,OrderId("heal"),1,ORDER_TYPE_TARGET).setCCC2(30,2,0).setCCC3(45,2,0);</v>
      </c>
      <c r="M48" s="166" t="s">
        <v>1693</v>
      </c>
      <c r="N48" s="166"/>
      <c r="O48" s="166"/>
      <c r="P48" s="166"/>
      <c r="Q48" s="166"/>
      <c r="R48" s="166"/>
      <c r="S48" s="166"/>
      <c r="T48" s="166"/>
      <c r="U48" s="166"/>
      <c r="V48" s="166"/>
      <c r="W48" s="166"/>
      <c r="X48" s="166"/>
    </row>
    <row r="49" spans="1:24">
      <c r="A49" s="166" t="s">
        <v>838</v>
      </c>
      <c r="B49" s="158" t="str">
        <f t="shared" si="4"/>
        <v>SID_BLIZZARD</v>
      </c>
      <c r="C49" s="166" t="s">
        <v>208</v>
      </c>
      <c r="D49" s="166">
        <v>0</v>
      </c>
      <c r="E49" s="166">
        <v>100</v>
      </c>
      <c r="F49" s="166">
        <v>10</v>
      </c>
      <c r="G49" s="166" t="s">
        <v>824</v>
      </c>
      <c r="H49" s="166">
        <v>1</v>
      </c>
      <c r="I49" s="166" t="s">
        <v>781</v>
      </c>
      <c r="J49" s="166" t="s">
        <v>1639</v>
      </c>
      <c r="K49" s="157" t="str">
        <f t="shared" si="0"/>
        <v>SpellData.create(SID_BLIZZARD,"暴风雪",100,0,10,OrderId("blizzard"),1,ORDER_TYPE_POINT).setCCC2(135,0,10).setCCC3(170,0,10);</v>
      </c>
      <c r="L49" s="157" t="str">
        <f t="shared" si="1"/>
        <v>SpellData.create(SID_BLIZZARD,"Blizzard",100,0,10,OrderId("blizzard"),1,ORDER_TYPE_POINT).setCCC2(135,0,10).setCCC3(170,0,10);</v>
      </c>
      <c r="M49" s="166" t="s">
        <v>1693</v>
      </c>
      <c r="N49" s="166"/>
      <c r="O49" s="166"/>
      <c r="P49" s="166"/>
      <c r="Q49" s="166"/>
      <c r="R49" s="166"/>
      <c r="S49" s="166"/>
      <c r="T49" s="166"/>
      <c r="U49" s="166"/>
      <c r="V49" s="166"/>
      <c r="W49" s="166"/>
      <c r="X49" s="166"/>
    </row>
    <row r="50" spans="1:24">
      <c r="A50" s="166" t="s">
        <v>837</v>
      </c>
      <c r="B50" s="158" t="str">
        <f t="shared" si="4"/>
        <v>SID_FROST_NOVA</v>
      </c>
      <c r="C50" s="166" t="s">
        <v>215</v>
      </c>
      <c r="D50" s="158">
        <f ca="1">OFFSET(PlayerAbilities!$A$1, MATCH($A50,PlayerAbilities!$D$1:$D$187,0)-1, MATCH("Cast",PlayerAbilities!$A$1:$AK$1,0)-1)</f>
        <v>0</v>
      </c>
      <c r="E50" s="158">
        <f ca="1">OFFSET(PlayerAbilities!$A$1, MATCH($A50,PlayerAbilities!$D$1:$D$187,0)-1, MATCH("Cost",PlayerAbilities!$A$1:$AK$1,0)-1)</f>
        <v>50</v>
      </c>
      <c r="F50" s="158">
        <f ca="1">OFFSET(PlayerAbilities!$A$1, MATCH($A50,PlayerAbilities!$D$1:$D$187,0)-1, MATCH("CD",PlayerAbilities!$A$1:$AK$1,0)-1)</f>
        <v>15</v>
      </c>
      <c r="G50" s="166" t="s">
        <v>836</v>
      </c>
      <c r="H50" s="166">
        <v>1</v>
      </c>
      <c r="I50" s="166" t="s">
        <v>609</v>
      </c>
      <c r="J50" s="166" t="s">
        <v>1771</v>
      </c>
      <c r="K50" s="157" t="str">
        <f t="shared" ca="1" si="0"/>
        <v>SpellData.create(SID_FROST_NOVA,"冰冻新星",50,0,15,OrderId("frostnova"),1,ORDER_TYPE_IMMEDIATE).setCCC2(50,0,15).setCCC3(50,0,12);</v>
      </c>
      <c r="L50" s="157" t="str">
        <f t="shared" ca="1" si="1"/>
        <v>SpellData.create(SID_FROST_NOVA,"Frost Nova",50,0,15,OrderId("frostnova"),1,ORDER_TYPE_IMMEDIATE).setCCC2(50,0,15).setCCC3(50,0,12);</v>
      </c>
      <c r="M50" s="166" t="s">
        <v>1693</v>
      </c>
      <c r="N50" s="166"/>
      <c r="O50" s="166"/>
      <c r="P50" s="166"/>
      <c r="Q50" s="166"/>
      <c r="R50" s="166"/>
      <c r="S50" s="166"/>
      <c r="T50" s="166"/>
      <c r="U50" s="166"/>
      <c r="V50" s="166"/>
      <c r="W50" s="166"/>
      <c r="X50" s="166"/>
    </row>
    <row r="51" spans="1:24">
      <c r="A51" s="166" t="s">
        <v>749</v>
      </c>
      <c r="B51" s="158" t="str">
        <f t="shared" si="4"/>
        <v>SID_POLYMORPH</v>
      </c>
      <c r="C51" s="166" t="s">
        <v>226</v>
      </c>
      <c r="D51" s="158">
        <f ca="1">OFFSET(PlayerAbilities!$A$1, MATCH($A51,PlayerAbilities!$D$1:$D$187,0)-1, MATCH("Cast",PlayerAbilities!$A$1:$AK$1,0)-1)</f>
        <v>0</v>
      </c>
      <c r="E51" s="158">
        <f ca="1">OFFSET(PlayerAbilities!$A$1, MATCH($A51,PlayerAbilities!$D$1:$D$187,0)-1, MATCH("Cost",PlayerAbilities!$A$1:$AK$1,0)-1)</f>
        <v>25</v>
      </c>
      <c r="F51" s="158">
        <f ca="1">OFFSET(PlayerAbilities!$A$1, MATCH($A51,PlayerAbilities!$D$1:$D$187,0)-1, MATCH("CD",PlayerAbilities!$A$1:$AK$1,0)-1)</f>
        <v>30</v>
      </c>
      <c r="G51" s="166" t="s">
        <v>835</v>
      </c>
      <c r="H51" s="166">
        <v>1</v>
      </c>
      <c r="I51" s="166" t="s">
        <v>735</v>
      </c>
      <c r="J51" s="166" t="s">
        <v>834</v>
      </c>
      <c r="K51" s="157" t="str">
        <f t="shared" ca="1" si="0"/>
        <v>SpellData.create(SID_POLYMORPH,"变形术",25,0,30,OrderId("polymorph"),1,ORDER_TYPE_TARGET).setCCC2(25,0,22).setCCC3(25,0,14);</v>
      </c>
      <c r="L51" s="157" t="str">
        <f t="shared" ca="1" si="1"/>
        <v>SpellData.create(SID_POLYMORPH,"Polymorph",25,0,30,OrderId("polymorph"),1,ORDER_TYPE_TARGET).setCCC2(25,0,22).setCCC3(25,0,14);</v>
      </c>
      <c r="M51" s="166" t="s">
        <v>1693</v>
      </c>
      <c r="N51" s="166"/>
      <c r="O51" s="166"/>
      <c r="P51" s="166"/>
      <c r="Q51" s="166"/>
      <c r="R51" s="166"/>
      <c r="S51" s="166"/>
      <c r="T51" s="166"/>
      <c r="U51" s="166"/>
      <c r="V51" s="166"/>
      <c r="W51" s="166"/>
      <c r="X51" s="166"/>
    </row>
    <row r="52" spans="1:24">
      <c r="A52" s="166" t="s">
        <v>1640</v>
      </c>
      <c r="B52" s="158" t="str">
        <f t="shared" si="4"/>
        <v>SID_POLYMORPH_DUMMY</v>
      </c>
      <c r="C52" s="166" t="s">
        <v>226</v>
      </c>
      <c r="D52" s="166">
        <v>0</v>
      </c>
      <c r="E52" s="166">
        <v>25</v>
      </c>
      <c r="F52" s="166">
        <v>5</v>
      </c>
      <c r="G52" s="166" t="s">
        <v>761</v>
      </c>
      <c r="H52" s="166">
        <v>1</v>
      </c>
      <c r="I52" s="166" t="s">
        <v>735</v>
      </c>
      <c r="J52" s="166"/>
      <c r="K52" s="157" t="str">
        <f t="shared" si="0"/>
        <v>SpellData.create(SID_POLYMORPH_DUMMY,"变形术",25,0,5,OrderId("hex"),1,ORDER_TYPE_TARGET);</v>
      </c>
      <c r="L52" s="157" t="str">
        <f t="shared" si="1"/>
        <v>SpellData.create(SID_POLYMORPH_DUMMY,"Polymorph dummy",25,0,5,OrderId("hex"),1,ORDER_TYPE_TARGET);</v>
      </c>
      <c r="M52" s="166" t="s">
        <v>1693</v>
      </c>
      <c r="N52" s="166"/>
      <c r="O52" s="166"/>
      <c r="P52" s="166"/>
      <c r="Q52" s="166"/>
      <c r="R52" s="166"/>
      <c r="S52" s="166"/>
      <c r="T52" s="166"/>
      <c r="U52" s="166"/>
      <c r="V52" s="166"/>
      <c r="W52" s="166"/>
      <c r="X52" s="166"/>
    </row>
    <row r="53" spans="1:24">
      <c r="A53" s="166" t="s">
        <v>833</v>
      </c>
      <c r="B53" s="158" t="str">
        <f t="shared" si="4"/>
        <v>SID_SPELL_TRANSFER</v>
      </c>
      <c r="C53" s="166" t="s">
        <v>239</v>
      </c>
      <c r="D53" s="158">
        <f ca="1">OFFSET(PlayerAbilities!$A$1, MATCH($A53,PlayerAbilities!$D$1:$D$187,0)-1, MATCH("Cast",PlayerAbilities!$A$1:$AK$1,0)-1)</f>
        <v>0</v>
      </c>
      <c r="E53" s="158">
        <f ca="1">OFFSET(PlayerAbilities!$A$1, MATCH($A53,PlayerAbilities!$D$1:$D$187,0)-1, MATCH("Cost",PlayerAbilities!$A$1:$AK$1,0)-1)</f>
        <v>25</v>
      </c>
      <c r="F53" s="158">
        <f ca="1">OFFSET(PlayerAbilities!$A$1, MATCH($A53,PlayerAbilities!$D$1:$D$187,0)-1, MATCH("CD",PlayerAbilities!$A$1:$AK$1,0)-1)</f>
        <v>6</v>
      </c>
      <c r="G53" s="166" t="s">
        <v>803</v>
      </c>
      <c r="H53" s="166">
        <v>1</v>
      </c>
      <c r="I53" s="166" t="s">
        <v>735</v>
      </c>
      <c r="J53" s="166" t="s">
        <v>1778</v>
      </c>
      <c r="K53" s="157" t="str">
        <f t="shared" ca="1" si="0"/>
        <v>SpellData.create(SID_SPELL_TRANSFER,"法术转移",25,0,6,OrderId("dispel"),1,ORDER_TYPE_TARGET).setCCC2(25,0,3).setCCC3(25,0,1);</v>
      </c>
      <c r="L53" s="157" t="str">
        <f t="shared" ca="1" si="1"/>
        <v>SpellData.create(SID_SPELL_TRANSFER,"Spell Transfer",25,0,6,OrderId("dispel"),1,ORDER_TYPE_TARGET).setCCC2(25,0,3).setCCC3(25,0,1);</v>
      </c>
      <c r="M53" s="166" t="s">
        <v>1693</v>
      </c>
      <c r="N53" s="166"/>
      <c r="O53" s="166"/>
      <c r="P53" s="166"/>
      <c r="Q53" s="166"/>
      <c r="R53" s="166"/>
      <c r="S53" s="166"/>
      <c r="T53" s="166"/>
      <c r="U53" s="166"/>
      <c r="V53" s="166"/>
      <c r="W53" s="166"/>
      <c r="X53" s="166"/>
    </row>
    <row r="54" spans="1:24">
      <c r="A54" s="166" t="s">
        <v>1780</v>
      </c>
      <c r="B54" s="158" t="str">
        <f t="shared" si="4"/>
        <v>SID_SPELL_CHANNEL</v>
      </c>
      <c r="C54" s="166" t="s">
        <v>247</v>
      </c>
      <c r="D54" s="158">
        <f ca="1">OFFSET(PlayerAbilities!$A$1, MATCH($A54,PlayerAbilities!$D$1:$D$187,0)-1, MATCH("Cast",PlayerAbilities!$A$1:$AK$1,0)-1)</f>
        <v>0</v>
      </c>
      <c r="E54" s="158">
        <f ca="1">OFFSET(PlayerAbilities!$A$1, MATCH($A54,PlayerAbilities!$D$1:$D$187,0)-1, MATCH("Cost",PlayerAbilities!$A$1:$AK$1,0)-1)</f>
        <v>15</v>
      </c>
      <c r="F54" s="158">
        <f ca="1">OFFSET(PlayerAbilities!$A$1, MATCH($A54,PlayerAbilities!$D$1:$D$187,0)-1, MATCH("CD",PlayerAbilities!$A$1:$AK$1,0)-1)</f>
        <v>2</v>
      </c>
      <c r="G54" s="166" t="s">
        <v>610</v>
      </c>
      <c r="H54" s="166">
        <v>1</v>
      </c>
      <c r="I54" s="166" t="s">
        <v>735</v>
      </c>
      <c r="J54" s="166"/>
      <c r="K54" s="157" t="str">
        <f t="shared" ca="1" si="0"/>
        <v>SpellData.create(SID_SPELL_CHANNEL,"智慧导能",15,0,2,OrderId("channel"),1,ORDER_TYPE_TARGET);</v>
      </c>
      <c r="L54" s="157" t="str">
        <f t="shared" ca="1" si="1"/>
        <v>SpellData.create(SID_SPELL_CHANNEL,"Spell Channel",15,0,2,OrderId("channel"),1,ORDER_TYPE_TARGET);</v>
      </c>
      <c r="M54" s="166" t="s">
        <v>1693</v>
      </c>
      <c r="N54" s="166"/>
      <c r="O54" s="166"/>
      <c r="P54" s="166"/>
      <c r="Q54" s="166"/>
      <c r="R54" s="166"/>
      <c r="S54" s="166"/>
      <c r="T54" s="166"/>
      <c r="U54" s="166"/>
      <c r="V54" s="166"/>
      <c r="W54" s="166"/>
      <c r="X54" s="166"/>
    </row>
    <row r="55" spans="1:24">
      <c r="A55" s="164" t="s">
        <v>832</v>
      </c>
      <c r="B55" s="158" t="str">
        <f t="shared" si="4"/>
        <v>SID_STORM_LASH</v>
      </c>
      <c r="C55" s="164" t="s">
        <v>352</v>
      </c>
      <c r="D55" s="164">
        <v>2</v>
      </c>
      <c r="E55" s="164">
        <v>10</v>
      </c>
      <c r="F55" s="164">
        <v>0</v>
      </c>
      <c r="G55" s="164" t="s">
        <v>830</v>
      </c>
      <c r="H55" s="164">
        <v>1</v>
      </c>
      <c r="I55" s="164" t="s">
        <v>735</v>
      </c>
      <c r="J55" s="164" t="s">
        <v>831</v>
      </c>
      <c r="K55" s="157" t="str">
        <f t="shared" si="0"/>
        <v>SpellData.create(SID_STORM_LASH,"风暴鞭笞",10,2,0,OrderId("forkedlightning"),1,ORDER_TYPE_TARGET).setCCC2(13,2,0).setCCC3(16,2,0);</v>
      </c>
      <c r="L55" s="157" t="str">
        <f t="shared" si="1"/>
        <v>SpellData.create(SID_STORM_LASH,"Storm Lash",10,2,0,OrderId("forkedlightning"),1,ORDER_TYPE_TARGET).setCCC2(13,2,0).setCCC3(16,2,0);</v>
      </c>
      <c r="M55" s="164" t="s">
        <v>1693</v>
      </c>
      <c r="N55" s="164"/>
      <c r="O55" s="164"/>
      <c r="P55" s="164"/>
      <c r="Q55" s="164"/>
      <c r="R55" s="164"/>
      <c r="S55" s="164"/>
      <c r="T55" s="164"/>
      <c r="U55" s="164"/>
      <c r="V55" s="164"/>
      <c r="W55" s="164"/>
      <c r="X55" s="164"/>
    </row>
    <row r="56" spans="1:24">
      <c r="A56" s="164" t="s">
        <v>828</v>
      </c>
      <c r="B56" s="158" t="str">
        <f t="shared" si="4"/>
        <v>SID_EARTH_SHOCK</v>
      </c>
      <c r="C56" s="164" t="s">
        <v>135</v>
      </c>
      <c r="D56" s="164">
        <v>0</v>
      </c>
      <c r="E56" s="164">
        <v>85</v>
      </c>
      <c r="F56" s="164">
        <v>9</v>
      </c>
      <c r="G56" s="164" t="s">
        <v>806</v>
      </c>
      <c r="H56" s="164">
        <v>1</v>
      </c>
      <c r="I56" s="164" t="s">
        <v>735</v>
      </c>
      <c r="J56" s="164" t="s">
        <v>829</v>
      </c>
      <c r="K56" s="157" t="str">
        <f t="shared" si="0"/>
        <v>SpellData.create(SID_EARTH_SHOCK,"大地震击",85,0,9,OrderId("thunderbolt"),1,ORDER_TYPE_TARGET).setCCC2(95,0,9).setCCC3(105,0,9);</v>
      </c>
      <c r="L56" s="157" t="str">
        <f t="shared" si="1"/>
        <v>SpellData.create(SID_EARTH_SHOCK,"Earth Shock",85,0,9,OrderId("thunderbolt"),1,ORDER_TYPE_TARGET).setCCC2(95,0,9).setCCC3(105,0,9);</v>
      </c>
      <c r="M56" s="164" t="s">
        <v>1693</v>
      </c>
      <c r="N56" s="164"/>
      <c r="O56" s="164"/>
      <c r="P56" s="164"/>
      <c r="Q56" s="164"/>
      <c r="R56" s="164"/>
      <c r="S56" s="164"/>
      <c r="T56" s="164"/>
      <c r="U56" s="164"/>
      <c r="V56" s="164"/>
      <c r="W56" s="164"/>
      <c r="X56" s="164"/>
    </row>
    <row r="57" spans="1:24">
      <c r="A57" s="164" t="s">
        <v>827</v>
      </c>
      <c r="B57" s="158" t="str">
        <f t="shared" si="4"/>
        <v>SID_PURGE</v>
      </c>
      <c r="C57" s="164" t="s">
        <v>136</v>
      </c>
      <c r="D57" s="164">
        <v>0</v>
      </c>
      <c r="E57" s="164">
        <v>15</v>
      </c>
      <c r="F57" s="164">
        <v>15</v>
      </c>
      <c r="G57" s="164" t="s">
        <v>826</v>
      </c>
      <c r="H57" s="164">
        <v>1</v>
      </c>
      <c r="I57" s="164" t="s">
        <v>735</v>
      </c>
      <c r="J57" s="164"/>
      <c r="K57" s="157" t="str">
        <f t="shared" si="0"/>
        <v>SpellData.create(SID_PURGE,"净化术",15,0,15,OrderId("purge"),1,ORDER_TYPE_TARGET);</v>
      </c>
      <c r="L57" s="157" t="str">
        <f t="shared" si="1"/>
        <v>SpellData.create(SID_PURGE,"Purge",15,0,15,OrderId("purge"),1,ORDER_TYPE_TARGET);</v>
      </c>
      <c r="M57" s="164" t="s">
        <v>1693</v>
      </c>
      <c r="N57" s="164"/>
      <c r="O57" s="164"/>
      <c r="P57" s="164"/>
      <c r="Q57" s="164"/>
      <c r="R57" s="164"/>
      <c r="S57" s="164"/>
      <c r="T57" s="164"/>
      <c r="U57" s="164"/>
      <c r="V57" s="164"/>
      <c r="W57" s="164"/>
      <c r="X57" s="164"/>
    </row>
    <row r="58" spans="1:24">
      <c r="A58" s="164" t="s">
        <v>825</v>
      </c>
      <c r="B58" s="158" t="str">
        <f t="shared" si="4"/>
        <v>SID_ENCHANTED_TOTEM</v>
      </c>
      <c r="C58" s="164" t="s">
        <v>357</v>
      </c>
      <c r="D58" s="164">
        <v>0</v>
      </c>
      <c r="E58" s="164">
        <v>0</v>
      </c>
      <c r="F58" s="164">
        <v>1</v>
      </c>
      <c r="G58" s="164" t="s">
        <v>742</v>
      </c>
      <c r="H58" s="164">
        <v>1</v>
      </c>
      <c r="I58" s="164" t="s">
        <v>609</v>
      </c>
      <c r="J58" s="164"/>
      <c r="K58" s="157" t="str">
        <f t="shared" si="0"/>
        <v>SpellData.create(SID_ENCHANTED_TOTEM,"附魔图腾",0,0,1,OrderId("healingward"),1,ORDER_TYPE_IMMEDIATE);</v>
      </c>
      <c r="L58" s="157" t="str">
        <f t="shared" ref="L58:L127" si="7">IF(A58="N/A","//",CONCATENATE("SpellData.create(",B58,",",CHAR(34),A58,CHAR(34),",",E58,",",D58,",",F58,",",G58,",",H58,",",I58,")",J58,";"))</f>
        <v>SpellData.create(SID_ENCHANTED_TOTEM,"Enchanted Totem",0,0,1,OrderId("healingward"),1,ORDER_TYPE_IMMEDIATE);</v>
      </c>
      <c r="M58" s="164" t="s">
        <v>1693</v>
      </c>
      <c r="N58" s="164"/>
      <c r="O58" s="164"/>
      <c r="P58" s="164"/>
      <c r="Q58" s="164"/>
      <c r="R58" s="164"/>
      <c r="S58" s="164"/>
      <c r="T58" s="164"/>
      <c r="U58" s="164"/>
      <c r="V58" s="164"/>
      <c r="W58" s="164"/>
      <c r="X58" s="164"/>
    </row>
    <row r="59" spans="1:24">
      <c r="A59" s="164" t="s">
        <v>748</v>
      </c>
      <c r="B59" s="158" t="str">
        <f>"SID_"&amp;UPPER(SUBSTITUTE(A59," ","_"))</f>
        <v>SID_LIGHTNING_TOTEM</v>
      </c>
      <c r="C59" s="164" t="s">
        <v>431</v>
      </c>
      <c r="D59" s="164">
        <v>0</v>
      </c>
      <c r="E59" s="164">
        <v>0</v>
      </c>
      <c r="F59" s="164">
        <v>10</v>
      </c>
      <c r="G59" s="164" t="s">
        <v>824</v>
      </c>
      <c r="H59" s="164">
        <v>1</v>
      </c>
      <c r="I59" s="164" t="s">
        <v>781</v>
      </c>
      <c r="J59" s="164"/>
      <c r="K59" s="157" t="str">
        <f t="shared" si="0"/>
        <v>SpellData.create(SID_LIGHTNING_TOTEM,"闪电图腾",0,0,10,OrderId("blizzard"),1,ORDER_TYPE_POINT);</v>
      </c>
      <c r="L59" s="157" t="str">
        <f t="shared" si="7"/>
        <v>SpellData.create(SID_LIGHTNING_TOTEM,"Lightning Totem",0,0,10,OrderId("blizzard"),1,ORDER_TYPE_POINT);</v>
      </c>
      <c r="M59" s="164" t="s">
        <v>1693</v>
      </c>
      <c r="N59" s="164"/>
      <c r="O59" s="164"/>
      <c r="P59" s="164"/>
      <c r="Q59" s="164"/>
      <c r="R59" s="164"/>
      <c r="S59" s="164"/>
      <c r="T59" s="164"/>
      <c r="U59" s="164"/>
      <c r="V59" s="164"/>
      <c r="W59" s="164"/>
      <c r="X59" s="164"/>
    </row>
    <row r="60" spans="1:24">
      <c r="A60" s="164" t="s">
        <v>822</v>
      </c>
      <c r="B60" s="158" t="str">
        <f t="shared" si="4"/>
        <v>SID_TORRENT_TOTEM</v>
      </c>
      <c r="C60" s="164" t="s">
        <v>823</v>
      </c>
      <c r="D60" s="164">
        <v>0</v>
      </c>
      <c r="E60" s="164">
        <v>0</v>
      </c>
      <c r="F60" s="164">
        <v>10</v>
      </c>
      <c r="G60" s="164" t="s">
        <v>821</v>
      </c>
      <c r="H60" s="164">
        <v>1</v>
      </c>
      <c r="I60" s="164" t="s">
        <v>781</v>
      </c>
      <c r="J60" s="164"/>
      <c r="K60" s="157" t="str">
        <f t="shared" si="0"/>
        <v>SpellData.create(SID_TORRENT_TOTEM,"激流图腾",0,0,10,OrderId("flamestrike"),1,ORDER_TYPE_POINT);</v>
      </c>
      <c r="L60" s="157" t="str">
        <f t="shared" si="7"/>
        <v>SpellData.create(SID_TORRENT_TOTEM,"Torrent Totem",0,0,10,OrderId("flamestrike"),1,ORDER_TYPE_POINT);</v>
      </c>
      <c r="M60" s="164" t="s">
        <v>1693</v>
      </c>
      <c r="N60" s="164"/>
      <c r="O60" s="164"/>
      <c r="P60" s="164"/>
      <c r="Q60" s="164"/>
      <c r="R60" s="164"/>
      <c r="S60" s="164"/>
      <c r="T60" s="164"/>
      <c r="U60" s="164"/>
      <c r="V60" s="164"/>
      <c r="W60" s="164"/>
      <c r="X60" s="164"/>
    </row>
    <row r="61" spans="1:24">
      <c r="A61" s="164" t="s">
        <v>1641</v>
      </c>
      <c r="B61" s="158" t="str">
        <f t="shared" ref="B61:B90" si="8">"SID_"&amp;UPPER(SUBSTITUTE(A61," ","_"))</f>
        <v>SID_EARTH_BIND_TOTEM</v>
      </c>
      <c r="C61" s="164" t="s">
        <v>820</v>
      </c>
      <c r="D61" s="164">
        <v>0</v>
      </c>
      <c r="E61" s="164">
        <v>0</v>
      </c>
      <c r="F61" s="164">
        <v>10</v>
      </c>
      <c r="G61" s="164" t="s">
        <v>803</v>
      </c>
      <c r="H61" s="164">
        <v>1</v>
      </c>
      <c r="I61" s="164" t="s">
        <v>781</v>
      </c>
      <c r="J61" s="164"/>
      <c r="K61" s="157" t="str">
        <f t="shared" si="0"/>
        <v>SpellData.create(SID_EARTH_BIND_TOTEM,"地缚图腾",0,0,10,OrderId("dispel"),1,ORDER_TYPE_POINT);</v>
      </c>
      <c r="L61" s="157" t="str">
        <f t="shared" si="7"/>
        <v>SpellData.create(SID_EARTH_BIND_TOTEM,"Earth Bind Totem",0,0,10,OrderId("dispel"),1,ORDER_TYPE_POINT);</v>
      </c>
      <c r="M61" s="164" t="s">
        <v>1693</v>
      </c>
      <c r="N61" s="164"/>
      <c r="O61" s="164"/>
      <c r="P61" s="164"/>
      <c r="Q61" s="164"/>
      <c r="R61" s="164"/>
      <c r="S61" s="164"/>
      <c r="T61" s="164"/>
      <c r="U61" s="164"/>
      <c r="V61" s="164"/>
      <c r="W61" s="164"/>
      <c r="X61" s="164"/>
    </row>
    <row r="62" spans="1:24">
      <c r="A62" s="164" t="s">
        <v>819</v>
      </c>
      <c r="B62" s="158" t="str">
        <f t="shared" si="8"/>
        <v>SID_ASCENDANCE</v>
      </c>
      <c r="C62" s="164" t="s">
        <v>137</v>
      </c>
      <c r="D62" s="164">
        <v>0</v>
      </c>
      <c r="E62" s="164">
        <v>25</v>
      </c>
      <c r="F62" s="164">
        <v>40</v>
      </c>
      <c r="G62" s="164" t="s">
        <v>818</v>
      </c>
      <c r="H62" s="164">
        <v>1</v>
      </c>
      <c r="I62" s="164" t="s">
        <v>609</v>
      </c>
      <c r="J62" s="164"/>
      <c r="K62" s="157" t="str">
        <f t="shared" si="0"/>
        <v>SpellData.create(SID_ASCENDANCE,"升腾",25,0,40,OrderId("metamorphosis"),1,ORDER_TYPE_IMMEDIATE);</v>
      </c>
      <c r="L62" s="157" t="str">
        <f t="shared" si="7"/>
        <v>SpellData.create(SID_ASCENDANCE,"Ascendance",25,0,40,OrderId("metamorphosis"),1,ORDER_TYPE_IMMEDIATE);</v>
      </c>
      <c r="M62" s="164" t="s">
        <v>1693</v>
      </c>
      <c r="N62" s="164"/>
      <c r="O62" s="164"/>
      <c r="P62" s="164"/>
      <c r="Q62" s="164"/>
      <c r="R62" s="164"/>
      <c r="S62" s="164"/>
      <c r="T62" s="164"/>
      <c r="U62" s="164"/>
      <c r="V62" s="164"/>
      <c r="W62" s="164"/>
      <c r="X62" s="164"/>
    </row>
    <row r="63" spans="1:24">
      <c r="A63" s="161" t="s">
        <v>817</v>
      </c>
      <c r="B63" s="158" t="str">
        <f t="shared" si="8"/>
        <v>SID_SINISTER_STRIKE</v>
      </c>
      <c r="C63" s="161" t="s">
        <v>458</v>
      </c>
      <c r="D63" s="161">
        <v>0</v>
      </c>
      <c r="E63" s="161">
        <v>0</v>
      </c>
      <c r="F63" s="161">
        <v>2</v>
      </c>
      <c r="G63" s="161" t="s">
        <v>738</v>
      </c>
      <c r="H63" s="161">
        <v>1</v>
      </c>
      <c r="I63" s="161" t="s">
        <v>735</v>
      </c>
      <c r="J63" s="161"/>
      <c r="K63" s="157" t="str">
        <f t="shared" si="0"/>
        <v>SpellData.create(SID_SINISTER_STRIKE,"邪恶攻击",0,0,2,OrderId("slow"),1,ORDER_TYPE_TARGET);</v>
      </c>
      <c r="L63" s="157" t="str">
        <f t="shared" si="7"/>
        <v>SpellData.create(SID_SINISTER_STRIKE,"Sinister Strike",0,0,2,OrderId("slow"),1,ORDER_TYPE_TARGET);</v>
      </c>
      <c r="M63" s="161" t="s">
        <v>1693</v>
      </c>
      <c r="N63" s="161"/>
      <c r="O63" s="161"/>
      <c r="P63" s="161"/>
      <c r="Q63" s="161"/>
      <c r="R63" s="161"/>
      <c r="S63" s="161"/>
      <c r="T63" s="161"/>
      <c r="U63" s="161"/>
      <c r="V63" s="161"/>
      <c r="W63" s="161"/>
      <c r="X63" s="161"/>
    </row>
    <row r="64" spans="1:24">
      <c r="A64" s="161" t="s">
        <v>816</v>
      </c>
      <c r="B64" s="158" t="str">
        <f t="shared" si="8"/>
        <v>SID_EVISCERATE</v>
      </c>
      <c r="C64" s="161" t="s">
        <v>467</v>
      </c>
      <c r="D64" s="161">
        <v>0</v>
      </c>
      <c r="E64" s="161">
        <v>0</v>
      </c>
      <c r="F64" s="161">
        <v>2</v>
      </c>
      <c r="G64" s="161" t="s">
        <v>774</v>
      </c>
      <c r="H64" s="161">
        <v>1</v>
      </c>
      <c r="I64" s="161" t="s">
        <v>735</v>
      </c>
      <c r="J64" s="161"/>
      <c r="K64" s="157" t="str">
        <f t="shared" si="0"/>
        <v>SpellData.create(SID_EVISCERATE,"剔骨",0,0,2,OrderId("impale"),1,ORDER_TYPE_TARGET);</v>
      </c>
      <c r="L64" s="157" t="str">
        <f t="shared" si="7"/>
        <v>SpellData.create(SID_EVISCERATE,"Eviscerate",0,0,2,OrderId("impale"),1,ORDER_TYPE_TARGET);</v>
      </c>
      <c r="M64" s="161" t="s">
        <v>1693</v>
      </c>
      <c r="N64" s="161"/>
      <c r="O64" s="161"/>
      <c r="P64" s="161"/>
      <c r="Q64" s="161"/>
      <c r="R64" s="161"/>
      <c r="S64" s="161"/>
      <c r="T64" s="161"/>
      <c r="U64" s="161"/>
      <c r="V64" s="161"/>
      <c r="W64" s="161"/>
      <c r="X64" s="161"/>
    </row>
    <row r="65" spans="1:24">
      <c r="A65" s="161" t="s">
        <v>815</v>
      </c>
      <c r="B65" s="158" t="str">
        <f t="shared" si="8"/>
        <v>SID_ASSAULT</v>
      </c>
      <c r="C65" s="161" t="s">
        <v>473</v>
      </c>
      <c r="D65" s="161">
        <v>0</v>
      </c>
      <c r="E65" s="161">
        <v>0</v>
      </c>
      <c r="F65" s="161">
        <v>16</v>
      </c>
      <c r="G65" s="161" t="s">
        <v>814</v>
      </c>
      <c r="H65" s="161">
        <v>1</v>
      </c>
      <c r="I65" s="161" t="s">
        <v>735</v>
      </c>
      <c r="J65" s="161"/>
      <c r="K65" s="157" t="str">
        <f t="shared" si="0"/>
        <v>SpellData.create(SID_ASSAULT,"突袭",0,0,16,OrderId("deathcoil"),1,ORDER_TYPE_TARGET);</v>
      </c>
      <c r="L65" s="157" t="str">
        <f t="shared" si="7"/>
        <v>SpellData.create(SID_ASSAULT,"Assault",0,0,16,OrderId("deathcoil"),1,ORDER_TYPE_TARGET);</v>
      </c>
      <c r="M65" s="161" t="s">
        <v>1693</v>
      </c>
      <c r="N65" s="161"/>
      <c r="O65" s="161"/>
      <c r="P65" s="161"/>
      <c r="Q65" s="161"/>
      <c r="R65" s="161"/>
      <c r="S65" s="161"/>
      <c r="T65" s="161"/>
      <c r="U65" s="161"/>
      <c r="V65" s="161"/>
      <c r="W65" s="161"/>
      <c r="X65" s="161"/>
    </row>
    <row r="66" spans="1:24">
      <c r="A66" s="161" t="s">
        <v>743</v>
      </c>
      <c r="B66" s="158" t="str">
        <f t="shared" si="8"/>
        <v>SID_BLADE_FLURRY</v>
      </c>
      <c r="C66" s="161" t="s">
        <v>446</v>
      </c>
      <c r="D66" s="161">
        <v>0</v>
      </c>
      <c r="E66" s="161">
        <v>0</v>
      </c>
      <c r="F66" s="161">
        <v>30</v>
      </c>
      <c r="G66" s="161" t="s">
        <v>813</v>
      </c>
      <c r="H66" s="161">
        <v>1</v>
      </c>
      <c r="I66" s="161" t="s">
        <v>609</v>
      </c>
      <c r="J66" s="161" t="s">
        <v>812</v>
      </c>
      <c r="K66" s="157" t="str">
        <f t="shared" si="0"/>
        <v>SpellData.create(SID_BLADE_FLURRY,"剑舞",0,0,30,OrderId("starfall"),1,ORDER_TYPE_IMMEDIATE).setCCC2(0,0,26).setCCC2(0,0,22);</v>
      </c>
      <c r="L66" s="157" t="str">
        <f t="shared" si="7"/>
        <v>SpellData.create(SID_BLADE_FLURRY,"Blade Flurry",0,0,30,OrderId("starfall"),1,ORDER_TYPE_IMMEDIATE).setCCC2(0,0,26).setCCC2(0,0,22);</v>
      </c>
      <c r="M66" s="161" t="s">
        <v>1693</v>
      </c>
      <c r="N66" s="161"/>
      <c r="O66" s="161"/>
      <c r="P66" s="161"/>
      <c r="Q66" s="161"/>
      <c r="R66" s="161"/>
      <c r="S66" s="161"/>
      <c r="T66" s="161"/>
      <c r="U66" s="161"/>
      <c r="V66" s="161"/>
      <c r="W66" s="161"/>
      <c r="X66" s="161"/>
    </row>
    <row r="67" spans="1:24">
      <c r="A67" s="161" t="s">
        <v>747</v>
      </c>
      <c r="B67" s="158" t="str">
        <f t="shared" si="8"/>
        <v>SID_STEALTH</v>
      </c>
      <c r="C67" s="161" t="s">
        <v>442</v>
      </c>
      <c r="D67" s="161">
        <v>0</v>
      </c>
      <c r="E67" s="161">
        <v>0</v>
      </c>
      <c r="F67" s="161">
        <v>45</v>
      </c>
      <c r="G67" s="161" t="s">
        <v>811</v>
      </c>
      <c r="H67" s="161">
        <v>1</v>
      </c>
      <c r="I67" s="161" t="s">
        <v>609</v>
      </c>
      <c r="J67" s="161" t="s">
        <v>810</v>
      </c>
      <c r="K67" s="157" t="str">
        <f t="shared" ref="K67:K136" si="9">IF(C67="N/A","//",CONCATENATE("SpellData.create(",B67,",",CHAR(34),C67,CHAR(34),",",E67,",",D67,",",F67,",",G67,",",H67,",",I67,")",J67,";"))</f>
        <v>SpellData.create(SID_STEALTH,"潜行",0,0,45,OrderId("cyclone"),1,ORDER_TYPE_IMMEDIATE).setCCC2(0,0,35).setCCC2(0,0,25);</v>
      </c>
      <c r="L67" s="157" t="str">
        <f t="shared" si="7"/>
        <v>SpellData.create(SID_STEALTH,"Stealth",0,0,45,OrderId("cyclone"),1,ORDER_TYPE_IMMEDIATE).setCCC2(0,0,35).setCCC2(0,0,25);</v>
      </c>
      <c r="M67" s="161" t="s">
        <v>1693</v>
      </c>
      <c r="N67" s="161"/>
      <c r="O67" s="161"/>
      <c r="P67" s="161"/>
      <c r="Q67" s="161"/>
      <c r="R67" s="161"/>
      <c r="S67" s="161"/>
      <c r="T67" s="161"/>
      <c r="U67" s="161"/>
      <c r="V67" s="161"/>
      <c r="W67" s="161"/>
      <c r="X67" s="161"/>
    </row>
    <row r="68" spans="1:24">
      <c r="A68" s="161" t="s">
        <v>808</v>
      </c>
      <c r="B68" s="158" t="str">
        <f t="shared" si="8"/>
        <v>SID_GARROTE</v>
      </c>
      <c r="C68" s="161" t="s">
        <v>809</v>
      </c>
      <c r="D68" s="161">
        <v>0</v>
      </c>
      <c r="E68" s="161">
        <v>0</v>
      </c>
      <c r="F68" s="161">
        <v>1</v>
      </c>
      <c r="G68" s="161" t="s">
        <v>807</v>
      </c>
      <c r="H68" s="161">
        <v>1</v>
      </c>
      <c r="I68" s="161" t="s">
        <v>735</v>
      </c>
      <c r="J68" s="161"/>
      <c r="K68" s="157" t="str">
        <f t="shared" si="9"/>
        <v>SpellData.create(SID_GARROTE,"绞喉",0,0,1,OrderId("shadowstrike"),1,ORDER_TYPE_TARGET);</v>
      </c>
      <c r="L68" s="157" t="str">
        <f t="shared" si="7"/>
        <v>SpellData.create(SID_GARROTE,"Garrote",0,0,1,OrderId("shadowstrike"),1,ORDER_TYPE_TARGET);</v>
      </c>
      <c r="M68" s="161" t="s">
        <v>1693</v>
      </c>
      <c r="N68" s="161"/>
      <c r="O68" s="161"/>
      <c r="P68" s="161"/>
      <c r="Q68" s="161"/>
      <c r="R68" s="161"/>
      <c r="S68" s="161"/>
      <c r="T68" s="161"/>
      <c r="U68" s="161"/>
      <c r="V68" s="161"/>
      <c r="W68" s="161"/>
      <c r="X68" s="161"/>
    </row>
    <row r="69" spans="1:24">
      <c r="A69" s="161" t="s">
        <v>745</v>
      </c>
      <c r="B69" s="158" t="str">
        <f t="shared" si="8"/>
        <v>SID_AMBUSH</v>
      </c>
      <c r="C69" s="161" t="s">
        <v>746</v>
      </c>
      <c r="D69" s="161">
        <v>0</v>
      </c>
      <c r="E69" s="161">
        <v>0</v>
      </c>
      <c r="F69" s="161">
        <v>1</v>
      </c>
      <c r="G69" s="161" t="s">
        <v>806</v>
      </c>
      <c r="H69" s="161">
        <v>1</v>
      </c>
      <c r="I69" s="161" t="s">
        <v>735</v>
      </c>
      <c r="J69" s="161"/>
      <c r="K69" s="157" t="str">
        <f t="shared" si="9"/>
        <v>SpellData.create(SID_AMBUSH,"伏击",0,0,1,OrderId("thunderbolt"),1,ORDER_TYPE_TARGET);</v>
      </c>
      <c r="L69" s="157" t="str">
        <f t="shared" si="7"/>
        <v>SpellData.create(SID_AMBUSH,"Ambush",0,0,1,OrderId("thunderbolt"),1,ORDER_TYPE_TARGET);</v>
      </c>
      <c r="M69" s="161" t="s">
        <v>1693</v>
      </c>
      <c r="N69" s="161"/>
      <c r="O69" s="161"/>
      <c r="P69" s="161"/>
      <c r="Q69" s="161"/>
      <c r="R69" s="161"/>
      <c r="S69" s="161"/>
      <c r="T69" s="161"/>
      <c r="U69" s="161"/>
      <c r="V69" s="161"/>
      <c r="W69" s="161"/>
      <c r="X69" s="161"/>
    </row>
    <row r="70" spans="1:24">
      <c r="A70" s="163" t="s">
        <v>1671</v>
      </c>
      <c r="B70" s="158" t="str">
        <f t="shared" si="8"/>
        <v>SID_PAIN</v>
      </c>
      <c r="C70" s="163" t="s">
        <v>494</v>
      </c>
      <c r="D70" s="163">
        <v>0</v>
      </c>
      <c r="E70" s="163">
        <v>100</v>
      </c>
      <c r="F70" s="163">
        <v>2</v>
      </c>
      <c r="G70" s="163" t="s">
        <v>738</v>
      </c>
      <c r="H70" s="163">
        <v>1</v>
      </c>
      <c r="I70" s="163" t="s">
        <v>735</v>
      </c>
      <c r="J70" s="163" t="s">
        <v>805</v>
      </c>
      <c r="K70" s="157" t="str">
        <f t="shared" si="9"/>
        <v>SpellData.create(SID_PAIN,"暗言字：痛",100,0,2,OrderId("slow"),1,ORDER_TYPE_TARGET).setCCC2(115,0,2).setCCC3(130,0,2);</v>
      </c>
      <c r="L70" s="157" t="str">
        <f t="shared" si="7"/>
        <v>SpellData.create(SID_PAIN,"Pain",100,0,2,OrderId("slow"),1,ORDER_TYPE_TARGET).setCCC2(115,0,2).setCCC3(130,0,2);</v>
      </c>
      <c r="M70" s="163" t="s">
        <v>1693</v>
      </c>
      <c r="N70" s="163"/>
      <c r="O70" s="163"/>
      <c r="P70" s="163"/>
      <c r="Q70" s="163"/>
      <c r="R70" s="163"/>
      <c r="S70" s="163"/>
      <c r="T70" s="163"/>
      <c r="U70" s="163"/>
      <c r="V70" s="163"/>
      <c r="W70" s="163"/>
      <c r="X70" s="163"/>
    </row>
    <row r="71" spans="1:24">
      <c r="A71" s="163" t="s">
        <v>804</v>
      </c>
      <c r="B71" s="158" t="str">
        <f t="shared" si="8"/>
        <v>SID_MARROW_SQUEEZE</v>
      </c>
      <c r="C71" s="163" t="s">
        <v>499</v>
      </c>
      <c r="D71" s="163">
        <v>2.2999999999999998</v>
      </c>
      <c r="E71" s="163">
        <v>70</v>
      </c>
      <c r="F71" s="163">
        <v>0</v>
      </c>
      <c r="G71" s="163" t="s">
        <v>803</v>
      </c>
      <c r="H71" s="163">
        <v>1</v>
      </c>
      <c r="I71" s="163" t="s">
        <v>735</v>
      </c>
      <c r="J71" s="163" t="s">
        <v>802</v>
      </c>
      <c r="K71" s="157" t="str">
        <f t="shared" si="9"/>
        <v>SpellData.create(SID_MARROW_SQUEEZE,"精髓榨取",70,2.3,0,OrderId("dispel"),1,ORDER_TYPE_TARGET).setCCC2(130,2.0,0).setCCC3(190,1.7,0);</v>
      </c>
      <c r="L71" s="157" t="str">
        <f t="shared" si="7"/>
        <v>SpellData.create(SID_MARROW_SQUEEZE,"Marrow Squeeze",70,2.3,0,OrderId("dispel"),1,ORDER_TYPE_TARGET).setCCC2(130,2.0,0).setCCC3(190,1.7,0);</v>
      </c>
      <c r="M71" s="163" t="s">
        <v>1693</v>
      </c>
      <c r="N71" s="163"/>
      <c r="O71" s="163"/>
      <c r="P71" s="163"/>
      <c r="Q71" s="163"/>
      <c r="R71" s="163"/>
      <c r="S71" s="163"/>
      <c r="T71" s="163"/>
      <c r="U71" s="163"/>
      <c r="V71" s="163"/>
      <c r="W71" s="163"/>
      <c r="X71" s="163"/>
    </row>
    <row r="72" spans="1:24">
      <c r="A72" s="163" t="s">
        <v>801</v>
      </c>
      <c r="B72" s="158" t="str">
        <f t="shared" si="8"/>
        <v>SID_MIND_FLAY</v>
      </c>
      <c r="C72" s="163" t="s">
        <v>500</v>
      </c>
      <c r="D72" s="163">
        <v>3</v>
      </c>
      <c r="E72" s="163">
        <v>50</v>
      </c>
      <c r="F72" s="163">
        <v>0</v>
      </c>
      <c r="G72" s="163" t="s">
        <v>737</v>
      </c>
      <c r="H72" s="163">
        <v>1</v>
      </c>
      <c r="I72" s="163" t="s">
        <v>735</v>
      </c>
      <c r="J72" s="163"/>
      <c r="K72" s="157" t="str">
        <f t="shared" si="9"/>
        <v>SpellData.create(SID_MIND_FLAY,"精神鞭笞",50,3,0,OrderId("heal"),1,ORDER_TYPE_TARGET);</v>
      </c>
      <c r="L72" s="157" t="str">
        <f t="shared" si="7"/>
        <v>SpellData.create(SID_MIND_FLAY,"Mind Flay",50,3,0,OrderId("heal"),1,ORDER_TYPE_TARGET);</v>
      </c>
      <c r="M72" s="163" t="s">
        <v>1693</v>
      </c>
      <c r="N72" s="163"/>
      <c r="O72" s="163"/>
      <c r="P72" s="163"/>
      <c r="Q72" s="163"/>
      <c r="R72" s="163"/>
      <c r="S72" s="163"/>
      <c r="T72" s="163"/>
      <c r="U72" s="163"/>
      <c r="V72" s="163"/>
      <c r="W72" s="163"/>
      <c r="X72" s="163"/>
    </row>
    <row r="73" spans="1:24">
      <c r="A73" s="163" t="s">
        <v>1670</v>
      </c>
      <c r="B73" s="158" t="str">
        <f t="shared" si="8"/>
        <v>SID_DEATH</v>
      </c>
      <c r="C73" s="163" t="s">
        <v>502</v>
      </c>
      <c r="D73" s="163">
        <v>0</v>
      </c>
      <c r="E73" s="163">
        <v>0</v>
      </c>
      <c r="F73" s="163">
        <v>7</v>
      </c>
      <c r="G73" s="163" t="s">
        <v>800</v>
      </c>
      <c r="H73" s="163">
        <v>1</v>
      </c>
      <c r="I73" s="163" t="s">
        <v>735</v>
      </c>
      <c r="J73" s="163"/>
      <c r="K73" s="157" t="str">
        <f t="shared" si="9"/>
        <v>SpellData.create(SID_DEATH,"暗言字：死",0,0,7,OrderId("innerfire"),1,ORDER_TYPE_TARGET);</v>
      </c>
      <c r="L73" s="157" t="str">
        <f t="shared" si="7"/>
        <v>SpellData.create(SID_DEATH,"Death",0,0,7,OrderId("innerfire"),1,ORDER_TYPE_TARGET);</v>
      </c>
      <c r="M73" s="163" t="s">
        <v>1693</v>
      </c>
      <c r="N73" s="163"/>
      <c r="O73" s="163"/>
      <c r="P73" s="163"/>
      <c r="Q73" s="163"/>
      <c r="R73" s="163"/>
      <c r="S73" s="163"/>
      <c r="T73" s="163"/>
      <c r="U73" s="163"/>
      <c r="V73" s="163"/>
      <c r="W73" s="163"/>
      <c r="X73" s="163"/>
    </row>
    <row r="74" spans="1:24">
      <c r="A74" s="163" t="s">
        <v>1672</v>
      </c>
      <c r="B74" s="158" t="str">
        <f t="shared" si="8"/>
        <v>SID_TERROR</v>
      </c>
      <c r="C74" s="163" t="s">
        <v>507</v>
      </c>
      <c r="D74" s="163">
        <v>0</v>
      </c>
      <c r="E74" s="163">
        <v>75</v>
      </c>
      <c r="F74" s="163">
        <v>12</v>
      </c>
      <c r="G74" s="163" t="s">
        <v>741</v>
      </c>
      <c r="H74" s="163">
        <v>1</v>
      </c>
      <c r="I74" s="163" t="s">
        <v>609</v>
      </c>
      <c r="J74" s="163"/>
      <c r="K74" s="157" t="str">
        <f t="shared" si="9"/>
        <v>SpellData.create(SID_TERROR,"暗言字：惧",75,0,12,OrderId("unholyfrenzy"),1,ORDER_TYPE_IMMEDIATE);</v>
      </c>
      <c r="L74" s="157" t="str">
        <f t="shared" si="7"/>
        <v>SpellData.create(SID_TERROR,"Terror",75,0,12,OrderId("unholyfrenzy"),1,ORDER_TYPE_IMMEDIATE);</v>
      </c>
      <c r="M74" s="163" t="s">
        <v>1693</v>
      </c>
      <c r="N74" s="163"/>
      <c r="O74" s="163"/>
      <c r="P74" s="163"/>
      <c r="Q74" s="163"/>
      <c r="R74" s="163"/>
      <c r="S74" s="163"/>
      <c r="T74" s="163"/>
      <c r="U74" s="163"/>
      <c r="V74" s="163"/>
      <c r="W74" s="163"/>
      <c r="X74" s="163"/>
    </row>
    <row r="75" spans="1:24">
      <c r="A75" s="161" t="s">
        <v>1642</v>
      </c>
      <c r="B75" s="158" t="str">
        <f t="shared" si="8"/>
        <v>SID_FRENZY_CREEP</v>
      </c>
      <c r="C75" s="161" t="s">
        <v>162</v>
      </c>
      <c r="D75" s="161">
        <v>0</v>
      </c>
      <c r="E75" s="161">
        <v>0</v>
      </c>
      <c r="F75" s="161">
        <v>200</v>
      </c>
      <c r="G75" s="161" t="s">
        <v>610</v>
      </c>
      <c r="H75" s="161">
        <v>1</v>
      </c>
      <c r="I75" s="161" t="s">
        <v>609</v>
      </c>
      <c r="J75" s="161"/>
      <c r="K75" s="157" t="str">
        <f t="shared" si="9"/>
        <v>SpellData.create(SID_FRENZY_CREEP,"激怒",0,0,200,OrderId("channel"),1,ORDER_TYPE_IMMEDIATE);</v>
      </c>
      <c r="L75" s="157" t="str">
        <f t="shared" si="7"/>
        <v>SpellData.create(SID_FRENZY_CREEP,"Frenzy Creep",0,0,200,OrderId("channel"),1,ORDER_TYPE_IMMEDIATE);</v>
      </c>
      <c r="M75" s="161" t="s">
        <v>1693</v>
      </c>
      <c r="N75" s="161"/>
      <c r="O75" s="161"/>
      <c r="P75" s="161"/>
      <c r="Q75" s="161"/>
      <c r="R75" s="161"/>
      <c r="S75" s="161"/>
      <c r="T75" s="161"/>
      <c r="U75" s="161"/>
      <c r="V75" s="161"/>
      <c r="W75" s="161"/>
      <c r="X75" s="161"/>
    </row>
    <row r="76" spans="1:24">
      <c r="A76" s="161" t="s">
        <v>1643</v>
      </c>
      <c r="B76" s="158" t="str">
        <f t="shared" si="8"/>
        <v>SID_RAGE_CREEP</v>
      </c>
      <c r="C76" s="161" t="s">
        <v>165</v>
      </c>
      <c r="D76" s="161">
        <v>0</v>
      </c>
      <c r="E76" s="161">
        <v>0</v>
      </c>
      <c r="F76" s="161">
        <v>200</v>
      </c>
      <c r="G76" s="161" t="s">
        <v>769</v>
      </c>
      <c r="H76" s="161">
        <v>1</v>
      </c>
      <c r="I76" s="161" t="s">
        <v>609</v>
      </c>
      <c r="J76" s="161"/>
      <c r="K76" s="157" t="str">
        <f t="shared" si="9"/>
        <v>SpellData.create(SID_RAGE_CREEP,"狂暴",0,0,200,OrderId("charm"),1,ORDER_TYPE_IMMEDIATE);</v>
      </c>
      <c r="L76" s="157" t="str">
        <f t="shared" si="7"/>
        <v>SpellData.create(SID_RAGE_CREEP,"Rage Creep",0,0,200,OrderId("charm"),1,ORDER_TYPE_IMMEDIATE);</v>
      </c>
      <c r="M76" s="161" t="s">
        <v>1693</v>
      </c>
      <c r="N76" s="161"/>
      <c r="O76" s="161"/>
      <c r="P76" s="161"/>
      <c r="Q76" s="161"/>
      <c r="R76" s="161"/>
      <c r="S76" s="161"/>
      <c r="T76" s="161"/>
      <c r="U76" s="161"/>
      <c r="V76" s="161"/>
      <c r="W76" s="161"/>
      <c r="X76" s="161"/>
    </row>
    <row r="77" spans="1:24">
      <c r="A77" s="163" t="s">
        <v>799</v>
      </c>
      <c r="B77" s="158" t="str">
        <f t="shared" si="8"/>
        <v>SID_GRIP_OF_STATIC_ELECTRICITY</v>
      </c>
      <c r="C77" s="163" t="s">
        <v>59</v>
      </c>
      <c r="D77" s="163">
        <v>0</v>
      </c>
      <c r="E77" s="163">
        <v>0</v>
      </c>
      <c r="F77" s="163">
        <v>1</v>
      </c>
      <c r="G77" s="163" t="s">
        <v>736</v>
      </c>
      <c r="H77" s="163">
        <v>1</v>
      </c>
      <c r="I77" s="163" t="s">
        <v>735</v>
      </c>
      <c r="J77" s="163"/>
      <c r="K77" s="157" t="str">
        <f t="shared" si="9"/>
        <v>SpellData.create(SID_GRIP_OF_STATIC_ELECTRICITY,"静电之握",0,0,1,OrderId("healingwave"),1,ORDER_TYPE_TARGET);</v>
      </c>
      <c r="L77" s="157" t="str">
        <f t="shared" si="7"/>
        <v>SpellData.create(SID_GRIP_OF_STATIC_ELECTRICITY,"Grip of Static Electricity",0,0,1,OrderId("healingwave"),1,ORDER_TYPE_TARGET);</v>
      </c>
      <c r="M77" s="163" t="s">
        <v>1693</v>
      </c>
      <c r="N77" s="163"/>
      <c r="O77" s="163"/>
      <c r="P77" s="163"/>
      <c r="Q77" s="163"/>
      <c r="R77" s="163"/>
      <c r="S77" s="163"/>
      <c r="T77" s="163"/>
      <c r="U77" s="163"/>
      <c r="V77" s="163"/>
      <c r="W77" s="163"/>
      <c r="X77" s="163"/>
    </row>
    <row r="78" spans="1:24">
      <c r="A78" s="163" t="s">
        <v>798</v>
      </c>
      <c r="B78" s="158" t="str">
        <f t="shared" si="8"/>
        <v>SID_PULSE_BOMB</v>
      </c>
      <c r="C78" s="163" t="s">
        <v>64</v>
      </c>
      <c r="D78" s="163">
        <v>0</v>
      </c>
      <c r="E78" s="163">
        <v>0</v>
      </c>
      <c r="F78" s="163">
        <v>10</v>
      </c>
      <c r="G78" s="163" t="s">
        <v>769</v>
      </c>
      <c r="H78" s="163">
        <v>1</v>
      </c>
      <c r="I78" s="163" t="s">
        <v>735</v>
      </c>
      <c r="J78" s="163"/>
      <c r="K78" s="157" t="str">
        <f t="shared" si="9"/>
        <v>SpellData.create(SID_PULSE_BOMB,"脉冲爆弹",0,0,10,OrderId("charm"),1,ORDER_TYPE_TARGET);</v>
      </c>
      <c r="L78" s="157" t="str">
        <f t="shared" si="7"/>
        <v>SpellData.create(SID_PULSE_BOMB,"Pulse Bomb",0,0,10,OrderId("charm"),1,ORDER_TYPE_TARGET);</v>
      </c>
      <c r="M78" s="163" t="s">
        <v>1693</v>
      </c>
      <c r="N78" s="163"/>
      <c r="O78" s="163"/>
      <c r="P78" s="163"/>
      <c r="Q78" s="163"/>
      <c r="R78" s="163"/>
      <c r="S78" s="163"/>
      <c r="T78" s="163"/>
      <c r="U78" s="163"/>
      <c r="V78" s="163"/>
      <c r="W78" s="163"/>
      <c r="X78" s="163"/>
    </row>
    <row r="79" spans="1:24">
      <c r="A79" s="163" t="s">
        <v>797</v>
      </c>
      <c r="B79" s="158" t="str">
        <f t="shared" si="8"/>
        <v>SID_LASER_BEAM</v>
      </c>
      <c r="C79" s="163" t="s">
        <v>67</v>
      </c>
      <c r="D79" s="163">
        <v>10</v>
      </c>
      <c r="E79" s="163">
        <v>0</v>
      </c>
      <c r="F79" s="163">
        <v>25</v>
      </c>
      <c r="G79" s="163" t="s">
        <v>737</v>
      </c>
      <c r="H79" s="163">
        <v>2</v>
      </c>
      <c r="I79" s="163" t="s">
        <v>735</v>
      </c>
      <c r="J79" s="163"/>
      <c r="K79" s="157" t="str">
        <f t="shared" si="9"/>
        <v>SpellData.create(SID_LASER_BEAM,"激光射线",0,10,25,OrderId("heal"),2,ORDER_TYPE_TARGET);</v>
      </c>
      <c r="L79" s="157" t="str">
        <f t="shared" si="7"/>
        <v>SpellData.create(SID_LASER_BEAM,"Laser Beam",0,10,25,OrderId("heal"),2,ORDER_TYPE_TARGET);</v>
      </c>
      <c r="M79" s="163" t="s">
        <v>1693</v>
      </c>
      <c r="N79" s="163"/>
      <c r="O79" s="163"/>
      <c r="P79" s="163"/>
      <c r="Q79" s="163"/>
      <c r="R79" s="163"/>
      <c r="S79" s="163"/>
      <c r="T79" s="163"/>
      <c r="U79" s="163"/>
      <c r="V79" s="163"/>
      <c r="W79" s="163"/>
      <c r="X79" s="163"/>
    </row>
    <row r="80" spans="1:24">
      <c r="A80" s="163" t="s">
        <v>1644</v>
      </c>
      <c r="B80" s="158" t="str">
        <f t="shared" si="8"/>
        <v>SID_TINKER_MORPH</v>
      </c>
      <c r="C80" s="163" t="s">
        <v>71</v>
      </c>
      <c r="D80" s="163">
        <v>0</v>
      </c>
      <c r="E80" s="163">
        <v>0</v>
      </c>
      <c r="F80" s="163">
        <v>0</v>
      </c>
      <c r="G80" s="163" t="s">
        <v>784</v>
      </c>
      <c r="H80" s="163">
        <v>1</v>
      </c>
      <c r="I80" s="163" t="s">
        <v>609</v>
      </c>
      <c r="J80" s="163"/>
      <c r="K80" s="157" t="str">
        <f t="shared" si="9"/>
        <v>SpellData.create(SID_TINKER_MORPH,"坦克形态",0,0,0,OID_BEARFORM,1,ORDER_TYPE_IMMEDIATE);</v>
      </c>
      <c r="L80" s="157" t="str">
        <f t="shared" si="7"/>
        <v>SpellData.create(SID_TINKER_MORPH,"Tinker Morph",0,0,0,OID_BEARFORM,1,ORDER_TYPE_IMMEDIATE);</v>
      </c>
      <c r="M80" s="163" t="s">
        <v>1693</v>
      </c>
      <c r="N80" s="163"/>
      <c r="O80" s="163"/>
      <c r="P80" s="163"/>
      <c r="Q80" s="163"/>
      <c r="R80" s="163"/>
      <c r="S80" s="163"/>
      <c r="T80" s="163"/>
      <c r="U80" s="163"/>
      <c r="V80" s="163"/>
      <c r="W80" s="163"/>
      <c r="X80" s="163"/>
    </row>
    <row r="81" spans="1:24">
      <c r="A81" s="163" t="s">
        <v>796</v>
      </c>
      <c r="B81" s="158" t="str">
        <f t="shared" si="8"/>
        <v>SID_LIGHTNING_SHIELD</v>
      </c>
      <c r="C81" s="163" t="s">
        <v>73</v>
      </c>
      <c r="D81" s="163">
        <v>0</v>
      </c>
      <c r="E81" s="163">
        <v>0</v>
      </c>
      <c r="F81" s="163">
        <v>1</v>
      </c>
      <c r="G81" s="163" t="s">
        <v>795</v>
      </c>
      <c r="H81" s="163">
        <v>1</v>
      </c>
      <c r="I81" s="163" t="s">
        <v>609</v>
      </c>
      <c r="J81" s="163"/>
      <c r="K81" s="157" t="str">
        <f t="shared" si="9"/>
        <v>SpellData.create(SID_LIGHTNING_SHIELD,"闪电护盾",0,0,1,OrderId("lightningshield"),1,ORDER_TYPE_IMMEDIATE);</v>
      </c>
      <c r="L81" s="157" t="str">
        <f t="shared" si="7"/>
        <v>SpellData.create(SID_LIGHTNING_SHIELD,"Lightning Shield",0,0,1,OrderId("lightningshield"),1,ORDER_TYPE_IMMEDIATE);</v>
      </c>
      <c r="M81" s="163" t="s">
        <v>1693</v>
      </c>
      <c r="N81" s="163"/>
      <c r="O81" s="163"/>
      <c r="P81" s="163"/>
      <c r="Q81" s="163"/>
      <c r="R81" s="163"/>
      <c r="S81" s="163"/>
      <c r="T81" s="163"/>
      <c r="U81" s="163"/>
      <c r="V81" s="163"/>
      <c r="W81" s="163"/>
      <c r="X81" s="163"/>
    </row>
    <row r="82" spans="1:24">
      <c r="A82" s="163" t="s">
        <v>794</v>
      </c>
      <c r="B82" s="158" t="str">
        <f t="shared" si="8"/>
        <v>SID_POCKET_FACTORY</v>
      </c>
      <c r="C82" s="163" t="s">
        <v>76</v>
      </c>
      <c r="D82" s="163">
        <v>0</v>
      </c>
      <c r="E82" s="163">
        <v>0</v>
      </c>
      <c r="F82" s="163">
        <v>10</v>
      </c>
      <c r="G82" s="163" t="s">
        <v>791</v>
      </c>
      <c r="H82" s="163">
        <v>1</v>
      </c>
      <c r="I82" s="163" t="s">
        <v>609</v>
      </c>
      <c r="J82" s="163"/>
      <c r="K82" s="157" t="str">
        <f t="shared" si="9"/>
        <v>SpellData.create(SID_POCKET_FACTORY,"口袋工厂",0,0,10,OrderId("summonfactory"),1,ORDER_TYPE_IMMEDIATE);</v>
      </c>
      <c r="L82" s="157" t="str">
        <f t="shared" si="7"/>
        <v>SpellData.create(SID_POCKET_FACTORY,"Pocket Factory",0,0,10,OrderId("summonfactory"),1,ORDER_TYPE_IMMEDIATE);</v>
      </c>
      <c r="M82" s="163" t="s">
        <v>1693</v>
      </c>
      <c r="N82" s="163"/>
      <c r="O82" s="163"/>
      <c r="P82" s="163"/>
      <c r="Q82" s="163"/>
      <c r="R82" s="163"/>
      <c r="S82" s="163"/>
      <c r="T82" s="163"/>
      <c r="U82" s="163"/>
      <c r="V82" s="163"/>
      <c r="W82" s="163"/>
      <c r="X82" s="163"/>
    </row>
    <row r="83" spans="1:24">
      <c r="A83" s="163" t="s">
        <v>792</v>
      </c>
      <c r="B83" s="158" t="str">
        <f t="shared" si="8"/>
        <v>SID_SUMMON_CLOCKWORK_GOBLIN</v>
      </c>
      <c r="C83" s="163" t="s">
        <v>793</v>
      </c>
      <c r="D83" s="163">
        <v>4</v>
      </c>
      <c r="E83" s="163">
        <v>0</v>
      </c>
      <c r="F83" s="163">
        <v>1</v>
      </c>
      <c r="G83" s="163" t="s">
        <v>791</v>
      </c>
      <c r="H83" s="163">
        <v>2</v>
      </c>
      <c r="I83" s="163" t="s">
        <v>609</v>
      </c>
      <c r="J83" s="163"/>
      <c r="K83" s="157" t="str">
        <f t="shared" si="9"/>
        <v>SpellData.create(SID_SUMMON_CLOCKWORK_GOBLIN,"生产人工地精",0,4,1,OrderId("summonfactory"),2,ORDER_TYPE_IMMEDIATE);</v>
      </c>
      <c r="L83" s="157" t="str">
        <f t="shared" si="7"/>
        <v>SpellData.create(SID_SUMMON_CLOCKWORK_GOBLIN,"Summon Clockwork Goblin",0,4,1,OrderId("summonfactory"),2,ORDER_TYPE_IMMEDIATE);</v>
      </c>
      <c r="M83" s="163" t="s">
        <v>1693</v>
      </c>
      <c r="N83" s="163"/>
      <c r="O83" s="163"/>
      <c r="P83" s="163"/>
      <c r="Q83" s="163"/>
      <c r="R83" s="163"/>
      <c r="S83" s="163"/>
      <c r="T83" s="163"/>
      <c r="U83" s="163"/>
      <c r="V83" s="163"/>
      <c r="W83" s="163"/>
      <c r="X83" s="163"/>
    </row>
    <row r="84" spans="1:24">
      <c r="A84" s="163" t="s">
        <v>789</v>
      </c>
      <c r="B84" s="158" t="str">
        <f>"SID_"&amp;UPPER(SUBSTITUTE(A84," ","_"))</f>
        <v>SID_SELF_DESTRUCT</v>
      </c>
      <c r="C84" s="163" t="s">
        <v>790</v>
      </c>
      <c r="D84" s="163">
        <v>3</v>
      </c>
      <c r="E84" s="163">
        <v>0</v>
      </c>
      <c r="F84" s="163">
        <v>1</v>
      </c>
      <c r="G84" s="163" t="s">
        <v>738</v>
      </c>
      <c r="H84" s="163">
        <v>2</v>
      </c>
      <c r="I84" s="163" t="s">
        <v>735</v>
      </c>
      <c r="J84" s="163"/>
      <c r="K84" s="157" t="str">
        <f t="shared" si="9"/>
        <v>SpellData.create(SID_SELF_DESTRUCT,"自爆",0,3,1,OrderId("slow"),2,ORDER_TYPE_TARGET);</v>
      </c>
      <c r="L84" s="157" t="str">
        <f t="shared" si="7"/>
        <v>SpellData.create(SID_SELF_DESTRUCT,"Self Destruct",0,3,1,OrderId("slow"),2,ORDER_TYPE_TARGET);</v>
      </c>
      <c r="M84" s="163" t="s">
        <v>1693</v>
      </c>
      <c r="N84" s="163"/>
      <c r="O84" s="163"/>
      <c r="P84" s="163"/>
      <c r="Q84" s="163"/>
      <c r="R84" s="163"/>
      <c r="S84" s="163"/>
      <c r="T84" s="163"/>
      <c r="U84" s="163"/>
      <c r="V84" s="163"/>
      <c r="W84" s="163"/>
      <c r="X84" s="163"/>
    </row>
    <row r="85" spans="1:24">
      <c r="A85" s="163" t="s">
        <v>788</v>
      </c>
      <c r="B85" s="158" t="str">
        <f t="shared" si="8"/>
        <v>SID_CLUSTER_ROCKETS</v>
      </c>
      <c r="C85" s="163" t="s">
        <v>123</v>
      </c>
      <c r="D85" s="163">
        <v>1</v>
      </c>
      <c r="E85" s="163">
        <v>0</v>
      </c>
      <c r="F85" s="163">
        <v>1</v>
      </c>
      <c r="G85" s="163" t="s">
        <v>787</v>
      </c>
      <c r="H85" s="163">
        <v>2</v>
      </c>
      <c r="I85" s="163" t="s">
        <v>609</v>
      </c>
      <c r="J85" s="163"/>
      <c r="K85" s="157" t="str">
        <f t="shared" si="9"/>
        <v>SpellData.create(SID_CLUSTER_ROCKETS,"火箭群",0,1,1,OrderId("clusterrockets"),2,ORDER_TYPE_IMMEDIATE);</v>
      </c>
      <c r="L85" s="157" t="str">
        <f t="shared" si="7"/>
        <v>SpellData.create(SID_CLUSTER_ROCKETS,"Cluster Rockets",0,1,1,OrderId("clusterrockets"),2,ORDER_TYPE_IMMEDIATE);</v>
      </c>
      <c r="M85" s="163" t="s">
        <v>1693</v>
      </c>
      <c r="N85" s="163"/>
      <c r="O85" s="163"/>
      <c r="P85" s="163"/>
      <c r="Q85" s="163"/>
      <c r="R85" s="163"/>
      <c r="S85" s="163"/>
      <c r="T85" s="163"/>
      <c r="U85" s="163"/>
      <c r="V85" s="163"/>
      <c r="W85" s="163"/>
      <c r="X85" s="163"/>
    </row>
    <row r="86" spans="1:24">
      <c r="A86" s="164" t="s">
        <v>1645</v>
      </c>
      <c r="B86" s="158" t="str">
        <f t="shared" si="8"/>
        <v>SID_FUCKED_LIGHTNING</v>
      </c>
      <c r="C86" s="164" t="s">
        <v>148</v>
      </c>
      <c r="D86" s="164">
        <v>0</v>
      </c>
      <c r="E86" s="164">
        <v>100</v>
      </c>
      <c r="F86" s="164">
        <v>7</v>
      </c>
      <c r="G86" s="164">
        <v>852063</v>
      </c>
      <c r="H86" s="164">
        <v>1</v>
      </c>
      <c r="I86" s="164" t="s">
        <v>735</v>
      </c>
      <c r="J86" s="164"/>
      <c r="K86" s="157" t="str">
        <f t="shared" si="9"/>
        <v>SpellData.create(SID_FUCKED_LIGHTNING,"叉状闪电",100,0,7,852063,1,ORDER_TYPE_TARGET);</v>
      </c>
      <c r="L86" s="157" t="str">
        <f t="shared" si="7"/>
        <v>SpellData.create(SID_FUCKED_LIGHTNING,"Fucked Lightning",100,0,7,852063,1,ORDER_TYPE_TARGET);</v>
      </c>
      <c r="M86" s="164" t="s">
        <v>1693</v>
      </c>
      <c r="N86" s="164"/>
      <c r="O86" s="164"/>
      <c r="P86" s="164"/>
      <c r="Q86" s="164"/>
      <c r="R86" s="164"/>
      <c r="S86" s="164"/>
      <c r="T86" s="164"/>
      <c r="U86" s="164"/>
      <c r="V86" s="164"/>
      <c r="W86" s="164"/>
      <c r="X86" s="164"/>
    </row>
    <row r="87" spans="1:24">
      <c r="A87" s="164" t="s">
        <v>152</v>
      </c>
      <c r="B87" s="158" t="str">
        <f t="shared" si="8"/>
        <v>SID_STRONG_BREEZE</v>
      </c>
      <c r="C87" s="164" t="s">
        <v>151</v>
      </c>
      <c r="D87" s="164">
        <v>0</v>
      </c>
      <c r="E87" s="164">
        <v>100</v>
      </c>
      <c r="F87" s="164">
        <v>14</v>
      </c>
      <c r="G87" s="164">
        <v>852555</v>
      </c>
      <c r="H87" s="164">
        <v>1</v>
      </c>
      <c r="I87" s="164" t="s">
        <v>735</v>
      </c>
      <c r="J87" s="164"/>
      <c r="K87" s="157" t="str">
        <f t="shared" si="9"/>
        <v>SpellData.create(SID_STRONG_BREEZE,"强风",100,0,14,852555,1,ORDER_TYPE_TARGET);</v>
      </c>
      <c r="L87" s="157" t="str">
        <f t="shared" si="7"/>
        <v>SpellData.create(SID_STRONG_BREEZE,"Strong Breeze",100,0,14,852555,1,ORDER_TYPE_TARGET);</v>
      </c>
      <c r="M87" s="164" t="s">
        <v>1693</v>
      </c>
      <c r="N87" s="164"/>
      <c r="O87" s="164"/>
      <c r="P87" s="164"/>
      <c r="Q87" s="164"/>
      <c r="R87" s="164"/>
      <c r="S87" s="164"/>
      <c r="T87" s="164"/>
      <c r="U87" s="164"/>
      <c r="V87" s="164"/>
      <c r="W87" s="164"/>
      <c r="X87" s="164"/>
    </row>
    <row r="88" spans="1:24">
      <c r="A88" s="164" t="s">
        <v>156</v>
      </c>
      <c r="B88" s="158" t="str">
        <f t="shared" si="8"/>
        <v>SID_SUMMON_SERPENTS</v>
      </c>
      <c r="C88" s="164" t="s">
        <v>155</v>
      </c>
      <c r="D88" s="164">
        <v>0</v>
      </c>
      <c r="E88" s="164">
        <v>100</v>
      </c>
      <c r="F88" s="164">
        <v>30</v>
      </c>
      <c r="G88" s="164">
        <v>852066</v>
      </c>
      <c r="H88" s="164">
        <v>1</v>
      </c>
      <c r="I88" s="164" t="s">
        <v>609</v>
      </c>
      <c r="J88" s="164"/>
      <c r="K88" s="157" t="str">
        <f t="shared" si="9"/>
        <v>SpellData.create(SID_SUMMON_SERPENTS,"召唤飞蛇",100,0,30,852066,1,ORDER_TYPE_IMMEDIATE);</v>
      </c>
      <c r="L88" s="157" t="str">
        <f t="shared" si="7"/>
        <v>SpellData.create(SID_SUMMON_SERPENTS,"Summon Serpents",100,0,30,852066,1,ORDER_TYPE_IMMEDIATE);</v>
      </c>
      <c r="M88" s="164" t="s">
        <v>1693</v>
      </c>
      <c r="N88" s="164"/>
      <c r="O88" s="164"/>
      <c r="P88" s="164"/>
      <c r="Q88" s="164"/>
      <c r="R88" s="164"/>
      <c r="S88" s="164"/>
      <c r="T88" s="164"/>
      <c r="U88" s="164"/>
      <c r="V88" s="164"/>
      <c r="W88" s="164"/>
      <c r="X88" s="164"/>
    </row>
    <row r="89" spans="1:24">
      <c r="A89" s="164" t="s">
        <v>159</v>
      </c>
      <c r="B89" s="158" t="str">
        <f t="shared" si="8"/>
        <v>SID_THUNDER_STORM</v>
      </c>
      <c r="C89" s="164" t="s">
        <v>158</v>
      </c>
      <c r="D89" s="164">
        <v>10</v>
      </c>
      <c r="E89" s="164">
        <v>0</v>
      </c>
      <c r="F89" s="164">
        <v>40</v>
      </c>
      <c r="G89" s="164">
        <v>852069</v>
      </c>
      <c r="H89" s="164">
        <v>2</v>
      </c>
      <c r="I89" s="164" t="s">
        <v>735</v>
      </c>
      <c r="J89" s="164"/>
      <c r="K89" s="157" t="str">
        <f t="shared" si="9"/>
        <v>SpellData.create(SID_THUNDER_STORM,"雷电风暴",0,10,40,852069,2,ORDER_TYPE_TARGET);</v>
      </c>
      <c r="L89" s="157" t="str">
        <f t="shared" si="7"/>
        <v>SpellData.create(SID_THUNDER_STORM,"Thunder Storm",0,10,40,852069,2,ORDER_TYPE_TARGET);</v>
      </c>
      <c r="M89" s="164" t="s">
        <v>1693</v>
      </c>
      <c r="N89" s="164"/>
      <c r="O89" s="164"/>
      <c r="P89" s="164"/>
      <c r="Q89" s="164"/>
      <c r="R89" s="164"/>
      <c r="S89" s="164"/>
      <c r="T89" s="164"/>
      <c r="U89" s="164"/>
      <c r="V89" s="164"/>
      <c r="W89" s="164"/>
      <c r="X89" s="164"/>
    </row>
    <row r="90" spans="1:24">
      <c r="A90" s="162" t="s">
        <v>786</v>
      </c>
      <c r="B90" s="158" t="str">
        <f t="shared" si="8"/>
        <v>SID_ALKALINE_WATER</v>
      </c>
      <c r="C90" s="162" t="s">
        <v>171</v>
      </c>
      <c r="D90" s="162">
        <v>3.5</v>
      </c>
      <c r="E90" s="162">
        <v>0</v>
      </c>
      <c r="F90" s="162">
        <v>5</v>
      </c>
      <c r="G90" s="162" t="s">
        <v>737</v>
      </c>
      <c r="H90" s="162">
        <v>1</v>
      </c>
      <c r="I90" s="162" t="s">
        <v>735</v>
      </c>
      <c r="J90" s="162"/>
      <c r="K90" s="157" t="str">
        <f t="shared" si="9"/>
        <v>SpellData.create(SID_ALKALINE_WATER,"盐碱之水",0,3.5,5,OrderId("heal"),1,ORDER_TYPE_TARGET);</v>
      </c>
      <c r="L90" s="157" t="str">
        <f t="shared" si="7"/>
        <v>SpellData.create(SID_ALKALINE_WATER,"Alkaline Water",0,3.5,5,OrderId("heal"),1,ORDER_TYPE_TARGET);</v>
      </c>
      <c r="M90" s="162" t="s">
        <v>1693</v>
      </c>
      <c r="N90" s="162"/>
      <c r="O90" s="162"/>
      <c r="P90" s="162"/>
      <c r="Q90" s="162"/>
      <c r="R90" s="162"/>
      <c r="S90" s="162"/>
      <c r="T90" s="162"/>
      <c r="U90" s="162"/>
      <c r="V90" s="162"/>
      <c r="W90" s="162"/>
      <c r="X90" s="162"/>
    </row>
    <row r="91" spans="1:24">
      <c r="A91" s="162" t="s">
        <v>173</v>
      </c>
      <c r="B91" s="158" t="str">
        <f>"SID_"&amp;UPPER(SUBSTITUTE(A91," ","_"))</f>
        <v>SID_TIDE</v>
      </c>
      <c r="C91" s="162" t="s">
        <v>172</v>
      </c>
      <c r="D91" s="162">
        <v>0</v>
      </c>
      <c r="E91" s="162">
        <v>0</v>
      </c>
      <c r="F91" s="162">
        <v>12</v>
      </c>
      <c r="G91" s="162" t="s">
        <v>738</v>
      </c>
      <c r="H91" s="162">
        <v>1</v>
      </c>
      <c r="I91" s="162" t="s">
        <v>735</v>
      </c>
      <c r="J91" s="162"/>
      <c r="K91" s="157" t="str">
        <f t="shared" si="9"/>
        <v>SpellData.create(SID_TIDE,"潮汐",0,0,12,OrderId("slow"),1,ORDER_TYPE_TARGET);</v>
      </c>
      <c r="L91" s="157" t="str">
        <f t="shared" si="7"/>
        <v>SpellData.create(SID_TIDE,"Tide",0,0,12,OrderId("slow"),1,ORDER_TYPE_TARGET);</v>
      </c>
      <c r="M91" s="162" t="s">
        <v>1693</v>
      </c>
      <c r="N91" s="162"/>
      <c r="O91" s="162"/>
      <c r="P91" s="162"/>
      <c r="Q91" s="162"/>
      <c r="R91" s="162"/>
      <c r="S91" s="162"/>
      <c r="T91" s="162"/>
      <c r="U91" s="162"/>
      <c r="V91" s="162"/>
      <c r="W91" s="162"/>
      <c r="X91" s="162"/>
    </row>
    <row r="92" spans="1:24">
      <c r="A92" s="162" t="s">
        <v>1646</v>
      </c>
      <c r="B92" s="158" t="str">
        <f t="shared" ref="B92:B124" si="10">"SID_"&amp;UPPER(SUBSTITUTE(A92," ","_"))</f>
        <v>SID_TIDE_BARON_MORPH</v>
      </c>
      <c r="C92" s="162" t="s">
        <v>785</v>
      </c>
      <c r="D92" s="162">
        <v>0</v>
      </c>
      <c r="E92" s="162">
        <v>0</v>
      </c>
      <c r="F92" s="162">
        <v>35</v>
      </c>
      <c r="G92" s="162" t="s">
        <v>784</v>
      </c>
      <c r="H92" s="162">
        <v>1</v>
      </c>
      <c r="I92" s="162" t="s">
        <v>609</v>
      </c>
      <c r="J92" s="162"/>
      <c r="K92" s="157" t="str">
        <f t="shared" si="9"/>
        <v>SpellData.create(SID_TIDE_BARON_MORPH,"潮汐形态",0,0,35,OID_BEARFORM,1,ORDER_TYPE_IMMEDIATE);</v>
      </c>
      <c r="L92" s="157" t="str">
        <f t="shared" si="7"/>
        <v>SpellData.create(SID_TIDE_BARON_MORPH,"Tide Baron Morph",0,0,35,OID_BEARFORM,1,ORDER_TYPE_IMMEDIATE);</v>
      </c>
      <c r="M92" s="162" t="s">
        <v>1693</v>
      </c>
      <c r="N92" s="162"/>
      <c r="O92" s="162"/>
      <c r="P92" s="162"/>
      <c r="Q92" s="162"/>
      <c r="R92" s="162"/>
      <c r="S92" s="162"/>
      <c r="T92" s="162"/>
      <c r="U92" s="162"/>
      <c r="V92" s="162"/>
      <c r="W92" s="162"/>
      <c r="X92" s="162"/>
    </row>
    <row r="93" spans="1:24">
      <c r="A93" s="162" t="s">
        <v>783</v>
      </c>
      <c r="B93" s="158" t="str">
        <f t="shared" si="10"/>
        <v>SID_TEAR_UP</v>
      </c>
      <c r="C93" s="162" t="s">
        <v>174</v>
      </c>
      <c r="D93" s="162">
        <v>0</v>
      </c>
      <c r="E93" s="162">
        <v>0</v>
      </c>
      <c r="F93" s="162">
        <v>12</v>
      </c>
      <c r="G93" s="162" t="s">
        <v>738</v>
      </c>
      <c r="H93" s="162">
        <v>1</v>
      </c>
      <c r="I93" s="162" t="s">
        <v>735</v>
      </c>
      <c r="J93" s="162"/>
      <c r="K93" s="157" t="str">
        <f t="shared" si="9"/>
        <v>SpellData.create(SID_TEAR_UP,"撕裂",0,0,12,OrderId("slow"),1,ORDER_TYPE_TARGET);</v>
      </c>
      <c r="L93" s="157" t="str">
        <f t="shared" si="7"/>
        <v>SpellData.create(SID_TEAR_UP,"Tear Up",0,0,12,OrderId("slow"),1,ORDER_TYPE_TARGET);</v>
      </c>
      <c r="M93" s="162" t="s">
        <v>1693</v>
      </c>
      <c r="N93" s="162"/>
      <c r="O93" s="162"/>
      <c r="P93" s="162"/>
      <c r="Q93" s="162"/>
      <c r="R93" s="162"/>
      <c r="S93" s="162"/>
      <c r="T93" s="162"/>
      <c r="U93" s="162"/>
      <c r="V93" s="162"/>
      <c r="W93" s="162"/>
      <c r="X93" s="162"/>
    </row>
    <row r="94" spans="1:24">
      <c r="A94" s="162" t="s">
        <v>177</v>
      </c>
      <c r="B94" s="158" t="str">
        <f t="shared" si="10"/>
        <v>SID_LANCINATE</v>
      </c>
      <c r="C94" s="162" t="s">
        <v>176</v>
      </c>
      <c r="D94" s="162">
        <v>0</v>
      </c>
      <c r="E94" s="162">
        <v>0</v>
      </c>
      <c r="F94" s="162">
        <v>15</v>
      </c>
      <c r="G94" s="162" t="s">
        <v>610</v>
      </c>
      <c r="H94" s="162">
        <v>1</v>
      </c>
      <c r="I94" s="162" t="s">
        <v>735</v>
      </c>
      <c r="J94" s="162"/>
      <c r="K94" s="157" t="str">
        <f t="shared" si="9"/>
        <v>SpellData.create(SID_LANCINATE,"刺裂",0,0,15,OrderId("channel"),1,ORDER_TYPE_TARGET);</v>
      </c>
      <c r="L94" s="157" t="str">
        <f t="shared" si="7"/>
        <v>SpellData.create(SID_LANCINATE,"Lancinate",0,0,15,OrderId("channel"),1,ORDER_TYPE_TARGET);</v>
      </c>
      <c r="M94" s="162" t="s">
        <v>1693</v>
      </c>
      <c r="N94" s="162"/>
      <c r="O94" s="162"/>
      <c r="P94" s="162"/>
      <c r="Q94" s="162"/>
      <c r="R94" s="162"/>
      <c r="S94" s="162"/>
      <c r="T94" s="162"/>
      <c r="U94" s="162"/>
      <c r="V94" s="162"/>
      <c r="W94" s="162"/>
      <c r="X94" s="162"/>
    </row>
    <row r="95" spans="1:24">
      <c r="A95" s="162" t="s">
        <v>180</v>
      </c>
      <c r="B95" s="158" t="str">
        <f t="shared" si="10"/>
        <v>SID_RASPY_ROAR</v>
      </c>
      <c r="C95" s="162" t="s">
        <v>178</v>
      </c>
      <c r="D95" s="162">
        <v>0</v>
      </c>
      <c r="E95" s="162">
        <v>0</v>
      </c>
      <c r="F95" s="162">
        <v>25</v>
      </c>
      <c r="G95" s="162" t="s">
        <v>774</v>
      </c>
      <c r="H95" s="162">
        <v>1</v>
      </c>
      <c r="I95" s="162" t="s">
        <v>609</v>
      </c>
      <c r="J95" s="162"/>
      <c r="K95" s="157" t="str">
        <f t="shared" si="9"/>
        <v>SpellData.create(SID_RASPY_ROAR,"刺耳咆哮",0,0,25,OrderId("impale"),1,ORDER_TYPE_IMMEDIATE);</v>
      </c>
      <c r="L95" s="157" t="str">
        <f t="shared" si="7"/>
        <v>SpellData.create(SID_RASPY_ROAR,"Raspy Roar",0,0,25,OrderId("impale"),1,ORDER_TYPE_IMMEDIATE);</v>
      </c>
      <c r="M95" s="162" t="s">
        <v>1693</v>
      </c>
      <c r="N95" s="162"/>
      <c r="O95" s="162"/>
      <c r="P95" s="162"/>
      <c r="Q95" s="162"/>
      <c r="R95" s="162"/>
      <c r="S95" s="162"/>
      <c r="T95" s="162"/>
      <c r="U95" s="162"/>
      <c r="V95" s="162"/>
      <c r="W95" s="162"/>
      <c r="X95" s="162"/>
    </row>
    <row r="96" spans="1:24">
      <c r="A96" s="162" t="s">
        <v>1673</v>
      </c>
      <c r="B96" s="158" t="str">
        <f t="shared" si="10"/>
        <v>SID_RASPY_ROAR_DUMMY</v>
      </c>
      <c r="C96" s="162" t="s">
        <v>178</v>
      </c>
      <c r="D96" s="162">
        <v>0</v>
      </c>
      <c r="E96" s="162">
        <v>0</v>
      </c>
      <c r="F96" s="162">
        <v>1</v>
      </c>
      <c r="G96" s="162" t="s">
        <v>782</v>
      </c>
      <c r="H96" s="162">
        <v>1</v>
      </c>
      <c r="I96" s="162" t="s">
        <v>781</v>
      </c>
      <c r="J96" s="162"/>
      <c r="K96" s="157" t="str">
        <f t="shared" si="9"/>
        <v>SpellData.create(SID_RASPY_ROAR_DUMMY,"刺耳咆哮",0,0,1,OrderId("silence"),1,ORDER_TYPE_POINT);</v>
      </c>
      <c r="L96" s="157" t="str">
        <f t="shared" si="7"/>
        <v>SpellData.create(SID_RASPY_ROAR_DUMMY,"Raspy Roar DUMMY",0,0,1,OrderId("silence"),1,ORDER_TYPE_POINT);</v>
      </c>
      <c r="M96" s="162" t="s">
        <v>1693</v>
      </c>
      <c r="N96" s="162"/>
      <c r="O96" s="162"/>
      <c r="P96" s="162"/>
      <c r="Q96" s="162"/>
      <c r="R96" s="162"/>
      <c r="S96" s="162"/>
      <c r="T96" s="162"/>
      <c r="U96" s="162"/>
      <c r="V96" s="162"/>
      <c r="W96" s="162"/>
      <c r="X96" s="162"/>
    </row>
    <row r="97" spans="1:24">
      <c r="A97" s="166" t="s">
        <v>780</v>
      </c>
      <c r="B97" s="158" t="str">
        <f t="shared" si="10"/>
        <v>SID_FLAME_THROW</v>
      </c>
      <c r="C97" s="166" t="s">
        <v>184</v>
      </c>
      <c r="D97" s="166">
        <v>0</v>
      </c>
      <c r="E97" s="166">
        <v>100</v>
      </c>
      <c r="F97" s="166">
        <v>5</v>
      </c>
      <c r="G97" s="166" t="s">
        <v>740</v>
      </c>
      <c r="H97" s="166">
        <v>1</v>
      </c>
      <c r="I97" s="166" t="s">
        <v>735</v>
      </c>
      <c r="J97" s="166"/>
      <c r="K97" s="157" t="str">
        <f t="shared" si="9"/>
        <v>SpellData.create(SID_FLAME_THROW,"火焰喷射",100,0,5,OrderId("sleep"),1,ORDER_TYPE_TARGET);</v>
      </c>
      <c r="L97" s="157" t="str">
        <f t="shared" si="7"/>
        <v>SpellData.create(SID_FLAME_THROW,"Flame Throw",100,0,5,OrderId("sleep"),1,ORDER_TYPE_TARGET);</v>
      </c>
      <c r="M97" s="166" t="s">
        <v>1693</v>
      </c>
      <c r="N97" s="166"/>
      <c r="O97" s="166"/>
      <c r="P97" s="166"/>
      <c r="Q97" s="166"/>
      <c r="R97" s="166"/>
      <c r="S97" s="166"/>
      <c r="T97" s="166"/>
      <c r="U97" s="166"/>
      <c r="V97" s="166"/>
      <c r="W97" s="166"/>
      <c r="X97" s="166"/>
    </row>
    <row r="98" spans="1:24">
      <c r="A98" s="166" t="s">
        <v>779</v>
      </c>
      <c r="B98" s="158" t="str">
        <f t="shared" si="10"/>
        <v>SID_FLAME_BOMB</v>
      </c>
      <c r="C98" s="166" t="s">
        <v>185</v>
      </c>
      <c r="D98" s="166">
        <v>10</v>
      </c>
      <c r="E98" s="166">
        <v>100</v>
      </c>
      <c r="F98" s="166">
        <v>40</v>
      </c>
      <c r="G98" s="166" t="s">
        <v>738</v>
      </c>
      <c r="H98" s="166">
        <v>2</v>
      </c>
      <c r="I98" s="166" t="s">
        <v>609</v>
      </c>
      <c r="J98" s="166"/>
      <c r="K98" s="157" t="str">
        <f t="shared" si="9"/>
        <v>SpellData.create(SID_FLAME_BOMB,"火焰炸弹",100,10,40,OrderId("slow"),2,ORDER_TYPE_IMMEDIATE);</v>
      </c>
      <c r="L98" s="157" t="str">
        <f t="shared" si="7"/>
        <v>SpellData.create(SID_FLAME_BOMB,"Flame Bomb",100,10,40,OrderId("slow"),2,ORDER_TYPE_IMMEDIATE);</v>
      </c>
      <c r="M98" s="166" t="s">
        <v>1693</v>
      </c>
      <c r="N98" s="166"/>
      <c r="O98" s="166"/>
      <c r="P98" s="166"/>
      <c r="Q98" s="166"/>
      <c r="R98" s="166"/>
      <c r="S98" s="166"/>
      <c r="T98" s="166"/>
      <c r="U98" s="166"/>
      <c r="V98" s="166"/>
      <c r="W98" s="166"/>
      <c r="X98" s="166"/>
    </row>
    <row r="99" spans="1:24">
      <c r="A99" s="166" t="s">
        <v>778</v>
      </c>
      <c r="B99" s="158" t="str">
        <f t="shared" si="10"/>
        <v>SID_SUMMON_LAVA_SPAWN</v>
      </c>
      <c r="C99" s="166" t="s">
        <v>188</v>
      </c>
      <c r="D99" s="166">
        <v>10</v>
      </c>
      <c r="E99" s="166">
        <v>100</v>
      </c>
      <c r="F99" s="166">
        <v>30</v>
      </c>
      <c r="G99" s="166" t="s">
        <v>777</v>
      </c>
      <c r="H99" s="166">
        <v>1</v>
      </c>
      <c r="I99" s="166" t="s">
        <v>609</v>
      </c>
      <c r="J99" s="166"/>
      <c r="K99" s="157" t="str">
        <f t="shared" si="9"/>
        <v>SpellData.create(SID_SUMMON_LAVA_SPAWN,"召唤炎魔",100,10,30,OrderId("soulburn"),1,ORDER_TYPE_IMMEDIATE);</v>
      </c>
      <c r="L99" s="157" t="str">
        <f t="shared" si="7"/>
        <v>SpellData.create(SID_SUMMON_LAVA_SPAWN,"Summon Lava Spawn",100,10,30,OrderId("soulburn"),1,ORDER_TYPE_IMMEDIATE);</v>
      </c>
      <c r="M99" s="166" t="s">
        <v>1693</v>
      </c>
      <c r="N99" s="166"/>
      <c r="O99" s="166"/>
      <c r="P99" s="166"/>
      <c r="Q99" s="166"/>
      <c r="R99" s="166"/>
      <c r="S99" s="166"/>
      <c r="T99" s="166"/>
      <c r="U99" s="166"/>
      <c r="V99" s="166"/>
      <c r="W99" s="166"/>
      <c r="X99" s="166"/>
    </row>
    <row r="100" spans="1:24">
      <c r="A100" s="166" t="s">
        <v>204</v>
      </c>
      <c r="B100" s="158" t="str">
        <f t="shared" si="10"/>
        <v>SID_FRENZY_WARLOCK</v>
      </c>
      <c r="C100" s="166" t="s">
        <v>162</v>
      </c>
      <c r="D100" s="166">
        <v>0</v>
      </c>
      <c r="E100" s="166">
        <v>0</v>
      </c>
      <c r="F100" s="166">
        <v>200</v>
      </c>
      <c r="G100" s="166" t="s">
        <v>744</v>
      </c>
      <c r="H100" s="166">
        <v>1</v>
      </c>
      <c r="I100" s="166" t="s">
        <v>609</v>
      </c>
      <c r="J100" s="166"/>
      <c r="K100" s="157" t="str">
        <f t="shared" si="9"/>
        <v>SpellData.create(SID_FRENZY_WARLOCK,"激怒",0,0,200,OrderId("stomp"),1,ORDER_TYPE_IMMEDIATE);</v>
      </c>
      <c r="L100" s="157" t="str">
        <f t="shared" si="7"/>
        <v>SpellData.create(SID_FRENZY_WARLOCK,"Frenzy Warlock",0,0,200,OrderId("stomp"),1,ORDER_TYPE_IMMEDIATE);</v>
      </c>
      <c r="M100" s="166" t="s">
        <v>1693</v>
      </c>
      <c r="N100" s="166"/>
      <c r="O100" s="166"/>
      <c r="P100" s="166"/>
      <c r="Q100" s="166"/>
      <c r="R100" s="166"/>
      <c r="S100" s="166"/>
      <c r="T100" s="166"/>
      <c r="U100" s="166"/>
      <c r="V100" s="166"/>
      <c r="W100" s="166"/>
      <c r="X100" s="166"/>
    </row>
    <row r="101" spans="1:24">
      <c r="A101" s="164" t="s">
        <v>775</v>
      </c>
      <c r="B101" s="158" t="str">
        <f t="shared" si="10"/>
        <v>SID_IMPALE</v>
      </c>
      <c r="C101" s="164" t="s">
        <v>776</v>
      </c>
      <c r="D101" s="164">
        <v>0</v>
      </c>
      <c r="E101" s="164">
        <v>0</v>
      </c>
      <c r="F101" s="158">
        <f>BossAbilities!H31</f>
        <v>20</v>
      </c>
      <c r="G101" s="164" t="s">
        <v>774</v>
      </c>
      <c r="H101" s="164">
        <v>1</v>
      </c>
      <c r="I101" s="164" t="s">
        <v>735</v>
      </c>
      <c r="J101" s="164"/>
      <c r="K101" s="157" t="str">
        <f t="shared" si="9"/>
        <v>SpellData.create(SID_IMPALE,"穿刺",0,0,20,OrderId("impale"),1,ORDER_TYPE_TARGET);</v>
      </c>
      <c r="L101" s="157" t="str">
        <f t="shared" si="7"/>
        <v>SpellData.create(SID_IMPALE,"Impale",0,0,20,OrderId("impale"),1,ORDER_TYPE_TARGET);</v>
      </c>
      <c r="M101" s="164" t="s">
        <v>1693</v>
      </c>
      <c r="N101" s="164"/>
      <c r="O101" s="164"/>
      <c r="P101" s="164"/>
      <c r="Q101" s="164"/>
      <c r="R101" s="164"/>
      <c r="S101" s="164"/>
      <c r="T101" s="164"/>
      <c r="U101" s="164"/>
      <c r="V101" s="164"/>
      <c r="W101" s="164"/>
      <c r="X101" s="164"/>
    </row>
    <row r="102" spans="1:24">
      <c r="A102" s="164" t="s">
        <v>772</v>
      </c>
      <c r="B102" s="158" t="str">
        <f t="shared" si="10"/>
        <v>SID_SUMMON_POISONOUS_CRAWLER</v>
      </c>
      <c r="C102" s="164" t="s">
        <v>773</v>
      </c>
      <c r="D102" s="164">
        <v>0</v>
      </c>
      <c r="E102" s="164">
        <v>0</v>
      </c>
      <c r="F102" s="158">
        <f>BossAbilities!H32</f>
        <v>25</v>
      </c>
      <c r="G102" s="164" t="s">
        <v>738</v>
      </c>
      <c r="H102" s="164">
        <v>1</v>
      </c>
      <c r="I102" s="164" t="s">
        <v>609</v>
      </c>
      <c r="J102" s="164"/>
      <c r="K102" s="157" t="str">
        <f t="shared" si="9"/>
        <v>SpellData.create(SID_SUMMON_POISONOUS_CRAWLER,"召唤剧毒爬行者",0,0,25,OrderId("slow"),1,ORDER_TYPE_IMMEDIATE);</v>
      </c>
      <c r="L102" s="157" t="str">
        <f t="shared" si="7"/>
        <v>SpellData.create(SID_SUMMON_POISONOUS_CRAWLER,"Summon Poisonous Crawler",0,0,25,OrderId("slow"),1,ORDER_TYPE_IMMEDIATE);</v>
      </c>
      <c r="M102" s="164" t="s">
        <v>1693</v>
      </c>
      <c r="N102" s="164"/>
      <c r="O102" s="164"/>
      <c r="P102" s="164"/>
      <c r="Q102" s="164"/>
      <c r="R102" s="164"/>
      <c r="S102" s="164"/>
      <c r="T102" s="164"/>
      <c r="U102" s="164"/>
      <c r="V102" s="164"/>
      <c r="W102" s="164"/>
      <c r="X102" s="164"/>
    </row>
    <row r="103" spans="1:24">
      <c r="A103" s="164" t="s">
        <v>770</v>
      </c>
      <c r="B103" s="158" t="str">
        <f t="shared" si="10"/>
        <v>SID_SUMMON_ABOMINATION</v>
      </c>
      <c r="C103" s="164" t="s">
        <v>771</v>
      </c>
      <c r="D103" s="164">
        <v>0</v>
      </c>
      <c r="E103" s="164">
        <v>0</v>
      </c>
      <c r="F103" s="158">
        <f>BossAbilities!H34</f>
        <v>20</v>
      </c>
      <c r="G103" s="164" t="s">
        <v>769</v>
      </c>
      <c r="H103" s="164">
        <v>1</v>
      </c>
      <c r="I103" s="164" t="s">
        <v>609</v>
      </c>
      <c r="J103" s="164"/>
      <c r="K103" s="157" t="str">
        <f t="shared" si="9"/>
        <v>SpellData.create(SID_SUMMON_ABOMINATION,"召唤憎恶",0,0,20,OrderId("charm"),1,ORDER_TYPE_IMMEDIATE);</v>
      </c>
      <c r="L103" s="157" t="str">
        <f t="shared" si="7"/>
        <v>SpellData.create(SID_SUMMON_ABOMINATION,"Summon Abomination",0,0,20,OrderId("charm"),1,ORDER_TYPE_IMMEDIATE);</v>
      </c>
      <c r="M103" s="164" t="s">
        <v>1693</v>
      </c>
      <c r="N103" s="164"/>
      <c r="O103" s="164"/>
      <c r="P103" s="164"/>
      <c r="Q103" s="164"/>
      <c r="R103" s="164"/>
      <c r="S103" s="164"/>
      <c r="T103" s="164"/>
      <c r="U103" s="164"/>
      <c r="V103" s="164"/>
      <c r="W103" s="164"/>
      <c r="X103" s="164"/>
    </row>
    <row r="104" spans="1:24">
      <c r="A104" s="164" t="s">
        <v>767</v>
      </c>
      <c r="B104" s="158" t="str">
        <f t="shared" si="10"/>
        <v>SID_SUMMON_WRAITH</v>
      </c>
      <c r="C104" s="164" t="s">
        <v>768</v>
      </c>
      <c r="D104" s="164">
        <v>0</v>
      </c>
      <c r="E104" s="164">
        <v>0</v>
      </c>
      <c r="F104" s="158">
        <f>BossAbilities!H35</f>
        <v>20</v>
      </c>
      <c r="G104" s="164" t="s">
        <v>766</v>
      </c>
      <c r="H104" s="164">
        <v>1</v>
      </c>
      <c r="I104" s="164" t="s">
        <v>609</v>
      </c>
      <c r="J104" s="164"/>
      <c r="K104" s="157" t="str">
        <f t="shared" si="9"/>
        <v>SpellData.create(SID_SUMMON_WRAITH,"召唤怨灵",0,0,20,OrderId("invisibility"),1,ORDER_TYPE_IMMEDIATE);</v>
      </c>
      <c r="L104" s="157" t="str">
        <f t="shared" si="7"/>
        <v>SpellData.create(SID_SUMMON_WRAITH,"Summon Wraith",0,0,20,OrderId("invisibility"),1,ORDER_TYPE_IMMEDIATE);</v>
      </c>
      <c r="M104" s="164" t="s">
        <v>1693</v>
      </c>
      <c r="N104" s="164"/>
      <c r="O104" s="164"/>
      <c r="P104" s="164"/>
      <c r="Q104" s="164"/>
      <c r="R104" s="164"/>
      <c r="S104" s="164"/>
      <c r="T104" s="164"/>
      <c r="U104" s="164"/>
      <c r="V104" s="164"/>
      <c r="W104" s="164"/>
      <c r="X104" s="164"/>
    </row>
    <row r="105" spans="1:24">
      <c r="A105" s="164" t="s">
        <v>764</v>
      </c>
      <c r="B105" s="158" t="str">
        <f t="shared" si="10"/>
        <v>SID_LIFE_SIPHON</v>
      </c>
      <c r="C105" s="164" t="s">
        <v>765</v>
      </c>
      <c r="D105" s="164">
        <v>5</v>
      </c>
      <c r="E105" s="164">
        <v>0</v>
      </c>
      <c r="F105" s="158">
        <f>BossAbilities!H33</f>
        <v>30</v>
      </c>
      <c r="G105" s="164" t="s">
        <v>740</v>
      </c>
      <c r="H105" s="164">
        <v>2</v>
      </c>
      <c r="I105" s="164" t="s">
        <v>609</v>
      </c>
      <c r="J105" s="164"/>
      <c r="K105" s="157" t="str">
        <f t="shared" si="9"/>
        <v>SpellData.create(SID_LIFE_SIPHON,"生命虹吸",0,5,30,OrderId("sleep"),2,ORDER_TYPE_IMMEDIATE);</v>
      </c>
      <c r="L105" s="157" t="str">
        <f t="shared" si="7"/>
        <v>SpellData.create(SID_LIFE_SIPHON,"Life Siphon",0,5,30,OrderId("sleep"),2,ORDER_TYPE_IMMEDIATE);</v>
      </c>
      <c r="M105" s="164" t="s">
        <v>1693</v>
      </c>
      <c r="N105" s="164"/>
      <c r="O105" s="164"/>
      <c r="P105" s="164"/>
      <c r="Q105" s="164"/>
      <c r="R105" s="164"/>
      <c r="S105" s="164"/>
      <c r="T105" s="164"/>
      <c r="U105" s="164"/>
      <c r="V105" s="164"/>
      <c r="W105" s="164"/>
      <c r="X105" s="164"/>
    </row>
    <row r="106" spans="1:24">
      <c r="A106" s="167" t="s">
        <v>1756</v>
      </c>
      <c r="B106" s="158" t="str">
        <f t="shared" si="10"/>
        <v>SID_FEL_EXECUTION</v>
      </c>
      <c r="C106" s="167" t="s">
        <v>1761</v>
      </c>
      <c r="D106" s="167">
        <v>0</v>
      </c>
      <c r="E106" s="167">
        <v>0</v>
      </c>
      <c r="F106" s="167">
        <v>20</v>
      </c>
      <c r="G106" s="167" t="s">
        <v>740</v>
      </c>
      <c r="H106" s="167">
        <v>1</v>
      </c>
      <c r="I106" s="167" t="s">
        <v>735</v>
      </c>
      <c r="J106" s="167"/>
      <c r="K106" s="157" t="str">
        <f t="shared" ref="K106:K110" si="11">IF(C106="N/A","//",CONCATENATE("SpellData.create(",B106,",",CHAR(34),C106,CHAR(34),",",E106,",",D106,",",F106,",",G106,",",H106,",",I106,")",J106,";"))</f>
        <v>SpellData.create(SID_FEL_EXECUTION,"邪恶处决",0,0,20,OrderId("sleep"),1,ORDER_TYPE_TARGET);</v>
      </c>
      <c r="L106" s="157" t="str">
        <f t="shared" ref="L106:L110" si="12">IF(A106="N/A","//",CONCATENATE("SpellData.create(",B106,",",CHAR(34),A106,CHAR(34),",",E106,",",D106,",",F106,",",G106,",",H106,",",I106,")",J106,";"))</f>
        <v>SpellData.create(SID_FEL_EXECUTION,"Fel Execution",0,0,20,OrderId("sleep"),1,ORDER_TYPE_TARGET);</v>
      </c>
      <c r="M106" s="164" t="s">
        <v>1693</v>
      </c>
      <c r="N106" s="164"/>
      <c r="O106" s="164"/>
      <c r="P106" s="164"/>
      <c r="Q106" s="164"/>
      <c r="R106" s="164"/>
      <c r="S106" s="164"/>
      <c r="T106" s="164"/>
      <c r="U106" s="164"/>
      <c r="V106" s="164"/>
      <c r="W106" s="164"/>
      <c r="X106" s="164"/>
    </row>
    <row r="107" spans="1:24">
      <c r="A107" s="167" t="s">
        <v>1757</v>
      </c>
      <c r="B107" s="158" t="str">
        <f t="shared" si="10"/>
        <v>SID_POWER_SLASH</v>
      </c>
      <c r="C107" s="167" t="s">
        <v>1762</v>
      </c>
      <c r="D107" s="167">
        <v>0</v>
      </c>
      <c r="E107" s="167">
        <v>0</v>
      </c>
      <c r="F107" s="167">
        <v>10</v>
      </c>
      <c r="G107" s="167" t="s">
        <v>826</v>
      </c>
      <c r="H107" s="167">
        <v>1</v>
      </c>
      <c r="I107" s="167" t="s">
        <v>735</v>
      </c>
      <c r="J107" s="167"/>
      <c r="K107" s="157" t="str">
        <f t="shared" si="11"/>
        <v>SpellData.create(SID_POWER_SLASH,"猛力挥击",0,0,10,OrderId("purge"),1,ORDER_TYPE_TARGET);</v>
      </c>
      <c r="L107" s="157" t="str">
        <f t="shared" si="12"/>
        <v>SpellData.create(SID_POWER_SLASH,"Power Slash",0,0,10,OrderId("purge"),1,ORDER_TYPE_TARGET);</v>
      </c>
      <c r="M107" s="164" t="s">
        <v>1693</v>
      </c>
      <c r="N107" s="164"/>
      <c r="O107" s="164"/>
      <c r="P107" s="164"/>
      <c r="Q107" s="164"/>
      <c r="R107" s="164"/>
      <c r="S107" s="164"/>
      <c r="T107" s="164"/>
      <c r="U107" s="164"/>
      <c r="V107" s="164"/>
      <c r="W107" s="164"/>
      <c r="X107" s="164"/>
    </row>
    <row r="108" spans="1:24">
      <c r="A108" s="167" t="s">
        <v>1758</v>
      </c>
      <c r="B108" s="158" t="str">
        <f t="shared" si="10"/>
        <v>SID_FEL_FRENZY</v>
      </c>
      <c r="C108" s="167" t="s">
        <v>1763</v>
      </c>
      <c r="D108" s="167">
        <v>0</v>
      </c>
      <c r="E108" s="167">
        <v>0</v>
      </c>
      <c r="F108" s="167">
        <v>20</v>
      </c>
      <c r="G108" s="167" t="s">
        <v>1637</v>
      </c>
      <c r="H108" s="167">
        <v>1</v>
      </c>
      <c r="I108" s="167" t="s">
        <v>609</v>
      </c>
      <c r="J108" s="167"/>
      <c r="K108" s="157" t="str">
        <f t="shared" si="11"/>
        <v>SpellData.create(SID_FEL_FRENZY,"邪恶狂乱",0,0,20,OrderId("howlofterror"),1,ORDER_TYPE_IMMEDIATE);</v>
      </c>
      <c r="L108" s="157" t="str">
        <f t="shared" si="12"/>
        <v>SpellData.create(SID_FEL_FRENZY,"Fel Frenzy",0,0,20,OrderId("howlofterror"),1,ORDER_TYPE_IMMEDIATE);</v>
      </c>
      <c r="M108" s="164" t="s">
        <v>1693</v>
      </c>
      <c r="N108" s="164"/>
      <c r="O108" s="164"/>
      <c r="P108" s="164"/>
      <c r="Q108" s="164"/>
      <c r="R108" s="164"/>
      <c r="S108" s="164"/>
      <c r="T108" s="164"/>
      <c r="U108" s="164"/>
      <c r="V108" s="164"/>
      <c r="W108" s="164"/>
      <c r="X108" s="164"/>
    </row>
    <row r="109" spans="1:24">
      <c r="A109" s="167" t="s">
        <v>1759</v>
      </c>
      <c r="B109" s="158" t="str">
        <f t="shared" si="10"/>
        <v>SID_POWER_SHADOW_SHIFT</v>
      </c>
      <c r="C109" s="167" t="s">
        <v>1764</v>
      </c>
      <c r="D109" s="167">
        <v>4</v>
      </c>
      <c r="E109" s="167">
        <v>0</v>
      </c>
      <c r="F109" s="167">
        <v>8</v>
      </c>
      <c r="G109" s="167" t="s">
        <v>738</v>
      </c>
      <c r="H109" s="167">
        <v>1</v>
      </c>
      <c r="I109" s="167" t="s">
        <v>735</v>
      </c>
      <c r="J109" s="167"/>
      <c r="K109" s="157" t="str">
        <f t="shared" si="11"/>
        <v>SpellData.create(SID_POWER_SHADOW_SHIFT,"强化暗影转化",0,4,8,OrderId("slow"),1,ORDER_TYPE_TARGET);</v>
      </c>
      <c r="L109" s="157" t="str">
        <f t="shared" si="12"/>
        <v>SpellData.create(SID_POWER_SHADOW_SHIFT,"Power Shadow Shift",0,4,8,OrderId("slow"),1,ORDER_TYPE_TARGET);</v>
      </c>
      <c r="M109" s="164" t="s">
        <v>1693</v>
      </c>
      <c r="N109" s="164"/>
      <c r="O109" s="164"/>
      <c r="P109" s="164"/>
      <c r="Q109" s="164"/>
      <c r="R109" s="164"/>
      <c r="S109" s="164"/>
      <c r="T109" s="164"/>
      <c r="U109" s="164"/>
      <c r="V109" s="164"/>
      <c r="W109" s="164"/>
      <c r="X109" s="164"/>
    </row>
    <row r="110" spans="1:24">
      <c r="A110" s="167" t="s">
        <v>1760</v>
      </c>
      <c r="B110" s="158" t="str">
        <f t="shared" si="10"/>
        <v>SID_SHADOW_DETONATION</v>
      </c>
      <c r="C110" s="167" t="s">
        <v>1765</v>
      </c>
      <c r="D110" s="167">
        <v>0</v>
      </c>
      <c r="E110" s="167">
        <v>0</v>
      </c>
      <c r="F110" s="167">
        <v>15</v>
      </c>
      <c r="G110" s="167" t="s">
        <v>824</v>
      </c>
      <c r="H110" s="167">
        <v>1</v>
      </c>
      <c r="I110" s="167" t="s">
        <v>781</v>
      </c>
      <c r="J110" s="167"/>
      <c r="K110" s="157" t="str">
        <f t="shared" si="11"/>
        <v>SpellData.create(SID_SHADOW_DETONATION,"暗影引爆",0,0,15,OrderId("blizzard"),1,ORDER_TYPE_POINT);</v>
      </c>
      <c r="L110" s="157" t="str">
        <f t="shared" si="12"/>
        <v>SpellData.create(SID_SHADOW_DETONATION,"Shadow Detonation",0,0,15,OrderId("blizzard"),1,ORDER_TYPE_POINT);</v>
      </c>
      <c r="M110" s="164" t="s">
        <v>1693</v>
      </c>
      <c r="N110" s="164"/>
      <c r="O110" s="164"/>
      <c r="P110" s="164"/>
      <c r="Q110" s="164"/>
      <c r="R110" s="164"/>
      <c r="S110" s="164"/>
      <c r="T110" s="164"/>
      <c r="U110" s="164"/>
      <c r="V110" s="164"/>
      <c r="W110" s="164"/>
      <c r="X110" s="164"/>
    </row>
    <row r="111" spans="1:24">
      <c r="A111" s="167" t="s">
        <v>1768</v>
      </c>
      <c r="B111" s="158" t="str">
        <f t="shared" si="10"/>
        <v>SID_SOUL_LINK</v>
      </c>
      <c r="C111" s="167"/>
      <c r="D111" s="167">
        <v>0</v>
      </c>
      <c r="E111" s="167">
        <v>0</v>
      </c>
      <c r="F111" s="167">
        <v>1</v>
      </c>
      <c r="G111" s="167" t="s">
        <v>769</v>
      </c>
      <c r="H111" s="167">
        <v>1</v>
      </c>
      <c r="I111" s="167" t="s">
        <v>735</v>
      </c>
      <c r="J111" s="167"/>
      <c r="K111" s="157" t="str">
        <f t="shared" ref="K111" si="13">IF(C111="N/A","//",CONCATENATE("SpellData.create(",B111,",",CHAR(34),C111,CHAR(34),",",E111,",",D111,",",F111,",",G111,",",H111,",",I111,")",J111,";"))</f>
        <v>SpellData.create(SID_SOUL_LINK,"",0,0,1,OrderId("charm"),1,ORDER_TYPE_TARGET);</v>
      </c>
      <c r="L111" s="157" t="str">
        <f t="shared" ref="L111" si="14">IF(A111="N/A","//",CONCATENATE("SpellData.create(",B111,",",CHAR(34),A111,CHAR(34),",",E111,",",D111,",",F111,",",G111,",",H111,",",I111,")",J111,";"))</f>
        <v>SpellData.create(SID_SOUL_LINK,"Soul Link",0,0,1,OrderId("charm"),1,ORDER_TYPE_TARGET);</v>
      </c>
      <c r="M111" s="164" t="s">
        <v>1693</v>
      </c>
      <c r="N111" s="164"/>
      <c r="O111" s="164"/>
      <c r="P111" s="164"/>
      <c r="Q111" s="164"/>
      <c r="R111" s="164"/>
      <c r="S111" s="164"/>
      <c r="T111" s="164"/>
      <c r="U111" s="164"/>
      <c r="V111" s="164"/>
      <c r="W111" s="164"/>
      <c r="X111" s="164"/>
    </row>
    <row r="112" spans="1:24">
      <c r="A112" s="163" t="s">
        <v>763</v>
      </c>
      <c r="B112" s="158" t="str">
        <f t="shared" si="10"/>
        <v>SID_SPIRIT_BOLT</v>
      </c>
      <c r="C112" s="163" t="s">
        <v>374</v>
      </c>
      <c r="D112" s="163">
        <v>10</v>
      </c>
      <c r="E112" s="163">
        <v>50</v>
      </c>
      <c r="F112" s="163">
        <v>40</v>
      </c>
      <c r="G112" s="163" t="s">
        <v>737</v>
      </c>
      <c r="H112" s="163">
        <v>2</v>
      </c>
      <c r="I112" s="163" t="s">
        <v>609</v>
      </c>
      <c r="J112" s="163"/>
      <c r="K112" s="157" t="str">
        <f t="shared" si="9"/>
        <v>SpellData.create(SID_SPIRIT_BOLT,"灵魂之箭",50,10,40,OrderId("heal"),2,ORDER_TYPE_IMMEDIATE);</v>
      </c>
      <c r="L112" s="157" t="str">
        <f t="shared" si="7"/>
        <v>SpellData.create(SID_SPIRIT_BOLT,"Spirit Bolt",50,10,40,OrderId("heal"),2,ORDER_TYPE_IMMEDIATE);</v>
      </c>
      <c r="M112" s="163" t="s">
        <v>1693</v>
      </c>
      <c r="N112" s="163"/>
      <c r="O112" s="163"/>
      <c r="P112" s="163"/>
      <c r="Q112" s="163"/>
      <c r="R112" s="163"/>
      <c r="S112" s="163"/>
      <c r="T112" s="163"/>
      <c r="U112" s="163"/>
      <c r="V112" s="163"/>
      <c r="W112" s="163"/>
      <c r="X112" s="163"/>
    </row>
    <row r="113" spans="1:24">
      <c r="A113" s="163" t="s">
        <v>762</v>
      </c>
      <c r="B113" s="158" t="str">
        <f t="shared" si="10"/>
        <v>SID_SPIRIT_HARVEST</v>
      </c>
      <c r="C113" s="163" t="s">
        <v>376</v>
      </c>
      <c r="D113" s="163">
        <v>0</v>
      </c>
      <c r="E113" s="163">
        <v>0</v>
      </c>
      <c r="F113" s="163">
        <v>35</v>
      </c>
      <c r="G113" s="163" t="s">
        <v>761</v>
      </c>
      <c r="H113" s="163">
        <v>1</v>
      </c>
      <c r="I113" s="163" t="s">
        <v>609</v>
      </c>
      <c r="J113" s="163"/>
      <c r="K113" s="157" t="str">
        <f t="shared" si="9"/>
        <v>SpellData.create(SID_SPIRIT_HARVEST,"灵魂收割",0,0,35,OrderId("hex"),1,ORDER_TYPE_IMMEDIATE);</v>
      </c>
      <c r="L113" s="157" t="str">
        <f t="shared" si="7"/>
        <v>SpellData.create(SID_SPIRIT_HARVEST,"Spirit Harvest",0,0,35,OrderId("hex"),1,ORDER_TYPE_IMMEDIATE);</v>
      </c>
      <c r="M113" s="163" t="s">
        <v>1693</v>
      </c>
      <c r="N113" s="163"/>
      <c r="O113" s="163"/>
      <c r="P113" s="163"/>
      <c r="Q113" s="163"/>
      <c r="R113" s="163"/>
      <c r="S113" s="163"/>
      <c r="T113" s="163"/>
      <c r="U113" s="163"/>
      <c r="V113" s="163"/>
      <c r="W113" s="163"/>
      <c r="X113" s="163"/>
    </row>
    <row r="114" spans="1:24">
      <c r="A114" s="163" t="s">
        <v>1647</v>
      </c>
      <c r="B114" s="158" t="str">
        <f t="shared" si="10"/>
        <v>SID_SUN_FIRE_STORMHEX</v>
      </c>
      <c r="C114" s="163" t="s">
        <v>8</v>
      </c>
      <c r="D114" s="163">
        <v>0</v>
      </c>
      <c r="E114" s="163">
        <v>100</v>
      </c>
      <c r="F114" s="163">
        <v>10</v>
      </c>
      <c r="G114" s="163" t="s">
        <v>738</v>
      </c>
      <c r="H114" s="163">
        <v>1</v>
      </c>
      <c r="I114" s="163" t="s">
        <v>609</v>
      </c>
      <c r="J114" s="163"/>
      <c r="K114" s="157" t="str">
        <f t="shared" si="9"/>
        <v>SpellData.create(SID_SUN_FIRE_STORMHEX,"阳炎风暴",100,0,10,OrderId("slow"),1,ORDER_TYPE_IMMEDIATE);</v>
      </c>
      <c r="L114" s="157" t="str">
        <f t="shared" si="7"/>
        <v>SpellData.create(SID_SUN_FIRE_STORMHEX,"Sun fire Stormhex",100,0,10,OrderId("slow"),1,ORDER_TYPE_IMMEDIATE);</v>
      </c>
      <c r="M114" s="163" t="s">
        <v>1693</v>
      </c>
      <c r="N114" s="163"/>
      <c r="O114" s="163"/>
      <c r="P114" s="163"/>
      <c r="Q114" s="163"/>
      <c r="R114" s="163"/>
      <c r="S114" s="163"/>
      <c r="T114" s="163"/>
      <c r="U114" s="163"/>
      <c r="V114" s="163"/>
      <c r="W114" s="163"/>
      <c r="X114" s="163"/>
    </row>
    <row r="115" spans="1:24">
      <c r="A115" s="163" t="s">
        <v>1648</v>
      </c>
      <c r="B115" s="158" t="str">
        <f t="shared" si="10"/>
        <v>SID_SHIELD_OF_SINDOREIHEX</v>
      </c>
      <c r="C115" s="163" t="s">
        <v>15</v>
      </c>
      <c r="D115" s="163">
        <v>0</v>
      </c>
      <c r="E115" s="163">
        <v>0</v>
      </c>
      <c r="F115" s="163">
        <v>10</v>
      </c>
      <c r="G115" s="163" t="s">
        <v>740</v>
      </c>
      <c r="H115" s="163">
        <v>1</v>
      </c>
      <c r="I115" s="163" t="s">
        <v>609</v>
      </c>
      <c r="J115" s="163"/>
      <c r="K115" s="157" t="str">
        <f t="shared" si="9"/>
        <v>SpellData.create(SID_SHIELD_OF_SINDOREIHEX,"辛多雷之盾",0,0,10,OrderId("sleep"),1,ORDER_TYPE_IMMEDIATE);</v>
      </c>
      <c r="L115" s="157" t="str">
        <f t="shared" si="7"/>
        <v>SpellData.create(SID_SHIELD_OF_SINDOREIHEX,"Shield of Sindoreihex",0,0,10,OrderId("sleep"),1,ORDER_TYPE_IMMEDIATE);</v>
      </c>
      <c r="M115" s="163" t="s">
        <v>1693</v>
      </c>
      <c r="N115" s="163"/>
      <c r="O115" s="163"/>
      <c r="P115" s="163"/>
      <c r="Q115" s="163"/>
      <c r="R115" s="163"/>
      <c r="S115" s="163"/>
      <c r="T115" s="163"/>
      <c r="U115" s="163"/>
      <c r="V115" s="163"/>
      <c r="W115" s="163"/>
      <c r="X115" s="163"/>
    </row>
    <row r="116" spans="1:24">
      <c r="A116" s="163" t="s">
        <v>1649</v>
      </c>
      <c r="B116" s="158" t="str">
        <f t="shared" si="10"/>
        <v>SID_SAVAGE_ROAR_HEX</v>
      </c>
      <c r="C116" s="163" t="s">
        <v>20</v>
      </c>
      <c r="D116" s="163">
        <v>0</v>
      </c>
      <c r="E116" s="163">
        <v>0</v>
      </c>
      <c r="F116" s="163">
        <v>10</v>
      </c>
      <c r="G116" s="163" t="s">
        <v>740</v>
      </c>
      <c r="H116" s="163">
        <v>1</v>
      </c>
      <c r="I116" s="163" t="s">
        <v>609</v>
      </c>
      <c r="J116" s="163"/>
      <c r="K116" s="157" t="str">
        <f t="shared" si="9"/>
        <v>SpellData.create(SID_SAVAGE_ROAR_HEX,"野蛮咆哮",0,0,10,OrderId("sleep"),1,ORDER_TYPE_IMMEDIATE);</v>
      </c>
      <c r="L116" s="157" t="str">
        <f t="shared" si="7"/>
        <v>SpellData.create(SID_SAVAGE_ROAR_HEX,"Savage Roar hex",0,0,10,OrderId("sleep"),1,ORDER_TYPE_IMMEDIATE);</v>
      </c>
      <c r="M116" s="163" t="s">
        <v>1693</v>
      </c>
      <c r="N116" s="163"/>
      <c r="O116" s="163"/>
      <c r="P116" s="163"/>
      <c r="Q116" s="163"/>
      <c r="R116" s="163"/>
      <c r="S116" s="163"/>
      <c r="T116" s="163"/>
      <c r="U116" s="163"/>
      <c r="V116" s="163"/>
      <c r="W116" s="163"/>
      <c r="X116" s="163"/>
    </row>
    <row r="117" spans="1:24">
      <c r="A117" s="163" t="s">
        <v>1650</v>
      </c>
      <c r="B117" s="158" t="str">
        <f t="shared" si="10"/>
        <v>SID_NATURAL_REFLEX_HEX</v>
      </c>
      <c r="C117" s="163" t="s">
        <v>26</v>
      </c>
      <c r="D117" s="163">
        <v>0</v>
      </c>
      <c r="E117" s="163">
        <v>0</v>
      </c>
      <c r="F117" s="163">
        <v>12</v>
      </c>
      <c r="G117" s="163" t="s">
        <v>738</v>
      </c>
      <c r="H117" s="163">
        <v>1</v>
      </c>
      <c r="I117" s="163" t="s">
        <v>609</v>
      </c>
      <c r="J117" s="163"/>
      <c r="K117" s="157" t="str">
        <f t="shared" si="9"/>
        <v>SpellData.create(SID_NATURAL_REFLEX_HEX,"自然反射",0,0,12,OrderId("slow"),1,ORDER_TYPE_IMMEDIATE);</v>
      </c>
      <c r="L117" s="157" t="str">
        <f t="shared" si="7"/>
        <v>SpellData.create(SID_NATURAL_REFLEX_HEX,"Natural Reflex hex",0,0,12,OrderId("slow"),1,ORDER_TYPE_IMMEDIATE);</v>
      </c>
      <c r="M117" s="163" t="s">
        <v>1693</v>
      </c>
      <c r="N117" s="163"/>
      <c r="O117" s="163"/>
      <c r="P117" s="163"/>
      <c r="Q117" s="163"/>
      <c r="R117" s="163"/>
      <c r="S117" s="163"/>
      <c r="T117" s="163"/>
      <c r="U117" s="163"/>
      <c r="V117" s="163"/>
      <c r="W117" s="163"/>
      <c r="X117" s="163"/>
    </row>
    <row r="118" spans="1:24">
      <c r="A118" s="163" t="s">
        <v>1651</v>
      </c>
      <c r="B118" s="158" t="str">
        <f t="shared" si="10"/>
        <v>SID_TRANQUILITY_HEX</v>
      </c>
      <c r="C118" s="163" t="s">
        <v>46</v>
      </c>
      <c r="D118" s="163">
        <v>8</v>
      </c>
      <c r="E118" s="163">
        <v>100</v>
      </c>
      <c r="F118" s="163">
        <v>10</v>
      </c>
      <c r="G118" s="163" t="s">
        <v>738</v>
      </c>
      <c r="H118" s="163">
        <v>1</v>
      </c>
      <c r="I118" s="163" t="s">
        <v>609</v>
      </c>
      <c r="J118" s="163"/>
      <c r="K118" s="157" t="str">
        <f t="shared" si="9"/>
        <v>SpellData.create(SID_TRANQUILITY_HEX,"宁静",100,8,10,OrderId("slow"),1,ORDER_TYPE_IMMEDIATE);</v>
      </c>
      <c r="L118" s="157" t="str">
        <f t="shared" si="7"/>
        <v>SpellData.create(SID_TRANQUILITY_HEX,"Tranquility hex",100,8,10,OrderId("slow"),1,ORDER_TYPE_IMMEDIATE);</v>
      </c>
      <c r="M118" s="163" t="s">
        <v>1693</v>
      </c>
      <c r="N118" s="163"/>
      <c r="O118" s="163"/>
      <c r="P118" s="163"/>
      <c r="Q118" s="163"/>
      <c r="R118" s="163"/>
      <c r="S118" s="163"/>
      <c r="T118" s="163"/>
      <c r="U118" s="163"/>
      <c r="V118" s="163"/>
      <c r="W118" s="163"/>
      <c r="X118" s="163"/>
    </row>
    <row r="119" spans="1:24">
      <c r="A119" s="163" t="s">
        <v>1652</v>
      </c>
      <c r="B119" s="158" t="str">
        <f t="shared" si="10"/>
        <v>SID_LIFE_BLOOMHEX</v>
      </c>
      <c r="C119" s="163" t="s">
        <v>38</v>
      </c>
      <c r="D119" s="163">
        <v>0</v>
      </c>
      <c r="E119" s="163">
        <v>25</v>
      </c>
      <c r="F119" s="163">
        <v>10</v>
      </c>
      <c r="G119" s="163" t="s">
        <v>740</v>
      </c>
      <c r="H119" s="163">
        <v>1</v>
      </c>
      <c r="I119" s="163" t="s">
        <v>735</v>
      </c>
      <c r="J119" s="163"/>
      <c r="K119" s="157" t="str">
        <f t="shared" si="9"/>
        <v>SpellData.create(SID_LIFE_BLOOMHEX,"生命绽放",25,0,10,OrderId("sleep"),1,ORDER_TYPE_TARGET);</v>
      </c>
      <c r="L119" s="157" t="str">
        <f t="shared" si="7"/>
        <v>SpellData.create(SID_LIFE_BLOOMHEX,"Life Bloomhex",25,0,10,OrderId("sleep"),1,ORDER_TYPE_TARGET);</v>
      </c>
      <c r="M119" s="163" t="s">
        <v>1693</v>
      </c>
      <c r="N119" s="163"/>
      <c r="O119" s="163"/>
      <c r="P119" s="163"/>
      <c r="Q119" s="163"/>
      <c r="R119" s="163"/>
      <c r="S119" s="163"/>
      <c r="T119" s="163"/>
      <c r="U119" s="163"/>
      <c r="V119" s="163"/>
      <c r="W119" s="163"/>
      <c r="X119" s="163"/>
    </row>
    <row r="120" spans="1:24">
      <c r="A120" s="163" t="s">
        <v>1674</v>
      </c>
      <c r="B120" s="158" t="str">
        <f t="shared" si="10"/>
        <v>SID_HOLY_BOLT_HEX</v>
      </c>
      <c r="C120" s="163" t="s">
        <v>86</v>
      </c>
      <c r="D120" s="163">
        <v>4</v>
      </c>
      <c r="E120" s="163">
        <v>100</v>
      </c>
      <c r="F120" s="163">
        <v>10</v>
      </c>
      <c r="G120" s="163" t="s">
        <v>738</v>
      </c>
      <c r="H120" s="163">
        <v>1</v>
      </c>
      <c r="I120" s="163" t="s">
        <v>735</v>
      </c>
      <c r="J120" s="163"/>
      <c r="K120" s="157" t="str">
        <f t="shared" si="9"/>
        <v>SpellData.create(SID_HOLY_BOLT_HEX,"圣光术",100,4,10,OrderId("slow"),1,ORDER_TYPE_TARGET);</v>
      </c>
      <c r="L120" s="157" t="str">
        <f t="shared" si="7"/>
        <v>SpellData.create(SID_HOLY_BOLT_HEX,"Holy Bolt hex",100,4,10,OrderId("slow"),1,ORDER_TYPE_TARGET);</v>
      </c>
      <c r="M120" s="163" t="s">
        <v>1693</v>
      </c>
      <c r="N120" s="163"/>
      <c r="O120" s="163"/>
      <c r="P120" s="163"/>
      <c r="Q120" s="163"/>
      <c r="R120" s="163"/>
      <c r="S120" s="163"/>
      <c r="T120" s="163"/>
      <c r="U120" s="163"/>
      <c r="V120" s="163"/>
      <c r="W120" s="163"/>
      <c r="X120" s="163"/>
    </row>
    <row r="121" spans="1:24">
      <c r="A121" s="163" t="s">
        <v>1653</v>
      </c>
      <c r="B121" s="158" t="str">
        <f t="shared" si="10"/>
        <v>SID_HOLY_SHOCK_HEX</v>
      </c>
      <c r="C121" s="163" t="s">
        <v>91</v>
      </c>
      <c r="D121" s="163">
        <v>0</v>
      </c>
      <c r="E121" s="163">
        <v>50</v>
      </c>
      <c r="F121" s="163">
        <v>10</v>
      </c>
      <c r="G121" s="163" t="s">
        <v>740</v>
      </c>
      <c r="H121" s="163">
        <v>1</v>
      </c>
      <c r="I121" s="163" t="s">
        <v>735</v>
      </c>
      <c r="J121" s="163"/>
      <c r="K121" s="157" t="str">
        <f t="shared" si="9"/>
        <v>SpellData.create(SID_HOLY_SHOCK_HEX,"神圣震击",50,0,10,OrderId("sleep"),1,ORDER_TYPE_TARGET);</v>
      </c>
      <c r="L121" s="157" t="str">
        <f t="shared" si="7"/>
        <v>SpellData.create(SID_HOLY_SHOCK_HEX,"Holy Shock hex",50,0,10,OrderId("sleep"),1,ORDER_TYPE_TARGET);</v>
      </c>
      <c r="M121" s="163" t="s">
        <v>1693</v>
      </c>
      <c r="N121" s="163"/>
      <c r="O121" s="163"/>
      <c r="P121" s="163"/>
      <c r="Q121" s="163"/>
      <c r="R121" s="163"/>
      <c r="S121" s="163"/>
      <c r="T121" s="163"/>
      <c r="U121" s="163"/>
      <c r="V121" s="163"/>
      <c r="W121" s="163"/>
      <c r="X121" s="163"/>
    </row>
    <row r="122" spans="1:24">
      <c r="A122" s="163" t="s">
        <v>1654</v>
      </c>
      <c r="B122" s="158" t="str">
        <f>"SID_"&amp;UPPER(SUBSTITUTE(A122," ","_"))</f>
        <v>SID_HEAL_HEX</v>
      </c>
      <c r="C122" s="163" t="s">
        <v>106</v>
      </c>
      <c r="D122" s="163">
        <v>0</v>
      </c>
      <c r="E122" s="163">
        <v>50</v>
      </c>
      <c r="F122" s="163">
        <v>10</v>
      </c>
      <c r="G122" s="163" t="s">
        <v>738</v>
      </c>
      <c r="H122" s="163">
        <v>1</v>
      </c>
      <c r="I122" s="163" t="s">
        <v>735</v>
      </c>
      <c r="J122" s="163"/>
      <c r="K122" s="157" t="str">
        <f t="shared" si="9"/>
        <v>SpellData.create(SID_HEAL_HEX,"医疗术",50,0,10,OrderId("slow"),1,ORDER_TYPE_TARGET);</v>
      </c>
      <c r="L122" s="157" t="str">
        <f t="shared" si="7"/>
        <v>SpellData.create(SID_HEAL_HEX,"Heal hex",50,0,10,OrderId("slow"),1,ORDER_TYPE_TARGET);</v>
      </c>
      <c r="M122" s="163" t="s">
        <v>1693</v>
      </c>
      <c r="N122" s="163"/>
      <c r="O122" s="163"/>
      <c r="P122" s="163"/>
      <c r="Q122" s="163"/>
      <c r="R122" s="163"/>
      <c r="S122" s="163"/>
      <c r="T122" s="163"/>
      <c r="U122" s="163"/>
      <c r="V122" s="163"/>
      <c r="W122" s="163"/>
      <c r="X122" s="163"/>
    </row>
    <row r="123" spans="1:24">
      <c r="A123" s="163" t="s">
        <v>1655</v>
      </c>
      <c r="B123" s="158" t="str">
        <f t="shared" si="10"/>
        <v>SID_SHIELD_HEX</v>
      </c>
      <c r="C123" s="163" t="s">
        <v>115</v>
      </c>
      <c r="D123" s="163">
        <v>0</v>
      </c>
      <c r="E123" s="163">
        <v>100</v>
      </c>
      <c r="F123" s="163">
        <v>10</v>
      </c>
      <c r="G123" s="163" t="s">
        <v>740</v>
      </c>
      <c r="H123" s="163">
        <v>1</v>
      </c>
      <c r="I123" s="163" t="s">
        <v>735</v>
      </c>
      <c r="J123" s="163"/>
      <c r="K123" s="157" t="str">
        <f t="shared" si="9"/>
        <v>SpellData.create(SID_SHIELD_HEX,"护盾术",100,0,10,OrderId("sleep"),1,ORDER_TYPE_TARGET);</v>
      </c>
      <c r="L123" s="157" t="str">
        <f t="shared" si="7"/>
        <v>SpellData.create(SID_SHIELD_HEX,"Shield hex",100,0,10,OrderId("sleep"),1,ORDER_TYPE_TARGET);</v>
      </c>
      <c r="M123" s="163" t="s">
        <v>1693</v>
      </c>
      <c r="N123" s="163"/>
      <c r="O123" s="163"/>
      <c r="P123" s="163"/>
      <c r="Q123" s="163"/>
      <c r="R123" s="163"/>
      <c r="S123" s="163"/>
      <c r="T123" s="163"/>
      <c r="U123" s="163"/>
      <c r="V123" s="163"/>
      <c r="W123" s="163"/>
      <c r="X123" s="163"/>
    </row>
    <row r="124" spans="1:24">
      <c r="A124" s="163" t="s">
        <v>1656</v>
      </c>
      <c r="B124" s="158" t="str">
        <f t="shared" si="10"/>
        <v>SID_MORTAL_STRIKE_HEX</v>
      </c>
      <c r="C124" s="163" t="s">
        <v>189</v>
      </c>
      <c r="D124" s="163">
        <v>0</v>
      </c>
      <c r="E124" s="163">
        <v>0</v>
      </c>
      <c r="F124" s="163">
        <v>10</v>
      </c>
      <c r="G124" s="163" t="s">
        <v>738</v>
      </c>
      <c r="H124" s="163">
        <v>1</v>
      </c>
      <c r="I124" s="163" t="s">
        <v>735</v>
      </c>
      <c r="J124" s="163"/>
      <c r="K124" s="157" t="str">
        <f t="shared" si="9"/>
        <v>SpellData.create(SID_MORTAL_STRIKE_HEX,"致死打击",0,0,10,OrderId("slow"),1,ORDER_TYPE_TARGET);</v>
      </c>
      <c r="L124" s="157" t="str">
        <f t="shared" si="7"/>
        <v>SpellData.create(SID_MORTAL_STRIKE_HEX,"Mortal Strike hex",0,0,10,OrderId("slow"),1,ORDER_TYPE_TARGET);</v>
      </c>
      <c r="M124" s="163" t="s">
        <v>1693</v>
      </c>
      <c r="N124" s="163"/>
      <c r="O124" s="163"/>
      <c r="P124" s="163"/>
      <c r="Q124" s="163"/>
      <c r="R124" s="163"/>
      <c r="S124" s="163"/>
      <c r="T124" s="163"/>
      <c r="U124" s="163"/>
      <c r="V124" s="163"/>
      <c r="W124" s="163"/>
      <c r="X124" s="163"/>
    </row>
    <row r="125" spans="1:24">
      <c r="A125" s="163" t="s">
        <v>1657</v>
      </c>
      <c r="B125" s="158" t="str">
        <f>"SID_"&amp;UPPER(SUBSTITUTE(A125," ","_"))</f>
        <v>SID_OVER_POWER_HEX</v>
      </c>
      <c r="C125" s="163" t="s">
        <v>187</v>
      </c>
      <c r="D125" s="163">
        <v>0</v>
      </c>
      <c r="E125" s="163">
        <v>0</v>
      </c>
      <c r="F125" s="163">
        <v>7</v>
      </c>
      <c r="G125" s="163" t="s">
        <v>740</v>
      </c>
      <c r="H125" s="163">
        <v>1</v>
      </c>
      <c r="I125" s="163" t="s">
        <v>735</v>
      </c>
      <c r="J125" s="163"/>
      <c r="K125" s="157" t="str">
        <f t="shared" si="9"/>
        <v>SpellData.create(SID_OVER_POWER_HEX,"压制",0,0,7,OrderId("sleep"),1,ORDER_TYPE_TARGET);</v>
      </c>
      <c r="L125" s="157" t="str">
        <f t="shared" si="7"/>
        <v>SpellData.create(SID_OVER_POWER_HEX,"Over power hex",0,0,7,OrderId("sleep"),1,ORDER_TYPE_TARGET);</v>
      </c>
      <c r="M125" s="163" t="s">
        <v>1693</v>
      </c>
      <c r="N125" s="163"/>
      <c r="O125" s="163"/>
      <c r="P125" s="163"/>
      <c r="Q125" s="163"/>
      <c r="R125" s="163"/>
      <c r="S125" s="163"/>
      <c r="T125" s="163"/>
      <c r="U125" s="163"/>
      <c r="V125" s="163"/>
      <c r="W125" s="163"/>
      <c r="X125" s="163"/>
    </row>
    <row r="126" spans="1:24">
      <c r="A126" s="163" t="s">
        <v>1658</v>
      </c>
      <c r="B126" s="158" t="str">
        <f t="shared" ref="B126:B142" si="15">"SID_"&amp;UPPER(SUBSTITUTE(A126," ","_"))</f>
        <v>SID_DARK_ARROW_HEX</v>
      </c>
      <c r="C126" s="163" t="s">
        <v>139</v>
      </c>
      <c r="D126" s="163">
        <v>0</v>
      </c>
      <c r="E126" s="163">
        <v>0</v>
      </c>
      <c r="F126" s="163">
        <v>4</v>
      </c>
      <c r="G126" s="163" t="s">
        <v>738</v>
      </c>
      <c r="H126" s="163">
        <v>1</v>
      </c>
      <c r="I126" s="163" t="s">
        <v>735</v>
      </c>
      <c r="J126" s="163"/>
      <c r="K126" s="157" t="str">
        <f t="shared" si="9"/>
        <v>SpellData.create(SID_DARK_ARROW_HEX,"黑箭",0,0,4,OrderId("slow"),1,ORDER_TYPE_TARGET);</v>
      </c>
      <c r="L126" s="157" t="str">
        <f t="shared" si="7"/>
        <v>SpellData.create(SID_DARK_ARROW_HEX,"Dark Arrow hex",0,0,4,OrderId("slow"),1,ORDER_TYPE_TARGET);</v>
      </c>
      <c r="M126" s="163" t="s">
        <v>1693</v>
      </c>
      <c r="N126" s="163"/>
      <c r="O126" s="163"/>
      <c r="P126" s="163"/>
      <c r="Q126" s="163"/>
      <c r="R126" s="163"/>
      <c r="S126" s="163"/>
      <c r="T126" s="163"/>
      <c r="U126" s="163"/>
      <c r="V126" s="163"/>
      <c r="W126" s="163"/>
      <c r="X126" s="163"/>
    </row>
    <row r="127" spans="1:24">
      <c r="A127" s="163" t="s">
        <v>1660</v>
      </c>
      <c r="B127" s="158" t="str">
        <f t="shared" si="15"/>
        <v>SID_FREEZING_TRAP_HEX</v>
      </c>
      <c r="C127" s="163" t="s">
        <v>142</v>
      </c>
      <c r="D127" s="163">
        <v>0</v>
      </c>
      <c r="E127" s="163">
        <v>0</v>
      </c>
      <c r="F127" s="163">
        <v>10</v>
      </c>
      <c r="G127" s="163" t="s">
        <v>740</v>
      </c>
      <c r="H127" s="163">
        <v>1</v>
      </c>
      <c r="I127" s="163" t="s">
        <v>609</v>
      </c>
      <c r="J127" s="163"/>
      <c r="K127" s="157" t="str">
        <f t="shared" si="9"/>
        <v>SpellData.create(SID_FREEZING_TRAP_HEX,"冰冻陷阱",0,0,10,OrderId("sleep"),1,ORDER_TYPE_IMMEDIATE);</v>
      </c>
      <c r="L127" s="157" t="str">
        <f t="shared" si="7"/>
        <v>SpellData.create(SID_FREEZING_TRAP_HEX,"Freezing Trap hex",0,0,10,OrderId("sleep"),1,ORDER_TYPE_IMMEDIATE);</v>
      </c>
      <c r="M127" s="163" t="s">
        <v>1693</v>
      </c>
      <c r="N127" s="163"/>
      <c r="O127" s="163"/>
      <c r="P127" s="163"/>
      <c r="Q127" s="163"/>
      <c r="R127" s="163"/>
      <c r="S127" s="163"/>
      <c r="T127" s="163"/>
      <c r="U127" s="163"/>
      <c r="V127" s="163"/>
      <c r="W127" s="163"/>
      <c r="X127" s="163"/>
    </row>
    <row r="128" spans="1:24">
      <c r="A128" s="163" t="s">
        <v>1659</v>
      </c>
      <c r="B128" s="158" t="str">
        <f t="shared" si="15"/>
        <v>SID_FROST_BOLT_HEX</v>
      </c>
      <c r="C128" s="163" t="s">
        <v>205</v>
      </c>
      <c r="D128" s="163">
        <v>3</v>
      </c>
      <c r="E128" s="163">
        <v>50</v>
      </c>
      <c r="F128" s="163">
        <v>5</v>
      </c>
      <c r="G128" s="163" t="s">
        <v>738</v>
      </c>
      <c r="H128" s="163">
        <v>1</v>
      </c>
      <c r="I128" s="163" t="s">
        <v>735</v>
      </c>
      <c r="J128" s="163"/>
      <c r="K128" s="157" t="str">
        <f t="shared" si="9"/>
        <v>SpellData.create(SID_FROST_BOLT_HEX,"寒冰箭",50,3,5,OrderId("slow"),1,ORDER_TYPE_TARGET);</v>
      </c>
      <c r="L128" s="157" t="str">
        <f t="shared" ref="L128:L205" si="16">IF(A128="N/A","//",CONCATENATE("SpellData.create(",B128,",",CHAR(34),A128,CHAR(34),",",E128,",",D128,",",F128,",",G128,",",H128,",",I128,")",J128,";"))</f>
        <v>SpellData.create(SID_FROST_BOLT_HEX,"Frost Bolt hex",50,3,5,OrderId("slow"),1,ORDER_TYPE_TARGET);</v>
      </c>
      <c r="M128" s="163" t="s">
        <v>1693</v>
      </c>
      <c r="N128" s="163"/>
      <c r="O128" s="163"/>
      <c r="P128" s="163"/>
      <c r="Q128" s="163"/>
      <c r="R128" s="163"/>
      <c r="S128" s="163"/>
      <c r="T128" s="163"/>
      <c r="U128" s="163"/>
      <c r="V128" s="163"/>
      <c r="W128" s="163"/>
      <c r="X128" s="163"/>
    </row>
    <row r="129" spans="1:24">
      <c r="A129" s="163" t="s">
        <v>1661</v>
      </c>
      <c r="B129" s="158" t="str">
        <f t="shared" si="15"/>
        <v>SID_POLYMORPH_HEX</v>
      </c>
      <c r="C129" s="163" t="s">
        <v>226</v>
      </c>
      <c r="D129" s="163">
        <v>0</v>
      </c>
      <c r="E129" s="163">
        <v>50</v>
      </c>
      <c r="F129" s="163">
        <v>10</v>
      </c>
      <c r="G129" s="163" t="s">
        <v>740</v>
      </c>
      <c r="H129" s="163">
        <v>1</v>
      </c>
      <c r="I129" s="163" t="s">
        <v>735</v>
      </c>
      <c r="J129" s="163"/>
      <c r="K129" s="157" t="str">
        <f t="shared" si="9"/>
        <v>SpellData.create(SID_POLYMORPH_HEX,"变形术",50,0,10,OrderId("sleep"),1,ORDER_TYPE_TARGET);</v>
      </c>
      <c r="L129" s="157" t="str">
        <f t="shared" si="16"/>
        <v>SpellData.create(SID_POLYMORPH_HEX,"Polymorph hex",50,0,10,OrderId("sleep"),1,ORDER_TYPE_TARGET);</v>
      </c>
      <c r="M129" s="163" t="s">
        <v>1693</v>
      </c>
      <c r="N129" s="163"/>
      <c r="O129" s="163"/>
      <c r="P129" s="163"/>
      <c r="Q129" s="163"/>
      <c r="R129" s="163"/>
      <c r="S129" s="163"/>
      <c r="T129" s="163"/>
      <c r="U129" s="163"/>
      <c r="V129" s="163"/>
      <c r="W129" s="163"/>
      <c r="X129" s="163"/>
    </row>
    <row r="130" spans="1:24">
      <c r="A130" s="163" t="s">
        <v>1662</v>
      </c>
      <c r="B130" s="158" t="str">
        <f t="shared" si="15"/>
        <v>SID_LIGHTNING_TOTEM_HEX</v>
      </c>
      <c r="C130" s="163" t="s">
        <v>431</v>
      </c>
      <c r="D130" s="163">
        <v>0</v>
      </c>
      <c r="E130" s="163">
        <v>0</v>
      </c>
      <c r="F130" s="163">
        <v>10</v>
      </c>
      <c r="G130" s="163" t="s">
        <v>738</v>
      </c>
      <c r="H130" s="163">
        <v>1</v>
      </c>
      <c r="I130" s="163" t="s">
        <v>609</v>
      </c>
      <c r="J130" s="163"/>
      <c r="K130" s="157" t="str">
        <f t="shared" si="9"/>
        <v>SpellData.create(SID_LIGHTNING_TOTEM_HEX,"闪电图腾",0,0,10,OrderId("slow"),1,ORDER_TYPE_IMMEDIATE);</v>
      </c>
      <c r="L130" s="157" t="str">
        <f t="shared" si="16"/>
        <v>SpellData.create(SID_LIGHTNING_TOTEM_HEX,"Lightning Totem hex",0,0,10,OrderId("slow"),1,ORDER_TYPE_IMMEDIATE);</v>
      </c>
      <c r="M130" s="163" t="s">
        <v>1693</v>
      </c>
      <c r="N130" s="163"/>
      <c r="O130" s="163"/>
      <c r="P130" s="163"/>
      <c r="Q130" s="163"/>
      <c r="R130" s="163"/>
      <c r="S130" s="163"/>
      <c r="T130" s="163"/>
      <c r="U130" s="163"/>
      <c r="V130" s="163"/>
      <c r="W130" s="163"/>
      <c r="X130" s="163"/>
    </row>
    <row r="131" spans="1:24">
      <c r="A131" s="163" t="s">
        <v>1663</v>
      </c>
      <c r="B131" s="158" t="str">
        <f t="shared" si="15"/>
        <v>SID_CHARGE_HEX</v>
      </c>
      <c r="C131" s="163" t="s">
        <v>436</v>
      </c>
      <c r="D131" s="163">
        <v>0</v>
      </c>
      <c r="E131" s="163">
        <v>100</v>
      </c>
      <c r="F131" s="163">
        <v>15</v>
      </c>
      <c r="G131" s="163" t="s">
        <v>740</v>
      </c>
      <c r="H131" s="163">
        <v>1</v>
      </c>
      <c r="I131" s="163" t="s">
        <v>609</v>
      </c>
      <c r="J131" s="163"/>
      <c r="K131" s="157" t="str">
        <f t="shared" si="9"/>
        <v>SpellData.create(SID_CHARGE_HEX,"充能",100,0,15,OrderId("sleep"),1,ORDER_TYPE_IMMEDIATE);</v>
      </c>
      <c r="L131" s="157" t="str">
        <f t="shared" si="16"/>
        <v>SpellData.create(SID_CHARGE_HEX,"Charge hex",100,0,15,OrderId("sleep"),1,ORDER_TYPE_IMMEDIATE);</v>
      </c>
      <c r="M131" s="163" t="s">
        <v>1693</v>
      </c>
      <c r="N131" s="163"/>
      <c r="O131" s="163"/>
      <c r="P131" s="163"/>
      <c r="Q131" s="163"/>
      <c r="R131" s="163"/>
      <c r="S131" s="163"/>
      <c r="T131" s="163"/>
      <c r="U131" s="163"/>
      <c r="V131" s="163"/>
      <c r="W131" s="163"/>
      <c r="X131" s="163"/>
    </row>
    <row r="132" spans="1:24">
      <c r="A132" s="163" t="s">
        <v>1664</v>
      </c>
      <c r="B132" s="158" t="str">
        <f t="shared" si="15"/>
        <v>SID_STEALTH_HEX</v>
      </c>
      <c r="C132" s="163" t="s">
        <v>442</v>
      </c>
      <c r="D132" s="163">
        <v>0</v>
      </c>
      <c r="E132" s="163">
        <v>0</v>
      </c>
      <c r="F132" s="163">
        <v>15</v>
      </c>
      <c r="G132" s="163" t="s">
        <v>738</v>
      </c>
      <c r="H132" s="163">
        <v>1</v>
      </c>
      <c r="I132" s="163" t="s">
        <v>735</v>
      </c>
      <c r="J132" s="163"/>
      <c r="K132" s="157" t="str">
        <f t="shared" si="9"/>
        <v>SpellData.create(SID_STEALTH_HEX,"潜行",0,0,15,OrderId("slow"),1,ORDER_TYPE_TARGET);</v>
      </c>
      <c r="L132" s="157" t="str">
        <f t="shared" si="16"/>
        <v>SpellData.create(SID_STEALTH_HEX,"Stealth hex",0,0,15,OrderId("slow"),1,ORDER_TYPE_TARGET);</v>
      </c>
      <c r="M132" s="163" t="s">
        <v>1693</v>
      </c>
      <c r="N132" s="163"/>
      <c r="O132" s="163"/>
      <c r="P132" s="163"/>
      <c r="Q132" s="163"/>
      <c r="R132" s="163"/>
      <c r="S132" s="163"/>
      <c r="T132" s="163"/>
      <c r="U132" s="163"/>
      <c r="V132" s="163"/>
      <c r="W132" s="163"/>
      <c r="X132" s="163"/>
    </row>
    <row r="133" spans="1:24">
      <c r="A133" s="163" t="s">
        <v>1675</v>
      </c>
      <c r="B133" s="158" t="str">
        <f t="shared" si="15"/>
        <v>SID_STEALTH_AMBUSH_HEX</v>
      </c>
      <c r="C133" s="163" t="s">
        <v>746</v>
      </c>
      <c r="D133" s="163">
        <v>0</v>
      </c>
      <c r="E133" s="163">
        <v>0</v>
      </c>
      <c r="F133" s="163">
        <v>1</v>
      </c>
      <c r="G133" s="163" t="s">
        <v>744</v>
      </c>
      <c r="H133" s="163">
        <v>1</v>
      </c>
      <c r="I133" s="163" t="s">
        <v>735</v>
      </c>
      <c r="J133" s="163"/>
      <c r="K133" s="157" t="str">
        <f t="shared" si="9"/>
        <v>SpellData.create(SID_STEALTH_AMBUSH_HEX,"伏击",0,0,1,OrderId("stomp"),1,ORDER_TYPE_TARGET);</v>
      </c>
      <c r="L133" s="157" t="str">
        <f t="shared" si="16"/>
        <v>SpellData.create(SID_STEALTH_AMBUSH_HEX,"Stealth Ambush hex",0,0,1,OrderId("stomp"),1,ORDER_TYPE_TARGET);</v>
      </c>
      <c r="M133" s="163" t="s">
        <v>1693</v>
      </c>
      <c r="N133" s="163"/>
      <c r="O133" s="163"/>
      <c r="P133" s="163"/>
      <c r="Q133" s="163"/>
      <c r="R133" s="163"/>
      <c r="S133" s="163"/>
      <c r="T133" s="163"/>
      <c r="U133" s="163"/>
      <c r="V133" s="163"/>
      <c r="W133" s="163"/>
      <c r="X133" s="163"/>
    </row>
    <row r="134" spans="1:24">
      <c r="A134" s="163" t="s">
        <v>1665</v>
      </c>
      <c r="B134" s="158" t="str">
        <f t="shared" si="15"/>
        <v>SID_BLADE_FLURRY_HEX</v>
      </c>
      <c r="C134" s="163" t="s">
        <v>446</v>
      </c>
      <c r="D134" s="163">
        <v>0</v>
      </c>
      <c r="E134" s="163">
        <v>0</v>
      </c>
      <c r="F134" s="163">
        <v>10</v>
      </c>
      <c r="G134" s="163" t="s">
        <v>740</v>
      </c>
      <c r="H134" s="163">
        <v>1</v>
      </c>
      <c r="I134" s="163" t="s">
        <v>609</v>
      </c>
      <c r="J134" s="163"/>
      <c r="K134" s="157" t="str">
        <f t="shared" si="9"/>
        <v>SpellData.create(SID_BLADE_FLURRY_HEX,"剑舞",0,0,10,OrderId("sleep"),1,ORDER_TYPE_IMMEDIATE);</v>
      </c>
      <c r="L134" s="157" t="str">
        <f t="shared" si="16"/>
        <v>SpellData.create(SID_BLADE_FLURRY_HEX,"Blade Flurry hex",0,0,10,OrderId("sleep"),1,ORDER_TYPE_IMMEDIATE);</v>
      </c>
      <c r="M134" s="163" t="s">
        <v>1693</v>
      </c>
      <c r="N134" s="163"/>
      <c r="O134" s="163"/>
      <c r="P134" s="163"/>
      <c r="Q134" s="163"/>
      <c r="R134" s="163"/>
      <c r="S134" s="163"/>
      <c r="T134" s="163"/>
      <c r="U134" s="163"/>
      <c r="V134" s="163"/>
      <c r="W134" s="163"/>
      <c r="X134" s="163"/>
    </row>
    <row r="135" spans="1:24">
      <c r="A135" s="163" t="s">
        <v>1676</v>
      </c>
      <c r="B135" s="158" t="str">
        <f t="shared" si="15"/>
        <v>SID_PAIN_HEX</v>
      </c>
      <c r="C135" s="163" t="s">
        <v>494</v>
      </c>
      <c r="D135" s="163">
        <v>0</v>
      </c>
      <c r="E135" s="163">
        <v>100</v>
      </c>
      <c r="F135" s="163">
        <v>15</v>
      </c>
      <c r="G135" s="163" t="s">
        <v>738</v>
      </c>
      <c r="H135" s="163">
        <v>1</v>
      </c>
      <c r="I135" s="163" t="s">
        <v>735</v>
      </c>
      <c r="J135" s="163"/>
      <c r="K135" s="157" t="str">
        <f t="shared" si="9"/>
        <v>SpellData.create(SID_PAIN_HEX,"暗言字：痛",100,0,15,OrderId("slow"),1,ORDER_TYPE_TARGET);</v>
      </c>
      <c r="L135" s="157" t="str">
        <f t="shared" si="16"/>
        <v>SpellData.create(SID_PAIN_HEX,"Pain hex",100,0,15,OrderId("slow"),1,ORDER_TYPE_TARGET);</v>
      </c>
      <c r="M135" s="163" t="s">
        <v>1693</v>
      </c>
      <c r="N135" s="163"/>
      <c r="O135" s="163"/>
      <c r="P135" s="163"/>
      <c r="Q135" s="163"/>
      <c r="R135" s="163"/>
      <c r="S135" s="163"/>
      <c r="T135" s="163"/>
      <c r="U135" s="163"/>
      <c r="V135" s="163"/>
      <c r="W135" s="163"/>
      <c r="X135" s="163"/>
    </row>
    <row r="136" spans="1:24">
      <c r="A136" s="163" t="s">
        <v>1677</v>
      </c>
      <c r="B136" s="158" t="str">
        <f t="shared" si="15"/>
        <v>SID_TERROR_HEX</v>
      </c>
      <c r="C136" s="163" t="s">
        <v>507</v>
      </c>
      <c r="D136" s="163">
        <v>0</v>
      </c>
      <c r="E136" s="163">
        <v>100</v>
      </c>
      <c r="F136" s="163">
        <v>10</v>
      </c>
      <c r="G136" s="163" t="s">
        <v>740</v>
      </c>
      <c r="H136" s="163">
        <v>1</v>
      </c>
      <c r="I136" s="163" t="s">
        <v>609</v>
      </c>
      <c r="J136" s="163"/>
      <c r="K136" s="157" t="str">
        <f t="shared" si="9"/>
        <v>SpellData.create(SID_TERROR_HEX,"暗言字：惧",100,0,10,OrderId("sleep"),1,ORDER_TYPE_IMMEDIATE);</v>
      </c>
      <c r="L136" s="157" t="str">
        <f t="shared" si="16"/>
        <v>SpellData.create(SID_TERROR_HEX,"Terror hex",100,0,10,OrderId("sleep"),1,ORDER_TYPE_IMMEDIATE);</v>
      </c>
      <c r="M136" s="163" t="s">
        <v>1693</v>
      </c>
      <c r="N136" s="163"/>
      <c r="O136" s="163"/>
      <c r="P136" s="163"/>
      <c r="Q136" s="163"/>
      <c r="R136" s="163"/>
      <c r="S136" s="163"/>
      <c r="T136" s="163"/>
      <c r="U136" s="163"/>
      <c r="V136" s="163"/>
      <c r="W136" s="163"/>
      <c r="X136" s="163"/>
    </row>
    <row r="137" spans="1:24">
      <c r="A137" s="163" t="s">
        <v>2413</v>
      </c>
      <c r="B137" s="158" t="str">
        <f t="shared" si="15"/>
        <v>SID_FIRE_BOLT</v>
      </c>
      <c r="C137" s="163"/>
      <c r="D137" s="198">
        <f>BossAbilities!F70</f>
        <v>1</v>
      </c>
      <c r="E137" s="163">
        <v>0</v>
      </c>
      <c r="F137" s="198">
        <f>BossAbilities!H70</f>
        <v>1</v>
      </c>
      <c r="G137" s="198" t="str">
        <f>"OrderId("&amp;CHAR(34)&amp;BossAbilities!M70&amp;CHAR(34)&amp;")"</f>
        <v>OrderId("roar")</v>
      </c>
      <c r="H137" s="163">
        <v>1</v>
      </c>
      <c r="I137" s="198" t="str">
        <f>"ORDER_TYPE_"&amp;UPPER(BossAbilities!E70)</f>
        <v>ORDER_TYPE_IMMEDIATE</v>
      </c>
      <c r="J137" s="163"/>
      <c r="K137" s="157" t="str">
        <f t="shared" ref="K137:K142" si="17">IF(C137="N/A","//",CONCATENATE("SpellData.create(",B137,",",CHAR(34),C137,CHAR(34),",",E137,",",D137,",",F137,",",G137,",",H137,",",I137,")",J137,";"))</f>
        <v>SpellData.create(SID_FIRE_BOLT,"",0,1,1,OrderId("roar"),1,ORDER_TYPE_IMMEDIATE);</v>
      </c>
      <c r="L137" s="157" t="str">
        <f t="shared" ref="L137:L142" si="18">IF(A137="N/A","//",CONCATENATE("SpellData.create(",B137,",",CHAR(34),A137,CHAR(34),",",E137,",",D137,",",F137,",",G137,",",H137,",",I137,")",J137,";"))</f>
        <v>SpellData.create(SID_FIRE_BOLT,"Fire Bolt",0,1,1,OrderId("roar"),1,ORDER_TYPE_IMMEDIATE);</v>
      </c>
      <c r="M137" s="163" t="s">
        <v>1693</v>
      </c>
      <c r="N137" s="163"/>
      <c r="O137" s="163"/>
      <c r="P137" s="163"/>
      <c r="Q137" s="163"/>
      <c r="R137" s="163"/>
      <c r="S137" s="163"/>
      <c r="T137" s="163"/>
      <c r="U137" s="163"/>
      <c r="V137" s="163"/>
      <c r="W137" s="163"/>
      <c r="X137" s="163"/>
    </row>
    <row r="138" spans="1:24">
      <c r="A138" s="163" t="s">
        <v>2419</v>
      </c>
      <c r="B138" s="158" t="str">
        <f t="shared" si="15"/>
        <v>SID_FIRE_NOVA</v>
      </c>
      <c r="C138" s="163"/>
      <c r="D138" s="198">
        <f>BossAbilities!F71</f>
        <v>2</v>
      </c>
      <c r="E138" s="163">
        <v>0</v>
      </c>
      <c r="F138" s="198">
        <f>BossAbilities!H71</f>
        <v>10</v>
      </c>
      <c r="G138" s="198" t="str">
        <f>"OrderId("&amp;CHAR(34)&amp;BossAbilities!M71&amp;CHAR(34)&amp;")"</f>
        <v>OrderId("roar")</v>
      </c>
      <c r="H138" s="163">
        <v>1</v>
      </c>
      <c r="I138" s="198" t="str">
        <f>"ORDER_TYPE_"&amp;UPPER(BossAbilities!E71)</f>
        <v>ORDER_TYPE_IMMEDIATE</v>
      </c>
      <c r="J138" s="163"/>
      <c r="K138" s="157" t="str">
        <f t="shared" si="17"/>
        <v>SpellData.create(SID_FIRE_NOVA,"",0,2,10,OrderId("roar"),1,ORDER_TYPE_IMMEDIATE);</v>
      </c>
      <c r="L138" s="157" t="str">
        <f t="shared" si="18"/>
        <v>SpellData.create(SID_FIRE_NOVA,"Fire Nova",0,2,10,OrderId("roar"),1,ORDER_TYPE_IMMEDIATE);</v>
      </c>
      <c r="M138" s="163" t="s">
        <v>1693</v>
      </c>
      <c r="N138" s="163"/>
      <c r="O138" s="163"/>
      <c r="P138" s="163"/>
      <c r="Q138" s="163"/>
      <c r="R138" s="163"/>
      <c r="S138" s="163"/>
      <c r="T138" s="163"/>
      <c r="U138" s="163"/>
      <c r="V138" s="163"/>
      <c r="W138" s="163"/>
      <c r="X138" s="163"/>
    </row>
    <row r="139" spans="1:24">
      <c r="A139" s="163" t="s">
        <v>2422</v>
      </c>
      <c r="B139" s="158" t="str">
        <f t="shared" si="15"/>
        <v>SID_PSYCHIC_WAIL</v>
      </c>
      <c r="C139" s="163"/>
      <c r="D139" s="198">
        <f>BossAbilities!F72</f>
        <v>0</v>
      </c>
      <c r="E139" s="163">
        <v>0</v>
      </c>
      <c r="F139" s="198">
        <f>BossAbilities!H72</f>
        <v>1</v>
      </c>
      <c r="G139" s="198" t="str">
        <f>"OrderId("&amp;CHAR(34)&amp;BossAbilities!M72&amp;CHAR(34)&amp;")"</f>
        <v>OrderId("roar")</v>
      </c>
      <c r="H139" s="163">
        <v>1</v>
      </c>
      <c r="I139" s="198" t="str">
        <f>"ORDER_TYPE_"&amp;UPPER(BossAbilities!E72)</f>
        <v>ORDER_TYPE_IMMEDIATE</v>
      </c>
      <c r="J139" s="163"/>
      <c r="K139" s="157" t="str">
        <f t="shared" si="17"/>
        <v>SpellData.create(SID_PSYCHIC_WAIL,"",0,0,1,OrderId("roar"),1,ORDER_TYPE_IMMEDIATE);</v>
      </c>
      <c r="L139" s="157" t="str">
        <f t="shared" si="18"/>
        <v>SpellData.create(SID_PSYCHIC_WAIL,"Psychic Wail",0,0,1,OrderId("roar"),1,ORDER_TYPE_IMMEDIATE);</v>
      </c>
      <c r="M139" s="163" t="s">
        <v>1693</v>
      </c>
      <c r="N139" s="163"/>
      <c r="O139" s="163"/>
      <c r="P139" s="163"/>
      <c r="Q139" s="163"/>
      <c r="R139" s="163"/>
      <c r="S139" s="163"/>
      <c r="T139" s="163"/>
      <c r="U139" s="163"/>
      <c r="V139" s="163"/>
      <c r="W139" s="163"/>
      <c r="X139" s="163"/>
    </row>
    <row r="140" spans="1:24">
      <c r="A140" s="163" t="s">
        <v>2439</v>
      </c>
      <c r="B140" s="158" t="str">
        <f t="shared" si="15"/>
        <v>SID_FAST_HEAL</v>
      </c>
      <c r="C140" s="163"/>
      <c r="D140" s="198">
        <f>BossAbilities!F73</f>
        <v>1.5</v>
      </c>
      <c r="E140" s="163">
        <v>0</v>
      </c>
      <c r="F140" s="198">
        <f>BossAbilities!H73</f>
        <v>1</v>
      </c>
      <c r="G140" s="198" t="str">
        <f>"OrderId("&amp;CHAR(34)&amp;BossAbilities!M73&amp;CHAR(34)&amp;")"</f>
        <v>OrderId("slow")</v>
      </c>
      <c r="H140" s="163">
        <v>1</v>
      </c>
      <c r="I140" s="198" t="str">
        <f>"ORDER_TYPE_"&amp;UPPER(BossAbilities!E73)</f>
        <v>ORDER_TYPE_TARGET</v>
      </c>
      <c r="J140" s="163"/>
      <c r="K140" s="157" t="str">
        <f t="shared" si="17"/>
        <v>SpellData.create(SID_FAST_HEAL,"",0,1.5,1,OrderId("slow"),1,ORDER_TYPE_TARGET);</v>
      </c>
      <c r="L140" s="157" t="str">
        <f t="shared" si="18"/>
        <v>SpellData.create(SID_FAST_HEAL,"Fast Heal",0,1.5,1,OrderId("slow"),1,ORDER_TYPE_TARGET);</v>
      </c>
      <c r="M140" s="163" t="s">
        <v>1693</v>
      </c>
      <c r="N140" s="163"/>
      <c r="O140" s="163"/>
      <c r="P140" s="163"/>
      <c r="Q140" s="163"/>
      <c r="R140" s="163"/>
      <c r="S140" s="163"/>
      <c r="T140" s="163"/>
      <c r="U140" s="163"/>
      <c r="V140" s="163"/>
      <c r="W140" s="163"/>
      <c r="X140" s="163"/>
    </row>
    <row r="141" spans="1:24">
      <c r="A141" s="163" t="s">
        <v>2429</v>
      </c>
      <c r="B141" s="158" t="str">
        <f t="shared" si="15"/>
        <v>SID_SLUG</v>
      </c>
      <c r="C141" s="163"/>
      <c r="D141" s="198">
        <f>BossAbilities!F74</f>
        <v>0</v>
      </c>
      <c r="E141" s="163">
        <v>0</v>
      </c>
      <c r="F141" s="198">
        <f>BossAbilities!H74</f>
        <v>0</v>
      </c>
      <c r="G141" s="198" t="str">
        <f>"OrderId("&amp;CHAR(34)&amp;BossAbilities!M74&amp;CHAR(34)&amp;")"</f>
        <v>OrderId("roar")</v>
      </c>
      <c r="H141" s="163">
        <v>1</v>
      </c>
      <c r="I141" s="198" t="str">
        <f>"ORDER_TYPE_"&amp;UPPER(BossAbilities!E74)</f>
        <v>ORDER_TYPE_IMMEDIATE</v>
      </c>
      <c r="J141" s="163"/>
      <c r="K141" s="157" t="str">
        <f t="shared" si="17"/>
        <v>SpellData.create(SID_SLUG,"",0,0,0,OrderId("roar"),1,ORDER_TYPE_IMMEDIATE);</v>
      </c>
      <c r="L141" s="157" t="str">
        <f t="shared" si="18"/>
        <v>SpellData.create(SID_SLUG,"Slug",0,0,0,OrderId("roar"),1,ORDER_TYPE_IMMEDIATE);</v>
      </c>
      <c r="M141" s="163" t="s">
        <v>1693</v>
      </c>
      <c r="N141" s="163"/>
      <c r="O141" s="163"/>
      <c r="P141" s="163"/>
      <c r="Q141" s="163"/>
      <c r="R141" s="163"/>
      <c r="S141" s="163"/>
      <c r="T141" s="163"/>
      <c r="U141" s="163"/>
      <c r="V141" s="163"/>
      <c r="W141" s="163"/>
      <c r="X141" s="163"/>
    </row>
    <row r="142" spans="1:24">
      <c r="A142" s="163" t="s">
        <v>2436</v>
      </c>
      <c r="B142" s="158" t="str">
        <f t="shared" si="15"/>
        <v>SID_COLD_GAZE</v>
      </c>
      <c r="C142" s="163"/>
      <c r="D142" s="198">
        <f>BossAbilities!F76</f>
        <v>0</v>
      </c>
      <c r="E142" s="163">
        <v>0</v>
      </c>
      <c r="F142" s="198">
        <f>BossAbilities!H76</f>
        <v>10</v>
      </c>
      <c r="G142" s="198" t="str">
        <f>"OrderId("&amp;CHAR(34)&amp;BossAbilities!M76&amp;CHAR(34)&amp;")"</f>
        <v>OrderId("slow")</v>
      </c>
      <c r="H142" s="163">
        <v>1</v>
      </c>
      <c r="I142" s="198" t="str">
        <f>"ORDER_TYPE_"&amp;UPPER(BossAbilities!E76)</f>
        <v>ORDER_TYPE_TARGET</v>
      </c>
      <c r="J142" s="163"/>
      <c r="K142" s="157" t="str">
        <f t="shared" si="17"/>
        <v>SpellData.create(SID_COLD_GAZE,"",0,0,10,OrderId("slow"),1,ORDER_TYPE_TARGET);</v>
      </c>
      <c r="L142" s="157" t="str">
        <f t="shared" si="18"/>
        <v>SpellData.create(SID_COLD_GAZE,"Cold Gaze",0,0,10,OrderId("slow"),1,ORDER_TYPE_TARGET);</v>
      </c>
      <c r="M142" s="163" t="s">
        <v>1693</v>
      </c>
      <c r="N142" s="163"/>
      <c r="O142" s="163"/>
      <c r="P142" s="163"/>
      <c r="Q142" s="163"/>
      <c r="R142" s="163"/>
      <c r="S142" s="163"/>
      <c r="T142" s="163"/>
      <c r="U142" s="163"/>
      <c r="V142" s="163"/>
      <c r="W142" s="163"/>
      <c r="X142" s="163"/>
    </row>
    <row r="143" spans="1:24">
      <c r="A143" s="168" t="s">
        <v>287</v>
      </c>
      <c r="B143" s="158" t="str">
        <f>"SID_"&amp;UPPER(SUBSTITUTE(A143," ","_"))</f>
        <v>SID_STING</v>
      </c>
      <c r="C143" s="158" t="str">
        <f ca="1">OFFSET(CreepAbilities!$A$1,MATCH($A143,CreepAbilities!$F:$F,0)-1,MATCH("技能",CreepAbilities!$1:$1,0)-1)</f>
        <v>毒刺（被动）</v>
      </c>
      <c r="D143" s="158">
        <f ca="1">OFFSET(CreepAbilities!$A$1,MATCH($A143,CreepAbilities!$F:$F,0)-1,MATCH("施",CreepAbilities!$1:$1,0)-1)</f>
        <v>0</v>
      </c>
      <c r="E143" s="158">
        <f ca="1">OFFSET(CreepAbilities!$A$1,MATCH($A143,CreepAbilities!$F:$F,0)-1,MATCH("耗",CreepAbilities!$1:$1,0)-1)</f>
        <v>0</v>
      </c>
      <c r="F143" s="158">
        <f ca="1">OFFSET(CreepAbilities!$A$1,MATCH($A143,CreepAbilities!$F:$F,0)-1,MATCH("冷",CreepAbilities!$1:$1,0)-1)</f>
        <v>1</v>
      </c>
      <c r="G143" s="158">
        <f ca="1">IF(OFFSET(CreepAbilities!$A$1,MATCH($A143,CreepAbilities!$F:$F,0)-1,MATCH("OID",CreepAbilities!$1:$1,0)-1)=0,0,"OrderId("&amp;CHAR(34)&amp;OFFSET(CreepAbilities!$A$1,MATCH($A143,CreepAbilities!$F:$F,0)-1,MATCH("OID",CreepAbilities!$1:$1,0)-1)&amp;CHAR(34)&amp;")")</f>
        <v>0</v>
      </c>
      <c r="H143" s="164">
        <v>1</v>
      </c>
      <c r="I143" s="164" t="s">
        <v>609</v>
      </c>
      <c r="J143" s="164"/>
      <c r="K143" s="157" t="str">
        <f t="shared" ref="K143:K218" ca="1" si="19">IF(C143="N/A","//",CONCATENATE("SpellData.create(",B143,",",CHAR(34),C143,CHAR(34),",",E143,",",D143,",",F143,",",G143,",",H143,",",I143,")",J143,";"))</f>
        <v>SpellData.create(SID_STING,"毒刺（被动）",0,0,1,0,1,ORDER_TYPE_IMMEDIATE);</v>
      </c>
      <c r="L143" s="157" t="str">
        <f t="shared" ca="1" si="16"/>
        <v>SpellData.create(SID_STING,"Sting",0,0,1,0,1,ORDER_TYPE_IMMEDIATE);</v>
      </c>
      <c r="M143" s="164" t="s">
        <v>1693</v>
      </c>
      <c r="N143" s="164"/>
      <c r="O143" s="164"/>
      <c r="P143" s="164"/>
      <c r="Q143" s="164"/>
      <c r="R143" s="164"/>
      <c r="S143" s="164"/>
      <c r="T143" s="164"/>
      <c r="U143" s="164"/>
      <c r="V143" s="164"/>
      <c r="W143" s="164"/>
      <c r="X143" s="164"/>
    </row>
    <row r="144" spans="1:24">
      <c r="A144" s="168" t="s">
        <v>264</v>
      </c>
      <c r="B144" s="158" t="str">
        <f>"SID_"&amp;UPPER(SUBSTITUTE(A144," ","_"))</f>
        <v>SID_LIGHTNING_BOLT</v>
      </c>
      <c r="C144" s="158" t="str">
        <f ca="1">OFFSET(CreepAbilities!$A$1,MATCH($A144,CreepAbilities!$F:$F,0)-1,MATCH("技能",CreepAbilities!$1:$1,0)-1)</f>
        <v>闪电箭</v>
      </c>
      <c r="D144" s="158">
        <f ca="1">OFFSET(CreepAbilities!$A$1,MATCH($A144,CreepAbilities!$F:$F,0)-1,MATCH("施",CreepAbilities!$1:$1,0)-1)</f>
        <v>3</v>
      </c>
      <c r="E144" s="158">
        <f ca="1">OFFSET(CreepAbilities!$A$1,MATCH($A144,CreepAbilities!$F:$F,0)-1,MATCH("耗",CreepAbilities!$1:$1,0)-1)</f>
        <v>75</v>
      </c>
      <c r="F144" s="158">
        <f ca="1">OFFSET(CreepAbilities!$A$1,MATCH($A144,CreepAbilities!$F:$F,0)-1,MATCH("冷",CreepAbilities!$1:$1,0)-1)</f>
        <v>2</v>
      </c>
      <c r="G144" s="158" t="str">
        <f ca="1">IF(OFFSET(CreepAbilities!$A$1,MATCH($A144,CreepAbilities!$F:$F,0)-1,MATCH("OID",CreepAbilities!$1:$1,0)-1)=0,0,"OrderId("&amp;CHAR(34)&amp;OFFSET(CreepAbilities!$A$1,MATCH($A144,CreepAbilities!$F:$F,0)-1,MATCH("OID",CreepAbilities!$1:$1,0)-1)&amp;CHAR(34)&amp;")")</f>
        <v>OrderId("heal")</v>
      </c>
      <c r="H144" s="164">
        <v>1</v>
      </c>
      <c r="I144" s="164" t="s">
        <v>735</v>
      </c>
      <c r="J144" s="164"/>
      <c r="K144" s="157" t="str">
        <f t="shared" ca="1" si="19"/>
        <v>SpellData.create(SID_LIGHTNING_BOLT,"闪电箭",75,3,2,OrderId("heal"),1,ORDER_TYPE_TARGET);</v>
      </c>
      <c r="L144" s="157" t="str">
        <f t="shared" ca="1" si="16"/>
        <v>SpellData.create(SID_LIGHTNING_BOLT,"Lightning Bolt",75,3,2,OrderId("heal"),1,ORDER_TYPE_TARGET);</v>
      </c>
      <c r="M144" s="164" t="s">
        <v>1693</v>
      </c>
      <c r="N144" s="164"/>
      <c r="O144" s="164"/>
      <c r="P144" s="164"/>
      <c r="Q144" s="164"/>
      <c r="R144" s="164"/>
      <c r="S144" s="164"/>
      <c r="T144" s="164"/>
      <c r="U144" s="164"/>
      <c r="V144" s="164"/>
      <c r="W144" s="164"/>
      <c r="X144" s="164"/>
    </row>
    <row r="145" spans="1:24">
      <c r="A145" s="168" t="s">
        <v>266</v>
      </c>
      <c r="B145" s="158" t="str">
        <f t="shared" ref="B145:B222" si="20">"SID_"&amp;UPPER(SUBSTITUTE(A145," ","_"))</f>
        <v>SID_FROST_SHOCK</v>
      </c>
      <c r="C145" s="158" t="str">
        <f ca="1">OFFSET(CreepAbilities!$A$1,MATCH($A145,CreepAbilities!$F:$F,0)-1,MATCH("技能",CreepAbilities!$1:$1,0)-1)</f>
        <v>冰霜冲击</v>
      </c>
      <c r="D145" s="158">
        <f ca="1">OFFSET(CreepAbilities!$A$1,MATCH($A145,CreepAbilities!$F:$F,0)-1,MATCH("施",CreepAbilities!$1:$1,0)-1)</f>
        <v>0</v>
      </c>
      <c r="E145" s="158">
        <f ca="1">OFFSET(CreepAbilities!$A$1,MATCH($A145,CreepAbilities!$F:$F,0)-1,MATCH("耗",CreepAbilities!$1:$1,0)-1)</f>
        <v>0</v>
      </c>
      <c r="F145" s="158">
        <f ca="1">OFFSET(CreepAbilities!$A$1,MATCH($A145,CreepAbilities!$F:$F,0)-1,MATCH("冷",CreepAbilities!$1:$1,0)-1)</f>
        <v>8</v>
      </c>
      <c r="G145" s="158" t="str">
        <f ca="1">IF(OFFSET(CreepAbilities!$A$1,MATCH($A145,CreepAbilities!$F:$F,0)-1,MATCH("OID",CreepAbilities!$1:$1,0)-1)=0,0,"OrderId("&amp;CHAR(34)&amp;OFFSET(CreepAbilities!$A$1,MATCH($A145,CreepAbilities!$F:$F,0)-1,MATCH("OID",CreepAbilities!$1:$1,0)-1)&amp;CHAR(34)&amp;")")</f>
        <v>OrderId("freezingbreath")</v>
      </c>
      <c r="H145" s="164">
        <v>1</v>
      </c>
      <c r="I145" s="164" t="s">
        <v>735</v>
      </c>
      <c r="J145" s="164"/>
      <c r="K145" s="157" t="str">
        <f t="shared" ca="1" si="19"/>
        <v>SpellData.create(SID_FROST_SHOCK,"冰霜冲击",0,0,8,OrderId("freezingbreath"),1,ORDER_TYPE_TARGET);</v>
      </c>
      <c r="L145" s="157" t="str">
        <f t="shared" ca="1" si="16"/>
        <v>SpellData.create(SID_FROST_SHOCK,"Frost Shock",0,0,8,OrderId("freezingbreath"),1,ORDER_TYPE_TARGET);</v>
      </c>
      <c r="M145" s="164" t="s">
        <v>1693</v>
      </c>
      <c r="N145" s="164"/>
      <c r="O145" s="164"/>
      <c r="P145" s="164"/>
      <c r="Q145" s="164"/>
      <c r="R145" s="164"/>
      <c r="S145" s="164"/>
      <c r="T145" s="164"/>
      <c r="U145" s="164"/>
      <c r="V145" s="164"/>
      <c r="W145" s="164"/>
      <c r="X145" s="164"/>
    </row>
    <row r="146" spans="1:24">
      <c r="A146" s="168" t="s">
        <v>269</v>
      </c>
      <c r="B146" s="158" t="str">
        <f t="shared" si="20"/>
        <v>SID_CHAIN_HEALING</v>
      </c>
      <c r="C146" s="158" t="str">
        <f ca="1">OFFSET(CreepAbilities!$A$1,MATCH($A146,CreepAbilities!$F:$F,0)-1,MATCH("技能",CreepAbilities!$1:$1,0)-1)</f>
        <v>治疗链</v>
      </c>
      <c r="D146" s="158">
        <f ca="1">OFFSET(CreepAbilities!$A$1,MATCH($A146,CreepAbilities!$F:$F,0)-1,MATCH("施",CreepAbilities!$1:$1,0)-1)</f>
        <v>3</v>
      </c>
      <c r="E146" s="158">
        <f ca="1">OFFSET(CreepAbilities!$A$1,MATCH($A146,CreepAbilities!$F:$F,0)-1,MATCH("耗",CreepAbilities!$1:$1,0)-1)</f>
        <v>200</v>
      </c>
      <c r="F146" s="158">
        <f ca="1">OFFSET(CreepAbilities!$A$1,MATCH($A146,CreepAbilities!$F:$F,0)-1,MATCH("冷",CreepAbilities!$1:$1,0)-1)</f>
        <v>5</v>
      </c>
      <c r="G146" s="158" t="str">
        <f ca="1">IF(OFFSET(CreepAbilities!$A$1,MATCH($A146,CreepAbilities!$F:$F,0)-1,MATCH("OID",CreepAbilities!$1:$1,0)-1)=0,0,"OrderId("&amp;CHAR(34)&amp;OFFSET(CreepAbilities!$A$1,MATCH($A146,CreepAbilities!$F:$F,0)-1,MATCH("OID",CreepAbilities!$1:$1,0)-1)&amp;CHAR(34)&amp;")")</f>
        <v>OrderId("healingwave")</v>
      </c>
      <c r="H146" s="164">
        <v>1</v>
      </c>
      <c r="I146" s="164" t="s">
        <v>735</v>
      </c>
      <c r="J146" s="164"/>
      <c r="K146" s="157" t="str">
        <f t="shared" ca="1" si="19"/>
        <v>SpellData.create(SID_CHAIN_HEALING,"治疗链",200,3,5,OrderId("healingwave"),1,ORDER_TYPE_TARGET);</v>
      </c>
      <c r="L146" s="157" t="str">
        <f t="shared" ca="1" si="16"/>
        <v>SpellData.create(SID_CHAIN_HEALING,"Chain Healing",200,3,5,OrderId("healingwave"),1,ORDER_TYPE_TARGET);</v>
      </c>
      <c r="M146" s="164" t="s">
        <v>1693</v>
      </c>
      <c r="N146" s="164"/>
      <c r="O146" s="164"/>
      <c r="P146" s="164"/>
      <c r="Q146" s="164"/>
      <c r="R146" s="164"/>
      <c r="S146" s="164"/>
      <c r="T146" s="164"/>
      <c r="U146" s="164"/>
      <c r="V146" s="164"/>
      <c r="W146" s="164"/>
      <c r="X146" s="164"/>
    </row>
    <row r="147" spans="1:24">
      <c r="A147" s="168" t="s">
        <v>271</v>
      </c>
      <c r="B147" s="158" t="str">
        <f t="shared" si="20"/>
        <v>SID_HEALING_WARD</v>
      </c>
      <c r="C147" s="158" t="str">
        <f ca="1">OFFSET(CreepAbilities!$A$1,MATCH($A147,CreepAbilities!$F:$F,0)-1,MATCH("技能",CreepAbilities!$1:$1,0)-1)</f>
        <v>治疗守卫</v>
      </c>
      <c r="D147" s="158">
        <f ca="1">OFFSET(CreepAbilities!$A$1,MATCH($A147,CreepAbilities!$F:$F,0)-1,MATCH("施",CreepAbilities!$1:$1,0)-1)</f>
        <v>0</v>
      </c>
      <c r="E147" s="158">
        <f ca="1">OFFSET(CreepAbilities!$A$1,MATCH($A147,CreepAbilities!$F:$F,0)-1,MATCH("耗",CreepAbilities!$1:$1,0)-1)</f>
        <v>100</v>
      </c>
      <c r="F147" s="158">
        <f ca="1">OFFSET(CreepAbilities!$A$1,MATCH($A147,CreepAbilities!$F:$F,0)-1,MATCH("冷",CreepAbilities!$1:$1,0)-1)</f>
        <v>15</v>
      </c>
      <c r="G147" s="158" t="str">
        <f ca="1">IF(OFFSET(CreepAbilities!$A$1,MATCH($A147,CreepAbilities!$F:$F,0)-1,MATCH("OID",CreepAbilities!$1:$1,0)-1)=0,0,"OrderId("&amp;CHAR(34)&amp;OFFSET(CreepAbilities!$A$1,MATCH($A147,CreepAbilities!$F:$F,0)-1,MATCH("OID",CreepAbilities!$1:$1,0)-1)&amp;CHAR(34)&amp;")")</f>
        <v>OrderId("healingward")</v>
      </c>
      <c r="H147" s="164">
        <v>1</v>
      </c>
      <c r="I147" s="164" t="s">
        <v>609</v>
      </c>
      <c r="J147" s="164"/>
      <c r="K147" s="157" t="str">
        <f t="shared" ca="1" si="19"/>
        <v>SpellData.create(SID_HEALING_WARD,"治疗守卫",100,0,15,OrderId("healingward"),1,ORDER_TYPE_IMMEDIATE);</v>
      </c>
      <c r="L147" s="157" t="str">
        <f t="shared" ca="1" si="16"/>
        <v>SpellData.create(SID_HEALING_WARD,"Healing Ward",100,0,15,OrderId("healingward"),1,ORDER_TYPE_IMMEDIATE);</v>
      </c>
      <c r="M147" s="164" t="s">
        <v>1693</v>
      </c>
      <c r="N147" s="164"/>
      <c r="O147" s="164"/>
      <c r="P147" s="164"/>
      <c r="Q147" s="164"/>
      <c r="R147" s="164"/>
      <c r="S147" s="164"/>
      <c r="T147" s="164"/>
      <c r="U147" s="164"/>
      <c r="V147" s="164"/>
      <c r="W147" s="164"/>
      <c r="X147" s="164"/>
    </row>
    <row r="148" spans="1:24">
      <c r="A148" s="168" t="s">
        <v>273</v>
      </c>
      <c r="B148" s="158" t="str">
        <f t="shared" si="20"/>
        <v>SID_PROTECTION_WARD</v>
      </c>
      <c r="C148" s="158" t="str">
        <f ca="1">OFFSET(CreepAbilities!$A$1,MATCH($A148,CreepAbilities!$F:$F,0)-1,MATCH("技能",CreepAbilities!$1:$1,0)-1)</f>
        <v>防护守卫</v>
      </c>
      <c r="D148" s="158">
        <f ca="1">OFFSET(CreepAbilities!$A$1,MATCH($A148,CreepAbilities!$F:$F,0)-1,MATCH("施",CreepAbilities!$1:$1,0)-1)</f>
        <v>0</v>
      </c>
      <c r="E148" s="158">
        <f ca="1">OFFSET(CreepAbilities!$A$1,MATCH($A148,CreepAbilities!$F:$F,0)-1,MATCH("耗",CreepAbilities!$1:$1,0)-1)</f>
        <v>100</v>
      </c>
      <c r="F148" s="158">
        <f ca="1">OFFSET(CreepAbilities!$A$1,MATCH($A148,CreepAbilities!$F:$F,0)-1,MATCH("冷",CreepAbilities!$1:$1,0)-1)</f>
        <v>30</v>
      </c>
      <c r="G148" s="158" t="str">
        <f ca="1">IF(OFFSET(CreepAbilities!$A$1,MATCH($A148,CreepAbilities!$F:$F,0)-1,MATCH("OID",CreepAbilities!$1:$1,0)-1)=0,0,"OrderId("&amp;CHAR(34)&amp;OFFSET(CreepAbilities!$A$1,MATCH($A148,CreepAbilities!$F:$F,0)-1,MATCH("OID",CreepAbilities!$1:$1,0)-1)&amp;CHAR(34)&amp;")")</f>
        <v>OrderId("evileye")</v>
      </c>
      <c r="H148" s="164">
        <v>1</v>
      </c>
      <c r="I148" s="164" t="s">
        <v>609</v>
      </c>
      <c r="J148" s="164"/>
      <c r="K148" s="157" t="str">
        <f t="shared" ca="1" si="19"/>
        <v>SpellData.create(SID_PROTECTION_WARD,"防护守卫",100,0,30,OrderId("evileye"),1,ORDER_TYPE_IMMEDIATE);</v>
      </c>
      <c r="L148" s="157" t="str">
        <f t="shared" ca="1" si="16"/>
        <v>SpellData.create(SID_PROTECTION_WARD,"Protection Ward",100,0,30,OrderId("evileye"),1,ORDER_TYPE_IMMEDIATE);</v>
      </c>
      <c r="M148" s="164" t="s">
        <v>1693</v>
      </c>
      <c r="N148" s="164"/>
      <c r="O148" s="164"/>
      <c r="P148" s="164"/>
      <c r="Q148" s="164"/>
      <c r="R148" s="164"/>
      <c r="S148" s="164"/>
      <c r="T148" s="164"/>
      <c r="U148" s="164"/>
      <c r="V148" s="164"/>
      <c r="W148" s="164"/>
      <c r="X148" s="164"/>
    </row>
    <row r="149" spans="1:24">
      <c r="A149" s="168" t="s">
        <v>290</v>
      </c>
      <c r="B149" s="158" t="str">
        <f t="shared" si="20"/>
        <v>SID_CHARGED_BREATH</v>
      </c>
      <c r="C149" s="158" t="str">
        <f ca="1">OFFSET(CreepAbilities!$A$1,MATCH($A149,CreepAbilities!$F:$F,0)-1,MATCH("技能",CreepAbilities!$1:$1,0)-1)</f>
        <v>充能之息</v>
      </c>
      <c r="D149" s="158">
        <f ca="1">OFFSET(CreepAbilities!$A$1,MATCH($A149,CreepAbilities!$F:$F,0)-1,MATCH("施",CreepAbilities!$1:$1,0)-1)</f>
        <v>0</v>
      </c>
      <c r="E149" s="158">
        <f ca="1">OFFSET(CreepAbilities!$A$1,MATCH($A149,CreepAbilities!$F:$F,0)-1,MATCH("耗",CreepAbilities!$1:$1,0)-1)</f>
        <v>0</v>
      </c>
      <c r="F149" s="158">
        <f ca="1">OFFSET(CreepAbilities!$A$1,MATCH($A149,CreepAbilities!$F:$F,0)-1,MATCH("冷",CreepAbilities!$1:$1,0)-1)</f>
        <v>5</v>
      </c>
      <c r="G149" s="158" t="str">
        <f ca="1">IF(OFFSET(CreepAbilities!$A$1,MATCH($A149,CreepAbilities!$F:$F,0)-1,MATCH("OID",CreepAbilities!$1:$1,0)-1)=0,0,"OrderId("&amp;CHAR(34)&amp;OFFSET(CreepAbilities!$A$1,MATCH($A149,CreepAbilities!$F:$F,0)-1,MATCH("OID",CreepAbilities!$1:$1,0)-1)&amp;CHAR(34)&amp;")")</f>
        <v>OrderId("heal")</v>
      </c>
      <c r="H149" s="164">
        <v>1</v>
      </c>
      <c r="I149" s="164" t="s">
        <v>609</v>
      </c>
      <c r="J149" s="164"/>
      <c r="K149" s="157" t="str">
        <f t="shared" ca="1" si="19"/>
        <v>SpellData.create(SID_CHARGED_BREATH,"充能之息",0,0,5,OrderId("heal"),1,ORDER_TYPE_IMMEDIATE);</v>
      </c>
      <c r="L149" s="157" t="str">
        <f t="shared" ca="1" si="16"/>
        <v>SpellData.create(SID_CHARGED_BREATH,"Charged Breath",0,0,5,OrderId("heal"),1,ORDER_TYPE_IMMEDIATE);</v>
      </c>
      <c r="M149" s="164" t="s">
        <v>1693</v>
      </c>
      <c r="N149" s="164"/>
      <c r="O149" s="164"/>
      <c r="P149" s="164"/>
      <c r="Q149" s="164"/>
      <c r="R149" s="164"/>
      <c r="S149" s="164"/>
      <c r="T149" s="164"/>
      <c r="U149" s="164"/>
      <c r="V149" s="164"/>
      <c r="W149" s="164"/>
      <c r="X149" s="164"/>
    </row>
    <row r="150" spans="1:24">
      <c r="A150" s="168" t="s">
        <v>291</v>
      </c>
      <c r="B150" s="158" t="str">
        <f t="shared" si="20"/>
        <v>SID_MANA_LEECH</v>
      </c>
      <c r="C150" s="158" t="str">
        <f ca="1">OFFSET(CreepAbilities!$A$1,MATCH($A150,CreepAbilities!$F:$F,0)-1,MATCH("技能",CreepAbilities!$1:$1,0)-1)</f>
        <v>法力汲取</v>
      </c>
      <c r="D150" s="158">
        <f ca="1">OFFSET(CreepAbilities!$A$1,MATCH($A150,CreepAbilities!$F:$F,0)-1,MATCH("施",CreepAbilities!$1:$1,0)-1)</f>
        <v>0</v>
      </c>
      <c r="E150" s="158">
        <f ca="1">OFFSET(CreepAbilities!$A$1,MATCH($A150,CreepAbilities!$F:$F,0)-1,MATCH("耗",CreepAbilities!$1:$1,0)-1)</f>
        <v>0</v>
      </c>
      <c r="F150" s="158">
        <f ca="1">OFFSET(CreepAbilities!$A$1,MATCH($A150,CreepAbilities!$F:$F,0)-1,MATCH("冷",CreepAbilities!$1:$1,0)-1)</f>
        <v>5</v>
      </c>
      <c r="G150" s="158" t="str">
        <f ca="1">IF(OFFSET(CreepAbilities!$A$1,MATCH($A150,CreepAbilities!$F:$F,0)-1,MATCH("OID",CreepAbilities!$1:$1,0)-1)=0,0,"OrderId("&amp;CHAR(34)&amp;OFFSET(CreepAbilities!$A$1,MATCH($A150,CreepAbilities!$F:$F,0)-1,MATCH("OID",CreepAbilities!$1:$1,0)-1)&amp;CHAR(34)&amp;")")</f>
        <v>OrderId("healingwave")</v>
      </c>
      <c r="H150" s="164">
        <v>1</v>
      </c>
      <c r="I150" s="164" t="s">
        <v>735</v>
      </c>
      <c r="J150" s="164"/>
      <c r="K150" s="157" t="str">
        <f t="shared" ca="1" si="19"/>
        <v>SpellData.create(SID_MANA_LEECH,"法力汲取",0,0,5,OrderId("healingwave"),1,ORDER_TYPE_TARGET);</v>
      </c>
      <c r="L150" s="157" t="str">
        <f t="shared" ca="1" si="16"/>
        <v>SpellData.create(SID_MANA_LEECH,"Mana Leech",0,0,5,OrderId("healingwave"),1,ORDER_TYPE_TARGET);</v>
      </c>
      <c r="M150" s="164" t="s">
        <v>1693</v>
      </c>
      <c r="N150" s="164"/>
      <c r="O150" s="164"/>
      <c r="P150" s="164"/>
      <c r="Q150" s="164"/>
      <c r="R150" s="164"/>
      <c r="S150" s="164"/>
      <c r="T150" s="164"/>
      <c r="U150" s="164"/>
      <c r="V150" s="164"/>
      <c r="W150" s="164"/>
      <c r="X150" s="164"/>
    </row>
    <row r="151" spans="1:24">
      <c r="A151" s="168" t="s">
        <v>276</v>
      </c>
      <c r="B151" s="158" t="str">
        <f t="shared" si="20"/>
        <v>SID_NAGA_FRENZY</v>
      </c>
      <c r="C151" s="158" t="str">
        <f ca="1">OFFSET(CreepAbilities!$A$1,MATCH($A151,CreepAbilities!$F:$F,0)-1,MATCH("技能",CreepAbilities!$1:$1,0)-1)</f>
        <v>狂乱</v>
      </c>
      <c r="D151" s="158">
        <f ca="1">OFFSET(CreepAbilities!$A$1,MATCH($A151,CreepAbilities!$F:$F,0)-1,MATCH("施",CreepAbilities!$1:$1,0)-1)</f>
        <v>0</v>
      </c>
      <c r="E151" s="158">
        <f ca="1">OFFSET(CreepAbilities!$A$1,MATCH($A151,CreepAbilities!$F:$F,0)-1,MATCH("耗",CreepAbilities!$1:$1,0)-1)</f>
        <v>0</v>
      </c>
      <c r="F151" s="158">
        <f ca="1">OFFSET(CreepAbilities!$A$1,MATCH($A151,CreepAbilities!$F:$F,0)-1,MATCH("冷",CreepAbilities!$1:$1,0)-1)</f>
        <v>20</v>
      </c>
      <c r="G151" s="158" t="str">
        <f ca="1">IF(OFFSET(CreepAbilities!$A$1,MATCH($A151,CreepAbilities!$F:$F,0)-1,MATCH("OID",CreepAbilities!$1:$1,0)-1)=0,0,"OrderId("&amp;CHAR(34)&amp;OFFSET(CreepAbilities!$A$1,MATCH($A151,CreepAbilities!$F:$F,0)-1,MATCH("OID",CreepAbilities!$1:$1,0)-1)&amp;CHAR(34)&amp;")")</f>
        <v>OrderId("unholyfrenzy")</v>
      </c>
      <c r="H151" s="164">
        <v>1</v>
      </c>
      <c r="I151" s="164" t="s">
        <v>609</v>
      </c>
      <c r="J151" s="164"/>
      <c r="K151" s="157" t="str">
        <f t="shared" ca="1" si="19"/>
        <v>SpellData.create(SID_NAGA_FRENZY,"狂乱",0,0,20,OrderId("unholyfrenzy"),1,ORDER_TYPE_IMMEDIATE);</v>
      </c>
      <c r="L151" s="157" t="str">
        <f t="shared" ca="1" si="16"/>
        <v>SpellData.create(SID_NAGA_FRENZY,"Naga Frenzy",0,0,20,OrderId("unholyfrenzy"),1,ORDER_TYPE_IMMEDIATE);</v>
      </c>
      <c r="M151" s="164" t="s">
        <v>1693</v>
      </c>
      <c r="N151" s="164"/>
      <c r="O151" s="164"/>
      <c r="P151" s="164"/>
      <c r="Q151" s="164"/>
      <c r="R151" s="164"/>
      <c r="S151" s="164"/>
      <c r="T151" s="164"/>
      <c r="U151" s="164"/>
      <c r="V151" s="164"/>
      <c r="W151" s="164"/>
      <c r="X151" s="164"/>
    </row>
    <row r="152" spans="1:24">
      <c r="A152" s="168" t="s">
        <v>278</v>
      </c>
      <c r="B152" s="158" t="str">
        <f t="shared" si="20"/>
        <v>SID_ARMOR_CRUSHING</v>
      </c>
      <c r="C152" s="158" t="str">
        <f ca="1">OFFSET(CreepAbilities!$A$1,MATCH($A152,CreepAbilities!$F:$F,0)-1,MATCH("技能",CreepAbilities!$1:$1,0)-1)</f>
        <v>压碎护甲</v>
      </c>
      <c r="D152" s="158">
        <f ca="1">OFFSET(CreepAbilities!$A$1,MATCH($A152,CreepAbilities!$F:$F,0)-1,MATCH("施",CreepAbilities!$1:$1,0)-1)</f>
        <v>0</v>
      </c>
      <c r="E152" s="158">
        <f ca="1">OFFSET(CreepAbilities!$A$1,MATCH($A152,CreepAbilities!$F:$F,0)-1,MATCH("耗",CreepAbilities!$1:$1,0)-1)</f>
        <v>0</v>
      </c>
      <c r="F152" s="158">
        <f ca="1">OFFSET(CreepAbilities!$A$1,MATCH($A152,CreepAbilities!$F:$F,0)-1,MATCH("冷",CreepAbilities!$1:$1,0)-1)</f>
        <v>20</v>
      </c>
      <c r="G152" s="158" t="str">
        <f ca="1">IF(OFFSET(CreepAbilities!$A$1,MATCH($A152,CreepAbilities!$F:$F,0)-1,MATCH("OID",CreepAbilities!$1:$1,0)-1)=0,0,"OrderId("&amp;CHAR(34)&amp;OFFSET(CreepAbilities!$A$1,MATCH($A152,CreepAbilities!$F:$F,0)-1,MATCH("OID",CreepAbilities!$1:$1,0)-1)&amp;CHAR(34)&amp;")")</f>
        <v>OrderId("sleep")</v>
      </c>
      <c r="H152" s="164">
        <v>1</v>
      </c>
      <c r="I152" s="164" t="s">
        <v>735</v>
      </c>
      <c r="J152" s="164"/>
      <c r="K152" s="157" t="str">
        <f t="shared" ca="1" si="19"/>
        <v>SpellData.create(SID_ARMOR_CRUSHING,"压碎护甲",0,0,20,OrderId("sleep"),1,ORDER_TYPE_TARGET);</v>
      </c>
      <c r="L152" s="157" t="str">
        <f t="shared" ca="1" si="16"/>
        <v>SpellData.create(SID_ARMOR_CRUSHING,"Armor Crushing",0,0,20,OrderId("sleep"),1,ORDER_TYPE_TARGET);</v>
      </c>
      <c r="M152" s="164" t="s">
        <v>1693</v>
      </c>
      <c r="N152" s="164"/>
      <c r="O152" s="164"/>
      <c r="P152" s="164"/>
      <c r="Q152" s="164"/>
      <c r="R152" s="164"/>
      <c r="S152" s="164"/>
      <c r="T152" s="164"/>
      <c r="U152" s="164"/>
      <c r="V152" s="164"/>
      <c r="W152" s="164"/>
      <c r="X152" s="164"/>
    </row>
    <row r="153" spans="1:24">
      <c r="A153" s="168" t="s">
        <v>282</v>
      </c>
      <c r="B153" s="158" t="str">
        <f t="shared" si="20"/>
        <v>SID_THUNDER_CLAP</v>
      </c>
      <c r="C153" s="158" t="str">
        <f ca="1">OFFSET(CreepAbilities!$A$1,MATCH($A153,CreepAbilities!$F:$F,0)-1,MATCH("技能",CreepAbilities!$1:$1,0)-1)</f>
        <v>雷霆一击</v>
      </c>
      <c r="D153" s="158">
        <f ca="1">OFFSET(CreepAbilities!$A$1,MATCH($A153,CreepAbilities!$F:$F,0)-1,MATCH("施",CreepAbilities!$1:$1,0)-1)</f>
        <v>0</v>
      </c>
      <c r="E153" s="158">
        <f ca="1">OFFSET(CreepAbilities!$A$1,MATCH($A153,CreepAbilities!$F:$F,0)-1,MATCH("耗",CreepAbilities!$1:$1,0)-1)</f>
        <v>0</v>
      </c>
      <c r="F153" s="158">
        <f ca="1">OFFSET(CreepAbilities!$A$1,MATCH($A153,CreepAbilities!$F:$F,0)-1,MATCH("冷",CreepAbilities!$1:$1,0)-1)</f>
        <v>12</v>
      </c>
      <c r="G153" s="158" t="str">
        <f ca="1">IF(OFFSET(CreepAbilities!$A$1,MATCH($A153,CreepAbilities!$F:$F,0)-1,MATCH("OID",CreepAbilities!$1:$1,0)-1)=0,0,"OrderId("&amp;CHAR(34)&amp;OFFSET(CreepAbilities!$A$1,MATCH($A153,CreepAbilities!$F:$F,0)-1,MATCH("OID",CreepAbilities!$1:$1,0)-1)&amp;CHAR(34)&amp;")")</f>
        <v>OrderId("thunderclap")</v>
      </c>
      <c r="H153" s="164">
        <v>1</v>
      </c>
      <c r="I153" s="164" t="s">
        <v>609</v>
      </c>
      <c r="J153" s="164"/>
      <c r="K153" s="157" t="str">
        <f t="shared" ca="1" si="19"/>
        <v>SpellData.create(SID_THUNDER_CLAP,"雷霆一击",0,0,12,OrderId("thunderclap"),1,ORDER_TYPE_IMMEDIATE);</v>
      </c>
      <c r="L153" s="157" t="str">
        <f t="shared" ca="1" si="16"/>
        <v>SpellData.create(SID_THUNDER_CLAP,"Thunder Clap",0,0,12,OrderId("thunderclap"),1,ORDER_TYPE_IMMEDIATE);</v>
      </c>
      <c r="M153" s="164" t="s">
        <v>1693</v>
      </c>
      <c r="N153" s="164"/>
      <c r="O153" s="164"/>
      <c r="P153" s="164"/>
      <c r="Q153" s="164"/>
      <c r="R153" s="164"/>
      <c r="S153" s="164"/>
      <c r="T153" s="164"/>
      <c r="U153" s="164"/>
      <c r="V153" s="164"/>
      <c r="W153" s="164"/>
      <c r="X153" s="164"/>
    </row>
    <row r="154" spans="1:24">
      <c r="A154" s="168" t="s">
        <v>284</v>
      </c>
      <c r="B154" s="158" t="str">
        <f t="shared" si="20"/>
        <v>SID_RAGE_ROAR</v>
      </c>
      <c r="C154" s="158" t="str">
        <f ca="1">OFFSET(CreepAbilities!$A$1,MATCH($A154,CreepAbilities!$F:$F,0)-1,MATCH("技能",CreepAbilities!$1:$1,0)-1)</f>
        <v>狂怒咆哮</v>
      </c>
      <c r="D154" s="158">
        <f ca="1">OFFSET(CreepAbilities!$A$1,MATCH($A154,CreepAbilities!$F:$F,0)-1,MATCH("施",CreepAbilities!$1:$1,0)-1)</f>
        <v>0</v>
      </c>
      <c r="E154" s="158">
        <f ca="1">OFFSET(CreepAbilities!$A$1,MATCH($A154,CreepAbilities!$F:$F,0)-1,MATCH("耗",CreepAbilities!$1:$1,0)-1)</f>
        <v>0</v>
      </c>
      <c r="F154" s="158">
        <f ca="1">OFFSET(CreepAbilities!$A$1,MATCH($A154,CreepAbilities!$F:$F,0)-1,MATCH("冷",CreepAbilities!$1:$1,0)-1)</f>
        <v>20</v>
      </c>
      <c r="G154" s="158" t="str">
        <f ca="1">IF(OFFSET(CreepAbilities!$A$1,MATCH($A154,CreepAbilities!$F:$F,0)-1,MATCH("OID",CreepAbilities!$1:$1,0)-1)=0,0,"OrderId("&amp;CHAR(34)&amp;OFFSET(CreepAbilities!$A$1,MATCH($A154,CreepAbilities!$F:$F,0)-1,MATCH("OID",CreepAbilities!$1:$1,0)-1)&amp;CHAR(34)&amp;")")</f>
        <v>OrderId("slow")</v>
      </c>
      <c r="H154" s="164">
        <v>1</v>
      </c>
      <c r="I154" s="164" t="s">
        <v>609</v>
      </c>
      <c r="J154" s="164"/>
      <c r="K154" s="157" t="str">
        <f t="shared" ca="1" si="19"/>
        <v>SpellData.create(SID_RAGE_ROAR,"狂怒咆哮",0,0,20,OrderId("slow"),1,ORDER_TYPE_IMMEDIATE);</v>
      </c>
      <c r="L154" s="157" t="str">
        <f t="shared" ca="1" si="16"/>
        <v>SpellData.create(SID_RAGE_ROAR,"Rage Roar",0,0,20,OrderId("slow"),1,ORDER_TYPE_IMMEDIATE);</v>
      </c>
      <c r="M154" s="164" t="s">
        <v>1693</v>
      </c>
      <c r="N154" s="164"/>
      <c r="O154" s="164"/>
      <c r="P154" s="164"/>
      <c r="Q154" s="164"/>
      <c r="R154" s="164"/>
      <c r="S154" s="164"/>
      <c r="T154" s="164"/>
      <c r="U154" s="164"/>
      <c r="V154" s="164"/>
      <c r="W154" s="164"/>
      <c r="X154" s="164"/>
    </row>
    <row r="155" spans="1:24">
      <c r="A155" s="169" t="s">
        <v>1682</v>
      </c>
      <c r="B155" s="158" t="str">
        <f t="shared" si="20"/>
        <v>SID_BLOOD_BOIL</v>
      </c>
      <c r="C155" s="158" t="str">
        <f ca="1">OFFSET(CreepAbilities!$A$1,MATCH($A155,CreepAbilities!$F:$F,0)-1,MATCH("技能",CreepAbilities!$1:$1,0)-1)</f>
        <v>沸血</v>
      </c>
      <c r="D155" s="158">
        <f ca="1">OFFSET(CreepAbilities!$A$1,MATCH($A155,CreepAbilities!$F:$F,0)-1,MATCH("施",CreepAbilities!$1:$1,0)-1)</f>
        <v>0</v>
      </c>
      <c r="E155" s="158">
        <f ca="1">OFFSET(CreepAbilities!$A$1,MATCH($A155,CreepAbilities!$F:$F,0)-1,MATCH("耗",CreepAbilities!$1:$1,0)-1)</f>
        <v>0</v>
      </c>
      <c r="F155" s="158">
        <f ca="1">OFFSET(CreepAbilities!$A$1,MATCH($A155,CreepAbilities!$F:$F,0)-1,MATCH("冷",CreepAbilities!$1:$1,0)-1)</f>
        <v>20</v>
      </c>
      <c r="G155" s="158" t="str">
        <f ca="1">IF(OFFSET(CreepAbilities!$A$1,MATCH($A155,CreepAbilities!$F:$F,0)-1,MATCH("OID",CreepAbilities!$1:$1,0)-1)=0,0,"OrderId("&amp;CHAR(34)&amp;OFFSET(CreepAbilities!$A$1,MATCH($A155,CreepAbilities!$F:$F,0)-1,MATCH("OID",CreepAbilities!$1:$1,0)-1)&amp;CHAR(34)&amp;")")</f>
        <v>OrderId("howlofterror")</v>
      </c>
      <c r="H155" s="164">
        <v>1</v>
      </c>
      <c r="I155" s="164" t="s">
        <v>609</v>
      </c>
      <c r="J155" s="164"/>
      <c r="K155" s="157" t="str">
        <f t="shared" ca="1" si="19"/>
        <v>SpellData.create(SID_BLOOD_BOIL,"沸血",0,0,20,OrderId("howlofterror"),1,ORDER_TYPE_IMMEDIATE);</v>
      </c>
      <c r="L155" s="157" t="str">
        <f t="shared" ca="1" si="16"/>
        <v>SpellData.create(SID_BLOOD_BOIL,"Blood Boil",0,0,20,OrderId("howlofterror"),1,ORDER_TYPE_IMMEDIATE);</v>
      </c>
      <c r="M155" s="164" t="s">
        <v>1693</v>
      </c>
      <c r="N155" s="164"/>
      <c r="O155" s="164"/>
      <c r="P155" s="164"/>
      <c r="Q155" s="164"/>
      <c r="R155" s="164"/>
      <c r="S155" s="164"/>
      <c r="T155" s="164"/>
      <c r="U155" s="164"/>
      <c r="V155" s="164"/>
      <c r="W155" s="164"/>
      <c r="X155" s="164"/>
    </row>
    <row r="156" spans="1:24">
      <c r="A156" s="169" t="s">
        <v>294</v>
      </c>
      <c r="B156" s="158" t="str">
        <f t="shared" si="20"/>
        <v>SID_UNHOLY_FRENZY</v>
      </c>
      <c r="C156" s="158" t="str">
        <f ca="1">OFFSET(CreepAbilities!$A$1,MATCH($A156,CreepAbilities!$F:$F,0)-1,MATCH("技能",CreepAbilities!$1:$1,0)-1)</f>
        <v>邪恶狂热</v>
      </c>
      <c r="D156" s="158">
        <f ca="1">OFFSET(CreepAbilities!$A$1,MATCH($A156,CreepAbilities!$F:$F,0)-1,MATCH("施",CreepAbilities!$1:$1,0)-1)</f>
        <v>0</v>
      </c>
      <c r="E156" s="158">
        <f ca="1">OFFSET(CreepAbilities!$A$1,MATCH($A156,CreepAbilities!$F:$F,0)-1,MATCH("耗",CreepAbilities!$1:$1,0)-1)</f>
        <v>0</v>
      </c>
      <c r="F156" s="158">
        <f ca="1">OFFSET(CreepAbilities!$A$1,MATCH($A156,CreepAbilities!$F:$F,0)-1,MATCH("冷",CreepAbilities!$1:$1,0)-1)</f>
        <v>12</v>
      </c>
      <c r="G156" s="158" t="str">
        <f ca="1">IF(OFFSET(CreepAbilities!$A$1,MATCH($A156,CreepAbilities!$F:$F,0)-1,MATCH("OID",CreepAbilities!$1:$1,0)-1)=0,0,"OrderId("&amp;CHAR(34)&amp;OFFSET(CreepAbilities!$A$1,MATCH($A156,CreepAbilities!$F:$F,0)-1,MATCH("OID",CreepAbilities!$1:$1,0)-1)&amp;CHAR(34)&amp;")")</f>
        <v>OrderId("sleep")</v>
      </c>
      <c r="H156" s="164">
        <v>1</v>
      </c>
      <c r="I156" s="164" t="s">
        <v>609</v>
      </c>
      <c r="J156" s="164"/>
      <c r="K156" s="157" t="str">
        <f t="shared" ca="1" si="19"/>
        <v>SpellData.create(SID_UNHOLY_FRENZY,"邪恶狂热",0,0,12,OrderId("sleep"),1,ORDER_TYPE_IMMEDIATE);</v>
      </c>
      <c r="L156" s="157" t="str">
        <f t="shared" ca="1" si="16"/>
        <v>SpellData.create(SID_UNHOLY_FRENZY,"Unholy Frenzy",0,0,12,OrderId("sleep"),1,ORDER_TYPE_IMMEDIATE);</v>
      </c>
      <c r="M156" s="164" t="s">
        <v>1693</v>
      </c>
      <c r="N156" s="164"/>
      <c r="O156" s="164"/>
      <c r="P156" s="164"/>
      <c r="Q156" s="164"/>
      <c r="R156" s="164"/>
      <c r="S156" s="164"/>
      <c r="T156" s="164"/>
      <c r="U156" s="164"/>
      <c r="V156" s="164"/>
      <c r="W156" s="164"/>
      <c r="X156" s="164"/>
    </row>
    <row r="157" spans="1:24">
      <c r="A157" s="169" t="s">
        <v>300</v>
      </c>
      <c r="B157" s="158" t="str">
        <f t="shared" si="20"/>
        <v>SID_CHAOS_LEAP</v>
      </c>
      <c r="C157" s="158" t="str">
        <f ca="1">OFFSET(CreepAbilities!$A$1,MATCH($A157,CreepAbilities!$F:$F,0)-1,MATCH("技能",CreepAbilities!$1:$1,0)-1)</f>
        <v>混乱跳跃</v>
      </c>
      <c r="D157" s="158">
        <f ca="1">OFFSET(CreepAbilities!$A$1,MATCH($A157,CreepAbilities!$F:$F,0)-1,MATCH("施",CreepAbilities!$1:$1,0)-1)</f>
        <v>0</v>
      </c>
      <c r="E157" s="158">
        <f ca="1">OFFSET(CreepAbilities!$A$1,MATCH($A157,CreepAbilities!$F:$F,0)-1,MATCH("耗",CreepAbilities!$1:$1,0)-1)</f>
        <v>0</v>
      </c>
      <c r="F157" s="158">
        <f ca="1">OFFSET(CreepAbilities!$A$1,MATCH($A157,CreepAbilities!$F:$F,0)-1,MATCH("冷",CreepAbilities!$1:$1,0)-1)</f>
        <v>20</v>
      </c>
      <c r="G157" s="158" t="str">
        <f ca="1">IF(OFFSET(CreepAbilities!$A$1,MATCH($A157,CreepAbilities!$F:$F,0)-1,MATCH("OID",CreepAbilities!$1:$1,0)-1)=0,0,"OrderId("&amp;CHAR(34)&amp;OFFSET(CreepAbilities!$A$1,MATCH($A157,CreepAbilities!$F:$F,0)-1,MATCH("OID",CreepAbilities!$1:$1,0)-1)&amp;CHAR(34)&amp;")")</f>
        <v>OrderId("sleep")</v>
      </c>
      <c r="H157" s="164">
        <v>1</v>
      </c>
      <c r="I157" s="164" t="s">
        <v>735</v>
      </c>
      <c r="J157" s="164"/>
      <c r="K157" s="157" t="str">
        <f t="shared" ca="1" si="19"/>
        <v>SpellData.create(SID_CHAOS_LEAP,"混乱跳跃",0,0,20,OrderId("sleep"),1,ORDER_TYPE_TARGET);</v>
      </c>
      <c r="L157" s="157" t="str">
        <f t="shared" ca="1" si="16"/>
        <v>SpellData.create(SID_CHAOS_LEAP,"Chaos Leap",0,0,20,OrderId("sleep"),1,ORDER_TYPE_TARGET);</v>
      </c>
      <c r="M157" s="164" t="s">
        <v>1693</v>
      </c>
      <c r="N157" s="164"/>
      <c r="O157" s="164"/>
      <c r="P157" s="164"/>
      <c r="Q157" s="164"/>
      <c r="R157" s="164"/>
      <c r="S157" s="164"/>
      <c r="T157" s="164"/>
      <c r="U157" s="164"/>
      <c r="V157" s="164"/>
      <c r="W157" s="164"/>
      <c r="X157" s="164"/>
    </row>
    <row r="158" spans="1:24">
      <c r="A158" s="169" t="s">
        <v>302</v>
      </c>
      <c r="B158" s="158" t="str">
        <f t="shared" si="20"/>
        <v>SID_WAR_STOMP</v>
      </c>
      <c r="C158" s="158" t="str">
        <f ca="1">OFFSET(CreepAbilities!$A$1,MATCH($A158,CreepAbilities!$F:$F,0)-1,MATCH("技能",CreepAbilities!$1:$1,0)-1)</f>
        <v>战争践踏</v>
      </c>
      <c r="D158" s="158">
        <f ca="1">OFFSET(CreepAbilities!$A$1,MATCH($A158,CreepAbilities!$F:$F,0)-1,MATCH("施",CreepAbilities!$1:$1,0)-1)</f>
        <v>4</v>
      </c>
      <c r="E158" s="158">
        <f ca="1">OFFSET(CreepAbilities!$A$1,MATCH($A158,CreepAbilities!$F:$F,0)-1,MATCH("耗",CreepAbilities!$1:$1,0)-1)</f>
        <v>0</v>
      </c>
      <c r="F158" s="158">
        <f ca="1">OFFSET(CreepAbilities!$A$1,MATCH($A158,CreepAbilities!$F:$F,0)-1,MATCH("冷",CreepAbilities!$1:$1,0)-1)</f>
        <v>8</v>
      </c>
      <c r="G158" s="158" t="str">
        <f ca="1">IF(OFFSET(CreepAbilities!$A$1,MATCH($A158,CreepAbilities!$F:$F,0)-1,MATCH("OID",CreepAbilities!$1:$1,0)-1)=0,0,"OrderId("&amp;CHAR(34)&amp;OFFSET(CreepAbilities!$A$1,MATCH($A158,CreepAbilities!$F:$F,0)-1,MATCH("OID",CreepAbilities!$1:$1,0)-1)&amp;CHAR(34)&amp;")")</f>
        <v>OrderId("sleep")</v>
      </c>
      <c r="H158" s="164">
        <v>1</v>
      </c>
      <c r="I158" s="164" t="s">
        <v>609</v>
      </c>
      <c r="J158" s="164"/>
      <c r="K158" s="157" t="str">
        <f t="shared" ca="1" si="19"/>
        <v>SpellData.create(SID_WAR_STOMP,"战争践踏",0,4,8,OrderId("sleep"),1,ORDER_TYPE_IMMEDIATE);</v>
      </c>
      <c r="L158" s="157" t="str">
        <f t="shared" ca="1" si="16"/>
        <v>SpellData.create(SID_WAR_STOMP,"War Stomp",0,4,8,OrderId("sleep"),1,ORDER_TYPE_IMMEDIATE);</v>
      </c>
      <c r="M158" s="164" t="s">
        <v>1693</v>
      </c>
      <c r="N158" s="164"/>
      <c r="O158" s="164"/>
      <c r="P158" s="164"/>
      <c r="Q158" s="164"/>
      <c r="R158" s="164"/>
      <c r="S158" s="164"/>
      <c r="T158" s="164"/>
      <c r="U158" s="164"/>
      <c r="V158" s="164"/>
      <c r="W158" s="164"/>
      <c r="X158" s="164"/>
    </row>
    <row r="159" spans="1:24">
      <c r="A159" s="169" t="s">
        <v>303</v>
      </c>
      <c r="B159" s="158" t="str">
        <f t="shared" si="20"/>
        <v>SID_BATTLE_COMMAND</v>
      </c>
      <c r="C159" s="158" t="str">
        <f ca="1">OFFSET(CreepAbilities!$A$1,MATCH($A159,CreepAbilities!$F:$F,0)-1,MATCH("技能",CreepAbilities!$1:$1,0)-1)</f>
        <v>战斗命令</v>
      </c>
      <c r="D159" s="158">
        <f ca="1">OFFSET(CreepAbilities!$A$1,MATCH($A159,CreepAbilities!$F:$F,0)-1,MATCH("施",CreepAbilities!$1:$1,0)-1)</f>
        <v>0</v>
      </c>
      <c r="E159" s="158">
        <f ca="1">OFFSET(CreepAbilities!$A$1,MATCH($A159,CreepAbilities!$F:$F,0)-1,MATCH("耗",CreepAbilities!$1:$1,0)-1)</f>
        <v>0</v>
      </c>
      <c r="F159" s="158">
        <f ca="1">OFFSET(CreepAbilities!$A$1,MATCH($A159,CreepAbilities!$F:$F,0)-1,MATCH("冷",CreepAbilities!$1:$1,0)-1)</f>
        <v>6</v>
      </c>
      <c r="G159" s="158" t="str">
        <f ca="1">IF(OFFSET(CreepAbilities!$A$1,MATCH($A159,CreepAbilities!$F:$F,0)-1,MATCH("OID",CreepAbilities!$1:$1,0)-1)=0,0,"OrderId("&amp;CHAR(34)&amp;OFFSET(CreepAbilities!$A$1,MATCH($A159,CreepAbilities!$F:$F,0)-1,MATCH("OID",CreepAbilities!$1:$1,0)-1)&amp;CHAR(34)&amp;")")</f>
        <v>OrderId("slow")</v>
      </c>
      <c r="H159" s="164">
        <v>1</v>
      </c>
      <c r="I159" s="164" t="s">
        <v>735</v>
      </c>
      <c r="J159" s="164"/>
      <c r="K159" s="157" t="str">
        <f t="shared" ca="1" si="19"/>
        <v>SpellData.create(SID_BATTLE_COMMAND,"战斗命令",0,0,6,OrderId("slow"),1,ORDER_TYPE_TARGET);</v>
      </c>
      <c r="L159" s="157" t="str">
        <f t="shared" ca="1" si="16"/>
        <v>SpellData.create(SID_BATTLE_COMMAND,"Battle Command",0,0,6,OrderId("slow"),1,ORDER_TYPE_TARGET);</v>
      </c>
      <c r="M159" s="164" t="s">
        <v>1693</v>
      </c>
      <c r="N159" s="164"/>
      <c r="O159" s="164"/>
      <c r="P159" s="164"/>
      <c r="Q159" s="164"/>
      <c r="R159" s="164"/>
      <c r="S159" s="164"/>
      <c r="T159" s="164"/>
      <c r="U159" s="164"/>
      <c r="V159" s="164"/>
      <c r="W159" s="164"/>
      <c r="X159" s="164"/>
    </row>
    <row r="160" spans="1:24" s="171" customFormat="1">
      <c r="A160" s="169" t="s">
        <v>306</v>
      </c>
      <c r="B160" s="158" t="str">
        <f t="shared" si="20"/>
        <v>SID_BLAZING_HASTE</v>
      </c>
      <c r="C160" s="158" t="str">
        <f ca="1">OFFSET(CreepAbilities!$A$1,MATCH($A160,CreepAbilities!$F:$F,0)-1,MATCH("技能",CreepAbilities!$1:$1,0)-1)</f>
        <v>炽热疾速</v>
      </c>
      <c r="D160" s="158">
        <f ca="1">OFFSET(CreepAbilities!$A$1,MATCH($A160,CreepAbilities!$F:$F,0)-1,MATCH("施",CreepAbilities!$1:$1,0)-1)</f>
        <v>0</v>
      </c>
      <c r="E160" s="158">
        <f ca="1">OFFSET(CreepAbilities!$A$1,MATCH($A160,CreepAbilities!$F:$F,0)-1,MATCH("耗",CreepAbilities!$1:$1,0)-1)</f>
        <v>75</v>
      </c>
      <c r="F160" s="158">
        <f ca="1">OFFSET(CreepAbilities!$A$1,MATCH($A160,CreepAbilities!$F:$F,0)-1,MATCH("冷",CreepAbilities!$1:$1,0)-1)</f>
        <v>5</v>
      </c>
      <c r="G160" s="158" t="str">
        <f ca="1">IF(OFFSET(CreepAbilities!$A$1,MATCH($A160,CreepAbilities!$F:$F,0)-1,MATCH("OID",CreepAbilities!$1:$1,0)-1)=0,0,"OrderId("&amp;CHAR(34)&amp;OFFSET(CreepAbilities!$A$1,MATCH($A160,CreepAbilities!$F:$F,0)-1,MATCH("OID",CreepAbilities!$1:$1,0)-1)&amp;CHAR(34)&amp;")")</f>
        <v>OrderId("heal")</v>
      </c>
      <c r="H160" s="170">
        <v>1</v>
      </c>
      <c r="I160" s="170" t="s">
        <v>735</v>
      </c>
      <c r="J160" s="170"/>
      <c r="K160" s="157" t="str">
        <f t="shared" ca="1" si="19"/>
        <v>SpellData.create(SID_BLAZING_HASTE,"炽热疾速",75,0,5,OrderId("heal"),1,ORDER_TYPE_TARGET);</v>
      </c>
      <c r="L160" s="157" t="str">
        <f t="shared" ca="1" si="16"/>
        <v>SpellData.create(SID_BLAZING_HASTE,"Blazing Haste",75,0,5,OrderId("heal"),1,ORDER_TYPE_TARGET);</v>
      </c>
      <c r="M160" s="170" t="s">
        <v>1693</v>
      </c>
      <c r="N160" s="170"/>
      <c r="O160" s="170"/>
      <c r="P160" s="170"/>
      <c r="Q160" s="170"/>
      <c r="R160" s="170"/>
      <c r="S160" s="170"/>
      <c r="T160" s="170"/>
      <c r="U160" s="170"/>
      <c r="V160" s="170"/>
      <c r="W160" s="170"/>
      <c r="X160" s="170"/>
    </row>
    <row r="161" spans="1:24" s="171" customFormat="1">
      <c r="A161" s="169" t="s">
        <v>1013</v>
      </c>
      <c r="B161" s="158" t="str">
        <f t="shared" si="20"/>
        <v>SID_FIRE_BALL</v>
      </c>
      <c r="C161" s="158" t="str">
        <f ca="1">OFFSET(CreepAbilities!$A$1,MATCH($A161,CreepAbilities!$F:$F,0)-1,MATCH("技能",CreepAbilities!$1:$1,0)-1)</f>
        <v>连珠火球</v>
      </c>
      <c r="D161" s="158">
        <f ca="1">OFFSET(CreepAbilities!$A$1,MATCH($A161,CreepAbilities!$F:$F,0)-1,MATCH("施",CreepAbilities!$1:$1,0)-1)</f>
        <v>3</v>
      </c>
      <c r="E161" s="158">
        <f ca="1">OFFSET(CreepAbilities!$A$1,MATCH($A161,CreepAbilities!$F:$F,0)-1,MATCH("耗",CreepAbilities!$1:$1,0)-1)</f>
        <v>100</v>
      </c>
      <c r="F161" s="158">
        <f ca="1">OFFSET(CreepAbilities!$A$1,MATCH($A161,CreepAbilities!$F:$F,0)-1,MATCH("冷",CreepAbilities!$1:$1,0)-1)</f>
        <v>1</v>
      </c>
      <c r="G161" s="158" t="str">
        <f ca="1">IF(OFFSET(CreepAbilities!$A$1,MATCH($A161,CreepAbilities!$F:$F,0)-1,MATCH("OID",CreepAbilities!$1:$1,0)-1)=0,0,"OrderId("&amp;CHAR(34)&amp;OFFSET(CreepAbilities!$A$1,MATCH($A161,CreepAbilities!$F:$F,0)-1,MATCH("OID",CreepAbilities!$1:$1,0)-1)&amp;CHAR(34)&amp;")")</f>
        <v>OrderId("sleep")</v>
      </c>
      <c r="H161" s="170">
        <v>1</v>
      </c>
      <c r="I161" s="164" t="s">
        <v>609</v>
      </c>
      <c r="J161" s="170"/>
      <c r="K161" s="157" t="str">
        <f t="shared" ca="1" si="19"/>
        <v>SpellData.create(SID_FIRE_BALL,"连珠火球",100,3,1,OrderId("sleep"),1,ORDER_TYPE_IMMEDIATE);</v>
      </c>
      <c r="L161" s="157" t="str">
        <f t="shared" ca="1" si="16"/>
        <v>SpellData.create(SID_FIRE_BALL,"Fire Ball",100,3,1,OrderId("sleep"),1,ORDER_TYPE_IMMEDIATE);</v>
      </c>
      <c r="M161" s="170" t="s">
        <v>1693</v>
      </c>
      <c r="N161" s="170"/>
      <c r="O161" s="170"/>
      <c r="P161" s="170"/>
      <c r="Q161" s="170"/>
      <c r="R161" s="170"/>
      <c r="S161" s="170"/>
      <c r="T161" s="170"/>
      <c r="U161" s="170"/>
      <c r="V161" s="170"/>
      <c r="W161" s="170"/>
      <c r="X161" s="170"/>
    </row>
    <row r="162" spans="1:24" s="171" customFormat="1">
      <c r="A162" s="169" t="s">
        <v>307</v>
      </c>
      <c r="B162" s="158" t="str">
        <f t="shared" si="20"/>
        <v>SID_FLAME_SHOCK</v>
      </c>
      <c r="C162" s="158" t="str">
        <f ca="1">OFFSET(CreepAbilities!$A$1,MATCH($A162,CreepAbilities!$F:$F,0)-1,MATCH("技能",CreepAbilities!$1:$1,0)-1)</f>
        <v>烈焰震击</v>
      </c>
      <c r="D162" s="158">
        <f ca="1">OFFSET(CreepAbilities!$A$1,MATCH($A162,CreepAbilities!$F:$F,0)-1,MATCH("施",CreepAbilities!$1:$1,0)-1)</f>
        <v>0</v>
      </c>
      <c r="E162" s="158">
        <f ca="1">OFFSET(CreepAbilities!$A$1,MATCH($A162,CreepAbilities!$F:$F,0)-1,MATCH("耗",CreepAbilities!$1:$1,0)-1)</f>
        <v>50</v>
      </c>
      <c r="F162" s="158">
        <f ca="1">OFFSET(CreepAbilities!$A$1,MATCH($A162,CreepAbilities!$F:$F,0)-1,MATCH("冷",CreepAbilities!$1:$1,0)-1)</f>
        <v>5</v>
      </c>
      <c r="G162" s="158" t="str">
        <f ca="1">IF(OFFSET(CreepAbilities!$A$1,MATCH($A162,CreepAbilities!$F:$F,0)-1,MATCH("OID",CreepAbilities!$1:$1,0)-1)=0,0,"OrderId("&amp;CHAR(34)&amp;OFFSET(CreepAbilities!$A$1,MATCH($A162,CreepAbilities!$F:$F,0)-1,MATCH("OID",CreepAbilities!$1:$1,0)-1)&amp;CHAR(34)&amp;")")</f>
        <v>OrderId("slow")</v>
      </c>
      <c r="H162" s="170">
        <v>1</v>
      </c>
      <c r="I162" s="170" t="s">
        <v>735</v>
      </c>
      <c r="J162" s="170"/>
      <c r="K162" s="157" t="str">
        <f t="shared" ca="1" si="19"/>
        <v>SpellData.create(SID_FLAME_SHOCK,"烈焰震击",50,0,5,OrderId("slow"),1,ORDER_TYPE_TARGET);</v>
      </c>
      <c r="L162" s="157" t="str">
        <f t="shared" ca="1" si="16"/>
        <v>SpellData.create(SID_FLAME_SHOCK,"Flame Shock",50,0,5,OrderId("slow"),1,ORDER_TYPE_TARGET);</v>
      </c>
      <c r="M162" s="170" t="s">
        <v>1693</v>
      </c>
      <c r="N162" s="170"/>
      <c r="O162" s="170"/>
      <c r="P162" s="170"/>
      <c r="Q162" s="170"/>
      <c r="R162" s="170"/>
      <c r="S162" s="170"/>
      <c r="T162" s="170"/>
      <c r="U162" s="170"/>
      <c r="V162" s="170"/>
      <c r="W162" s="170"/>
      <c r="X162" s="170"/>
    </row>
    <row r="163" spans="1:24" s="171" customFormat="1">
      <c r="A163" s="169" t="s">
        <v>1623</v>
      </c>
      <c r="B163" s="158" t="str">
        <f t="shared" si="20"/>
        <v>SID_SMOLDER</v>
      </c>
      <c r="C163" s="158" t="str">
        <f ca="1">OFFSET(CreepAbilities!$A$1,MATCH($A163,CreepAbilities!$F:$F,0)-1,MATCH("技能",CreepAbilities!$1:$1,0)-1)</f>
        <v>阴燃</v>
      </c>
      <c r="D163" s="158">
        <f ca="1">OFFSET(CreepAbilities!$A$1,MATCH($A163,CreepAbilities!$F:$F,0)-1,MATCH("施",CreepAbilities!$1:$1,0)-1)</f>
        <v>1</v>
      </c>
      <c r="E163" s="158">
        <f ca="1">OFFSET(CreepAbilities!$A$1,MATCH($A163,CreepAbilities!$F:$F,0)-1,MATCH("耗",CreepAbilities!$1:$1,0)-1)</f>
        <v>0</v>
      </c>
      <c r="F163" s="158">
        <f ca="1">OFFSET(CreepAbilities!$A$1,MATCH($A163,CreepAbilities!$F:$F,0)-1,MATCH("冷",CreepAbilities!$1:$1,0)-1)</f>
        <v>0</v>
      </c>
      <c r="G163" s="158" t="str">
        <f ca="1">IF(OFFSET(CreepAbilities!$A$1,MATCH($A163,CreepAbilities!$F:$F,0)-1,MATCH("OID",CreepAbilities!$1:$1,0)-1)=0,0,"OrderId("&amp;CHAR(34)&amp;OFFSET(CreepAbilities!$A$1,MATCH($A163,CreepAbilities!$F:$F,0)-1,MATCH("OID",CreepAbilities!$1:$1,0)-1)&amp;CHAR(34)&amp;")")</f>
        <v>OrderId("howlofterror")</v>
      </c>
      <c r="H163" s="170">
        <v>1</v>
      </c>
      <c r="I163" s="164" t="s">
        <v>609</v>
      </c>
      <c r="J163" s="170"/>
      <c r="K163" s="157" t="str">
        <f t="shared" ca="1" si="19"/>
        <v>SpellData.create(SID_SMOLDER,"阴燃",0,1,0,OrderId("howlofterror"),1,ORDER_TYPE_IMMEDIATE);</v>
      </c>
      <c r="L163" s="157" t="str">
        <f t="shared" ca="1" si="16"/>
        <v>SpellData.create(SID_SMOLDER,"Smolder",0,1,0,OrderId("howlofterror"),1,ORDER_TYPE_IMMEDIATE);</v>
      </c>
      <c r="M163" s="170" t="s">
        <v>1693</v>
      </c>
      <c r="N163" s="170"/>
      <c r="O163" s="170"/>
      <c r="P163" s="170"/>
      <c r="Q163" s="170"/>
      <c r="R163" s="170"/>
      <c r="S163" s="170"/>
      <c r="T163" s="170"/>
      <c r="U163" s="170"/>
      <c r="V163" s="170"/>
      <c r="W163" s="170"/>
      <c r="X163" s="170"/>
    </row>
    <row r="164" spans="1:24" s="171" customFormat="1">
      <c r="A164" s="172" t="s">
        <v>1697</v>
      </c>
      <c r="B164" s="158" t="str">
        <f t="shared" si="20"/>
        <v>SID_SUMMON_PARASITICAL_ROACH</v>
      </c>
      <c r="C164" s="158" t="str">
        <f ca="1">OFFSET(CreepAbilities!$A$1,MATCH($A164,CreepAbilities!$F:$F,0)-1,MATCH("技能",CreepAbilities!$1:$1,0)-1)</f>
        <v>召唤寄生蟑螂</v>
      </c>
      <c r="D164" s="158">
        <f ca="1">OFFSET(CreepAbilities!$A$1,MATCH($A164,CreepAbilities!$F:$F,0)-1,MATCH("施",CreepAbilities!$1:$1,0)-1)</f>
        <v>0</v>
      </c>
      <c r="E164" s="158">
        <f ca="1">OFFSET(CreepAbilities!$A$1,MATCH($A164,CreepAbilities!$F:$F,0)-1,MATCH("耗",CreepAbilities!$1:$1,0)-1)</f>
        <v>0</v>
      </c>
      <c r="F164" s="158">
        <f ca="1">OFFSET(CreepAbilities!$A$1,MATCH($A164,CreepAbilities!$F:$F,0)-1,MATCH("冷",CreepAbilities!$1:$1,0)-1)</f>
        <v>15</v>
      </c>
      <c r="G164" s="158" t="str">
        <f ca="1">IF(OFFSET(CreepAbilities!$A$1,MATCH($A164,CreepAbilities!$F:$F,0)-1,MATCH("OID",CreepAbilities!$1:$1,0)-1)=0,0,"OrderId("&amp;CHAR(34)&amp;OFFSET(CreepAbilities!$A$1,MATCH($A164,CreepAbilities!$F:$F,0)-1,MATCH("OID",CreepAbilities!$1:$1,0)-1)&amp;CHAR(34)&amp;")")</f>
        <v>OrderId("howlofterror")</v>
      </c>
      <c r="H164" s="170">
        <v>1</v>
      </c>
      <c r="I164" s="164" t="s">
        <v>609</v>
      </c>
      <c r="J164" s="170"/>
      <c r="K164" s="157" t="str">
        <f t="shared" ref="K164" ca="1" si="21">IF(C164="N/A","//",CONCATENATE("SpellData.create(",B164,",",CHAR(34),C164,CHAR(34),",",E164,",",D164,",",F164,",",G164,",",H164,",",I164,")",J164,";"))</f>
        <v>SpellData.create(SID_SUMMON_PARASITICAL_ROACH,"召唤寄生蟑螂",0,0,15,OrderId("howlofterror"),1,ORDER_TYPE_IMMEDIATE);</v>
      </c>
      <c r="L164" s="157" t="str">
        <f t="shared" ref="L164" ca="1" si="22">IF(A164="N/A","//",CONCATENATE("SpellData.create(",B164,",",CHAR(34),A164,CHAR(34),",",E164,",",D164,",",F164,",",G164,",",H164,",",I164,")",J164,";"))</f>
        <v>SpellData.create(SID_SUMMON_PARASITICAL_ROACH,"Summon Parasitical Roach",0,0,15,OrderId("howlofterror"),1,ORDER_TYPE_IMMEDIATE);</v>
      </c>
      <c r="M164" s="170" t="s">
        <v>1693</v>
      </c>
      <c r="N164" s="170"/>
      <c r="O164" s="170"/>
      <c r="P164" s="170"/>
      <c r="Q164" s="170"/>
      <c r="R164" s="170"/>
      <c r="S164" s="170"/>
      <c r="T164" s="170"/>
      <c r="U164" s="170"/>
      <c r="V164" s="170"/>
      <c r="W164" s="170"/>
      <c r="X164" s="170"/>
    </row>
    <row r="165" spans="1:24" s="171" customFormat="1">
      <c r="A165" s="172" t="s">
        <v>1018</v>
      </c>
      <c r="B165" s="158" t="str">
        <f t="shared" si="20"/>
        <v>SID_PARASITE</v>
      </c>
      <c r="C165" s="158" t="str">
        <f ca="1">OFFSET(CreepAbilities!$A$1,MATCH($A165,CreepAbilities!$F:$F,0)-1,MATCH("技能",CreepAbilities!$1:$1,0)-1)</f>
        <v>寄生</v>
      </c>
      <c r="D165" s="158">
        <f ca="1">OFFSET(CreepAbilities!$A$1,MATCH($A165,CreepAbilities!$F:$F,0)-1,MATCH("施",CreepAbilities!$1:$1,0)-1)</f>
        <v>0</v>
      </c>
      <c r="E165" s="158">
        <f ca="1">OFFSET(CreepAbilities!$A$1,MATCH($A165,CreepAbilities!$F:$F,0)-1,MATCH("耗",CreepAbilities!$1:$1,0)-1)</f>
        <v>0</v>
      </c>
      <c r="F165" s="158">
        <f ca="1">OFFSET(CreepAbilities!$A$1,MATCH($A165,CreepAbilities!$F:$F,0)-1,MATCH("冷",CreepAbilities!$1:$1,0)-1)</f>
        <v>0</v>
      </c>
      <c r="G165" s="158">
        <f ca="1">IF(OFFSET(CreepAbilities!$A$1,MATCH($A165,CreepAbilities!$F:$F,0)-1,MATCH("OID",CreepAbilities!$1:$1,0)-1)=0,0,"OrderId("&amp;CHAR(34)&amp;OFFSET(CreepAbilities!$A$1,MATCH($A165,CreepAbilities!$F:$F,0)-1,MATCH("OID",CreepAbilities!$1:$1,0)-1)&amp;CHAR(34)&amp;")")</f>
        <v>0</v>
      </c>
      <c r="H165" s="170">
        <v>1</v>
      </c>
      <c r="I165" s="170" t="s">
        <v>735</v>
      </c>
      <c r="J165" s="170"/>
      <c r="K165" s="157" t="str">
        <f t="shared" ca="1" si="19"/>
        <v>SpellData.create(SID_PARASITE,"寄生",0,0,0,0,1,ORDER_TYPE_TARGET);</v>
      </c>
      <c r="L165" s="157" t="str">
        <f t="shared" ca="1" si="16"/>
        <v>SpellData.create(SID_PARASITE,"Parasite",0,0,0,0,1,ORDER_TYPE_TARGET);</v>
      </c>
      <c r="M165" s="170" t="s">
        <v>1693</v>
      </c>
      <c r="N165" s="170"/>
      <c r="O165" s="170"/>
      <c r="P165" s="170"/>
      <c r="Q165" s="170"/>
      <c r="R165" s="170"/>
      <c r="S165" s="170"/>
      <c r="T165" s="170"/>
      <c r="U165" s="170"/>
      <c r="V165" s="170"/>
      <c r="W165" s="170"/>
      <c r="X165" s="170"/>
    </row>
    <row r="166" spans="1:24" s="171" customFormat="1">
      <c r="A166" s="172" t="s">
        <v>1020</v>
      </c>
      <c r="B166" s="158" t="str">
        <f t="shared" si="20"/>
        <v>SID_GNAW</v>
      </c>
      <c r="C166" s="158" t="str">
        <f ca="1">OFFSET(CreepAbilities!$A$1,MATCH($A166,CreepAbilities!$F:$F,0)-1,MATCH("技能",CreepAbilities!$1:$1,0)-1)</f>
        <v>啃食</v>
      </c>
      <c r="D166" s="158">
        <f ca="1">OFFSET(CreepAbilities!$A$1,MATCH($A166,CreepAbilities!$F:$F,0)-1,MATCH("施",CreepAbilities!$1:$1,0)-1)</f>
        <v>5</v>
      </c>
      <c r="E166" s="158">
        <f ca="1">OFFSET(CreepAbilities!$A$1,MATCH($A166,CreepAbilities!$F:$F,0)-1,MATCH("耗",CreepAbilities!$1:$1,0)-1)</f>
        <v>0</v>
      </c>
      <c r="F166" s="158">
        <f ca="1">OFFSET(CreepAbilities!$A$1,MATCH($A166,CreepAbilities!$F:$F,0)-1,MATCH("冷",CreepAbilities!$1:$1,0)-1)</f>
        <v>0</v>
      </c>
      <c r="G166" s="158" t="str">
        <f ca="1">IF(OFFSET(CreepAbilities!$A$1,MATCH($A166,CreepAbilities!$F:$F,0)-1,MATCH("OID",CreepAbilities!$1:$1,0)-1)=0,0,"OrderId("&amp;CHAR(34)&amp;OFFSET(CreepAbilities!$A$1,MATCH($A166,CreepAbilities!$F:$F,0)-1,MATCH("OID",CreepAbilities!$1:$1,0)-1)&amp;CHAR(34)&amp;")")</f>
        <v>OrderId("sleep")</v>
      </c>
      <c r="H166" s="170">
        <v>2</v>
      </c>
      <c r="I166" s="170" t="s">
        <v>735</v>
      </c>
      <c r="J166" s="170"/>
      <c r="K166" s="157" t="str">
        <f t="shared" ca="1" si="19"/>
        <v>SpellData.create(SID_GNAW,"啃食",0,5,0,OrderId("sleep"),2,ORDER_TYPE_TARGET);</v>
      </c>
      <c r="L166" s="157" t="str">
        <f t="shared" ca="1" si="16"/>
        <v>SpellData.create(SID_GNAW,"Gnaw",0,5,0,OrderId("sleep"),2,ORDER_TYPE_TARGET);</v>
      </c>
      <c r="M166" s="170" t="s">
        <v>1693</v>
      </c>
      <c r="N166" s="170"/>
      <c r="O166" s="170"/>
      <c r="P166" s="170"/>
      <c r="Q166" s="170"/>
      <c r="R166" s="170"/>
      <c r="S166" s="170"/>
      <c r="T166" s="170"/>
      <c r="U166" s="170"/>
      <c r="V166" s="170"/>
      <c r="W166" s="170"/>
      <c r="X166" s="170"/>
    </row>
    <row r="167" spans="1:24" s="171" customFormat="1">
      <c r="A167" s="172" t="s">
        <v>1700</v>
      </c>
      <c r="B167" s="158" t="str">
        <f t="shared" si="20"/>
        <v>SID_CURSE_OF_THE_DEAD</v>
      </c>
      <c r="C167" s="158" t="str">
        <f ca="1">OFFSET(CreepAbilities!$A$1,MATCH($A167,CreepAbilities!$F:$F,0)-1,MATCH("技能",CreepAbilities!$1:$1,0)-1)</f>
        <v>亡者诅咒</v>
      </c>
      <c r="D167" s="158">
        <f ca="1">OFFSET(CreepAbilities!$A$1,MATCH($A167,CreepAbilities!$F:$F,0)-1,MATCH("施",CreepAbilities!$1:$1,0)-1)</f>
        <v>0</v>
      </c>
      <c r="E167" s="158">
        <f ca="1">OFFSET(CreepAbilities!$A$1,MATCH($A167,CreepAbilities!$F:$F,0)-1,MATCH("耗",CreepAbilities!$1:$1,0)-1)</f>
        <v>0</v>
      </c>
      <c r="F167" s="158">
        <f ca="1">OFFSET(CreepAbilities!$A$1,MATCH($A167,CreepAbilities!$F:$F,0)-1,MATCH("冷",CreepAbilities!$1:$1,0)-1)</f>
        <v>15</v>
      </c>
      <c r="G167" s="158" t="str">
        <f ca="1">IF(OFFSET(CreepAbilities!$A$1,MATCH($A167,CreepAbilities!$F:$F,0)-1,MATCH("OID",CreepAbilities!$1:$1,0)-1)=0,0,"OrderId("&amp;CHAR(34)&amp;OFFSET(CreepAbilities!$A$1,MATCH($A167,CreepAbilities!$F:$F,0)-1,MATCH("OID",CreepAbilities!$1:$1,0)-1)&amp;CHAR(34)&amp;")")</f>
        <v>OrderId("sleep")</v>
      </c>
      <c r="H167" s="170">
        <v>1</v>
      </c>
      <c r="I167" s="170" t="s">
        <v>735</v>
      </c>
      <c r="J167" s="170"/>
      <c r="K167" s="157" t="str">
        <f t="shared" ca="1" si="19"/>
        <v>SpellData.create(SID_CURSE_OF_THE_DEAD,"亡者诅咒",0,0,15,OrderId("sleep"),1,ORDER_TYPE_TARGET);</v>
      </c>
      <c r="L167" s="157" t="str">
        <f t="shared" ref="L167:L168" ca="1" si="23">IF(A167="N/A","//",CONCATENATE("SpellData.create(",B167,",",CHAR(34),A167,CHAR(34),",",E167,",",D167,",",F167,",",G167,",",H167,",",I167,")",J167,";"))</f>
        <v>SpellData.create(SID_CURSE_OF_THE_DEAD,"Curse of the Dead",0,0,15,OrderId("sleep"),1,ORDER_TYPE_TARGET);</v>
      </c>
      <c r="M167" s="170" t="s">
        <v>1693</v>
      </c>
      <c r="N167" s="170"/>
      <c r="O167" s="170"/>
      <c r="P167" s="170"/>
      <c r="Q167" s="170"/>
      <c r="R167" s="170"/>
      <c r="S167" s="170"/>
      <c r="T167" s="170"/>
      <c r="U167" s="170"/>
      <c r="V167" s="170"/>
      <c r="W167" s="170"/>
      <c r="X167" s="170"/>
    </row>
    <row r="168" spans="1:24" s="171" customFormat="1">
      <c r="A168" s="172" t="s">
        <v>1704</v>
      </c>
      <c r="B168" s="158" t="str">
        <f t="shared" si="20"/>
        <v>SID_DEATH_ORB</v>
      </c>
      <c r="C168" s="158" t="str">
        <f ca="1">OFFSET(CreepAbilities!$A$1,MATCH($A168,CreepAbilities!$F:$F,0)-1,MATCH("技能",CreepAbilities!$1:$1,0)-1)</f>
        <v>死亡法球</v>
      </c>
      <c r="D168" s="158">
        <f ca="1">OFFSET(CreepAbilities!$A$1,MATCH($A168,CreepAbilities!$F:$F,0)-1,MATCH("施",CreepAbilities!$1:$1,0)-1)</f>
        <v>3</v>
      </c>
      <c r="E168" s="158">
        <f ca="1">OFFSET(CreepAbilities!$A$1,MATCH($A168,CreepAbilities!$F:$F,0)-1,MATCH("耗",CreepAbilities!$1:$1,0)-1)</f>
        <v>0</v>
      </c>
      <c r="F168" s="158">
        <f ca="1">OFFSET(CreepAbilities!$A$1,MATCH($A168,CreepAbilities!$F:$F,0)-1,MATCH("冷",CreepAbilities!$1:$1,0)-1)</f>
        <v>0</v>
      </c>
      <c r="G168" s="158" t="str">
        <f ca="1">IF(OFFSET(CreepAbilities!$A$1,MATCH($A168,CreepAbilities!$F:$F,0)-1,MATCH("OID",CreepAbilities!$1:$1,0)-1)=0,0,"OrderId("&amp;CHAR(34)&amp;OFFSET(CreepAbilities!$A$1,MATCH($A168,CreepAbilities!$F:$F,0)-1,MATCH("OID",CreepAbilities!$1:$1,0)-1)&amp;CHAR(34)&amp;")")</f>
        <v>OrderId("slow")</v>
      </c>
      <c r="H168" s="170">
        <v>1</v>
      </c>
      <c r="I168" s="170" t="s">
        <v>735</v>
      </c>
      <c r="J168" s="170"/>
      <c r="K168" s="157" t="str">
        <f t="shared" ca="1" si="19"/>
        <v>SpellData.create(SID_DEATH_ORB,"死亡法球",0,3,0,OrderId("slow"),1,ORDER_TYPE_TARGET);</v>
      </c>
      <c r="L168" s="157" t="str">
        <f t="shared" ca="1" si="23"/>
        <v>SpellData.create(SID_DEATH_ORB,"Death Orb",0,3,0,OrderId("slow"),1,ORDER_TYPE_TARGET);</v>
      </c>
      <c r="M168" s="170" t="s">
        <v>1693</v>
      </c>
      <c r="N168" s="170"/>
      <c r="O168" s="170"/>
      <c r="P168" s="170"/>
      <c r="Q168" s="170"/>
      <c r="R168" s="170"/>
      <c r="S168" s="170"/>
      <c r="T168" s="170"/>
      <c r="U168" s="170"/>
      <c r="V168" s="170"/>
      <c r="W168" s="170"/>
      <c r="X168" s="170"/>
    </row>
    <row r="169" spans="1:24" s="171" customFormat="1">
      <c r="A169" s="172" t="s">
        <v>1023</v>
      </c>
      <c r="B169" s="158" t="str">
        <f t="shared" si="20"/>
        <v>SID_MANA_TAP</v>
      </c>
      <c r="C169" s="158" t="str">
        <f ca="1">OFFSET(CreepAbilities!$A$1,MATCH($A169,CreepAbilities!$F:$F,0)-1,MATCH("技能",CreepAbilities!$1:$1,0)-1)</f>
        <v>法力流失</v>
      </c>
      <c r="D169" s="158">
        <f ca="1">OFFSET(CreepAbilities!$A$1,MATCH($A169,CreepAbilities!$F:$F,0)-1,MATCH("施",CreepAbilities!$1:$1,0)-1)</f>
        <v>0</v>
      </c>
      <c r="E169" s="158">
        <f ca="1">OFFSET(CreepAbilities!$A$1,MATCH($A169,CreepAbilities!$F:$F,0)-1,MATCH("耗",CreepAbilities!$1:$1,0)-1)</f>
        <v>0</v>
      </c>
      <c r="F169" s="158">
        <f ca="1">OFFSET(CreepAbilities!$A$1,MATCH($A169,CreepAbilities!$F:$F,0)-1,MATCH("冷",CreepAbilities!$1:$1,0)-1)</f>
        <v>13</v>
      </c>
      <c r="G169" s="158" t="str">
        <f ca="1">IF(OFFSET(CreepAbilities!$A$1,MATCH($A169,CreepAbilities!$F:$F,0)-1,MATCH("OID",CreepAbilities!$1:$1,0)-1)=0,0,"OrderId("&amp;CHAR(34)&amp;OFFSET(CreepAbilities!$A$1,MATCH($A169,CreepAbilities!$F:$F,0)-1,MATCH("OID",CreepAbilities!$1:$1,0)-1)&amp;CHAR(34)&amp;")")</f>
        <v>OrderId("sleep")</v>
      </c>
      <c r="H169" s="170">
        <v>1</v>
      </c>
      <c r="I169" s="170" t="s">
        <v>781</v>
      </c>
      <c r="J169" s="170"/>
      <c r="K169" s="157" t="str">
        <f t="shared" ca="1" si="19"/>
        <v>SpellData.create(SID_MANA_TAP,"法力流失",0,0,13,OrderId("sleep"),1,ORDER_TYPE_POINT);</v>
      </c>
      <c r="L169" s="157" t="str">
        <f t="shared" ca="1" si="16"/>
        <v>SpellData.create(SID_MANA_TAP,"Mana Tap",0,0,13,OrderId("sleep"),1,ORDER_TYPE_POINT);</v>
      </c>
      <c r="M169" s="170" t="s">
        <v>1693</v>
      </c>
      <c r="N169" s="170"/>
      <c r="O169" s="170"/>
      <c r="P169" s="170"/>
      <c r="Q169" s="170"/>
      <c r="R169" s="170"/>
      <c r="S169" s="170"/>
      <c r="T169" s="170"/>
      <c r="U169" s="170"/>
      <c r="V169" s="170"/>
      <c r="W169" s="170"/>
      <c r="X169" s="170"/>
    </row>
    <row r="170" spans="1:24" s="171" customFormat="1">
      <c r="A170" s="172" t="s">
        <v>1025</v>
      </c>
      <c r="B170" s="158" t="str">
        <f t="shared" si="20"/>
        <v>SID_FROST_GRAVE</v>
      </c>
      <c r="C170" s="158" t="str">
        <f ca="1">OFFSET(CreepAbilities!$A$1,MATCH($A170,CreepAbilities!$F:$F,0)-1,MATCH("技能",CreepAbilities!$1:$1,0)-1)</f>
        <v>冰冻坟墓</v>
      </c>
      <c r="D170" s="158">
        <f ca="1">OFFSET(CreepAbilities!$A$1,MATCH($A170,CreepAbilities!$F:$F,0)-1,MATCH("施",CreepAbilities!$1:$1,0)-1)</f>
        <v>0</v>
      </c>
      <c r="E170" s="158">
        <f ca="1">OFFSET(CreepAbilities!$A$1,MATCH($A170,CreepAbilities!$F:$F,0)-1,MATCH("耗",CreepAbilities!$1:$1,0)-1)</f>
        <v>0</v>
      </c>
      <c r="F170" s="158">
        <f ca="1">OFFSET(CreepAbilities!$A$1,MATCH($A170,CreepAbilities!$F:$F,0)-1,MATCH("冷",CreepAbilities!$1:$1,0)-1)</f>
        <v>8</v>
      </c>
      <c r="G170" s="158" t="str">
        <f ca="1">IF(OFFSET(CreepAbilities!$A$1,MATCH($A170,CreepAbilities!$F:$F,0)-1,MATCH("OID",CreepAbilities!$1:$1,0)-1)=0,0,"OrderId("&amp;CHAR(34)&amp;OFFSET(CreepAbilities!$A$1,MATCH($A170,CreepAbilities!$F:$F,0)-1,MATCH("OID",CreepAbilities!$1:$1,0)-1)&amp;CHAR(34)&amp;")")</f>
        <v>OrderId("sleep")</v>
      </c>
      <c r="H170" s="170">
        <v>1</v>
      </c>
      <c r="I170" s="170" t="s">
        <v>735</v>
      </c>
      <c r="J170" s="170"/>
      <c r="K170" s="157" t="str">
        <f t="shared" ca="1" si="19"/>
        <v>SpellData.create(SID_FROST_GRAVE,"冰冻坟墓",0,0,8,OrderId("sleep"),1,ORDER_TYPE_TARGET);</v>
      </c>
      <c r="L170" s="157" t="str">
        <f t="shared" ca="1" si="16"/>
        <v>SpellData.create(SID_FROST_GRAVE,"Frost Grave",0,0,8,OrderId("sleep"),1,ORDER_TYPE_TARGET);</v>
      </c>
      <c r="M170" s="170" t="s">
        <v>1693</v>
      </c>
      <c r="N170" s="170"/>
      <c r="O170" s="170"/>
      <c r="P170" s="170"/>
      <c r="Q170" s="170"/>
      <c r="R170" s="170"/>
      <c r="S170" s="170"/>
      <c r="T170" s="170"/>
      <c r="U170" s="170"/>
      <c r="V170" s="170"/>
      <c r="W170" s="170"/>
      <c r="X170" s="170"/>
    </row>
    <row r="171" spans="1:24" s="171" customFormat="1">
      <c r="A171" s="172" t="s">
        <v>1026</v>
      </c>
      <c r="B171" s="158" t="str">
        <f t="shared" si="20"/>
        <v>SID_DEATH_AND_DECAY</v>
      </c>
      <c r="C171" s="158" t="str">
        <f ca="1">OFFSET(CreepAbilities!$A$1,MATCH($A171,CreepAbilities!$F:$F,0)-1,MATCH("技能",CreepAbilities!$1:$1,0)-1)</f>
        <v>死亡凋零</v>
      </c>
      <c r="D171" s="158">
        <f ca="1">OFFSET(CreepAbilities!$A$1,MATCH($A171,CreepAbilities!$F:$F,0)-1,MATCH("施",CreepAbilities!$1:$1,0)-1)</f>
        <v>0</v>
      </c>
      <c r="E171" s="158">
        <f ca="1">OFFSET(CreepAbilities!$A$1,MATCH($A171,CreepAbilities!$F:$F,0)-1,MATCH("耗",CreepAbilities!$1:$1,0)-1)</f>
        <v>0</v>
      </c>
      <c r="F171" s="158">
        <f ca="1">OFFSET(CreepAbilities!$A$1,MATCH($A171,CreepAbilities!$F:$F,0)-1,MATCH("冷",CreepAbilities!$1:$1,0)-1)</f>
        <v>8</v>
      </c>
      <c r="G171" s="158" t="str">
        <f ca="1">IF(OFFSET(CreepAbilities!$A$1,MATCH($A171,CreepAbilities!$F:$F,0)-1,MATCH("OID",CreepAbilities!$1:$1,0)-1)=0,0,"OrderId("&amp;CHAR(34)&amp;OFFSET(CreepAbilities!$A$1,MATCH($A171,CreepAbilities!$F:$F,0)-1,MATCH("OID",CreepAbilities!$1:$1,0)-1)&amp;CHAR(34)&amp;")")</f>
        <v>OrderId("heal")</v>
      </c>
      <c r="H171" s="170">
        <v>1</v>
      </c>
      <c r="I171" s="170" t="s">
        <v>735</v>
      </c>
      <c r="J171" s="170"/>
      <c r="K171" s="157" t="str">
        <f t="shared" ca="1" si="19"/>
        <v>SpellData.create(SID_DEATH_AND_DECAY,"死亡凋零",0,0,8,OrderId("heal"),1,ORDER_TYPE_TARGET);</v>
      </c>
      <c r="L171" s="157" t="str">
        <f t="shared" ca="1" si="16"/>
        <v>SpellData.create(SID_DEATH_AND_DECAY,"Death and Decay",0,0,8,OrderId("heal"),1,ORDER_TYPE_TARGET);</v>
      </c>
      <c r="M171" s="170" t="s">
        <v>1693</v>
      </c>
      <c r="N171" s="170"/>
      <c r="O171" s="170"/>
      <c r="P171" s="170"/>
      <c r="Q171" s="170"/>
      <c r="R171" s="170"/>
      <c r="S171" s="170"/>
      <c r="T171" s="170"/>
      <c r="U171" s="170"/>
      <c r="V171" s="170"/>
      <c r="W171" s="170"/>
      <c r="X171" s="170"/>
    </row>
    <row r="172" spans="1:24" s="171" customFormat="1">
      <c r="A172" s="173" t="s">
        <v>310</v>
      </c>
      <c r="B172" s="158" t="str">
        <f t="shared" si="20"/>
        <v>SID_NETHER_BOLT</v>
      </c>
      <c r="C172" s="158" t="str">
        <f ca="1">OFFSET(CreepAbilities!$A$1,MATCH($A172,CreepAbilities!$F:$F,0)-1,MATCH("技能",CreepAbilities!$1:$1,0)-1)</f>
        <v>虚空之箭</v>
      </c>
      <c r="D172" s="158">
        <f ca="1">OFFSET(CreepAbilities!$A$1,MATCH($A172,CreepAbilities!$F:$F,0)-1,MATCH("施",CreepAbilities!$1:$1,0)-1)</f>
        <v>0</v>
      </c>
      <c r="E172" s="158">
        <f ca="1">OFFSET(CreepAbilities!$A$1,MATCH($A172,CreepAbilities!$F:$F,0)-1,MATCH("耗",CreepAbilities!$1:$1,0)-1)</f>
        <v>0</v>
      </c>
      <c r="F172" s="158">
        <f ca="1">OFFSET(CreepAbilities!$A$1,MATCH($A172,CreepAbilities!$F:$F,0)-1,MATCH("冷",CreepAbilities!$1:$1,0)-1)</f>
        <v>7</v>
      </c>
      <c r="G172" s="158" t="str">
        <f ca="1">IF(OFFSET(CreepAbilities!$A$1,MATCH($A172,CreepAbilities!$F:$F,0)-1,MATCH("OID",CreepAbilities!$1:$1,0)-1)=0,0,"OrderId("&amp;CHAR(34)&amp;OFFSET(CreepAbilities!$A$1,MATCH($A172,CreepAbilities!$F:$F,0)-1,MATCH("OID",CreepAbilities!$1:$1,0)-1)&amp;CHAR(34)&amp;")")</f>
        <v>OrderId("sleep")</v>
      </c>
      <c r="H172" s="170">
        <v>1</v>
      </c>
      <c r="I172" s="170" t="s">
        <v>735</v>
      </c>
      <c r="J172" s="170"/>
      <c r="K172" s="157" t="str">
        <f t="shared" ca="1" si="19"/>
        <v>SpellData.create(SID_NETHER_BOLT,"虚空之箭",0,0,7,OrderId("sleep"),1,ORDER_TYPE_TARGET);</v>
      </c>
      <c r="L172" s="157" t="str">
        <f t="shared" ca="1" si="16"/>
        <v>SpellData.create(SID_NETHER_BOLT,"Nether Bolt",0,0,7,OrderId("sleep"),1,ORDER_TYPE_TARGET);</v>
      </c>
      <c r="M172" s="170" t="s">
        <v>1693</v>
      </c>
      <c r="N172" s="170"/>
      <c r="O172" s="170"/>
      <c r="P172" s="170"/>
      <c r="Q172" s="170"/>
      <c r="R172" s="170"/>
      <c r="S172" s="170"/>
      <c r="T172" s="170"/>
      <c r="U172" s="170"/>
      <c r="V172" s="170"/>
      <c r="W172" s="170"/>
      <c r="X172" s="170"/>
    </row>
    <row r="173" spans="1:24" s="171" customFormat="1">
      <c r="A173" s="173" t="s">
        <v>311</v>
      </c>
      <c r="B173" s="158" t="str">
        <f t="shared" si="20"/>
        <v>SID_SHADOW_SHIFT</v>
      </c>
      <c r="C173" s="158" t="str">
        <f ca="1">OFFSET(CreepAbilities!$A$1,MATCH($A173,CreepAbilities!$F:$F,0)-1,MATCH("技能",CreepAbilities!$1:$1,0)-1)</f>
        <v>暗影转换</v>
      </c>
      <c r="D173" s="158">
        <f ca="1">OFFSET(CreepAbilities!$A$1,MATCH($A173,CreepAbilities!$F:$F,0)-1,MATCH("施",CreepAbilities!$1:$1,0)-1)</f>
        <v>0</v>
      </c>
      <c r="E173" s="158">
        <f ca="1">OFFSET(CreepAbilities!$A$1,MATCH($A173,CreepAbilities!$F:$F,0)-1,MATCH("耗",CreepAbilities!$1:$1,0)-1)</f>
        <v>0</v>
      </c>
      <c r="F173" s="158">
        <f ca="1">OFFSET(CreepAbilities!$A$1,MATCH($A173,CreepAbilities!$F:$F,0)-1,MATCH("冷",CreepAbilities!$1:$1,0)-1)</f>
        <v>5</v>
      </c>
      <c r="G173" s="158" t="str">
        <f ca="1">IF(OFFSET(CreepAbilities!$A$1,MATCH($A173,CreepAbilities!$F:$F,0)-1,MATCH("OID",CreepAbilities!$1:$1,0)-1)=0,0,"OrderId("&amp;CHAR(34)&amp;OFFSET(CreepAbilities!$A$1,MATCH($A173,CreepAbilities!$F:$F,0)-1,MATCH("OID",CreepAbilities!$1:$1,0)-1)&amp;CHAR(34)&amp;")")</f>
        <v>OrderId("slow")</v>
      </c>
      <c r="H173" s="170">
        <v>1</v>
      </c>
      <c r="I173" s="170" t="s">
        <v>735</v>
      </c>
      <c r="J173" s="170"/>
      <c r="K173" s="157" t="str">
        <f t="shared" ca="1" si="19"/>
        <v>SpellData.create(SID_SHADOW_SHIFT,"暗影转换",0,0,5,OrderId("slow"),1,ORDER_TYPE_TARGET);</v>
      </c>
      <c r="L173" s="157" t="str">
        <f t="shared" ca="1" si="16"/>
        <v>SpellData.create(SID_SHADOW_SHIFT,"Shadow Shift",0,0,5,OrderId("slow"),1,ORDER_TYPE_TARGET);</v>
      </c>
      <c r="M173" s="170" t="s">
        <v>1693</v>
      </c>
      <c r="N173" s="170"/>
      <c r="O173" s="170"/>
      <c r="P173" s="170"/>
      <c r="Q173" s="170"/>
      <c r="R173" s="170"/>
      <c r="S173" s="170"/>
      <c r="T173" s="170"/>
      <c r="U173" s="170"/>
      <c r="V173" s="170"/>
      <c r="W173" s="170"/>
      <c r="X173" s="170"/>
    </row>
    <row r="174" spans="1:24" s="171" customFormat="1">
      <c r="A174" s="173" t="s">
        <v>313</v>
      </c>
      <c r="B174" s="158" t="str">
        <f t="shared" si="20"/>
        <v>SID_MANA_BURN</v>
      </c>
      <c r="C174" s="158" t="str">
        <f ca="1">OFFSET(CreepAbilities!$A$1,MATCH($A174,CreepAbilities!$F:$F,0)-1,MATCH("技能",CreepAbilities!$1:$1,0)-1)</f>
        <v>法力燃烧</v>
      </c>
      <c r="D174" s="158">
        <f ca="1">OFFSET(CreepAbilities!$A$1,MATCH($A174,CreepAbilities!$F:$F,0)-1,MATCH("施",CreepAbilities!$1:$1,0)-1)</f>
        <v>0</v>
      </c>
      <c r="E174" s="158">
        <f ca="1">OFFSET(CreepAbilities!$A$1,MATCH($A174,CreepAbilities!$F:$F,0)-1,MATCH("耗",CreepAbilities!$1:$1,0)-1)</f>
        <v>0</v>
      </c>
      <c r="F174" s="158">
        <f ca="1">OFFSET(CreepAbilities!$A$1,MATCH($A174,CreepAbilities!$F:$F,0)-1,MATCH("冷",CreepAbilities!$1:$1,0)-1)</f>
        <v>7</v>
      </c>
      <c r="G174" s="158" t="str">
        <f ca="1">IF(OFFSET(CreepAbilities!$A$1,MATCH($A174,CreepAbilities!$F:$F,0)-1,MATCH("OID",CreepAbilities!$1:$1,0)-1)=0,0,"OrderId("&amp;CHAR(34)&amp;OFFSET(CreepAbilities!$A$1,MATCH($A174,CreepAbilities!$F:$F,0)-1,MATCH("OID",CreepAbilities!$1:$1,0)-1)&amp;CHAR(34)&amp;")")</f>
        <v>OrderId("sleep")</v>
      </c>
      <c r="H174" s="170">
        <v>1</v>
      </c>
      <c r="I174" s="170" t="s">
        <v>735</v>
      </c>
      <c r="J174" s="170"/>
      <c r="K174" s="157" t="str">
        <f t="shared" ca="1" si="19"/>
        <v>SpellData.create(SID_MANA_BURN,"法力燃烧",0,0,7,OrderId("sleep"),1,ORDER_TYPE_TARGET);</v>
      </c>
      <c r="L174" s="157" t="str">
        <f t="shared" ca="1" si="16"/>
        <v>SpellData.create(SID_MANA_BURN,"Mana Burn",0,0,7,OrderId("sleep"),1,ORDER_TYPE_TARGET);</v>
      </c>
      <c r="M174" s="170" t="s">
        <v>1693</v>
      </c>
      <c r="N174" s="170"/>
      <c r="O174" s="170"/>
      <c r="P174" s="170"/>
      <c r="Q174" s="170"/>
      <c r="R174" s="170"/>
      <c r="S174" s="170"/>
      <c r="T174" s="170"/>
      <c r="U174" s="170"/>
      <c r="V174" s="170"/>
      <c r="W174" s="170"/>
      <c r="X174" s="170"/>
    </row>
    <row r="175" spans="1:24" s="171" customFormat="1">
      <c r="A175" s="173" t="s">
        <v>315</v>
      </c>
      <c r="B175" s="158" t="str">
        <f t="shared" si="20"/>
        <v>SID_SHADOW_SPIKE</v>
      </c>
      <c r="C175" s="158" t="str">
        <f ca="1">OFFSET(CreepAbilities!$A$1,MATCH($A175,CreepAbilities!$F:$F,0)-1,MATCH("技能",CreepAbilities!$1:$1,0)-1)</f>
        <v>暗影之刺</v>
      </c>
      <c r="D175" s="158">
        <f ca="1">OFFSET(CreepAbilities!$A$1,MATCH($A175,CreepAbilities!$F:$F,0)-1,MATCH("施",CreepAbilities!$1:$1,0)-1)</f>
        <v>0</v>
      </c>
      <c r="E175" s="158">
        <f ca="1">OFFSET(CreepAbilities!$A$1,MATCH($A175,CreepAbilities!$F:$F,0)-1,MATCH("耗",CreepAbilities!$1:$1,0)-1)</f>
        <v>0</v>
      </c>
      <c r="F175" s="158">
        <f ca="1">OFFSET(CreepAbilities!$A$1,MATCH($A175,CreepAbilities!$F:$F,0)-1,MATCH("冷",CreepAbilities!$1:$1,0)-1)</f>
        <v>5</v>
      </c>
      <c r="G175" s="158" t="str">
        <f ca="1">IF(OFFSET(CreepAbilities!$A$1,MATCH($A175,CreepAbilities!$F:$F,0)-1,MATCH("OID",CreepAbilities!$1:$1,0)-1)=0,0,"OrderId("&amp;CHAR(34)&amp;OFFSET(CreepAbilities!$A$1,MATCH($A175,CreepAbilities!$F:$F,0)-1,MATCH("OID",CreepAbilities!$1:$1,0)-1)&amp;CHAR(34)&amp;")")</f>
        <v>OrderId("sleep")</v>
      </c>
      <c r="H175" s="170">
        <v>1</v>
      </c>
      <c r="I175" s="170" t="s">
        <v>735</v>
      </c>
      <c r="J175" s="170"/>
      <c r="K175" s="157" t="str">
        <f t="shared" ca="1" si="19"/>
        <v>SpellData.create(SID_SHADOW_SPIKE,"暗影之刺",0,0,5,OrderId("sleep"),1,ORDER_TYPE_TARGET);</v>
      </c>
      <c r="L175" s="157" t="str">
        <f t="shared" ca="1" si="16"/>
        <v>SpellData.create(SID_SHADOW_SPIKE,"Shadow Spike",0,0,5,OrderId("sleep"),1,ORDER_TYPE_TARGET);</v>
      </c>
      <c r="M175" s="170" t="s">
        <v>1693</v>
      </c>
      <c r="N175" s="170"/>
      <c r="O175" s="170"/>
      <c r="P175" s="170"/>
      <c r="Q175" s="170"/>
      <c r="R175" s="170"/>
      <c r="S175" s="170"/>
      <c r="T175" s="170"/>
      <c r="U175" s="170"/>
      <c r="V175" s="170"/>
      <c r="W175" s="170"/>
      <c r="X175" s="170"/>
    </row>
    <row r="176" spans="1:24" s="171" customFormat="1">
      <c r="A176" s="173" t="s">
        <v>317</v>
      </c>
      <c r="B176" s="158" t="str">
        <f t="shared" si="20"/>
        <v>SID_MARK_OF_AGONY</v>
      </c>
      <c r="C176" s="158" t="str">
        <f ca="1">OFFSET(CreepAbilities!$A$1,MATCH($A176,CreepAbilities!$F:$F,0)-1,MATCH("技能",CreepAbilities!$1:$1,0)-1)</f>
        <v>痛苦标记</v>
      </c>
      <c r="D176" s="158">
        <f ca="1">OFFSET(CreepAbilities!$A$1,MATCH($A176,CreepAbilities!$F:$F,0)-1,MATCH("施",CreepAbilities!$1:$1,0)-1)</f>
        <v>0</v>
      </c>
      <c r="E176" s="158">
        <f ca="1">OFFSET(CreepAbilities!$A$1,MATCH($A176,CreepAbilities!$F:$F,0)-1,MATCH("耗",CreepAbilities!$1:$1,0)-1)</f>
        <v>0</v>
      </c>
      <c r="F176" s="158">
        <f ca="1">OFFSET(CreepAbilities!$A$1,MATCH($A176,CreepAbilities!$F:$F,0)-1,MATCH("冷",CreepAbilities!$1:$1,0)-1)</f>
        <v>15</v>
      </c>
      <c r="G176" s="158" t="str">
        <f ca="1">IF(OFFSET(CreepAbilities!$A$1,MATCH($A176,CreepAbilities!$F:$F,0)-1,MATCH("OID",CreepAbilities!$1:$1,0)-1)=0,0,"OrderId("&amp;CHAR(34)&amp;OFFSET(CreepAbilities!$A$1,MATCH($A176,CreepAbilities!$F:$F,0)-1,MATCH("OID",CreepAbilities!$1:$1,0)-1)&amp;CHAR(34)&amp;")")</f>
        <v>OrderId("slow")</v>
      </c>
      <c r="H176" s="170">
        <v>1</v>
      </c>
      <c r="I176" s="170" t="s">
        <v>735</v>
      </c>
      <c r="J176" s="170"/>
      <c r="K176" s="157" t="str">
        <f t="shared" ca="1" si="19"/>
        <v>SpellData.create(SID_MARK_OF_AGONY,"痛苦标记",0,0,15,OrderId("slow"),1,ORDER_TYPE_TARGET);</v>
      </c>
      <c r="L176" s="157" t="str">
        <f t="shared" ca="1" si="16"/>
        <v>SpellData.create(SID_MARK_OF_AGONY,"Mark of Agony",0,0,15,OrderId("slow"),1,ORDER_TYPE_TARGET);</v>
      </c>
      <c r="M176" s="170" t="s">
        <v>1693</v>
      </c>
      <c r="N176" s="170"/>
      <c r="O176" s="170"/>
      <c r="P176" s="170"/>
      <c r="Q176" s="170"/>
      <c r="R176" s="170"/>
      <c r="S176" s="170"/>
      <c r="T176" s="170"/>
      <c r="U176" s="170"/>
      <c r="V176" s="170"/>
      <c r="W176" s="170"/>
      <c r="X176" s="170"/>
    </row>
    <row r="177" spans="1:24" s="171" customFormat="1">
      <c r="A177" s="173" t="s">
        <v>321</v>
      </c>
      <c r="B177" s="158" t="str">
        <f t="shared" si="20"/>
        <v>SID_NETHER_IMPLOSION</v>
      </c>
      <c r="C177" s="158" t="str">
        <f ca="1">OFFSET(CreepAbilities!$A$1,MATCH($A177,CreepAbilities!$F:$F,0)-1,MATCH("技能",CreepAbilities!$1:$1,0)-1)</f>
        <v>虚空爆裂</v>
      </c>
      <c r="D177" s="158">
        <f ca="1">OFFSET(CreepAbilities!$A$1,MATCH($A177,CreepAbilities!$F:$F,0)-1,MATCH("施",CreepAbilities!$1:$1,0)-1)</f>
        <v>4</v>
      </c>
      <c r="E177" s="158">
        <f ca="1">OFFSET(CreepAbilities!$A$1,MATCH($A177,CreepAbilities!$F:$F,0)-1,MATCH("耗",CreepAbilities!$1:$1,0)-1)</f>
        <v>0</v>
      </c>
      <c r="F177" s="158">
        <f ca="1">OFFSET(CreepAbilities!$A$1,MATCH($A177,CreepAbilities!$F:$F,0)-1,MATCH("冷",CreepAbilities!$1:$1,0)-1)</f>
        <v>12</v>
      </c>
      <c r="G177" s="158" t="str">
        <f ca="1">IF(OFFSET(CreepAbilities!$A$1,MATCH($A177,CreepAbilities!$F:$F,0)-1,MATCH("OID",CreepAbilities!$1:$1,0)-1)=0,0,"OrderId("&amp;CHAR(34)&amp;OFFSET(CreepAbilities!$A$1,MATCH($A177,CreepAbilities!$F:$F,0)-1,MATCH("OID",CreepAbilities!$1:$1,0)-1)&amp;CHAR(34)&amp;")")</f>
        <v>OrderId("roar")</v>
      </c>
      <c r="H177" s="170">
        <v>1</v>
      </c>
      <c r="I177" s="164" t="s">
        <v>609</v>
      </c>
      <c r="J177" s="170"/>
      <c r="K177" s="157" t="str">
        <f t="shared" ca="1" si="19"/>
        <v>SpellData.create(SID_NETHER_IMPLOSION,"虚空爆裂",0,4,12,OrderId("roar"),1,ORDER_TYPE_IMMEDIATE);</v>
      </c>
      <c r="L177" s="157" t="str">
        <f t="shared" ca="1" si="16"/>
        <v>SpellData.create(SID_NETHER_IMPLOSION,"Nether Implosion",0,4,12,OrderId("roar"),1,ORDER_TYPE_IMMEDIATE);</v>
      </c>
      <c r="M177" s="170" t="s">
        <v>1693</v>
      </c>
      <c r="N177" s="170"/>
      <c r="O177" s="170"/>
      <c r="P177" s="170"/>
      <c r="Q177" s="170"/>
      <c r="R177" s="170"/>
      <c r="S177" s="170"/>
      <c r="T177" s="170"/>
      <c r="U177" s="170"/>
      <c r="V177" s="170"/>
      <c r="W177" s="170"/>
      <c r="X177" s="170"/>
    </row>
    <row r="178" spans="1:24" s="171" customFormat="1">
      <c r="A178" s="173" t="s">
        <v>322</v>
      </c>
      <c r="B178" s="158" t="str">
        <f t="shared" si="20"/>
        <v>SID_NETHER_BREATH</v>
      </c>
      <c r="C178" s="158" t="str">
        <f ca="1">OFFSET(CreepAbilities!$A$1,MATCH($A178,CreepAbilities!$F:$F,0)-1,MATCH("技能",CreepAbilities!$1:$1,0)-1)</f>
        <v>虚空吐息</v>
      </c>
      <c r="D178" s="158">
        <f ca="1">OFFSET(CreepAbilities!$A$1,MATCH($A178,CreepAbilities!$F:$F,0)-1,MATCH("施",CreepAbilities!$1:$1,0)-1)</f>
        <v>0</v>
      </c>
      <c r="E178" s="158">
        <f ca="1">OFFSET(CreepAbilities!$A$1,MATCH($A178,CreepAbilities!$F:$F,0)-1,MATCH("耗",CreepAbilities!$1:$1,0)-1)</f>
        <v>0</v>
      </c>
      <c r="F178" s="158">
        <f ca="1">OFFSET(CreepAbilities!$A$1,MATCH($A178,CreepAbilities!$F:$F,0)-1,MATCH("冷",CreepAbilities!$1:$1,0)-1)</f>
        <v>9</v>
      </c>
      <c r="G178" s="158" t="str">
        <f ca="1">IF(OFFSET(CreepAbilities!$A$1,MATCH($A178,CreepAbilities!$F:$F,0)-1,MATCH("OID",CreepAbilities!$1:$1,0)-1)=0,0,"OrderId("&amp;CHAR(34)&amp;OFFSET(CreepAbilities!$A$1,MATCH($A178,CreepAbilities!$F:$F,0)-1,MATCH("OID",CreepAbilities!$1:$1,0)-1)&amp;CHAR(34)&amp;")")</f>
        <v>OrderId("howlofterror")</v>
      </c>
      <c r="H178" s="170">
        <v>1</v>
      </c>
      <c r="I178" s="164" t="s">
        <v>609</v>
      </c>
      <c r="J178" s="170"/>
      <c r="K178" s="157" t="str">
        <f t="shared" ca="1" si="19"/>
        <v>SpellData.create(SID_NETHER_BREATH,"虚空吐息",0,0,9,OrderId("howlofterror"),1,ORDER_TYPE_IMMEDIATE);</v>
      </c>
      <c r="L178" s="157" t="str">
        <f t="shared" ca="1" si="16"/>
        <v>SpellData.create(SID_NETHER_BREATH,"Nether Breath",0,0,9,OrderId("howlofterror"),1,ORDER_TYPE_IMMEDIATE);</v>
      </c>
      <c r="M178" s="170" t="s">
        <v>1693</v>
      </c>
      <c r="N178" s="170"/>
      <c r="O178" s="170"/>
      <c r="P178" s="170"/>
      <c r="Q178" s="170"/>
      <c r="R178" s="170"/>
      <c r="S178" s="170"/>
      <c r="T178" s="170"/>
      <c r="U178" s="170"/>
      <c r="V178" s="170"/>
      <c r="W178" s="170"/>
      <c r="X178" s="170"/>
    </row>
    <row r="179" spans="1:24" s="171" customFormat="1">
      <c r="A179" s="173" t="s">
        <v>324</v>
      </c>
      <c r="B179" s="158" t="str">
        <f t="shared" si="20"/>
        <v>SID_NETHER_SLOW</v>
      </c>
      <c r="C179" s="158" t="str">
        <f ca="1">OFFSET(CreepAbilities!$A$1,MATCH($A179,CreepAbilities!$F:$F,0)-1,MATCH("技能",CreepAbilities!$1:$1,0)-1)</f>
        <v>迟缓</v>
      </c>
      <c r="D179" s="158">
        <f ca="1">OFFSET(CreepAbilities!$A$1,MATCH($A179,CreepAbilities!$F:$F,0)-1,MATCH("施",CreepAbilities!$1:$1,0)-1)</f>
        <v>0</v>
      </c>
      <c r="E179" s="158">
        <f ca="1">OFFSET(CreepAbilities!$A$1,MATCH($A179,CreepAbilities!$F:$F,0)-1,MATCH("耗",CreepAbilities!$1:$1,0)-1)</f>
        <v>0</v>
      </c>
      <c r="F179" s="158">
        <f ca="1">OFFSET(CreepAbilities!$A$1,MATCH($A179,CreepAbilities!$F:$F,0)-1,MATCH("冷",CreepAbilities!$1:$1,0)-1)</f>
        <v>7</v>
      </c>
      <c r="G179" s="158" t="str">
        <f ca="1">IF(OFFSET(CreepAbilities!$A$1,MATCH($A179,CreepAbilities!$F:$F,0)-1,MATCH("OID",CreepAbilities!$1:$1,0)-1)=0,0,"OrderId("&amp;CHAR(34)&amp;OFFSET(CreepAbilities!$A$1,MATCH($A179,CreepAbilities!$F:$F,0)-1,MATCH("OID",CreepAbilities!$1:$1,0)-1)&amp;CHAR(34)&amp;")")</f>
        <v>OrderId("slow")</v>
      </c>
      <c r="H179" s="170">
        <v>1</v>
      </c>
      <c r="I179" s="170" t="s">
        <v>735</v>
      </c>
      <c r="J179" s="170"/>
      <c r="K179" s="157" t="str">
        <f t="shared" ca="1" si="19"/>
        <v>SpellData.create(SID_NETHER_SLOW,"迟缓",0,0,7,OrderId("slow"),1,ORDER_TYPE_TARGET);</v>
      </c>
      <c r="L179" s="157" t="str">
        <f t="shared" ca="1" si="16"/>
        <v>SpellData.create(SID_NETHER_SLOW,"Nether Slow",0,0,7,OrderId("slow"),1,ORDER_TYPE_TARGET);</v>
      </c>
      <c r="M179" s="170" t="s">
        <v>1693</v>
      </c>
      <c r="N179" s="170"/>
      <c r="O179" s="170"/>
      <c r="P179" s="170"/>
      <c r="Q179" s="170"/>
      <c r="R179" s="170"/>
      <c r="S179" s="170"/>
      <c r="T179" s="170"/>
      <c r="U179" s="170"/>
      <c r="V179" s="170"/>
      <c r="W179" s="170"/>
      <c r="X179" s="170"/>
    </row>
    <row r="180" spans="1:24" s="171" customFormat="1">
      <c r="A180" s="173" t="s">
        <v>1028</v>
      </c>
      <c r="B180" s="158" t="str">
        <f t="shared" si="20"/>
        <v>SID_METEOR</v>
      </c>
      <c r="C180" s="158" t="str">
        <f ca="1">OFFSET(CreepAbilities!$A$1,MATCH($A180,CreepAbilities!$F:$F,0)-1,MATCH("技能",CreepAbilities!$1:$1,0)-1)</f>
        <v>陨石</v>
      </c>
      <c r="D180" s="158">
        <f ca="1">OFFSET(CreepAbilities!$A$1,MATCH($A180,CreepAbilities!$F:$F,0)-1,MATCH("施",CreepAbilities!$1:$1,0)-1)</f>
        <v>0</v>
      </c>
      <c r="E180" s="158">
        <f ca="1">OFFSET(CreepAbilities!$A$1,MATCH($A180,CreepAbilities!$F:$F,0)-1,MATCH("耗",CreepAbilities!$1:$1,0)-1)</f>
        <v>0</v>
      </c>
      <c r="F180" s="158">
        <f ca="1">OFFSET(CreepAbilities!$A$1,MATCH($A180,CreepAbilities!$F:$F,0)-1,MATCH("冷",CreepAbilities!$1:$1,0)-1)</f>
        <v>7</v>
      </c>
      <c r="G180" s="158" t="str">
        <f ca="1">IF(OFFSET(CreepAbilities!$A$1,MATCH($A180,CreepAbilities!$F:$F,0)-1,MATCH("OID",CreepAbilities!$1:$1,0)-1)=0,0,"OrderId("&amp;CHAR(34)&amp;OFFSET(CreepAbilities!$A$1,MATCH($A180,CreepAbilities!$F:$F,0)-1,MATCH("OID",CreepAbilities!$1:$1,0)-1)&amp;CHAR(34)&amp;")")</f>
        <v>OrderId("blizzard")</v>
      </c>
      <c r="H180" s="170">
        <v>1</v>
      </c>
      <c r="I180" s="170" t="s">
        <v>781</v>
      </c>
      <c r="J180" s="170"/>
      <c r="K180" s="157" t="str">
        <f t="shared" ca="1" si="19"/>
        <v>SpellData.create(SID_METEOR,"陨石",0,0,7,OrderId("blizzard"),1,ORDER_TYPE_POINT);</v>
      </c>
      <c r="L180" s="157" t="str">
        <f t="shared" ca="1" si="16"/>
        <v>SpellData.create(SID_METEOR,"Meteor",0,0,7,OrderId("blizzard"),1,ORDER_TYPE_POINT);</v>
      </c>
      <c r="M180" s="170" t="s">
        <v>1693</v>
      </c>
      <c r="N180" s="170"/>
      <c r="O180" s="170"/>
      <c r="P180" s="170"/>
      <c r="Q180" s="170"/>
      <c r="R180" s="170"/>
      <c r="S180" s="170"/>
      <c r="T180" s="170"/>
      <c r="U180" s="170"/>
      <c r="V180" s="170"/>
      <c r="W180" s="170"/>
      <c r="X180" s="170"/>
    </row>
    <row r="181" spans="1:24" s="171" customFormat="1">
      <c r="A181" s="173" t="s">
        <v>1029</v>
      </c>
      <c r="B181" s="158" t="str">
        <f t="shared" si="20"/>
        <v>SID_BURNING</v>
      </c>
      <c r="C181" s="158" t="str">
        <f ca="1">OFFSET(CreepAbilities!$A$1,MATCH($A181,CreepAbilities!$F:$F,0)-1,MATCH("技能",CreepAbilities!$1:$1,0)-1)</f>
        <v>燃烧</v>
      </c>
      <c r="D181" s="158">
        <f ca="1">OFFSET(CreepAbilities!$A$1,MATCH($A181,CreepAbilities!$F:$F,0)-1,MATCH("施",CreepAbilities!$1:$1,0)-1)</f>
        <v>0</v>
      </c>
      <c r="E181" s="158">
        <f ca="1">OFFSET(CreepAbilities!$A$1,MATCH($A181,CreepAbilities!$F:$F,0)-1,MATCH("耗",CreepAbilities!$1:$1,0)-1)</f>
        <v>0</v>
      </c>
      <c r="F181" s="158">
        <f ca="1">OFFSET(CreepAbilities!$A$1,MATCH($A181,CreepAbilities!$F:$F,0)-1,MATCH("冷",CreepAbilities!$1:$1,0)-1)</f>
        <v>20</v>
      </c>
      <c r="G181" s="158" t="str">
        <f ca="1">IF(OFFSET(CreepAbilities!$A$1,MATCH($A181,CreepAbilities!$F:$F,0)-1,MATCH("OID",CreepAbilities!$1:$1,0)-1)=0,0,"OrderId("&amp;CHAR(34)&amp;OFFSET(CreepAbilities!$A$1,MATCH($A181,CreepAbilities!$F:$F,0)-1,MATCH("OID",CreepAbilities!$1:$1,0)-1)&amp;CHAR(34)&amp;")")</f>
        <v>OrderId("roar")</v>
      </c>
      <c r="H181" s="170">
        <v>1</v>
      </c>
      <c r="I181" s="164" t="s">
        <v>609</v>
      </c>
      <c r="J181" s="170"/>
      <c r="K181" s="157" t="str">
        <f t="shared" ca="1" si="19"/>
        <v>SpellData.create(SID_BURNING,"燃烧",0,0,20,OrderId("roar"),1,ORDER_TYPE_IMMEDIATE);</v>
      </c>
      <c r="L181" s="157" t="str">
        <f t="shared" ca="1" si="16"/>
        <v>SpellData.create(SID_BURNING,"Burning",0,0,20,OrderId("roar"),1,ORDER_TYPE_IMMEDIATE);</v>
      </c>
      <c r="M181" s="170" t="s">
        <v>1693</v>
      </c>
      <c r="N181" s="170"/>
      <c r="O181" s="170"/>
      <c r="P181" s="170"/>
      <c r="Q181" s="170"/>
      <c r="R181" s="170"/>
      <c r="S181" s="170"/>
      <c r="T181" s="170"/>
      <c r="U181" s="170"/>
      <c r="V181" s="170"/>
      <c r="W181" s="170"/>
      <c r="X181" s="170"/>
    </row>
    <row r="182" spans="1:24" s="171" customFormat="1">
      <c r="A182" s="164" t="s">
        <v>326</v>
      </c>
      <c r="B182" s="158" t="str">
        <f t="shared" si="20"/>
        <v>SID_CRUSHING_BLOW</v>
      </c>
      <c r="C182" s="158" t="str">
        <f ca="1">OFFSET(CreepAbilities!$A$1,MATCH($A182,CreepAbilities!$F:$F,0)-1,MATCH("技能",CreepAbilities!$1:$1,0)-1)</f>
        <v>重拳</v>
      </c>
      <c r="D182" s="158">
        <f ca="1">OFFSET(CreepAbilities!$A$1,MATCH($A182,CreepAbilities!$F:$F,0)-1,MATCH("施",CreepAbilities!$1:$1,0)-1)</f>
        <v>2</v>
      </c>
      <c r="E182" s="158">
        <f ca="1">OFFSET(CreepAbilities!$A$1,MATCH($A182,CreepAbilities!$F:$F,0)-1,MATCH("耗",CreepAbilities!$1:$1,0)-1)</f>
        <v>0</v>
      </c>
      <c r="F182" s="158">
        <f ca="1">OFFSET(CreepAbilities!$A$1,MATCH($A182,CreepAbilities!$F:$F,0)-1,MATCH("冷",CreepAbilities!$1:$1,0)-1)</f>
        <v>6</v>
      </c>
      <c r="G182" s="158" t="str">
        <f ca="1">IF(OFFSET(CreepAbilities!$A$1,MATCH($A182,CreepAbilities!$F:$F,0)-1,MATCH("OID",CreepAbilities!$1:$1,0)-1)=0,0,"OrderId("&amp;CHAR(34)&amp;OFFSET(CreepAbilities!$A$1,MATCH($A182,CreepAbilities!$F:$F,0)-1,MATCH("OID",CreepAbilities!$1:$1,0)-1)&amp;CHAR(34)&amp;")")</f>
        <v>OrderId("sleep")</v>
      </c>
      <c r="H182" s="170">
        <v>1</v>
      </c>
      <c r="I182" s="170" t="s">
        <v>735</v>
      </c>
      <c r="J182" s="170"/>
      <c r="K182" s="157" t="str">
        <f t="shared" ca="1" si="19"/>
        <v>SpellData.create(SID_CRUSHING_BLOW,"重拳",0,2,6,OrderId("sleep"),1,ORDER_TYPE_TARGET);</v>
      </c>
      <c r="L182" s="157" t="str">
        <f t="shared" ca="1" si="16"/>
        <v>SpellData.create(SID_CRUSHING_BLOW,"Crushing Blow",0,2,6,OrderId("sleep"),1,ORDER_TYPE_TARGET);</v>
      </c>
      <c r="M182" s="170" t="s">
        <v>1693</v>
      </c>
      <c r="N182" s="170"/>
      <c r="O182" s="170"/>
      <c r="P182" s="170"/>
      <c r="Q182" s="170"/>
      <c r="R182" s="170"/>
      <c r="S182" s="170"/>
      <c r="T182" s="170"/>
      <c r="U182" s="170"/>
      <c r="V182" s="170"/>
      <c r="W182" s="170"/>
      <c r="X182" s="170"/>
    </row>
    <row r="183" spans="1:24" s="171" customFormat="1">
      <c r="A183" s="164" t="s">
        <v>327</v>
      </c>
      <c r="B183" s="158" t="str">
        <f t="shared" si="20"/>
        <v>SID_FOREST_STOMP</v>
      </c>
      <c r="C183" s="158" t="str">
        <f ca="1">OFFSET(CreepAbilities!$A$1,MATCH($A183,CreepAbilities!$F:$F,0)-1,MATCH("技能",CreepAbilities!$1:$1,0)-1)</f>
        <v>震地</v>
      </c>
      <c r="D183" s="158">
        <f ca="1">OFFSET(CreepAbilities!$A$1,MATCH($A183,CreepAbilities!$F:$F,0)-1,MATCH("施",CreepAbilities!$1:$1,0)-1)</f>
        <v>0</v>
      </c>
      <c r="E183" s="158">
        <f ca="1">OFFSET(CreepAbilities!$A$1,MATCH($A183,CreepAbilities!$F:$F,0)-1,MATCH("耗",CreepAbilities!$1:$1,0)-1)</f>
        <v>0</v>
      </c>
      <c r="F183" s="158">
        <f ca="1">OFFSET(CreepAbilities!$A$1,MATCH($A183,CreepAbilities!$F:$F,0)-1,MATCH("冷",CreepAbilities!$1:$1,0)-1)</f>
        <v>12</v>
      </c>
      <c r="G183" s="158" t="str">
        <f ca="1">IF(OFFSET(CreepAbilities!$A$1,MATCH($A183,CreepAbilities!$F:$F,0)-1,MATCH("OID",CreepAbilities!$1:$1,0)-1)=0,0,"OrderId("&amp;CHAR(34)&amp;OFFSET(CreepAbilities!$A$1,MATCH($A183,CreepAbilities!$F:$F,0)-1,MATCH("OID",CreepAbilities!$1:$1,0)-1)&amp;CHAR(34)&amp;")")</f>
        <v>OrderId("roar")</v>
      </c>
      <c r="H183" s="170">
        <v>1</v>
      </c>
      <c r="I183" s="164" t="s">
        <v>609</v>
      </c>
      <c r="J183" s="170"/>
      <c r="K183" s="157" t="str">
        <f t="shared" ca="1" si="19"/>
        <v>SpellData.create(SID_FOREST_STOMP,"震地",0,0,12,OrderId("roar"),1,ORDER_TYPE_IMMEDIATE);</v>
      </c>
      <c r="L183" s="157" t="str">
        <f t="shared" ca="1" si="16"/>
        <v>SpellData.create(SID_FOREST_STOMP,"Forest Stomp",0,0,12,OrderId("roar"),1,ORDER_TYPE_IMMEDIATE);</v>
      </c>
      <c r="M183" s="170" t="s">
        <v>1693</v>
      </c>
      <c r="N183" s="170"/>
      <c r="O183" s="170"/>
      <c r="P183" s="170"/>
      <c r="Q183" s="170"/>
      <c r="R183" s="170"/>
      <c r="S183" s="170"/>
      <c r="T183" s="170"/>
      <c r="U183" s="170"/>
      <c r="V183" s="170"/>
      <c r="W183" s="170"/>
      <c r="X183" s="170"/>
    </row>
    <row r="184" spans="1:24" s="171" customFormat="1">
      <c r="A184" s="164" t="s">
        <v>1033</v>
      </c>
      <c r="B184" s="158" t="str">
        <f t="shared" si="20"/>
        <v>SID_CORPSE_RAIN</v>
      </c>
      <c r="C184" s="158" t="str">
        <f ca="1">OFFSET(CreepAbilities!$A$1,MATCH($A184,CreepAbilities!$F:$F,0)-1,MATCH("技能",CreepAbilities!$1:$1,0)-1)</f>
        <v>尸雨</v>
      </c>
      <c r="D184" s="158">
        <f ca="1">OFFSET(CreepAbilities!$A$1,MATCH($A184,CreepAbilities!$F:$F,0)-1,MATCH("施",CreepAbilities!$1:$1,0)-1)</f>
        <v>0</v>
      </c>
      <c r="E184" s="158">
        <f ca="1">OFFSET(CreepAbilities!$A$1,MATCH($A184,CreepAbilities!$F:$F,0)-1,MATCH("耗",CreepAbilities!$1:$1,0)-1)</f>
        <v>0</v>
      </c>
      <c r="F184" s="158">
        <f ca="1">OFFSET(CreepAbilities!$A$1,MATCH($A184,CreepAbilities!$F:$F,0)-1,MATCH("冷",CreepAbilities!$1:$1,0)-1)</f>
        <v>12</v>
      </c>
      <c r="G184" s="158" t="str">
        <f ca="1">IF(OFFSET(CreepAbilities!$A$1,MATCH($A184,CreepAbilities!$F:$F,0)-1,MATCH("OID",CreepAbilities!$1:$1,0)-1)=0,0,"OrderId("&amp;CHAR(34)&amp;OFFSET(CreepAbilities!$A$1,MATCH($A184,CreepAbilities!$F:$F,0)-1,MATCH("OID",CreepAbilities!$1:$1,0)-1)&amp;CHAR(34)&amp;")")</f>
        <v>OrderId("slow")</v>
      </c>
      <c r="H184" s="170">
        <v>1</v>
      </c>
      <c r="I184" s="170" t="s">
        <v>735</v>
      </c>
      <c r="J184" s="170"/>
      <c r="K184" s="157" t="str">
        <f t="shared" ca="1" si="19"/>
        <v>SpellData.create(SID_CORPSE_RAIN,"尸雨",0,0,12,OrderId("slow"),1,ORDER_TYPE_TARGET);</v>
      </c>
      <c r="L184" s="157" t="str">
        <f t="shared" ca="1" si="16"/>
        <v>SpellData.create(SID_CORPSE_RAIN,"Corpse Rain",0,0,12,OrderId("slow"),1,ORDER_TYPE_TARGET);</v>
      </c>
      <c r="M184" s="170" t="s">
        <v>1693</v>
      </c>
      <c r="N184" s="170"/>
      <c r="O184" s="170"/>
      <c r="P184" s="170"/>
      <c r="Q184" s="170"/>
      <c r="R184" s="170"/>
      <c r="S184" s="170"/>
      <c r="T184" s="170"/>
      <c r="U184" s="170"/>
      <c r="V184" s="170"/>
      <c r="W184" s="170"/>
      <c r="X184" s="170"/>
    </row>
    <row r="185" spans="1:24" s="171" customFormat="1">
      <c r="A185" s="164" t="s">
        <v>1034</v>
      </c>
      <c r="B185" s="158" t="str">
        <f t="shared" si="20"/>
        <v>SID_VOODOO_DOLL</v>
      </c>
      <c r="C185" s="158" t="str">
        <f ca="1">OFFSET(CreepAbilities!$A$1,MATCH($A185,CreepAbilities!$F:$F,0)-1,MATCH("技能",CreepAbilities!$1:$1,0)-1)</f>
        <v>巫毒娃娃</v>
      </c>
      <c r="D185" s="158">
        <f ca="1">OFFSET(CreepAbilities!$A$1,MATCH($A185,CreepAbilities!$F:$F,0)-1,MATCH("施",CreepAbilities!$1:$1,0)-1)</f>
        <v>0</v>
      </c>
      <c r="E185" s="158">
        <f ca="1">OFFSET(CreepAbilities!$A$1,MATCH($A185,CreepAbilities!$F:$F,0)-1,MATCH("耗",CreepAbilities!$1:$1,0)-1)</f>
        <v>0</v>
      </c>
      <c r="F185" s="158">
        <f ca="1">OFFSET(CreepAbilities!$A$1,MATCH($A185,CreepAbilities!$F:$F,0)-1,MATCH("冷",CreepAbilities!$1:$1,0)-1)</f>
        <v>20</v>
      </c>
      <c r="G185" s="158" t="str">
        <f ca="1">IF(OFFSET(CreepAbilities!$A$1,MATCH($A185,CreepAbilities!$F:$F,0)-1,MATCH("OID",CreepAbilities!$1:$1,0)-1)=0,0,"OrderId("&amp;CHAR(34)&amp;OFFSET(CreepAbilities!$A$1,MATCH($A185,CreepAbilities!$F:$F,0)-1,MATCH("OID",CreepAbilities!$1:$1,0)-1)&amp;CHAR(34)&amp;")")</f>
        <v>OrderId("sleep")</v>
      </c>
      <c r="H185" s="170">
        <v>1</v>
      </c>
      <c r="I185" s="170" t="s">
        <v>735</v>
      </c>
      <c r="J185" s="170"/>
      <c r="K185" s="157" t="str">
        <f t="shared" ca="1" si="19"/>
        <v>SpellData.create(SID_VOODOO_DOLL,"巫毒娃娃",0,0,20,OrderId("sleep"),1,ORDER_TYPE_TARGET);</v>
      </c>
      <c r="L185" s="157" t="str">
        <f t="shared" ca="1" si="16"/>
        <v>SpellData.create(SID_VOODOO_DOLL,"Voodoo Doll",0,0,20,OrderId("sleep"),1,ORDER_TYPE_TARGET);</v>
      </c>
      <c r="M185" s="170" t="s">
        <v>1693</v>
      </c>
      <c r="N185" s="170"/>
      <c r="O185" s="170"/>
      <c r="P185" s="170"/>
      <c r="Q185" s="170"/>
      <c r="R185" s="170"/>
      <c r="S185" s="170"/>
      <c r="T185" s="170"/>
      <c r="U185" s="170"/>
      <c r="V185" s="170"/>
      <c r="W185" s="170"/>
      <c r="X185" s="170"/>
    </row>
    <row r="186" spans="1:24" s="171" customFormat="1">
      <c r="A186" s="164" t="s">
        <v>1601</v>
      </c>
      <c r="B186" s="158" t="str">
        <f t="shared" si="20"/>
        <v>SID_VOODOO_DOLL_ILLUSION</v>
      </c>
      <c r="C186" s="158" t="s">
        <v>1602</v>
      </c>
      <c r="D186" s="158">
        <v>0</v>
      </c>
      <c r="E186" s="158">
        <v>0</v>
      </c>
      <c r="F186" s="158">
        <v>0</v>
      </c>
      <c r="G186" s="158">
        <v>852274</v>
      </c>
      <c r="H186" s="170">
        <v>1</v>
      </c>
      <c r="I186" s="170" t="s">
        <v>735</v>
      </c>
      <c r="J186" s="170"/>
      <c r="K186" s="157" t="str">
        <f t="shared" si="19"/>
        <v>SpellData.create(SID_VOODOO_DOLL_ILLUSION,"DUMMY",0,0,0,852274,1,ORDER_TYPE_TARGET);</v>
      </c>
      <c r="L186" s="157" t="str">
        <f t="shared" si="16"/>
        <v>SpellData.create(SID_VOODOO_DOLL_ILLUSION,"Voodoo Doll illusion",0,0,0,852274,1,ORDER_TYPE_TARGET);</v>
      </c>
      <c r="M186" s="170" t="s">
        <v>1693</v>
      </c>
      <c r="N186" s="170"/>
      <c r="O186" s="170"/>
      <c r="P186" s="170"/>
      <c r="Q186" s="170"/>
      <c r="R186" s="170"/>
      <c r="S186" s="170"/>
      <c r="T186" s="170"/>
      <c r="U186" s="170"/>
      <c r="V186" s="170"/>
      <c r="W186" s="170"/>
      <c r="X186" s="170"/>
    </row>
    <row r="187" spans="1:24" s="171" customFormat="1">
      <c r="A187" s="164" t="s">
        <v>1036</v>
      </c>
      <c r="B187" s="158" t="str">
        <f t="shared" si="20"/>
        <v>SID_SLAM_STRIKE</v>
      </c>
      <c r="C187" s="158" t="str">
        <f ca="1">OFFSET(CreepAbilities!$A$1,MATCH($A187,CreepAbilities!$F:$F,0)-1,MATCH("技能",CreepAbilities!$1:$1,0)-1)</f>
        <v>分裂攻击（被动）</v>
      </c>
      <c r="D187" s="158">
        <f ca="1">OFFSET(CreepAbilities!$A$1,MATCH($A187,CreepAbilities!$F:$F,0)-1,MATCH("施",CreepAbilities!$1:$1,0)-1)</f>
        <v>0</v>
      </c>
      <c r="E187" s="158">
        <f ca="1">OFFSET(CreepAbilities!$A$1,MATCH($A187,CreepAbilities!$F:$F,0)-1,MATCH("耗",CreepAbilities!$1:$1,0)-1)</f>
        <v>0</v>
      </c>
      <c r="F187" s="158">
        <f ca="1">OFFSET(CreepAbilities!$A$1,MATCH($A187,CreepAbilities!$F:$F,0)-1,MATCH("冷",CreepAbilities!$1:$1,0)-1)</f>
        <v>0</v>
      </c>
      <c r="G187" s="158" t="str">
        <f ca="1">IF(OFFSET(CreepAbilities!$A$1,MATCH($A187,CreepAbilities!$F:$F,0)-1,MATCH("OID",CreepAbilities!$1:$1,0)-1)=0,0,"OrderId("&amp;CHAR(34)&amp;OFFSET(CreepAbilities!$A$1,MATCH($A187,CreepAbilities!$F:$F,0)-1,MATCH("OID",CreepAbilities!$1:$1,0)-1)&amp;CHAR(34)&amp;")")</f>
        <v>OrderId("roar")</v>
      </c>
      <c r="H187" s="170">
        <v>1</v>
      </c>
      <c r="I187" s="164" t="s">
        <v>609</v>
      </c>
      <c r="J187" s="170"/>
      <c r="K187" s="157" t="str">
        <f t="shared" ca="1" si="19"/>
        <v>SpellData.create(SID_SLAM_STRIKE,"分裂攻击（被动）",0,0,0,OrderId("roar"),1,ORDER_TYPE_IMMEDIATE);</v>
      </c>
      <c r="L187" s="157" t="str">
        <f t="shared" ca="1" si="16"/>
        <v>SpellData.create(SID_SLAM_STRIKE,"Slam Strike",0,0,0,OrderId("roar"),1,ORDER_TYPE_IMMEDIATE);</v>
      </c>
      <c r="M187" s="170" t="s">
        <v>1693</v>
      </c>
      <c r="N187" s="170"/>
      <c r="O187" s="170"/>
      <c r="P187" s="170"/>
      <c r="Q187" s="170"/>
      <c r="R187" s="170"/>
      <c r="S187" s="170"/>
      <c r="T187" s="170"/>
      <c r="U187" s="170"/>
      <c r="V187" s="170"/>
      <c r="W187" s="170"/>
      <c r="X187" s="170"/>
    </row>
    <row r="188" spans="1:24" s="171" customFormat="1">
      <c r="A188" s="164" t="s">
        <v>1037</v>
      </c>
      <c r="B188" s="158" t="str">
        <f t="shared" si="20"/>
        <v>SID_VOMIT</v>
      </c>
      <c r="C188" s="158" t="str">
        <f ca="1">OFFSET(CreepAbilities!$A$1,MATCH($A188,CreepAbilities!$F:$F,0)-1,MATCH("技能",CreepAbilities!$1:$1,0)-1)</f>
        <v>呕吐</v>
      </c>
      <c r="D188" s="158">
        <f ca="1">OFFSET(CreepAbilities!$A$1,MATCH($A188,CreepAbilities!$F:$F,0)-1,MATCH("施",CreepAbilities!$1:$1,0)-1)</f>
        <v>4</v>
      </c>
      <c r="E188" s="158">
        <f ca="1">OFFSET(CreepAbilities!$A$1,MATCH($A188,CreepAbilities!$F:$F,0)-1,MATCH("耗",CreepAbilities!$1:$1,0)-1)</f>
        <v>0</v>
      </c>
      <c r="F188" s="158">
        <f ca="1">OFFSET(CreepAbilities!$A$1,MATCH($A188,CreepAbilities!$F:$F,0)-1,MATCH("冷",CreepAbilities!$1:$1,0)-1)</f>
        <v>0</v>
      </c>
      <c r="G188" s="158" t="str">
        <f ca="1">IF(OFFSET(CreepAbilities!$A$1,MATCH($A188,CreepAbilities!$F:$F,0)-1,MATCH("OID",CreepAbilities!$1:$1,0)-1)=0,0,"OrderId("&amp;CHAR(34)&amp;OFFSET(CreepAbilities!$A$1,MATCH($A188,CreepAbilities!$F:$F,0)-1,MATCH("OID",CreepAbilities!$1:$1,0)-1)&amp;CHAR(34)&amp;")")</f>
        <v>OrderId("howlofterror")</v>
      </c>
      <c r="H188" s="170">
        <v>1</v>
      </c>
      <c r="I188" s="164" t="s">
        <v>609</v>
      </c>
      <c r="J188" s="170"/>
      <c r="K188" s="157" t="str">
        <f t="shared" ca="1" si="19"/>
        <v>SpellData.create(SID_VOMIT,"呕吐",0,4,0,OrderId("howlofterror"),1,ORDER_TYPE_IMMEDIATE);</v>
      </c>
      <c r="L188" s="157" t="str">
        <f t="shared" ca="1" si="16"/>
        <v>SpellData.create(SID_VOMIT,"Vomit",0,4,0,OrderId("howlofterror"),1,ORDER_TYPE_IMMEDIATE);</v>
      </c>
      <c r="M188" s="170" t="s">
        <v>1693</v>
      </c>
      <c r="N188" s="170"/>
      <c r="O188" s="170"/>
      <c r="P188" s="170"/>
      <c r="Q188" s="170"/>
      <c r="R188" s="170"/>
      <c r="S188" s="170"/>
      <c r="T188" s="170"/>
      <c r="U188" s="170"/>
      <c r="V188" s="170"/>
      <c r="W188" s="170"/>
      <c r="X188" s="170"/>
    </row>
    <row r="189" spans="1:24" s="171" customFormat="1">
      <c r="A189" s="164" t="s">
        <v>1040</v>
      </c>
      <c r="B189" s="158" t="str">
        <f t="shared" si="20"/>
        <v>SID_POISON_DART</v>
      </c>
      <c r="C189" s="158" t="str">
        <f ca="1">OFFSET(CreepAbilities!$A$1,MATCH($A189,CreepAbilities!$F:$F,0)-1,MATCH("技能",CreepAbilities!$1:$1,0)-1)</f>
        <v>毒液箭</v>
      </c>
      <c r="D189" s="158">
        <f ca="1">OFFSET(CreepAbilities!$A$1,MATCH($A189,CreepAbilities!$F:$F,0)-1,MATCH("施",CreepAbilities!$1:$1,0)-1)</f>
        <v>0</v>
      </c>
      <c r="E189" s="158">
        <f ca="1">OFFSET(CreepAbilities!$A$1,MATCH($A189,CreepAbilities!$F:$F,0)-1,MATCH("耗",CreepAbilities!$1:$1,0)-1)</f>
        <v>0</v>
      </c>
      <c r="F189" s="158">
        <f ca="1">OFFSET(CreepAbilities!$A$1,MATCH($A189,CreepAbilities!$F:$F,0)-1,MATCH("冷",CreepAbilities!$1:$1,0)-1)</f>
        <v>4</v>
      </c>
      <c r="G189" s="158" t="str">
        <f ca="1">IF(OFFSET(CreepAbilities!$A$1,MATCH($A189,CreepAbilities!$F:$F,0)-1,MATCH("OID",CreepAbilities!$1:$1,0)-1)=0,0,"OrderId("&amp;CHAR(34)&amp;OFFSET(CreepAbilities!$A$1,MATCH($A189,CreepAbilities!$F:$F,0)-1,MATCH("OID",CreepAbilities!$1:$1,0)-1)&amp;CHAR(34)&amp;")")</f>
        <v>OrderId("sleep")</v>
      </c>
      <c r="H189" s="170">
        <v>1</v>
      </c>
      <c r="I189" s="170" t="s">
        <v>735</v>
      </c>
      <c r="J189" s="170"/>
      <c r="K189" s="157" t="str">
        <f t="shared" ca="1" si="19"/>
        <v>SpellData.create(SID_POISON_DART,"毒液箭",0,0,4,OrderId("sleep"),1,ORDER_TYPE_TARGET);</v>
      </c>
      <c r="L189" s="157" t="str">
        <f t="shared" ca="1" si="16"/>
        <v>SpellData.create(SID_POISON_DART,"Poison Dart",0,0,4,OrderId("sleep"),1,ORDER_TYPE_TARGET);</v>
      </c>
      <c r="M189" s="170" t="s">
        <v>1693</v>
      </c>
      <c r="N189" s="170"/>
      <c r="O189" s="170"/>
      <c r="P189" s="170"/>
      <c r="Q189" s="170"/>
      <c r="R189" s="170"/>
      <c r="S189" s="170"/>
      <c r="T189" s="170"/>
      <c r="U189" s="170"/>
      <c r="V189" s="170"/>
      <c r="W189" s="170"/>
      <c r="X189" s="170"/>
    </row>
    <row r="190" spans="1:24" s="171" customFormat="1">
      <c r="A190" s="164" t="s">
        <v>1041</v>
      </c>
      <c r="B190" s="158" t="str">
        <f t="shared" si="20"/>
        <v>SID_GRIM_TOTEM</v>
      </c>
      <c r="C190" s="158" t="str">
        <f ca="1">OFFSET(CreepAbilities!$A$1,MATCH($A190,CreepAbilities!$F:$F,0)-1,MATCH("技能",CreepAbilities!$1:$1,0)-1)</f>
        <v>恐怖图腾</v>
      </c>
      <c r="D190" s="158">
        <f ca="1">OFFSET(CreepAbilities!$A$1,MATCH($A190,CreepAbilities!$F:$F,0)-1,MATCH("施",CreepAbilities!$1:$1,0)-1)</f>
        <v>0</v>
      </c>
      <c r="E190" s="158">
        <f ca="1">OFFSET(CreepAbilities!$A$1,MATCH($A190,CreepAbilities!$F:$F,0)-1,MATCH("耗",CreepAbilities!$1:$1,0)-1)</f>
        <v>0</v>
      </c>
      <c r="F190" s="158">
        <f ca="1">OFFSET(CreepAbilities!$A$1,MATCH($A190,CreepAbilities!$F:$F,0)-1,MATCH("冷",CreepAbilities!$1:$1,0)-1)</f>
        <v>8</v>
      </c>
      <c r="G190" s="158" t="str">
        <f ca="1">IF(OFFSET(CreepAbilities!$A$1,MATCH($A190,CreepAbilities!$F:$F,0)-1,MATCH("OID",CreepAbilities!$1:$1,0)-1)=0,0,"OrderId("&amp;CHAR(34)&amp;OFFSET(CreepAbilities!$A$1,MATCH($A190,CreepAbilities!$F:$F,0)-1,MATCH("OID",CreepAbilities!$1:$1,0)-1)&amp;CHAR(34)&amp;")")</f>
        <v>OrderId("healingward")</v>
      </c>
      <c r="H190" s="170">
        <v>1</v>
      </c>
      <c r="I190" s="164" t="s">
        <v>609</v>
      </c>
      <c r="J190" s="170"/>
      <c r="K190" s="157" t="str">
        <f t="shared" ca="1" si="19"/>
        <v>SpellData.create(SID_GRIM_TOTEM,"恐怖图腾",0,0,8,OrderId("healingward"),1,ORDER_TYPE_IMMEDIATE);</v>
      </c>
      <c r="L190" s="157" t="str">
        <f t="shared" ca="1" si="16"/>
        <v>SpellData.create(SID_GRIM_TOTEM,"Grim Totem",0,0,8,OrderId("healingward"),1,ORDER_TYPE_IMMEDIATE);</v>
      </c>
      <c r="M190" s="170" t="s">
        <v>1693</v>
      </c>
      <c r="N190" s="170"/>
      <c r="O190" s="170"/>
      <c r="P190" s="170"/>
      <c r="Q190" s="170"/>
      <c r="R190" s="170"/>
      <c r="S190" s="170"/>
      <c r="T190" s="170"/>
      <c r="U190" s="170"/>
      <c r="V190" s="170"/>
      <c r="W190" s="170"/>
      <c r="X190" s="170"/>
    </row>
    <row r="191" spans="1:24" s="171" customFormat="1">
      <c r="A191" s="164" t="s">
        <v>1043</v>
      </c>
      <c r="B191" s="158" t="str">
        <f t="shared" si="20"/>
        <v>SID_VICIOUS_STRIKE</v>
      </c>
      <c r="C191" s="158" t="str">
        <f ca="1">OFFSET(CreepAbilities!$A$1,MATCH($A191,CreepAbilities!$F:$F,0)-1,MATCH("技能",CreepAbilities!$1:$1,0)-1)</f>
        <v>险恶打击</v>
      </c>
      <c r="D191" s="158">
        <f ca="1">OFFSET(CreepAbilities!$A$1,MATCH($A191,CreepAbilities!$F:$F,0)-1,MATCH("施",CreepAbilities!$1:$1,0)-1)</f>
        <v>0</v>
      </c>
      <c r="E191" s="158">
        <f ca="1">OFFSET(CreepAbilities!$A$1,MATCH($A191,CreepAbilities!$F:$F,0)-1,MATCH("耗",CreepAbilities!$1:$1,0)-1)</f>
        <v>0</v>
      </c>
      <c r="F191" s="158">
        <f ca="1">OFFSET(CreepAbilities!$A$1,MATCH($A191,CreepAbilities!$F:$F,0)-1,MATCH("冷",CreepAbilities!$1:$1,0)-1)</f>
        <v>12</v>
      </c>
      <c r="G191" s="158" t="str">
        <f ca="1">IF(OFFSET(CreepAbilities!$A$1,MATCH($A191,CreepAbilities!$F:$F,0)-1,MATCH("OID",CreepAbilities!$1:$1,0)-1)=0,0,"OrderId("&amp;CHAR(34)&amp;OFFSET(CreepAbilities!$A$1,MATCH($A191,CreepAbilities!$F:$F,0)-1,MATCH("OID",CreepAbilities!$1:$1,0)-1)&amp;CHAR(34)&amp;")")</f>
        <v>OrderId("sleep")</v>
      </c>
      <c r="H191" s="170">
        <v>1</v>
      </c>
      <c r="I191" s="170" t="s">
        <v>735</v>
      </c>
      <c r="J191" s="170"/>
      <c r="K191" s="157" t="str">
        <f t="shared" ca="1" si="19"/>
        <v>SpellData.create(SID_VICIOUS_STRIKE,"险恶打击",0,0,12,OrderId("sleep"),1,ORDER_TYPE_TARGET);</v>
      </c>
      <c r="L191" s="157" t="str">
        <f t="shared" ca="1" si="16"/>
        <v>SpellData.create(SID_VICIOUS_STRIKE,"Vicious Strike",0,0,12,OrderId("sleep"),1,ORDER_TYPE_TARGET);</v>
      </c>
      <c r="M191" s="170" t="s">
        <v>1693</v>
      </c>
      <c r="N191" s="170"/>
      <c r="O191" s="170"/>
      <c r="P191" s="170"/>
      <c r="Q191" s="170"/>
      <c r="R191" s="170"/>
      <c r="S191" s="170"/>
      <c r="T191" s="170"/>
      <c r="U191" s="170"/>
      <c r="V191" s="170"/>
      <c r="W191" s="170"/>
      <c r="X191" s="170"/>
    </row>
    <row r="192" spans="1:24" s="171" customFormat="1">
      <c r="A192" s="164" t="s">
        <v>1044</v>
      </c>
      <c r="B192" s="158" t="str">
        <f t="shared" si="20"/>
        <v>SID_FILTHY_LAND</v>
      </c>
      <c r="C192" s="158" t="str">
        <f ca="1">OFFSET(CreepAbilities!$A$1,MATCH($A192,CreepAbilities!$F:$F,0)-1,MATCH("技能",CreepAbilities!$1:$1,0)-1)</f>
        <v>污秽之地</v>
      </c>
      <c r="D192" s="158">
        <f ca="1">OFFSET(CreepAbilities!$A$1,MATCH($A192,CreepAbilities!$F:$F,0)-1,MATCH("施",CreepAbilities!$1:$1,0)-1)</f>
        <v>0</v>
      </c>
      <c r="E192" s="158">
        <f ca="1">OFFSET(CreepAbilities!$A$1,MATCH($A192,CreepAbilities!$F:$F,0)-1,MATCH("耗",CreepAbilities!$1:$1,0)-1)</f>
        <v>0</v>
      </c>
      <c r="F192" s="158">
        <f ca="1">OFFSET(CreepAbilities!$A$1,MATCH($A192,CreepAbilities!$F:$F,0)-1,MATCH("冷",CreepAbilities!$1:$1,0)-1)</f>
        <v>18</v>
      </c>
      <c r="G192" s="158" t="str">
        <f ca="1">IF(OFFSET(CreepAbilities!$A$1,MATCH($A192,CreepAbilities!$F:$F,0)-1,MATCH("OID",CreepAbilities!$1:$1,0)-1)=0,0,"OrderId("&amp;CHAR(34)&amp;OFFSET(CreepAbilities!$A$1,MATCH($A192,CreepAbilities!$F:$F,0)-1,MATCH("OID",CreepAbilities!$1:$1,0)-1)&amp;CHAR(34)&amp;")")</f>
        <v>OrderId("roar")</v>
      </c>
      <c r="H192" s="170">
        <v>1</v>
      </c>
      <c r="I192" s="170" t="s">
        <v>781</v>
      </c>
      <c r="J192" s="170"/>
      <c r="K192" s="157" t="str">
        <f t="shared" ca="1" si="19"/>
        <v>SpellData.create(SID_FILTHY_LAND,"污秽之地",0,0,18,OrderId("roar"),1,ORDER_TYPE_POINT);</v>
      </c>
      <c r="L192" s="157" t="str">
        <f t="shared" ca="1" si="16"/>
        <v>SpellData.create(SID_FILTHY_LAND,"Filthy Land",0,0,18,OrderId("roar"),1,ORDER_TYPE_POINT);</v>
      </c>
      <c r="M192" s="170" t="s">
        <v>1693</v>
      </c>
      <c r="N192" s="170"/>
      <c r="O192" s="170"/>
      <c r="P192" s="170"/>
      <c r="Q192" s="170"/>
      <c r="R192" s="170"/>
      <c r="S192" s="170"/>
      <c r="T192" s="170"/>
      <c r="U192" s="170"/>
      <c r="V192" s="170"/>
      <c r="W192" s="170"/>
      <c r="X192" s="170"/>
    </row>
    <row r="193" spans="1:24" s="174" customFormat="1">
      <c r="A193" s="172" t="s">
        <v>733</v>
      </c>
      <c r="B193" s="158" t="str">
        <f t="shared" si="20"/>
        <v>SID_CALL_TO_ARMS</v>
      </c>
      <c r="C193" s="172" t="s">
        <v>734</v>
      </c>
      <c r="D193" s="172">
        <v>0</v>
      </c>
      <c r="E193" s="172">
        <v>0</v>
      </c>
      <c r="F193" s="172">
        <v>1</v>
      </c>
      <c r="G193" s="172" t="s">
        <v>610</v>
      </c>
      <c r="H193" s="172">
        <v>1</v>
      </c>
      <c r="I193" s="172" t="s">
        <v>609</v>
      </c>
      <c r="J193" s="172"/>
      <c r="K193" s="157" t="str">
        <f t="shared" si="19"/>
        <v>SpellData.create(SID_CALL_TO_ARMS,"战斗召唤",0,0,1,OrderId("channel"),1,ORDER_TYPE_IMMEDIATE);</v>
      </c>
      <c r="L193" s="157" t="str">
        <f t="shared" si="16"/>
        <v>SpellData.create(SID_CALL_TO_ARMS,"Call To Arms",0,0,1,OrderId("channel"),1,ORDER_TYPE_IMMEDIATE);</v>
      </c>
      <c r="M193" s="172" t="s">
        <v>1693</v>
      </c>
      <c r="N193" s="172"/>
      <c r="O193" s="172"/>
      <c r="P193" s="172"/>
      <c r="Q193" s="172"/>
      <c r="R193" s="172"/>
      <c r="S193" s="172"/>
      <c r="T193" s="172"/>
      <c r="U193" s="172"/>
      <c r="V193" s="172"/>
      <c r="W193" s="172"/>
      <c r="X193" s="172"/>
    </row>
    <row r="194" spans="1:24" s="174" customFormat="1">
      <c r="A194" s="172" t="s">
        <v>731</v>
      </c>
      <c r="B194" s="158" t="str">
        <f t="shared" si="20"/>
        <v>SID_CTHUNS_DERANGEMENT</v>
      </c>
      <c r="C194" s="172" t="s">
        <v>732</v>
      </c>
      <c r="D194" s="172">
        <v>0</v>
      </c>
      <c r="E194" s="172">
        <v>0</v>
      </c>
      <c r="F194" s="172">
        <v>1</v>
      </c>
      <c r="G194" s="172" t="s">
        <v>610</v>
      </c>
      <c r="H194" s="172">
        <v>1</v>
      </c>
      <c r="I194" s="172" t="s">
        <v>609</v>
      </c>
      <c r="J194" s="172"/>
      <c r="K194" s="157" t="str">
        <f t="shared" si="19"/>
        <v>SpellData.create(SID_CTHUNS_DERANGEMENT,"上古狂乱",0,0,1,OrderId("channel"),1,ORDER_TYPE_IMMEDIATE);</v>
      </c>
      <c r="L194" s="157" t="str">
        <f t="shared" si="16"/>
        <v>SpellData.create(SID_CTHUNS_DERANGEMENT,"Cthuns Derangement",0,0,1,OrderId("channel"),1,ORDER_TYPE_IMMEDIATE);</v>
      </c>
      <c r="M194" s="172" t="s">
        <v>1693</v>
      </c>
      <c r="N194" s="172"/>
      <c r="O194" s="172"/>
      <c r="P194" s="172"/>
      <c r="Q194" s="172"/>
      <c r="R194" s="172"/>
      <c r="S194" s="172"/>
      <c r="T194" s="172"/>
      <c r="U194" s="172"/>
      <c r="V194" s="172"/>
      <c r="W194" s="172"/>
      <c r="X194" s="172"/>
    </row>
    <row r="195" spans="1:24" s="174" customFormat="1">
      <c r="A195" s="172" t="s">
        <v>1710</v>
      </c>
      <c r="B195" s="172" t="s">
        <v>1712</v>
      </c>
      <c r="C195" s="172" t="s">
        <v>1711</v>
      </c>
      <c r="D195" s="172">
        <v>0</v>
      </c>
      <c r="E195" s="172">
        <v>0</v>
      </c>
      <c r="F195" s="172">
        <v>1</v>
      </c>
      <c r="G195" s="172" t="s">
        <v>610</v>
      </c>
      <c r="H195" s="172">
        <v>1</v>
      </c>
      <c r="I195" s="172" t="s">
        <v>609</v>
      </c>
      <c r="J195" s="172"/>
      <c r="K195" s="157" t="str">
        <f t="shared" ref="K195" si="24">IF(C195="N/A","//",CONCATENATE("SpellData.create(",B195,",",CHAR(34),C195,CHAR(34),",",E195,",",D195,",",F195,",",G195,",",H195,",",I195,")",J195,";"))</f>
        <v>SpellData.create(BID_BREATH_OF_THE_DYING,"死亡呼吸",0,0,1,OrderId("channel"),1,ORDER_TYPE_IMMEDIATE);</v>
      </c>
      <c r="L195" s="157" t="str">
        <f t="shared" ref="L195" si="25">IF(A195="N/A","//",CONCATENATE("SpellData.create(",B195,",",CHAR(34),A195,CHAR(34),",",E195,",",D195,",",F195,",",G195,",",H195,",",I195,")",J195,";"))</f>
        <v>SpellData.create(BID_BREATH_OF_THE_DYING,"Breath of the Dying",0,0,1,OrderId("channel"),1,ORDER_TYPE_IMMEDIATE);</v>
      </c>
      <c r="M195" s="172" t="s">
        <v>1693</v>
      </c>
      <c r="N195" s="172"/>
      <c r="O195" s="172"/>
      <c r="P195" s="172"/>
      <c r="Q195" s="172"/>
      <c r="R195" s="172"/>
      <c r="S195" s="172"/>
      <c r="T195" s="172"/>
      <c r="U195" s="172"/>
      <c r="V195" s="172"/>
      <c r="W195" s="172"/>
      <c r="X195" s="172"/>
    </row>
    <row r="196" spans="1:24" s="174" customFormat="1">
      <c r="A196" s="172" t="s">
        <v>1739</v>
      </c>
      <c r="B196" s="158" t="str">
        <f t="shared" si="20"/>
        <v>SID_INFINITY</v>
      </c>
      <c r="C196" s="172" t="s">
        <v>1740</v>
      </c>
      <c r="D196" s="172">
        <v>0</v>
      </c>
      <c r="E196" s="172">
        <v>0</v>
      </c>
      <c r="F196" s="172">
        <v>1</v>
      </c>
      <c r="G196" s="172" t="s">
        <v>610</v>
      </c>
      <c r="H196" s="172">
        <v>1</v>
      </c>
      <c r="I196" s="172" t="s">
        <v>609</v>
      </c>
      <c r="J196" s="172"/>
      <c r="K196" s="157" t="str">
        <f t="shared" ref="K196" si="26">IF(C196="N/A","//",CONCATENATE("SpellData.create(",B196,",",CHAR(34),C196,CHAR(34),",",E196,",",D196,",",F196,",",G196,",",H196,",",I196,")",J196,";"))</f>
        <v>SpellData.create(SID_INFINITY,"无限",0,0,1,OrderId("channel"),1,ORDER_TYPE_IMMEDIATE);</v>
      </c>
      <c r="L196" s="157" t="str">
        <f t="shared" ref="L196" si="27">IF(A196="N/A","//",CONCATENATE("SpellData.create(",B196,",",CHAR(34),A196,CHAR(34),",",E196,",",D196,",",F196,",",G196,",",H196,",",I196,")",J196,";"))</f>
        <v>SpellData.create(SID_INFINITY,"Infinity",0,0,1,OrderId("channel"),1,ORDER_TYPE_IMMEDIATE);</v>
      </c>
      <c r="M196" s="172" t="s">
        <v>1693</v>
      </c>
      <c r="N196" s="172"/>
      <c r="O196" s="172"/>
      <c r="P196" s="172"/>
      <c r="Q196" s="172"/>
      <c r="R196" s="172"/>
      <c r="S196" s="172"/>
      <c r="T196" s="172"/>
      <c r="U196" s="172"/>
      <c r="V196" s="172"/>
      <c r="W196" s="172"/>
      <c r="X196" s="172"/>
    </row>
    <row r="197" spans="1:24" s="174" customFormat="1">
      <c r="A197" s="172" t="s">
        <v>729</v>
      </c>
      <c r="B197" s="158" t="str">
        <f t="shared" si="20"/>
        <v>SID_ENIGMA</v>
      </c>
      <c r="C197" s="172" t="s">
        <v>730</v>
      </c>
      <c r="D197" s="172">
        <v>0</v>
      </c>
      <c r="E197" s="172">
        <v>0</v>
      </c>
      <c r="F197" s="172">
        <v>1</v>
      </c>
      <c r="G197" s="172" t="s">
        <v>610</v>
      </c>
      <c r="H197" s="172">
        <v>1</v>
      </c>
      <c r="I197" s="172" t="s">
        <v>609</v>
      </c>
      <c r="J197" s="172"/>
      <c r="K197" s="157" t="str">
        <f t="shared" si="19"/>
        <v>SpellData.create(SID_ENIGMA,"谜团",0,0,1,OrderId("channel"),1,ORDER_TYPE_IMMEDIATE);</v>
      </c>
      <c r="L197" s="157" t="str">
        <f t="shared" si="16"/>
        <v>SpellData.create(SID_ENIGMA,"Enigma",0,0,1,OrderId("channel"),1,ORDER_TYPE_IMMEDIATE);</v>
      </c>
      <c r="M197" s="172" t="s">
        <v>1693</v>
      </c>
      <c r="N197" s="172"/>
      <c r="O197" s="172"/>
      <c r="P197" s="172"/>
      <c r="Q197" s="172"/>
      <c r="R197" s="172"/>
      <c r="S197" s="172"/>
      <c r="T197" s="172"/>
      <c r="U197" s="172"/>
      <c r="V197" s="172"/>
      <c r="W197" s="172"/>
      <c r="X197" s="172"/>
    </row>
    <row r="198" spans="1:24" s="174" customFormat="1">
      <c r="A198" s="172" t="s">
        <v>1743</v>
      </c>
      <c r="B198" s="158" t="str">
        <f t="shared" si="20"/>
        <v>SID_PURE_ARCANE</v>
      </c>
      <c r="C198" s="172" t="s">
        <v>1744</v>
      </c>
      <c r="D198" s="172">
        <v>0</v>
      </c>
      <c r="E198" s="172">
        <v>0</v>
      </c>
      <c r="F198" s="172">
        <v>1</v>
      </c>
      <c r="G198" s="172" t="s">
        <v>610</v>
      </c>
      <c r="H198" s="172">
        <v>1</v>
      </c>
      <c r="I198" s="172" t="s">
        <v>609</v>
      </c>
      <c r="J198" s="172"/>
      <c r="K198" s="157" t="str">
        <f t="shared" si="19"/>
        <v>SpellData.create(SID_PURE_ARCANE,"纯净秘法",0,0,1,OrderId("channel"),1,ORDER_TYPE_IMMEDIATE);</v>
      </c>
      <c r="L198" s="157" t="str">
        <f t="shared" si="16"/>
        <v>SpellData.create(SID_PURE_ARCANE,"Pure Arcane",0,0,1,OrderId("channel"),1,ORDER_TYPE_IMMEDIATE);</v>
      </c>
      <c r="M198" s="172" t="s">
        <v>1693</v>
      </c>
      <c r="N198" s="172"/>
      <c r="O198" s="172"/>
      <c r="P198" s="172"/>
      <c r="Q198" s="172"/>
      <c r="R198" s="172"/>
      <c r="S198" s="172"/>
      <c r="T198" s="172"/>
      <c r="U198" s="172"/>
      <c r="V198" s="172"/>
      <c r="W198" s="172"/>
      <c r="X198" s="172"/>
    </row>
    <row r="199" spans="1:24" s="174" customFormat="1">
      <c r="A199" s="172" t="s">
        <v>1666</v>
      </c>
      <c r="B199" s="158" t="str">
        <f t="shared" si="20"/>
        <v>SID_GOBLIN_ROCKET_BOOTS_LIMITED_EDITION</v>
      </c>
      <c r="C199" s="172" t="s">
        <v>728</v>
      </c>
      <c r="D199" s="172">
        <v>0</v>
      </c>
      <c r="E199" s="172">
        <v>0</v>
      </c>
      <c r="F199" s="172">
        <v>1</v>
      </c>
      <c r="G199" s="172" t="s">
        <v>610</v>
      </c>
      <c r="H199" s="172">
        <v>1</v>
      </c>
      <c r="I199" s="172" t="s">
        <v>609</v>
      </c>
      <c r="J199" s="172"/>
      <c r="K199" s="157" t="str">
        <f t="shared" si="19"/>
        <v>SpellData.create(SID_GOBLIN_ROCKET_BOOTS_LIMITED_EDITION,"地精火箭靴",0,0,1,OrderId("channel"),1,ORDER_TYPE_IMMEDIATE);</v>
      </c>
      <c r="L199" s="157" t="str">
        <f t="shared" si="16"/>
        <v>SpellData.create(SID_GOBLIN_ROCKET_BOOTS_LIMITED_EDITION,"Goblin Rocket Boots LIMITED EDITION",0,0,1,OrderId("channel"),1,ORDER_TYPE_IMMEDIATE);</v>
      </c>
      <c r="M199" s="172" t="s">
        <v>1693</v>
      </c>
      <c r="N199" s="172"/>
      <c r="O199" s="172"/>
      <c r="P199" s="172"/>
      <c r="Q199" s="172"/>
      <c r="R199" s="172"/>
      <c r="S199" s="172"/>
      <c r="T199" s="172"/>
      <c r="U199" s="172"/>
      <c r="V199" s="172"/>
      <c r="W199" s="172"/>
      <c r="X199" s="172"/>
    </row>
    <row r="200" spans="1:24" s="174" customFormat="1">
      <c r="A200" s="172" t="s">
        <v>726</v>
      </c>
      <c r="B200" s="158" t="str">
        <f t="shared" si="20"/>
        <v>SID_HEALTH_STONE</v>
      </c>
      <c r="C200" s="172" t="s">
        <v>727</v>
      </c>
      <c r="D200" s="172">
        <v>0</v>
      </c>
      <c r="E200" s="172">
        <v>0</v>
      </c>
      <c r="F200" s="172">
        <v>1</v>
      </c>
      <c r="G200" s="172" t="s">
        <v>610</v>
      </c>
      <c r="H200" s="172">
        <v>1</v>
      </c>
      <c r="I200" s="172" t="s">
        <v>609</v>
      </c>
      <c r="J200" s="172"/>
      <c r="K200" s="157" t="str">
        <f t="shared" si="19"/>
        <v>SpellData.create(SID_HEALTH_STONE,"医疗石",0,0,1,OrderId("channel"),1,ORDER_TYPE_IMMEDIATE);</v>
      </c>
      <c r="L200" s="157" t="str">
        <f t="shared" si="16"/>
        <v>SpellData.create(SID_HEALTH_STONE,"Health Stone",0,0,1,OrderId("channel"),1,ORDER_TYPE_IMMEDIATE);</v>
      </c>
      <c r="M200" s="172" t="s">
        <v>1693</v>
      </c>
      <c r="N200" s="172"/>
      <c r="O200" s="172"/>
      <c r="P200" s="172"/>
      <c r="Q200" s="172"/>
      <c r="R200" s="172"/>
      <c r="S200" s="172"/>
      <c r="T200" s="172"/>
      <c r="U200" s="172"/>
      <c r="V200" s="172"/>
      <c r="W200" s="172"/>
      <c r="X200" s="172"/>
    </row>
    <row r="201" spans="1:24" s="174" customFormat="1">
      <c r="A201" s="172" t="s">
        <v>724</v>
      </c>
      <c r="B201" s="158" t="str">
        <f t="shared" si="20"/>
        <v>SID_MANA_STONE</v>
      </c>
      <c r="C201" s="172" t="s">
        <v>725</v>
      </c>
      <c r="D201" s="172">
        <v>0</v>
      </c>
      <c r="E201" s="172">
        <v>0</v>
      </c>
      <c r="F201" s="172">
        <v>1</v>
      </c>
      <c r="G201" s="172" t="s">
        <v>610</v>
      </c>
      <c r="H201" s="172">
        <v>1</v>
      </c>
      <c r="I201" s="172" t="s">
        <v>609</v>
      </c>
      <c r="J201" s="172"/>
      <c r="K201" s="157" t="str">
        <f t="shared" si="19"/>
        <v>SpellData.create(SID_MANA_STONE,"魔法石",0,0,1,OrderId("channel"),1,ORDER_TYPE_IMMEDIATE);</v>
      </c>
      <c r="L201" s="157" t="str">
        <f t="shared" si="16"/>
        <v>SpellData.create(SID_MANA_STONE,"Mana Stone",0,0,1,OrderId("channel"),1,ORDER_TYPE_IMMEDIATE);</v>
      </c>
      <c r="M201" s="172" t="s">
        <v>1693</v>
      </c>
      <c r="N201" s="172"/>
      <c r="O201" s="172"/>
      <c r="P201" s="172"/>
      <c r="Q201" s="172"/>
      <c r="R201" s="172"/>
      <c r="S201" s="172"/>
      <c r="T201" s="172"/>
      <c r="U201" s="172"/>
      <c r="V201" s="172"/>
      <c r="W201" s="172"/>
      <c r="X201" s="172"/>
    </row>
    <row r="202" spans="1:24" s="174" customFormat="1">
      <c r="A202" s="172" t="s">
        <v>722</v>
      </c>
      <c r="B202" s="158" t="str">
        <f t="shared" si="20"/>
        <v>SID_HEX_SHRUNKEN_HEAD</v>
      </c>
      <c r="C202" s="172" t="s">
        <v>723</v>
      </c>
      <c r="D202" s="172">
        <v>0</v>
      </c>
      <c r="E202" s="172">
        <v>0</v>
      </c>
      <c r="F202" s="172">
        <v>1</v>
      </c>
      <c r="G202" s="172" t="s">
        <v>610</v>
      </c>
      <c r="H202" s="172">
        <v>1</v>
      </c>
      <c r="I202" s="172" t="s">
        <v>609</v>
      </c>
      <c r="J202" s="172"/>
      <c r="K202" s="157" t="str">
        <f t="shared" si="19"/>
        <v>SpellData.create(SID_HEX_SHRUNKEN_HEAD,"妖术之颅",0,0,1,OrderId("channel"),1,ORDER_TYPE_IMMEDIATE);</v>
      </c>
      <c r="L202" s="157" t="str">
        <f t="shared" si="16"/>
        <v>SpellData.create(SID_HEX_SHRUNKEN_HEAD,"Hex Shrunken Head",0,0,1,OrderId("channel"),1,ORDER_TYPE_IMMEDIATE);</v>
      </c>
      <c r="M202" s="172" t="s">
        <v>1693</v>
      </c>
      <c r="N202" s="172"/>
      <c r="O202" s="172"/>
      <c r="P202" s="172"/>
      <c r="Q202" s="172"/>
      <c r="R202" s="172"/>
      <c r="S202" s="172"/>
      <c r="T202" s="172"/>
      <c r="U202" s="172"/>
      <c r="V202" s="172"/>
      <c r="W202" s="172"/>
      <c r="X202" s="172"/>
    </row>
    <row r="203" spans="1:24" s="174" customFormat="1">
      <c r="A203" s="172" t="s">
        <v>720</v>
      </c>
      <c r="B203" s="158" t="str">
        <f t="shared" si="20"/>
        <v>SID_ICON_OF_THE_UNGLAZED_CRESCENT</v>
      </c>
      <c r="C203" s="172" t="s">
        <v>721</v>
      </c>
      <c r="D203" s="172">
        <v>0</v>
      </c>
      <c r="E203" s="172">
        <v>0</v>
      </c>
      <c r="F203" s="172">
        <v>1</v>
      </c>
      <c r="G203" s="172" t="s">
        <v>610</v>
      </c>
      <c r="H203" s="172">
        <v>1</v>
      </c>
      <c r="I203" s="172" t="s">
        <v>609</v>
      </c>
      <c r="J203" s="172"/>
      <c r="K203" s="157" t="str">
        <f t="shared" si="19"/>
        <v>SpellData.create(SID_ICON_OF_THE_UNGLAZED_CRESCENT,"无光的新月徽记",0,0,1,OrderId("channel"),1,ORDER_TYPE_IMMEDIATE);</v>
      </c>
      <c r="L203" s="157" t="str">
        <f t="shared" si="16"/>
        <v>SpellData.create(SID_ICON_OF_THE_UNGLAZED_CRESCENT,"Icon of the Unglazed Crescent",0,0,1,OrderId("channel"),1,ORDER_TYPE_IMMEDIATE);</v>
      </c>
      <c r="M203" s="172" t="s">
        <v>1693</v>
      </c>
      <c r="N203" s="172"/>
      <c r="O203" s="172"/>
      <c r="P203" s="172"/>
      <c r="Q203" s="172"/>
      <c r="R203" s="172"/>
      <c r="S203" s="172"/>
      <c r="T203" s="172"/>
      <c r="U203" s="172"/>
      <c r="V203" s="172"/>
      <c r="W203" s="172"/>
      <c r="X203" s="172"/>
    </row>
    <row r="204" spans="1:24" s="174" customFormat="1">
      <c r="A204" s="172" t="s">
        <v>718</v>
      </c>
      <c r="B204" s="158" t="str">
        <f t="shared" si="20"/>
        <v>SID_LIGHTS_JUSTICE</v>
      </c>
      <c r="C204" s="172" t="s">
        <v>719</v>
      </c>
      <c r="D204" s="172">
        <v>0</v>
      </c>
      <c r="E204" s="172">
        <v>0</v>
      </c>
      <c r="F204" s="172">
        <v>1</v>
      </c>
      <c r="G204" s="172" t="s">
        <v>610</v>
      </c>
      <c r="H204" s="172">
        <v>1</v>
      </c>
      <c r="I204" s="172" t="s">
        <v>609</v>
      </c>
      <c r="J204" s="172"/>
      <c r="K204" s="157" t="str">
        <f t="shared" si="19"/>
        <v>SpellData.create(SID_LIGHTS_JUSTICE,"圣光的正义",0,0,1,OrderId("channel"),1,ORDER_TYPE_IMMEDIATE);</v>
      </c>
      <c r="L204" s="157" t="str">
        <f t="shared" si="16"/>
        <v>SpellData.create(SID_LIGHTS_JUSTICE,"Lights Justice",0,0,1,OrderId("channel"),1,ORDER_TYPE_IMMEDIATE);</v>
      </c>
      <c r="M204" s="172" t="s">
        <v>1693</v>
      </c>
      <c r="N204" s="172"/>
      <c r="O204" s="172"/>
      <c r="P204" s="172"/>
      <c r="Q204" s="172"/>
      <c r="R204" s="172"/>
      <c r="S204" s="172"/>
      <c r="T204" s="172"/>
      <c r="U204" s="172"/>
      <c r="V204" s="172"/>
      <c r="W204" s="172"/>
      <c r="X204" s="172"/>
    </row>
    <row r="205" spans="1:24" s="174" customFormat="1">
      <c r="A205" s="172" t="s">
        <v>1741</v>
      </c>
      <c r="B205" s="158" t="str">
        <f t="shared" si="20"/>
        <v>SID_ROMULOS_EXPIRED_POISION</v>
      </c>
      <c r="C205" s="172" t="s">
        <v>1742</v>
      </c>
      <c r="D205" s="172">
        <v>0</v>
      </c>
      <c r="E205" s="172">
        <v>0</v>
      </c>
      <c r="F205" s="172">
        <v>1</v>
      </c>
      <c r="G205" s="172" t="s">
        <v>610</v>
      </c>
      <c r="H205" s="172">
        <v>1</v>
      </c>
      <c r="I205" s="172" t="s">
        <v>609</v>
      </c>
      <c r="J205" s="172"/>
      <c r="K205" s="157" t="str">
        <f t="shared" si="19"/>
        <v>SpellData.create(SID_ROMULOS_EXPIRED_POISION,"罗密欧的过期毒药",0,0,1,OrderId("channel"),1,ORDER_TYPE_IMMEDIATE);</v>
      </c>
      <c r="L205" s="157" t="str">
        <f t="shared" si="16"/>
        <v>SpellData.create(SID_ROMULOS_EXPIRED_POISION,"Romulos Expired Poision",0,0,1,OrderId("channel"),1,ORDER_TYPE_IMMEDIATE);</v>
      </c>
      <c r="M205" s="172" t="s">
        <v>1693</v>
      </c>
      <c r="N205" s="172"/>
      <c r="O205" s="172"/>
      <c r="P205" s="172"/>
      <c r="Q205" s="172"/>
      <c r="R205" s="172"/>
      <c r="S205" s="172"/>
      <c r="T205" s="172"/>
      <c r="U205" s="172"/>
      <c r="V205" s="172"/>
      <c r="W205" s="172"/>
      <c r="X205" s="172"/>
    </row>
    <row r="206" spans="1:24" s="174" customFormat="1">
      <c r="A206" s="172" t="s">
        <v>716</v>
      </c>
      <c r="B206" s="158" t="str">
        <f t="shared" si="20"/>
        <v>SID_MOROES_LUCKY_GEAR</v>
      </c>
      <c r="C206" s="172" t="s">
        <v>717</v>
      </c>
      <c r="D206" s="172">
        <v>0</v>
      </c>
      <c r="E206" s="172">
        <v>0</v>
      </c>
      <c r="F206" s="172">
        <v>1</v>
      </c>
      <c r="G206" s="172" t="s">
        <v>610</v>
      </c>
      <c r="H206" s="172">
        <v>1</v>
      </c>
      <c r="I206" s="172" t="s">
        <v>609</v>
      </c>
      <c r="J206" s="172"/>
      <c r="K206" s="157" t="str">
        <f t="shared" si="19"/>
        <v>SpellData.create(SID_MOROES_LUCKY_GEAR,"莫罗斯的幸运怀表",0,0,1,OrderId("channel"),1,ORDER_TYPE_IMMEDIATE);</v>
      </c>
      <c r="L206" s="157" t="str">
        <f t="shared" ref="L206:L265" si="28">IF(A206="N/A","//",CONCATENATE("SpellData.create(",B206,",",CHAR(34),A206,CHAR(34),",",E206,",",D206,",",F206,",",G206,",",H206,",",I206,")",J206,";"))</f>
        <v>SpellData.create(SID_MOROES_LUCKY_GEAR,"Moroes Lucky Gear",0,0,1,OrderId("channel"),1,ORDER_TYPE_IMMEDIATE);</v>
      </c>
      <c r="M206" s="172" t="s">
        <v>1693</v>
      </c>
      <c r="N206" s="172"/>
      <c r="O206" s="172"/>
      <c r="P206" s="172"/>
      <c r="Q206" s="172"/>
      <c r="R206" s="172"/>
      <c r="S206" s="172"/>
      <c r="T206" s="172"/>
      <c r="U206" s="172"/>
      <c r="V206" s="172"/>
      <c r="W206" s="172"/>
      <c r="X206" s="172"/>
    </row>
    <row r="207" spans="1:24" s="174" customFormat="1">
      <c r="A207" s="172" t="s">
        <v>714</v>
      </c>
      <c r="B207" s="158" t="str">
        <f t="shared" si="20"/>
        <v>SID_REFORGED_BADGE_OF_TENACITY</v>
      </c>
      <c r="C207" s="172" t="s">
        <v>715</v>
      </c>
      <c r="D207" s="172">
        <v>0</v>
      </c>
      <c r="E207" s="172">
        <v>0</v>
      </c>
      <c r="F207" s="172">
        <v>1</v>
      </c>
      <c r="G207" s="172" t="s">
        <v>610</v>
      </c>
      <c r="H207" s="172">
        <v>1</v>
      </c>
      <c r="I207" s="172" t="s">
        <v>609</v>
      </c>
      <c r="J207" s="172"/>
      <c r="K207" s="157" t="str">
        <f t="shared" si="19"/>
        <v>SpellData.create(SID_REFORGED_BADGE_OF_TENACITY,"重铸的坚韧徽章",0,0,1,OrderId("channel"),1,ORDER_TYPE_IMMEDIATE);</v>
      </c>
      <c r="L207" s="157" t="str">
        <f t="shared" si="28"/>
        <v>SpellData.create(SID_REFORGED_BADGE_OF_TENACITY,"Reforged Badge of Tenacity",0,0,1,OrderId("channel"),1,ORDER_TYPE_IMMEDIATE);</v>
      </c>
      <c r="M207" s="172" t="s">
        <v>1693</v>
      </c>
      <c r="N207" s="172"/>
      <c r="O207" s="172"/>
      <c r="P207" s="172"/>
      <c r="Q207" s="172"/>
      <c r="R207" s="172"/>
      <c r="S207" s="172"/>
      <c r="T207" s="172"/>
      <c r="U207" s="172"/>
      <c r="V207" s="172"/>
      <c r="W207" s="172"/>
      <c r="X207" s="172"/>
    </row>
    <row r="208" spans="1:24" s="174" customFormat="1">
      <c r="A208" s="172" t="s">
        <v>712</v>
      </c>
      <c r="B208" s="158" t="str">
        <f t="shared" si="20"/>
        <v>SID_TYRAELS_MIGHT</v>
      </c>
      <c r="C208" s="172" t="s">
        <v>713</v>
      </c>
      <c r="D208" s="172">
        <v>0</v>
      </c>
      <c r="E208" s="172">
        <v>0</v>
      </c>
      <c r="F208" s="172">
        <v>1</v>
      </c>
      <c r="G208" s="172" t="s">
        <v>610</v>
      </c>
      <c r="H208" s="172">
        <v>1</v>
      </c>
      <c r="I208" s="172" t="s">
        <v>609</v>
      </c>
      <c r="J208" s="172"/>
      <c r="K208" s="157" t="str">
        <f t="shared" si="19"/>
        <v>SpellData.create(SID_TYRAELS_MIGHT,"正义天使之力",0,0,1,OrderId("channel"),1,ORDER_TYPE_IMMEDIATE);</v>
      </c>
      <c r="L208" s="157" t="str">
        <f t="shared" si="28"/>
        <v>SpellData.create(SID_TYRAELS_MIGHT,"Tyraels Might",0,0,1,OrderId("channel"),1,ORDER_TYPE_IMMEDIATE);</v>
      </c>
      <c r="M208" s="172" t="s">
        <v>1693</v>
      </c>
      <c r="N208" s="172"/>
      <c r="O208" s="172"/>
      <c r="P208" s="172"/>
      <c r="Q208" s="172"/>
      <c r="R208" s="172"/>
      <c r="S208" s="172"/>
      <c r="T208" s="172"/>
      <c r="U208" s="172"/>
      <c r="V208" s="172"/>
      <c r="W208" s="172"/>
      <c r="X208" s="172"/>
    </row>
    <row r="209" spans="1:24" s="174" customFormat="1">
      <c r="A209" s="172" t="s">
        <v>1713</v>
      </c>
      <c r="B209" s="158" t="str">
        <f t="shared" si="20"/>
        <v>SID_VOODOO_VIALS</v>
      </c>
      <c r="C209" s="172" t="s">
        <v>711</v>
      </c>
      <c r="D209" s="172">
        <v>0</v>
      </c>
      <c r="E209" s="172">
        <v>0</v>
      </c>
      <c r="F209" s="172">
        <v>1</v>
      </c>
      <c r="G209" s="172" t="s">
        <v>610</v>
      </c>
      <c r="H209" s="172">
        <v>1</v>
      </c>
      <c r="I209" s="172" t="s">
        <v>609</v>
      </c>
      <c r="J209" s="172"/>
      <c r="K209" s="157" t="str">
        <f t="shared" si="19"/>
        <v>SpellData.create(SID_VOODOO_VIALS,"巫毒瓶",0,0,1,OrderId("channel"),1,ORDER_TYPE_IMMEDIATE);</v>
      </c>
      <c r="L209" s="157" t="str">
        <f t="shared" si="28"/>
        <v>SpellData.create(SID_VOODOO_VIALS,"Voodoo Vials",0,0,1,OrderId("channel"),1,ORDER_TYPE_IMMEDIATE);</v>
      </c>
      <c r="M209" s="172" t="s">
        <v>1693</v>
      </c>
      <c r="N209" s="172"/>
      <c r="O209" s="172"/>
      <c r="P209" s="172"/>
      <c r="Q209" s="172"/>
      <c r="R209" s="172"/>
      <c r="S209" s="172"/>
      <c r="T209" s="172"/>
      <c r="U209" s="172"/>
      <c r="V209" s="172"/>
      <c r="W209" s="172"/>
      <c r="X209" s="172"/>
    </row>
    <row r="210" spans="1:24" s="174" customFormat="1">
      <c r="A210" s="172" t="s">
        <v>2407</v>
      </c>
      <c r="B210" s="158" t="str">
        <f t="shared" si="20"/>
        <v>SID_MOONLIGHT_GREATSWORD_EXPLOSION</v>
      </c>
      <c r="C210" s="172"/>
      <c r="D210" s="172">
        <v>0</v>
      </c>
      <c r="E210" s="172">
        <v>0</v>
      </c>
      <c r="F210" s="172">
        <v>1</v>
      </c>
      <c r="G210" s="172" t="s">
        <v>610</v>
      </c>
      <c r="H210" s="172">
        <v>1</v>
      </c>
      <c r="I210" s="172" t="s">
        <v>609</v>
      </c>
      <c r="J210" s="172"/>
      <c r="K210" s="157" t="str">
        <f t="shared" ref="K210" si="29">IF(C210="N/A","//",CONCATENATE("SpellData.create(",B210,",",CHAR(34),C210,CHAR(34),",",E210,",",D210,",",F210,",",G210,",",H210,",",I210,")",J210,";"))</f>
        <v>SpellData.create(SID_MOONLIGHT_GREATSWORD_EXPLOSION,"",0,0,1,OrderId("channel"),1,ORDER_TYPE_IMMEDIATE);</v>
      </c>
      <c r="L210" s="157" t="str">
        <f t="shared" ref="L210" si="30">IF(A210="N/A","//",CONCATENATE("SpellData.create(",B210,",",CHAR(34),A210,CHAR(34),",",E210,",",D210,",",F210,",",G210,",",H210,",",I210,")",J210,";"))</f>
        <v>SpellData.create(SID_MOONLIGHT_GREATSWORD_EXPLOSION,"Moonlight Greatsword Explosion",0,0,1,OrderId("channel"),1,ORDER_TYPE_IMMEDIATE);</v>
      </c>
      <c r="M210" s="172" t="s">
        <v>1693</v>
      </c>
      <c r="N210" s="172"/>
      <c r="O210" s="172"/>
      <c r="P210" s="172"/>
      <c r="Q210" s="172"/>
      <c r="R210" s="172"/>
      <c r="S210" s="172"/>
      <c r="T210" s="172"/>
      <c r="U210" s="172"/>
      <c r="V210" s="172"/>
      <c r="W210" s="172"/>
      <c r="X210" s="172"/>
    </row>
    <row r="211" spans="1:24" s="174" customFormat="1">
      <c r="A211" s="172" t="s">
        <v>2408</v>
      </c>
      <c r="B211" s="158" t="str">
        <f t="shared" si="20"/>
        <v>SID_MOONLIGHT_GREATSWORD_BURST</v>
      </c>
      <c r="C211" s="172"/>
      <c r="D211" s="172">
        <v>0</v>
      </c>
      <c r="E211" s="172">
        <v>0</v>
      </c>
      <c r="F211" s="172">
        <v>1</v>
      </c>
      <c r="G211" s="172" t="s">
        <v>610</v>
      </c>
      <c r="H211" s="172">
        <v>1</v>
      </c>
      <c r="I211" s="172" t="s">
        <v>609</v>
      </c>
      <c r="J211" s="172"/>
      <c r="K211" s="157" t="str">
        <f t="shared" ref="K211" si="31">IF(C211="N/A","//",CONCATENATE("SpellData.create(",B211,",",CHAR(34),C211,CHAR(34),",",E211,",",D211,",",F211,",",G211,",",H211,",",I211,")",J211,";"))</f>
        <v>SpellData.create(SID_MOONLIGHT_GREATSWORD_BURST,"",0,0,1,OrderId("channel"),1,ORDER_TYPE_IMMEDIATE);</v>
      </c>
      <c r="L211" s="157" t="str">
        <f t="shared" ref="L211" si="32">IF(A211="N/A","//",CONCATENATE("SpellData.create(",B211,",",CHAR(34),A211,CHAR(34),",",E211,",",D211,",",F211,",",G211,",",H211,",",I211,")",J211,";"))</f>
        <v>SpellData.create(SID_MOONLIGHT_GREATSWORD_BURST,"Moonlight Greatsword Burst",0,0,1,OrderId("channel"),1,ORDER_TYPE_IMMEDIATE);</v>
      </c>
      <c r="M211" s="172" t="s">
        <v>1693</v>
      </c>
      <c r="N211" s="172"/>
      <c r="O211" s="172"/>
      <c r="P211" s="172"/>
      <c r="Q211" s="172"/>
      <c r="R211" s="172"/>
      <c r="S211" s="172"/>
      <c r="T211" s="172"/>
      <c r="U211" s="172"/>
      <c r="V211" s="172"/>
      <c r="W211" s="172"/>
      <c r="X211" s="172"/>
    </row>
    <row r="212" spans="1:24" s="174" customFormat="1">
      <c r="A212" s="172" t="s">
        <v>2494</v>
      </c>
      <c r="B212" s="201" t="str">
        <f>"BID_"&amp;UPPER(SUBSTITUTE(A212," ","_"))</f>
        <v>BID_BLEED</v>
      </c>
      <c r="C212" s="172"/>
      <c r="D212" s="172">
        <v>0</v>
      </c>
      <c r="E212" s="172">
        <v>0</v>
      </c>
      <c r="F212" s="172">
        <v>1</v>
      </c>
      <c r="G212" s="172" t="s">
        <v>610</v>
      </c>
      <c r="H212" s="172">
        <v>1</v>
      </c>
      <c r="I212" s="172" t="s">
        <v>609</v>
      </c>
      <c r="J212" s="172"/>
      <c r="K212" s="157" t="str">
        <f t="shared" ref="K212" si="33">IF(C212="N/A","//",CONCATENATE("SpellData.create(",B212,",",CHAR(34),C212,CHAR(34),",",E212,",",D212,",",F212,",",G212,",",H212,",",I212,")",J212,";"))</f>
        <v>SpellData.create(BID_BLEED,"",0,0,1,OrderId("channel"),1,ORDER_TYPE_IMMEDIATE);</v>
      </c>
      <c r="L212" s="157" t="str">
        <f t="shared" ref="L212" si="34">IF(A212="N/A","//",CONCATENATE("SpellData.create(",B212,",",CHAR(34),A212,CHAR(34),",",E212,",",D212,",",F212,",",G212,",",H212,",",I212,")",J212,";"))</f>
        <v>SpellData.create(BID_BLEED,"Bleed",0,0,1,OrderId("channel"),1,ORDER_TYPE_IMMEDIATE);</v>
      </c>
      <c r="M212" s="172" t="s">
        <v>1693</v>
      </c>
      <c r="N212" s="172"/>
      <c r="O212" s="172"/>
      <c r="P212" s="172"/>
      <c r="Q212" s="172"/>
      <c r="R212" s="172"/>
      <c r="S212" s="172"/>
      <c r="T212" s="172"/>
      <c r="U212" s="172"/>
      <c r="V212" s="172"/>
      <c r="W212" s="172"/>
      <c r="X212" s="172"/>
    </row>
    <row r="213" spans="1:24" s="174" customFormat="1">
      <c r="A213" s="172" t="s">
        <v>2495</v>
      </c>
      <c r="B213" s="201" t="str">
        <f>"SID_"&amp;UPPER(SUBSTITUTE(A213," ","_"))</f>
        <v>SID_LEECH_AURA</v>
      </c>
      <c r="C213" s="172"/>
      <c r="D213" s="172">
        <v>0</v>
      </c>
      <c r="E213" s="172">
        <v>0</v>
      </c>
      <c r="F213" s="172">
        <v>1</v>
      </c>
      <c r="G213" s="172" t="s">
        <v>610</v>
      </c>
      <c r="H213" s="172">
        <v>1</v>
      </c>
      <c r="I213" s="172" t="s">
        <v>609</v>
      </c>
      <c r="J213" s="172"/>
      <c r="K213" s="157" t="str">
        <f t="shared" ref="K213" si="35">IF(C213="N/A","//",CONCATENATE("SpellData.create(",B213,",",CHAR(34),C213,CHAR(34),",",E213,",",D213,",",F213,",",G213,",",H213,",",I213,")",J213,";"))</f>
        <v>SpellData.create(SID_LEECH_AURA,"",0,0,1,OrderId("channel"),1,ORDER_TYPE_IMMEDIATE);</v>
      </c>
      <c r="L213" s="157" t="str">
        <f t="shared" ref="L213" si="36">IF(A213="N/A","//",CONCATENATE("SpellData.create(",B213,",",CHAR(34),A213,CHAR(34),",",E213,",",D213,",",F213,",",G213,",",H213,",",I213,")",J213,";"))</f>
        <v>SpellData.create(SID_LEECH_AURA,"Leech Aura",0,0,1,OrderId("channel"),1,ORDER_TYPE_IMMEDIATE);</v>
      </c>
      <c r="M213" s="172" t="s">
        <v>1693</v>
      </c>
      <c r="N213" s="172"/>
      <c r="O213" s="172"/>
      <c r="P213" s="172"/>
      <c r="Q213" s="172"/>
      <c r="R213" s="172"/>
      <c r="S213" s="172"/>
      <c r="T213" s="172"/>
      <c r="U213" s="172"/>
      <c r="V213" s="172"/>
      <c r="W213" s="172"/>
      <c r="X213" s="172"/>
    </row>
    <row r="214" spans="1:24">
      <c r="A214" s="163" t="s">
        <v>709</v>
      </c>
      <c r="B214" s="158" t="str">
        <f t="shared" si="20"/>
        <v>SID_ARMAGEDDON_SCROLL</v>
      </c>
      <c r="C214" s="163" t="s">
        <v>710</v>
      </c>
      <c r="D214" s="163">
        <v>0</v>
      </c>
      <c r="E214" s="163">
        <v>0</v>
      </c>
      <c r="F214" s="163">
        <v>1</v>
      </c>
      <c r="G214" s="163" t="s">
        <v>610</v>
      </c>
      <c r="H214" s="163">
        <v>1</v>
      </c>
      <c r="I214" s="163" t="s">
        <v>609</v>
      </c>
      <c r="J214" s="163"/>
      <c r="K214" s="157" t="str">
        <f t="shared" si="19"/>
        <v>SpellData.create(SID_ARMAGEDDON_SCROLL,"末日审判",0,0,1,OrderId("channel"),1,ORDER_TYPE_IMMEDIATE);</v>
      </c>
      <c r="L214" s="157" t="str">
        <f t="shared" si="28"/>
        <v>SpellData.create(SID_ARMAGEDDON_SCROLL,"Armageddon Scroll",0,0,1,OrderId("channel"),1,ORDER_TYPE_IMMEDIATE);</v>
      </c>
      <c r="M214" s="163" t="s">
        <v>1693</v>
      </c>
      <c r="N214" s="163"/>
      <c r="O214" s="163"/>
      <c r="P214" s="163"/>
      <c r="Q214" s="163"/>
      <c r="R214" s="163"/>
      <c r="S214" s="163"/>
      <c r="T214" s="163"/>
      <c r="U214" s="163"/>
      <c r="V214" s="163"/>
      <c r="W214" s="163"/>
      <c r="X214" s="163"/>
    </row>
    <row r="215" spans="1:24">
      <c r="A215" s="163" t="s">
        <v>707</v>
      </c>
      <c r="B215" s="158" t="str">
        <f t="shared" si="20"/>
        <v>SID_ARANS_COUNTER_SPELL_SCROLL</v>
      </c>
      <c r="C215" s="163" t="s">
        <v>708</v>
      </c>
      <c r="D215" s="163">
        <v>0</v>
      </c>
      <c r="E215" s="163">
        <v>0</v>
      </c>
      <c r="F215" s="163">
        <v>1</v>
      </c>
      <c r="G215" s="163" t="s">
        <v>610</v>
      </c>
      <c r="H215" s="163">
        <v>1</v>
      </c>
      <c r="I215" s="163" t="s">
        <v>609</v>
      </c>
      <c r="J215" s="163"/>
      <c r="K215" s="157" t="str">
        <f t="shared" si="19"/>
        <v>SpellData.create(SID_ARANS_COUNTER_SPELL_SCROLL,"埃兰的反制卷轴",0,0,1,OrderId("channel"),1,ORDER_TYPE_IMMEDIATE);</v>
      </c>
      <c r="L215" s="157" t="str">
        <f t="shared" si="28"/>
        <v>SpellData.create(SID_ARANS_COUNTER_SPELL_SCROLL,"Arans Counter Spell Scroll",0,0,1,OrderId("channel"),1,ORDER_TYPE_IMMEDIATE);</v>
      </c>
      <c r="M215" s="163" t="s">
        <v>1693</v>
      </c>
      <c r="N215" s="163"/>
      <c r="O215" s="163"/>
      <c r="P215" s="163"/>
      <c r="Q215" s="163"/>
      <c r="R215" s="163"/>
      <c r="S215" s="163"/>
      <c r="T215" s="163"/>
      <c r="U215" s="163"/>
      <c r="V215" s="163"/>
      <c r="W215" s="163"/>
      <c r="X215" s="163"/>
    </row>
    <row r="216" spans="1:24">
      <c r="A216" s="163" t="s">
        <v>705</v>
      </c>
      <c r="B216" s="158" t="str">
        <f t="shared" si="20"/>
        <v>SID_BANSHEE_SCROLL</v>
      </c>
      <c r="C216" s="163" t="s">
        <v>706</v>
      </c>
      <c r="D216" s="163">
        <v>0</v>
      </c>
      <c r="E216" s="163">
        <v>0</v>
      </c>
      <c r="F216" s="163">
        <v>1</v>
      </c>
      <c r="G216" s="163" t="s">
        <v>610</v>
      </c>
      <c r="H216" s="163">
        <v>1</v>
      </c>
      <c r="I216" s="163" t="s">
        <v>609</v>
      </c>
      <c r="J216" s="163"/>
      <c r="K216" s="157" t="str">
        <f t="shared" si="19"/>
        <v>SpellData.create(SID_BANSHEE_SCROLL,"女妖之嚎卷轴",0,0,1,OrderId("channel"),1,ORDER_TYPE_IMMEDIATE);</v>
      </c>
      <c r="L216" s="157" t="str">
        <f t="shared" si="28"/>
        <v>SpellData.create(SID_BANSHEE_SCROLL,"Banshee Scroll",0,0,1,OrderId("channel"),1,ORDER_TYPE_IMMEDIATE);</v>
      </c>
      <c r="M216" s="163" t="s">
        <v>1693</v>
      </c>
      <c r="N216" s="163"/>
      <c r="O216" s="163"/>
      <c r="P216" s="163"/>
      <c r="Q216" s="163"/>
      <c r="R216" s="163"/>
      <c r="S216" s="163"/>
      <c r="T216" s="163"/>
      <c r="U216" s="163"/>
      <c r="V216" s="163"/>
      <c r="W216" s="163"/>
      <c r="X216" s="163"/>
    </row>
    <row r="217" spans="1:24">
      <c r="A217" s="163" t="s">
        <v>703</v>
      </c>
      <c r="B217" s="158" t="str">
        <f t="shared" si="20"/>
        <v>SID_CORRUPTION_SCROLL</v>
      </c>
      <c r="C217" s="163" t="s">
        <v>704</v>
      </c>
      <c r="D217" s="163">
        <v>0</v>
      </c>
      <c r="E217" s="163">
        <v>0</v>
      </c>
      <c r="F217" s="163">
        <v>1</v>
      </c>
      <c r="G217" s="163" t="s">
        <v>610</v>
      </c>
      <c r="H217" s="163">
        <v>1</v>
      </c>
      <c r="I217" s="163" t="s">
        <v>609</v>
      </c>
      <c r="J217" s="163"/>
      <c r="K217" s="157" t="str">
        <f t="shared" si="19"/>
        <v>SpellData.create(SID_CORRUPTION_SCROLL,"腐蚀卷轴",0,0,1,OrderId("channel"),1,ORDER_TYPE_IMMEDIATE);</v>
      </c>
      <c r="L217" s="157" t="str">
        <f t="shared" si="28"/>
        <v>SpellData.create(SID_CORRUPTION_SCROLL,"Corruption Scroll",0,0,1,OrderId("channel"),1,ORDER_TYPE_IMMEDIATE);</v>
      </c>
      <c r="M217" s="163" t="s">
        <v>1693</v>
      </c>
      <c r="N217" s="163"/>
      <c r="O217" s="163"/>
      <c r="P217" s="163"/>
      <c r="Q217" s="163"/>
      <c r="R217" s="163"/>
      <c r="S217" s="163"/>
      <c r="T217" s="163"/>
      <c r="U217" s="163"/>
      <c r="V217" s="163"/>
      <c r="W217" s="163"/>
      <c r="X217" s="163"/>
    </row>
    <row r="218" spans="1:24">
      <c r="A218" s="163" t="s">
        <v>701</v>
      </c>
      <c r="B218" s="158" t="str">
        <f t="shared" si="20"/>
        <v>SID_DEFEND_SCROLL</v>
      </c>
      <c r="C218" s="163" t="s">
        <v>702</v>
      </c>
      <c r="D218" s="163">
        <v>0</v>
      </c>
      <c r="E218" s="163">
        <v>0</v>
      </c>
      <c r="F218" s="163">
        <v>1</v>
      </c>
      <c r="G218" s="163" t="s">
        <v>610</v>
      </c>
      <c r="H218" s="163">
        <v>1</v>
      </c>
      <c r="I218" s="163" t="s">
        <v>609</v>
      </c>
      <c r="J218" s="163"/>
      <c r="K218" s="157" t="str">
        <f t="shared" si="19"/>
        <v>SpellData.create(SID_DEFEND_SCROLL,"守护卷轴",0,0,1,OrderId("channel"),1,ORDER_TYPE_IMMEDIATE);</v>
      </c>
      <c r="L218" s="157" t="str">
        <f t="shared" si="28"/>
        <v>SpellData.create(SID_DEFEND_SCROLL,"Defend Scroll",0,0,1,OrderId("channel"),1,ORDER_TYPE_IMMEDIATE);</v>
      </c>
      <c r="M218" s="163" t="s">
        <v>1693</v>
      </c>
      <c r="N218" s="163"/>
      <c r="O218" s="163"/>
      <c r="P218" s="163"/>
      <c r="Q218" s="163"/>
      <c r="R218" s="163"/>
      <c r="S218" s="163"/>
      <c r="T218" s="163"/>
      <c r="U218" s="163"/>
      <c r="V218" s="163"/>
      <c r="W218" s="163"/>
      <c r="X218" s="163"/>
    </row>
    <row r="219" spans="1:24">
      <c r="A219" s="163" t="s">
        <v>699</v>
      </c>
      <c r="B219" s="158" t="str">
        <f t="shared" si="20"/>
        <v>SID_FRENZY_SCROLL</v>
      </c>
      <c r="C219" s="163" t="s">
        <v>700</v>
      </c>
      <c r="D219" s="163">
        <v>0</v>
      </c>
      <c r="E219" s="163">
        <v>0</v>
      </c>
      <c r="F219" s="163">
        <v>1</v>
      </c>
      <c r="G219" s="163" t="s">
        <v>610</v>
      </c>
      <c r="H219" s="163">
        <v>1</v>
      </c>
      <c r="I219" s="163" t="s">
        <v>609</v>
      </c>
      <c r="J219" s="163"/>
      <c r="K219" s="157" t="str">
        <f t="shared" ref="K219:K265" si="37">IF(C219="N/A","//",CONCATENATE("SpellData.create(",B219,",",CHAR(34),C219,CHAR(34),",",E219,",",D219,",",F219,",",G219,",",H219,",",I219,")",J219,";"))</f>
        <v>SpellData.create(SID_FRENZY_SCROLL,"狂热卷轴",0,0,1,OrderId("channel"),1,ORDER_TYPE_IMMEDIATE);</v>
      </c>
      <c r="L219" s="157" t="str">
        <f t="shared" si="28"/>
        <v>SpellData.create(SID_FRENZY_SCROLL,"Frenzy Scroll",0,0,1,OrderId("channel"),1,ORDER_TYPE_IMMEDIATE);</v>
      </c>
      <c r="M219" s="163" t="s">
        <v>1693</v>
      </c>
      <c r="N219" s="163"/>
      <c r="O219" s="163"/>
      <c r="P219" s="163"/>
      <c r="Q219" s="163"/>
      <c r="R219" s="163"/>
      <c r="S219" s="163"/>
      <c r="T219" s="163"/>
      <c r="U219" s="163"/>
      <c r="V219" s="163"/>
      <c r="W219" s="163"/>
      <c r="X219" s="163"/>
    </row>
    <row r="220" spans="1:24">
      <c r="A220" s="163" t="s">
        <v>697</v>
      </c>
      <c r="B220" s="158" t="str">
        <f t="shared" si="20"/>
        <v>SID_HEAL_SCROLL</v>
      </c>
      <c r="C220" s="163" t="s">
        <v>698</v>
      </c>
      <c r="D220" s="163">
        <v>0</v>
      </c>
      <c r="E220" s="163">
        <v>0</v>
      </c>
      <c r="F220" s="163">
        <v>1</v>
      </c>
      <c r="G220" s="163" t="s">
        <v>610</v>
      </c>
      <c r="H220" s="163">
        <v>1</v>
      </c>
      <c r="I220" s="163" t="s">
        <v>609</v>
      </c>
      <c r="J220" s="163"/>
      <c r="K220" s="157" t="str">
        <f t="shared" si="37"/>
        <v>SpellData.create(SID_HEAL_SCROLL,"医疗卷轴",0,0,1,OrderId("channel"),1,ORDER_TYPE_IMMEDIATE);</v>
      </c>
      <c r="L220" s="157" t="str">
        <f t="shared" si="28"/>
        <v>SpellData.create(SID_HEAL_SCROLL,"Heal Scroll",0,0,1,OrderId("channel"),1,ORDER_TYPE_IMMEDIATE);</v>
      </c>
      <c r="M220" s="163" t="s">
        <v>1693</v>
      </c>
      <c r="N220" s="163"/>
      <c r="O220" s="163"/>
      <c r="P220" s="163"/>
      <c r="Q220" s="163"/>
      <c r="R220" s="163"/>
      <c r="S220" s="163"/>
      <c r="T220" s="163"/>
      <c r="U220" s="163"/>
      <c r="V220" s="163"/>
      <c r="W220" s="163"/>
      <c r="X220" s="163"/>
    </row>
    <row r="221" spans="1:24">
      <c r="A221" s="163" t="s">
        <v>695</v>
      </c>
      <c r="B221" s="158" t="str">
        <f t="shared" ref="B221" si="38">"SID_"&amp;UPPER(SUBSTITUTE(A221," ","_"))</f>
        <v>SID_MANA_SCROLL</v>
      </c>
      <c r="C221" s="163" t="s">
        <v>696</v>
      </c>
      <c r="D221" s="163">
        <v>0</v>
      </c>
      <c r="E221" s="163">
        <v>0</v>
      </c>
      <c r="F221" s="163">
        <v>1</v>
      </c>
      <c r="G221" s="163" t="s">
        <v>610</v>
      </c>
      <c r="H221" s="163">
        <v>1</v>
      </c>
      <c r="I221" s="163" t="s">
        <v>609</v>
      </c>
      <c r="J221" s="163"/>
      <c r="K221" s="157" t="str">
        <f t="shared" si="37"/>
        <v>SpellData.create(SID_MANA_SCROLL,"魔法卷轴",0,0,1,OrderId("channel"),1,ORDER_TYPE_IMMEDIATE);</v>
      </c>
      <c r="L221" s="157" t="str">
        <f t="shared" si="28"/>
        <v>SpellData.create(SID_MANA_SCROLL,"Mana Scroll",0,0,1,OrderId("channel"),1,ORDER_TYPE_IMMEDIATE);</v>
      </c>
      <c r="M221" s="163" t="s">
        <v>1693</v>
      </c>
      <c r="N221" s="163"/>
      <c r="O221" s="163"/>
      <c r="P221" s="163"/>
      <c r="Q221" s="163"/>
      <c r="R221" s="163"/>
      <c r="S221" s="163"/>
      <c r="T221" s="163"/>
      <c r="U221" s="163"/>
      <c r="V221" s="163"/>
      <c r="W221" s="163"/>
      <c r="X221" s="163"/>
    </row>
    <row r="222" spans="1:24">
      <c r="A222" s="163" t="s">
        <v>693</v>
      </c>
      <c r="B222" s="158" t="str">
        <f t="shared" si="20"/>
        <v>SID_MASS_DISPEL_SCROLL</v>
      </c>
      <c r="C222" s="163" t="s">
        <v>694</v>
      </c>
      <c r="D222" s="163">
        <v>0</v>
      </c>
      <c r="E222" s="163">
        <v>0</v>
      </c>
      <c r="F222" s="163">
        <v>1</v>
      </c>
      <c r="G222" s="163" t="s">
        <v>610</v>
      </c>
      <c r="H222" s="163">
        <v>1</v>
      </c>
      <c r="I222" s="163" t="s">
        <v>609</v>
      </c>
      <c r="J222" s="163"/>
      <c r="K222" s="157" t="str">
        <f t="shared" si="37"/>
        <v>SpellData.create(SID_MASS_DISPEL_SCROLL,"大型驱魔卷轴",0,0,1,OrderId("channel"),1,ORDER_TYPE_IMMEDIATE);</v>
      </c>
      <c r="L222" s="157" t="str">
        <f t="shared" si="28"/>
        <v>SpellData.create(SID_MASS_DISPEL_SCROLL,"Mass Dispel Scroll",0,0,1,OrderId("channel"),1,ORDER_TYPE_IMMEDIATE);</v>
      </c>
      <c r="M222" s="163" t="s">
        <v>1693</v>
      </c>
      <c r="N222" s="163"/>
      <c r="O222" s="163"/>
      <c r="P222" s="163"/>
      <c r="Q222" s="163"/>
      <c r="R222" s="163"/>
      <c r="S222" s="163"/>
      <c r="T222" s="163"/>
      <c r="U222" s="163"/>
      <c r="V222" s="163"/>
      <c r="W222" s="163"/>
      <c r="X222" s="163"/>
    </row>
    <row r="223" spans="1:24">
      <c r="A223" s="163" t="s">
        <v>691</v>
      </c>
      <c r="B223" s="158" t="str">
        <f t="shared" ref="B223:B265" si="39">"SID_"&amp;UPPER(SUBSTITUTE(A223," ","_"))</f>
        <v>SID_MASS_TELEPORT_SCROLL</v>
      </c>
      <c r="C223" s="163" t="s">
        <v>692</v>
      </c>
      <c r="D223" s="163">
        <v>0</v>
      </c>
      <c r="E223" s="163">
        <v>0</v>
      </c>
      <c r="F223" s="163">
        <v>1</v>
      </c>
      <c r="G223" s="163" t="s">
        <v>610</v>
      </c>
      <c r="H223" s="163">
        <v>1</v>
      </c>
      <c r="I223" s="163" t="s">
        <v>609</v>
      </c>
      <c r="J223" s="163"/>
      <c r="K223" s="157" t="str">
        <f t="shared" si="37"/>
        <v>SpellData.create(SID_MASS_TELEPORT_SCROLL,"群体传送卷轴",0,0,1,OrderId("channel"),1,ORDER_TYPE_IMMEDIATE);</v>
      </c>
      <c r="L223" s="157" t="str">
        <f t="shared" si="28"/>
        <v>SpellData.create(SID_MASS_TELEPORT_SCROLL,"Mass Teleport Scroll",0,0,1,OrderId("channel"),1,ORDER_TYPE_IMMEDIATE);</v>
      </c>
      <c r="M223" s="163" t="s">
        <v>1693</v>
      </c>
      <c r="N223" s="163"/>
      <c r="O223" s="163"/>
      <c r="P223" s="163"/>
      <c r="Q223" s="163"/>
      <c r="R223" s="163"/>
      <c r="S223" s="163"/>
      <c r="T223" s="163"/>
      <c r="U223" s="163"/>
      <c r="V223" s="163"/>
      <c r="W223" s="163"/>
      <c r="X223" s="163"/>
    </row>
    <row r="224" spans="1:24">
      <c r="A224" s="163" t="s">
        <v>689</v>
      </c>
      <c r="B224" s="158" t="str">
        <f t="shared" si="39"/>
        <v>SID_ROAR_SCROLL</v>
      </c>
      <c r="C224" s="163" t="s">
        <v>690</v>
      </c>
      <c r="D224" s="163">
        <v>0</v>
      </c>
      <c r="E224" s="163">
        <v>0</v>
      </c>
      <c r="F224" s="163">
        <v>1</v>
      </c>
      <c r="G224" s="163" t="s">
        <v>610</v>
      </c>
      <c r="H224" s="163">
        <v>1</v>
      </c>
      <c r="I224" s="163" t="s">
        <v>609</v>
      </c>
      <c r="J224" s="163"/>
      <c r="K224" s="157" t="str">
        <f t="shared" si="37"/>
        <v>SpellData.create(SID_ROAR_SCROLL,"野兽卷轴",0,0,1,OrderId("channel"),1,ORDER_TYPE_IMMEDIATE);</v>
      </c>
      <c r="L224" s="157" t="str">
        <f t="shared" si="28"/>
        <v>SpellData.create(SID_ROAR_SCROLL,"Roar Scroll",0,0,1,OrderId("channel"),1,ORDER_TYPE_IMMEDIATE);</v>
      </c>
      <c r="M224" s="163" t="s">
        <v>1693</v>
      </c>
      <c r="N224" s="163"/>
      <c r="O224" s="163"/>
      <c r="P224" s="163"/>
      <c r="Q224" s="163"/>
      <c r="R224" s="163"/>
      <c r="S224" s="163"/>
      <c r="T224" s="163"/>
      <c r="U224" s="163"/>
      <c r="V224" s="163"/>
      <c r="W224" s="163"/>
      <c r="X224" s="163"/>
    </row>
    <row r="225" spans="1:24">
      <c r="A225" s="163" t="s">
        <v>1667</v>
      </c>
      <c r="B225" s="158" t="str">
        <f t="shared" si="39"/>
        <v>SID_SANCTUARY_SCROLL</v>
      </c>
      <c r="C225" s="163" t="s">
        <v>688</v>
      </c>
      <c r="D225" s="163">
        <v>0</v>
      </c>
      <c r="E225" s="163">
        <v>0</v>
      </c>
      <c r="F225" s="163">
        <v>1</v>
      </c>
      <c r="G225" s="163" t="s">
        <v>610</v>
      </c>
      <c r="H225" s="163">
        <v>1</v>
      </c>
      <c r="I225" s="163" t="s">
        <v>609</v>
      </c>
      <c r="J225" s="163"/>
      <c r="K225" s="157" t="str">
        <f t="shared" si="37"/>
        <v>SpellData.create(SID_SANCTUARY_SCROLL,"庇护所卷轴",0,0,1,OrderId("channel"),1,ORDER_TYPE_IMMEDIATE);</v>
      </c>
      <c r="L225" s="157" t="str">
        <f t="shared" si="28"/>
        <v>SpellData.create(SID_SANCTUARY_SCROLL,"Sanctuary Scroll",0,0,1,OrderId("channel"),1,ORDER_TYPE_IMMEDIATE);</v>
      </c>
      <c r="M225" s="163" t="s">
        <v>1693</v>
      </c>
      <c r="N225" s="163"/>
      <c r="O225" s="163"/>
      <c r="P225" s="163"/>
      <c r="Q225" s="163"/>
      <c r="R225" s="163"/>
      <c r="S225" s="163"/>
      <c r="T225" s="163"/>
      <c r="U225" s="163"/>
      <c r="V225" s="163"/>
      <c r="W225" s="163"/>
      <c r="X225" s="163"/>
    </row>
    <row r="226" spans="1:24">
      <c r="A226" s="163" t="s">
        <v>686</v>
      </c>
      <c r="B226" s="158" t="str">
        <f t="shared" si="39"/>
        <v>SID_SLAYER_SCROLL</v>
      </c>
      <c r="C226" s="163" t="s">
        <v>687</v>
      </c>
      <c r="D226" s="163">
        <v>0</v>
      </c>
      <c r="E226" s="163">
        <v>0</v>
      </c>
      <c r="F226" s="163">
        <v>1</v>
      </c>
      <c r="G226" s="163" t="s">
        <v>610</v>
      </c>
      <c r="H226" s="163">
        <v>1</v>
      </c>
      <c r="I226" s="163" t="s">
        <v>609</v>
      </c>
      <c r="J226" s="163"/>
      <c r="K226" s="157" t="str">
        <f t="shared" si="37"/>
        <v>SpellData.create(SID_SLAYER_SCROLL,"杀戮卷轴",0,0,1,OrderId("channel"),1,ORDER_TYPE_IMMEDIATE);</v>
      </c>
      <c r="L226" s="157" t="str">
        <f t="shared" si="28"/>
        <v>SpellData.create(SID_SLAYER_SCROLL,"Slayer Scroll",0,0,1,OrderId("channel"),1,ORDER_TYPE_IMMEDIATE);</v>
      </c>
      <c r="M226" s="163" t="s">
        <v>1693</v>
      </c>
      <c r="N226" s="163"/>
      <c r="O226" s="163"/>
      <c r="P226" s="163"/>
      <c r="Q226" s="163"/>
      <c r="R226" s="163"/>
      <c r="S226" s="163"/>
      <c r="T226" s="163"/>
      <c r="U226" s="163"/>
      <c r="V226" s="163"/>
      <c r="W226" s="163"/>
      <c r="X226" s="163"/>
    </row>
    <row r="227" spans="1:24">
      <c r="A227" s="163" t="s">
        <v>684</v>
      </c>
      <c r="B227" s="158" t="str">
        <f t="shared" si="39"/>
        <v>SID_SPEED_SCROLL</v>
      </c>
      <c r="C227" s="163" t="s">
        <v>685</v>
      </c>
      <c r="D227" s="163">
        <v>0</v>
      </c>
      <c r="E227" s="163">
        <v>0</v>
      </c>
      <c r="F227" s="163">
        <v>1</v>
      </c>
      <c r="G227" s="163" t="s">
        <v>610</v>
      </c>
      <c r="H227" s="163">
        <v>1</v>
      </c>
      <c r="I227" s="163" t="s">
        <v>609</v>
      </c>
      <c r="J227" s="163"/>
      <c r="K227" s="157" t="str">
        <f t="shared" si="37"/>
        <v>SpellData.create(SID_SPEED_SCROLL,"加速卷轴",0,0,1,OrderId("channel"),1,ORDER_TYPE_IMMEDIATE);</v>
      </c>
      <c r="L227" s="157" t="str">
        <f t="shared" si="28"/>
        <v>SpellData.create(SID_SPEED_SCROLL,"Speed Scroll",0,0,1,OrderId("channel"),1,ORDER_TYPE_IMMEDIATE);</v>
      </c>
      <c r="M227" s="163" t="s">
        <v>1693</v>
      </c>
      <c r="N227" s="163"/>
      <c r="O227" s="163"/>
      <c r="P227" s="163"/>
      <c r="Q227" s="163"/>
      <c r="R227" s="163"/>
      <c r="S227" s="163"/>
      <c r="T227" s="163"/>
      <c r="U227" s="163"/>
      <c r="V227" s="163"/>
      <c r="W227" s="163"/>
      <c r="X227" s="163"/>
    </row>
    <row r="228" spans="1:24">
      <c r="A228" s="163" t="s">
        <v>682</v>
      </c>
      <c r="B228" s="158" t="str">
        <f t="shared" si="39"/>
        <v>SID_SPELL_REFLECTION_SCROLL</v>
      </c>
      <c r="C228" s="163" t="s">
        <v>683</v>
      </c>
      <c r="D228" s="163">
        <v>0</v>
      </c>
      <c r="E228" s="163">
        <v>0</v>
      </c>
      <c r="F228" s="163">
        <v>1</v>
      </c>
      <c r="G228" s="163" t="s">
        <v>610</v>
      </c>
      <c r="H228" s="163">
        <v>1</v>
      </c>
      <c r="I228" s="163" t="s">
        <v>609</v>
      </c>
      <c r="J228" s="163"/>
      <c r="K228" s="157" t="str">
        <f t="shared" si="37"/>
        <v>SpellData.create(SID_SPELL_REFLECTION_SCROLL,"绝缘卷轴",0,0,1,OrderId("channel"),1,ORDER_TYPE_IMMEDIATE);</v>
      </c>
      <c r="L228" s="157" t="str">
        <f t="shared" si="28"/>
        <v>SpellData.create(SID_SPELL_REFLECTION_SCROLL,"Spell Reflection Scroll",0,0,1,OrderId("channel"),1,ORDER_TYPE_IMMEDIATE);</v>
      </c>
      <c r="M228" s="163" t="s">
        <v>1693</v>
      </c>
      <c r="N228" s="163"/>
      <c r="O228" s="163"/>
      <c r="P228" s="163"/>
      <c r="Q228" s="163"/>
      <c r="R228" s="163"/>
      <c r="S228" s="163"/>
      <c r="T228" s="163"/>
      <c r="U228" s="163"/>
      <c r="V228" s="163"/>
      <c r="W228" s="163"/>
      <c r="X228" s="163"/>
    </row>
    <row r="229" spans="1:24">
      <c r="A229" s="163" t="s">
        <v>680</v>
      </c>
      <c r="B229" s="158" t="str">
        <f t="shared" si="39"/>
        <v>SID_WEAKEN_CURSE_SCROLL</v>
      </c>
      <c r="C229" s="163" t="s">
        <v>681</v>
      </c>
      <c r="D229" s="163">
        <v>0</v>
      </c>
      <c r="E229" s="163">
        <v>0</v>
      </c>
      <c r="F229" s="163">
        <v>1</v>
      </c>
      <c r="G229" s="163" t="s">
        <v>610</v>
      </c>
      <c r="H229" s="163">
        <v>1</v>
      </c>
      <c r="I229" s="163" t="s">
        <v>609</v>
      </c>
      <c r="J229" s="163"/>
      <c r="K229" s="157" t="str">
        <f t="shared" si="37"/>
        <v>SpellData.create(SID_WEAKEN_CURSE_SCROLL,"虚弱诅咒卷轴",0,0,1,OrderId("channel"),1,ORDER_TYPE_IMMEDIATE);</v>
      </c>
      <c r="L229" s="157" t="str">
        <f t="shared" si="28"/>
        <v>SpellData.create(SID_WEAKEN_CURSE_SCROLL,"Weaken Curse Scroll",0,0,1,OrderId("channel"),1,ORDER_TYPE_IMMEDIATE);</v>
      </c>
      <c r="M229" s="163" t="s">
        <v>1693</v>
      </c>
      <c r="N229" s="163"/>
      <c r="O229" s="163"/>
      <c r="P229" s="163"/>
      <c r="Q229" s="163"/>
      <c r="R229" s="163"/>
      <c r="S229" s="163"/>
      <c r="T229" s="163"/>
      <c r="U229" s="163"/>
      <c r="V229" s="163"/>
      <c r="W229" s="163"/>
      <c r="X229" s="163"/>
    </row>
    <row r="230" spans="1:24">
      <c r="A230" s="164" t="s">
        <v>678</v>
      </c>
      <c r="B230" s="158" t="str">
        <f t="shared" si="39"/>
        <v>SID_LIFE_POTION</v>
      </c>
      <c r="C230" s="164" t="s">
        <v>679</v>
      </c>
      <c r="D230" s="164">
        <v>0</v>
      </c>
      <c r="E230" s="164">
        <v>0</v>
      </c>
      <c r="F230" s="164">
        <v>1</v>
      </c>
      <c r="G230" s="164" t="s">
        <v>610</v>
      </c>
      <c r="H230" s="164">
        <v>1</v>
      </c>
      <c r="I230" s="164" t="s">
        <v>609</v>
      </c>
      <c r="J230" s="164"/>
      <c r="K230" s="157" t="str">
        <f t="shared" si="37"/>
        <v>SpellData.create(SID_LIFE_POTION,"生命药水",0,0,1,OrderId("channel"),1,ORDER_TYPE_IMMEDIATE);</v>
      </c>
      <c r="L230" s="157" t="str">
        <f t="shared" si="28"/>
        <v>SpellData.create(SID_LIFE_POTION,"Life Potion",0,0,1,OrderId("channel"),1,ORDER_TYPE_IMMEDIATE);</v>
      </c>
      <c r="M230" s="164" t="s">
        <v>1693</v>
      </c>
      <c r="N230" s="164"/>
      <c r="O230" s="164"/>
      <c r="P230" s="164"/>
      <c r="Q230" s="164"/>
      <c r="R230" s="164"/>
      <c r="S230" s="164"/>
      <c r="T230" s="164"/>
      <c r="U230" s="164"/>
      <c r="V230" s="164"/>
      <c r="W230" s="164"/>
      <c r="X230" s="164"/>
    </row>
    <row r="231" spans="1:24">
      <c r="A231" s="164" t="s">
        <v>676</v>
      </c>
      <c r="B231" s="158" t="str">
        <f t="shared" si="39"/>
        <v>SID_MANA_POTION</v>
      </c>
      <c r="C231" s="164" t="s">
        <v>677</v>
      </c>
      <c r="D231" s="164">
        <v>0</v>
      </c>
      <c r="E231" s="164">
        <v>0</v>
      </c>
      <c r="F231" s="164">
        <v>1</v>
      </c>
      <c r="G231" s="164" t="s">
        <v>610</v>
      </c>
      <c r="H231" s="164">
        <v>1</v>
      </c>
      <c r="I231" s="164" t="s">
        <v>609</v>
      </c>
      <c r="J231" s="164"/>
      <c r="K231" s="157" t="str">
        <f t="shared" si="37"/>
        <v>SpellData.create(SID_MANA_POTION,"魔法药水",0,0,1,OrderId("channel"),1,ORDER_TYPE_IMMEDIATE);</v>
      </c>
      <c r="L231" s="157" t="str">
        <f t="shared" si="28"/>
        <v>SpellData.create(SID_MANA_POTION,"Mana Potion",0,0,1,OrderId("channel"),1,ORDER_TYPE_IMMEDIATE);</v>
      </c>
      <c r="M231" s="164" t="s">
        <v>1693</v>
      </c>
      <c r="N231" s="164"/>
      <c r="O231" s="164"/>
      <c r="P231" s="164"/>
      <c r="Q231" s="164"/>
      <c r="R231" s="164"/>
      <c r="S231" s="164"/>
      <c r="T231" s="164"/>
      <c r="U231" s="164"/>
      <c r="V231" s="164"/>
      <c r="W231" s="164"/>
      <c r="X231" s="164"/>
    </row>
    <row r="232" spans="1:24">
      <c r="A232" s="164" t="s">
        <v>674</v>
      </c>
      <c r="B232" s="158" t="str">
        <f t="shared" si="39"/>
        <v>SID_LEECH_POTION</v>
      </c>
      <c r="C232" s="164" t="s">
        <v>675</v>
      </c>
      <c r="D232" s="164">
        <v>0</v>
      </c>
      <c r="E232" s="164">
        <v>0</v>
      </c>
      <c r="F232" s="164">
        <v>1</v>
      </c>
      <c r="G232" s="164" t="s">
        <v>610</v>
      </c>
      <c r="H232" s="164">
        <v>1</v>
      </c>
      <c r="I232" s="164" t="s">
        <v>609</v>
      </c>
      <c r="J232" s="164"/>
      <c r="K232" s="157" t="str">
        <f t="shared" si="37"/>
        <v>SpellData.create(SID_LEECH_POTION,"吸血药水",0,0,1,OrderId("channel"),1,ORDER_TYPE_IMMEDIATE);</v>
      </c>
      <c r="L232" s="157" t="str">
        <f t="shared" si="28"/>
        <v>SpellData.create(SID_LEECH_POTION,"Leech Potion",0,0,1,OrderId("channel"),1,ORDER_TYPE_IMMEDIATE);</v>
      </c>
      <c r="M232" s="164" t="s">
        <v>1693</v>
      </c>
      <c r="N232" s="164"/>
      <c r="O232" s="164"/>
      <c r="P232" s="164"/>
      <c r="Q232" s="164"/>
      <c r="R232" s="164"/>
      <c r="S232" s="164"/>
      <c r="T232" s="164"/>
      <c r="U232" s="164"/>
      <c r="V232" s="164"/>
      <c r="W232" s="164"/>
      <c r="X232" s="164"/>
    </row>
    <row r="233" spans="1:24">
      <c r="A233" s="164" t="s">
        <v>672</v>
      </c>
      <c r="B233" s="158" t="str">
        <f t="shared" si="39"/>
        <v>SID_LIFE_REGEN_POTION</v>
      </c>
      <c r="C233" s="164" t="s">
        <v>673</v>
      </c>
      <c r="D233" s="164">
        <v>0</v>
      </c>
      <c r="E233" s="164">
        <v>0</v>
      </c>
      <c r="F233" s="164">
        <v>1</v>
      </c>
      <c r="G233" s="164" t="s">
        <v>610</v>
      </c>
      <c r="H233" s="164">
        <v>1</v>
      </c>
      <c r="I233" s="164" t="s">
        <v>609</v>
      </c>
      <c r="J233" s="164"/>
      <c r="K233" s="157" t="str">
        <f t="shared" si="37"/>
        <v>SpellData.create(SID_LIFE_REGEN_POTION,"再生药水",0,0,1,OrderId("channel"),1,ORDER_TYPE_IMMEDIATE);</v>
      </c>
      <c r="L233" s="157" t="str">
        <f t="shared" si="28"/>
        <v>SpellData.create(SID_LIFE_REGEN_POTION,"Life Regen Potion",0,0,1,OrderId("channel"),1,ORDER_TYPE_IMMEDIATE);</v>
      </c>
      <c r="M233" s="164" t="s">
        <v>1693</v>
      </c>
      <c r="N233" s="164"/>
      <c r="O233" s="164"/>
      <c r="P233" s="164"/>
      <c r="Q233" s="164"/>
      <c r="R233" s="164"/>
      <c r="S233" s="164"/>
      <c r="T233" s="164"/>
      <c r="U233" s="164"/>
      <c r="V233" s="164"/>
      <c r="W233" s="164"/>
      <c r="X233" s="164"/>
    </row>
    <row r="234" spans="1:24">
      <c r="A234" s="164" t="s">
        <v>670</v>
      </c>
      <c r="B234" s="158" t="str">
        <f t="shared" si="39"/>
        <v>SID_MANA_REGEN_POTION</v>
      </c>
      <c r="C234" s="164" t="s">
        <v>671</v>
      </c>
      <c r="D234" s="164">
        <v>0</v>
      </c>
      <c r="E234" s="164">
        <v>0</v>
      </c>
      <c r="F234" s="164">
        <v>1</v>
      </c>
      <c r="G234" s="164" t="s">
        <v>610</v>
      </c>
      <c r="H234" s="164">
        <v>1</v>
      </c>
      <c r="I234" s="164" t="s">
        <v>609</v>
      </c>
      <c r="J234" s="164"/>
      <c r="K234" s="157" t="str">
        <f t="shared" si="37"/>
        <v>SpellData.create(SID_MANA_REGEN_POTION,"清晰预兆药水",0,0,1,OrderId("channel"),1,ORDER_TYPE_IMMEDIATE);</v>
      </c>
      <c r="L234" s="157" t="str">
        <f t="shared" si="28"/>
        <v>SpellData.create(SID_MANA_REGEN_POTION,"Mana Regen Potion",0,0,1,OrderId("channel"),1,ORDER_TYPE_IMMEDIATE);</v>
      </c>
      <c r="M234" s="164" t="s">
        <v>1693</v>
      </c>
      <c r="N234" s="164"/>
      <c r="O234" s="164"/>
      <c r="P234" s="164"/>
      <c r="Q234" s="164"/>
      <c r="R234" s="164"/>
      <c r="S234" s="164"/>
      <c r="T234" s="164"/>
      <c r="U234" s="164"/>
      <c r="V234" s="164"/>
      <c r="W234" s="164"/>
      <c r="X234" s="164"/>
    </row>
    <row r="235" spans="1:24">
      <c r="A235" s="164" t="s">
        <v>668</v>
      </c>
      <c r="B235" s="158" t="str">
        <f t="shared" si="39"/>
        <v>SID_MANA_SOURCE_POTION</v>
      </c>
      <c r="C235" s="164" t="s">
        <v>669</v>
      </c>
      <c r="D235" s="164">
        <v>0</v>
      </c>
      <c r="E235" s="164">
        <v>0</v>
      </c>
      <c r="F235" s="164">
        <v>1</v>
      </c>
      <c r="G235" s="164" t="s">
        <v>610</v>
      </c>
      <c r="H235" s="164">
        <v>1</v>
      </c>
      <c r="I235" s="164" t="s">
        <v>609</v>
      </c>
      <c r="J235" s="164"/>
      <c r="K235" s="157" t="str">
        <f t="shared" si="37"/>
        <v>SpellData.create(SID_MANA_SOURCE_POTION,"魔力之源",0,0,1,OrderId("channel"),1,ORDER_TYPE_IMMEDIATE);</v>
      </c>
      <c r="L235" s="157" t="str">
        <f t="shared" si="28"/>
        <v>SpellData.create(SID_MANA_SOURCE_POTION,"Mana Source Potion",0,0,1,OrderId("channel"),1,ORDER_TYPE_IMMEDIATE);</v>
      </c>
      <c r="M235" s="164" t="s">
        <v>1693</v>
      </c>
      <c r="N235" s="164"/>
      <c r="O235" s="164"/>
      <c r="P235" s="164"/>
      <c r="Q235" s="164"/>
      <c r="R235" s="164"/>
      <c r="S235" s="164"/>
      <c r="T235" s="164"/>
      <c r="U235" s="164"/>
      <c r="V235" s="164"/>
      <c r="W235" s="164"/>
      <c r="X235" s="164"/>
    </row>
    <row r="236" spans="1:24">
      <c r="A236" s="164" t="s">
        <v>666</v>
      </c>
      <c r="B236" s="158" t="str">
        <f t="shared" si="39"/>
        <v>SID_TRANQUILITY_POTION</v>
      </c>
      <c r="C236" s="164" t="s">
        <v>667</v>
      </c>
      <c r="D236" s="164">
        <v>0</v>
      </c>
      <c r="E236" s="164">
        <v>0</v>
      </c>
      <c r="F236" s="164">
        <v>1</v>
      </c>
      <c r="G236" s="164" t="s">
        <v>610</v>
      </c>
      <c r="H236" s="164">
        <v>1</v>
      </c>
      <c r="I236" s="164" t="s">
        <v>609</v>
      </c>
      <c r="J236" s="164"/>
      <c r="K236" s="157" t="str">
        <f t="shared" si="37"/>
        <v>SpellData.create(SID_TRANQUILITY_POTION,"宁静药水",0,0,1,OrderId("channel"),1,ORDER_TYPE_IMMEDIATE);</v>
      </c>
      <c r="L236" s="157" t="str">
        <f t="shared" si="28"/>
        <v>SpellData.create(SID_TRANQUILITY_POTION,"Tranquility Potion",0,0,1,OrderId("channel"),1,ORDER_TYPE_IMMEDIATE);</v>
      </c>
      <c r="M236" s="164" t="s">
        <v>1693</v>
      </c>
      <c r="N236" s="164"/>
      <c r="O236" s="164"/>
      <c r="P236" s="164"/>
      <c r="Q236" s="164"/>
      <c r="R236" s="164"/>
      <c r="S236" s="164"/>
      <c r="T236" s="164"/>
      <c r="U236" s="164"/>
      <c r="V236" s="164"/>
      <c r="W236" s="164"/>
      <c r="X236" s="164"/>
    </row>
    <row r="237" spans="1:24">
      <c r="A237" s="164" t="s">
        <v>664</v>
      </c>
      <c r="B237" s="158" t="str">
        <f t="shared" si="39"/>
        <v>SID_BIG_LIFE_POTION</v>
      </c>
      <c r="C237" s="164" t="s">
        <v>665</v>
      </c>
      <c r="D237" s="164">
        <v>0</v>
      </c>
      <c r="E237" s="164">
        <v>0</v>
      </c>
      <c r="F237" s="164">
        <v>1</v>
      </c>
      <c r="G237" s="164" t="s">
        <v>610</v>
      </c>
      <c r="H237" s="164">
        <v>1</v>
      </c>
      <c r="I237" s="164" t="s">
        <v>609</v>
      </c>
      <c r="J237" s="164"/>
      <c r="K237" s="157" t="str">
        <f t="shared" si="37"/>
        <v>SpellData.create(SID_BIG_LIFE_POTION,"大生命药水",0,0,1,OrderId("channel"),1,ORDER_TYPE_IMMEDIATE);</v>
      </c>
      <c r="L237" s="157" t="str">
        <f t="shared" si="28"/>
        <v>SpellData.create(SID_BIG_LIFE_POTION,"Big Life Potion",0,0,1,OrderId("channel"),1,ORDER_TYPE_IMMEDIATE);</v>
      </c>
      <c r="M237" s="164" t="s">
        <v>1693</v>
      </c>
      <c r="N237" s="164"/>
      <c r="O237" s="164"/>
      <c r="P237" s="164"/>
      <c r="Q237" s="164"/>
      <c r="R237" s="164"/>
      <c r="S237" s="164"/>
      <c r="T237" s="164"/>
      <c r="U237" s="164"/>
      <c r="V237" s="164"/>
      <c r="W237" s="164"/>
      <c r="X237" s="164"/>
    </row>
    <row r="238" spans="1:24">
      <c r="A238" s="164" t="s">
        <v>662</v>
      </c>
      <c r="B238" s="158" t="str">
        <f t="shared" si="39"/>
        <v>SID_ARCH_MAGE_POTION</v>
      </c>
      <c r="C238" s="164" t="s">
        <v>663</v>
      </c>
      <c r="D238" s="164">
        <v>0</v>
      </c>
      <c r="E238" s="164">
        <v>0</v>
      </c>
      <c r="F238" s="164">
        <v>1</v>
      </c>
      <c r="G238" s="164" t="s">
        <v>610</v>
      </c>
      <c r="H238" s="164">
        <v>1</v>
      </c>
      <c r="I238" s="164" t="s">
        <v>609</v>
      </c>
      <c r="J238" s="164"/>
      <c r="K238" s="157" t="str">
        <f t="shared" si="37"/>
        <v>SpellData.create(SID_ARCH_MAGE_POTION,"魔导师药水",0,0,1,OrderId("channel"),1,ORDER_TYPE_IMMEDIATE);</v>
      </c>
      <c r="L238" s="157" t="str">
        <f t="shared" si="28"/>
        <v>SpellData.create(SID_ARCH_MAGE_POTION,"Arch Mage Potion",0,0,1,OrderId("channel"),1,ORDER_TYPE_IMMEDIATE);</v>
      </c>
      <c r="M238" s="164" t="s">
        <v>1693</v>
      </c>
      <c r="N238" s="164"/>
      <c r="O238" s="164"/>
      <c r="P238" s="164"/>
      <c r="Q238" s="164"/>
      <c r="R238" s="164"/>
      <c r="S238" s="164"/>
      <c r="T238" s="164"/>
      <c r="U238" s="164"/>
      <c r="V238" s="164"/>
      <c r="W238" s="164"/>
      <c r="X238" s="164"/>
    </row>
    <row r="239" spans="1:24">
      <c r="A239" s="164" t="s">
        <v>660</v>
      </c>
      <c r="B239" s="158" t="str">
        <f t="shared" si="39"/>
        <v>SID_COMBAT_MASTER_POTION</v>
      </c>
      <c r="C239" s="164" t="s">
        <v>661</v>
      </c>
      <c r="D239" s="164">
        <v>0</v>
      </c>
      <c r="E239" s="164">
        <v>0</v>
      </c>
      <c r="F239" s="164">
        <v>1</v>
      </c>
      <c r="G239" s="164" t="s">
        <v>610</v>
      </c>
      <c r="H239" s="164">
        <v>1</v>
      </c>
      <c r="I239" s="164" t="s">
        <v>609</v>
      </c>
      <c r="J239" s="164"/>
      <c r="K239" s="157" t="str">
        <f t="shared" si="37"/>
        <v>SpellData.create(SID_COMBAT_MASTER_POTION,"战斗大师药水",0,0,1,OrderId("channel"),1,ORDER_TYPE_IMMEDIATE);</v>
      </c>
      <c r="L239" s="157" t="str">
        <f t="shared" si="28"/>
        <v>SpellData.create(SID_COMBAT_MASTER_POTION,"Combat Master Potion",0,0,1,OrderId("channel"),1,ORDER_TYPE_IMMEDIATE);</v>
      </c>
      <c r="M239" s="164" t="s">
        <v>1693</v>
      </c>
      <c r="N239" s="164"/>
      <c r="O239" s="164"/>
      <c r="P239" s="164"/>
      <c r="Q239" s="164"/>
      <c r="R239" s="164"/>
      <c r="S239" s="164"/>
      <c r="T239" s="164"/>
      <c r="U239" s="164"/>
      <c r="V239" s="164"/>
      <c r="W239" s="164"/>
      <c r="X239" s="164"/>
    </row>
    <row r="240" spans="1:24">
      <c r="A240" s="164" t="s">
        <v>658</v>
      </c>
      <c r="B240" s="158" t="str">
        <f t="shared" si="39"/>
        <v>SID_EMPERORS_NEW_POTION</v>
      </c>
      <c r="C240" s="164" t="s">
        <v>659</v>
      </c>
      <c r="D240" s="164">
        <v>0</v>
      </c>
      <c r="E240" s="164">
        <v>0</v>
      </c>
      <c r="F240" s="164">
        <v>1</v>
      </c>
      <c r="G240" s="164" t="s">
        <v>610</v>
      </c>
      <c r="H240" s="164">
        <v>1</v>
      </c>
      <c r="I240" s="164" t="s">
        <v>609</v>
      </c>
      <c r="J240" s="164"/>
      <c r="K240" s="157" t="str">
        <f t="shared" si="37"/>
        <v>SpellData.create(SID_EMPERORS_NEW_POTION,"皇帝的新药",0,0,1,OrderId("channel"),1,ORDER_TYPE_IMMEDIATE);</v>
      </c>
      <c r="L240" s="157" t="str">
        <f t="shared" si="28"/>
        <v>SpellData.create(SID_EMPERORS_NEW_POTION,"Emperors New Potion",0,0,1,OrderId("channel"),1,ORDER_TYPE_IMMEDIATE);</v>
      </c>
      <c r="M240" s="164" t="s">
        <v>1693</v>
      </c>
      <c r="N240" s="164"/>
      <c r="O240" s="164"/>
      <c r="P240" s="164"/>
      <c r="Q240" s="164"/>
      <c r="R240" s="164"/>
      <c r="S240" s="164"/>
      <c r="T240" s="164"/>
      <c r="U240" s="164"/>
      <c r="V240" s="164"/>
      <c r="W240" s="164"/>
      <c r="X240" s="164"/>
    </row>
    <row r="241" spans="1:24">
      <c r="A241" s="164" t="s">
        <v>656</v>
      </c>
      <c r="B241" s="158" t="str">
        <f t="shared" si="39"/>
        <v>SID_TRANSFER_POTION</v>
      </c>
      <c r="C241" s="164" t="s">
        <v>657</v>
      </c>
      <c r="D241" s="164">
        <v>0</v>
      </c>
      <c r="E241" s="164">
        <v>0</v>
      </c>
      <c r="F241" s="164">
        <v>1</v>
      </c>
      <c r="G241" s="164" t="s">
        <v>610</v>
      </c>
      <c r="H241" s="164">
        <v>1</v>
      </c>
      <c r="I241" s="164" t="s">
        <v>609</v>
      </c>
      <c r="J241" s="164"/>
      <c r="K241" s="157" t="str">
        <f t="shared" si="37"/>
        <v>SpellData.create(SID_TRANSFER_POTION,"转换药水",0,0,1,OrderId("channel"),1,ORDER_TYPE_IMMEDIATE);</v>
      </c>
      <c r="L241" s="157" t="str">
        <f t="shared" si="28"/>
        <v>SpellData.create(SID_TRANSFER_POTION,"Transfer Potion",0,0,1,OrderId("channel"),1,ORDER_TYPE_IMMEDIATE);</v>
      </c>
      <c r="M241" s="164" t="s">
        <v>1693</v>
      </c>
      <c r="N241" s="164"/>
      <c r="O241" s="164"/>
      <c r="P241" s="164"/>
      <c r="Q241" s="164"/>
      <c r="R241" s="164"/>
      <c r="S241" s="164"/>
      <c r="T241" s="164"/>
      <c r="U241" s="164"/>
      <c r="V241" s="164"/>
      <c r="W241" s="164"/>
      <c r="X241" s="164"/>
    </row>
    <row r="242" spans="1:24">
      <c r="A242" s="164" t="s">
        <v>654</v>
      </c>
      <c r="B242" s="158" t="str">
        <f t="shared" si="39"/>
        <v>SID_SHIELD_POTION</v>
      </c>
      <c r="C242" s="164" t="s">
        <v>655</v>
      </c>
      <c r="D242" s="164">
        <v>0</v>
      </c>
      <c r="E242" s="164">
        <v>0</v>
      </c>
      <c r="F242" s="164">
        <v>1</v>
      </c>
      <c r="G242" s="164" t="s">
        <v>610</v>
      </c>
      <c r="H242" s="164">
        <v>1</v>
      </c>
      <c r="I242" s="164" t="s">
        <v>609</v>
      </c>
      <c r="J242" s="164"/>
      <c r="K242" s="157" t="str">
        <f t="shared" si="37"/>
        <v>SpellData.create(SID_SHIELD_POTION,"护盾药水",0,0,1,OrderId("channel"),1,ORDER_TYPE_IMMEDIATE);</v>
      </c>
      <c r="L242" s="157" t="str">
        <f t="shared" si="28"/>
        <v>SpellData.create(SID_SHIELD_POTION,"Shield Potion",0,0,1,OrderId("channel"),1,ORDER_TYPE_IMMEDIATE);</v>
      </c>
      <c r="M242" s="164" t="s">
        <v>1693</v>
      </c>
      <c r="N242" s="164"/>
      <c r="O242" s="164"/>
      <c r="P242" s="164"/>
      <c r="Q242" s="164"/>
      <c r="R242" s="164"/>
      <c r="S242" s="164"/>
      <c r="T242" s="164"/>
      <c r="U242" s="164"/>
      <c r="V242" s="164"/>
      <c r="W242" s="164"/>
      <c r="X242" s="164"/>
    </row>
    <row r="243" spans="1:24">
      <c r="A243" s="164" t="s">
        <v>652</v>
      </c>
      <c r="B243" s="158" t="str">
        <f t="shared" si="39"/>
        <v>SID_FORTRESS_POTION</v>
      </c>
      <c r="C243" s="164" t="s">
        <v>653</v>
      </c>
      <c r="D243" s="164">
        <v>0</v>
      </c>
      <c r="E243" s="164">
        <v>0</v>
      </c>
      <c r="F243" s="164">
        <v>1</v>
      </c>
      <c r="G243" s="164" t="s">
        <v>610</v>
      </c>
      <c r="H243" s="164">
        <v>1</v>
      </c>
      <c r="I243" s="164" t="s">
        <v>609</v>
      </c>
      <c r="J243" s="164"/>
      <c r="K243" s="157" t="str">
        <f t="shared" si="37"/>
        <v>SpellData.create(SID_FORTRESS_POTION,"壁垒药水",0,0,1,OrderId("channel"),1,ORDER_TYPE_IMMEDIATE);</v>
      </c>
      <c r="L243" s="157" t="str">
        <f t="shared" si="28"/>
        <v>SpellData.create(SID_FORTRESS_POTION,"Fortress Potion",0,0,1,OrderId("channel"),1,ORDER_TYPE_IMMEDIATE);</v>
      </c>
      <c r="M243" s="164" t="s">
        <v>1693</v>
      </c>
      <c r="N243" s="164"/>
      <c r="O243" s="164"/>
      <c r="P243" s="164"/>
      <c r="Q243" s="164"/>
      <c r="R243" s="164"/>
      <c r="S243" s="164"/>
      <c r="T243" s="164"/>
      <c r="U243" s="164"/>
      <c r="V243" s="164"/>
      <c r="W243" s="164"/>
      <c r="X243" s="164"/>
    </row>
    <row r="244" spans="1:24">
      <c r="A244" s="164" t="s">
        <v>650</v>
      </c>
      <c r="B244" s="158" t="str">
        <f t="shared" si="39"/>
        <v>SID_DODGE_POTION</v>
      </c>
      <c r="C244" s="164" t="s">
        <v>651</v>
      </c>
      <c r="D244" s="164">
        <v>0</v>
      </c>
      <c r="E244" s="164">
        <v>0</v>
      </c>
      <c r="F244" s="164">
        <v>1</v>
      </c>
      <c r="G244" s="164" t="s">
        <v>610</v>
      </c>
      <c r="H244" s="164">
        <v>1</v>
      </c>
      <c r="I244" s="164" t="s">
        <v>609</v>
      </c>
      <c r="J244" s="164"/>
      <c r="K244" s="157" t="str">
        <f t="shared" si="37"/>
        <v>SpellData.create(SID_DODGE_POTION,"闪避药水",0,0,1,OrderId("channel"),1,ORDER_TYPE_IMMEDIATE);</v>
      </c>
      <c r="L244" s="157" t="str">
        <f t="shared" si="28"/>
        <v>SpellData.create(SID_DODGE_POTION,"Dodge Potion",0,0,1,OrderId("channel"),1,ORDER_TYPE_IMMEDIATE);</v>
      </c>
      <c r="M244" s="164" t="s">
        <v>1693</v>
      </c>
      <c r="N244" s="164"/>
      <c r="O244" s="164"/>
      <c r="P244" s="164"/>
      <c r="Q244" s="164"/>
      <c r="R244" s="164"/>
      <c r="S244" s="164"/>
      <c r="T244" s="164"/>
      <c r="U244" s="164"/>
      <c r="V244" s="164"/>
      <c r="W244" s="164"/>
      <c r="X244" s="164"/>
    </row>
    <row r="245" spans="1:24">
      <c r="A245" s="164" t="s">
        <v>1668</v>
      </c>
      <c r="B245" s="158" t="str">
        <f t="shared" si="39"/>
        <v>SID_SMALL_INVUL_POTION</v>
      </c>
      <c r="C245" s="164" t="s">
        <v>649</v>
      </c>
      <c r="D245" s="164">
        <v>0</v>
      </c>
      <c r="E245" s="164">
        <v>0</v>
      </c>
      <c r="F245" s="164">
        <v>1</v>
      </c>
      <c r="G245" s="164" t="s">
        <v>610</v>
      </c>
      <c r="H245" s="164">
        <v>1</v>
      </c>
      <c r="I245" s="164" t="s">
        <v>609</v>
      </c>
      <c r="J245" s="164"/>
      <c r="K245" s="157" t="str">
        <f t="shared" si="37"/>
        <v>SpellData.create(SID_SMALL_INVUL_POTION,"小无敌药水",0,0,1,OrderId("channel"),1,ORDER_TYPE_IMMEDIATE);</v>
      </c>
      <c r="L245" s="157" t="str">
        <f t="shared" si="28"/>
        <v>SpellData.create(SID_SMALL_INVUL_POTION,"Small Invul Potion",0,0,1,OrderId("channel"),1,ORDER_TYPE_IMMEDIATE);</v>
      </c>
      <c r="M245" s="164" t="s">
        <v>1693</v>
      </c>
      <c r="N245" s="164"/>
      <c r="O245" s="164"/>
      <c r="P245" s="164"/>
      <c r="Q245" s="164"/>
      <c r="R245" s="164"/>
      <c r="S245" s="164"/>
      <c r="T245" s="164"/>
      <c r="U245" s="164"/>
      <c r="V245" s="164"/>
      <c r="W245" s="164"/>
      <c r="X245" s="164"/>
    </row>
    <row r="246" spans="1:24">
      <c r="A246" s="164" t="s">
        <v>1669</v>
      </c>
      <c r="B246" s="158" t="str">
        <f t="shared" si="39"/>
        <v>SID_INVUL_POTION</v>
      </c>
      <c r="C246" s="164" t="s">
        <v>648</v>
      </c>
      <c r="D246" s="164">
        <v>0</v>
      </c>
      <c r="E246" s="164">
        <v>0</v>
      </c>
      <c r="F246" s="164">
        <v>1</v>
      </c>
      <c r="G246" s="164" t="s">
        <v>610</v>
      </c>
      <c r="H246" s="164">
        <v>1</v>
      </c>
      <c r="I246" s="164" t="s">
        <v>609</v>
      </c>
      <c r="J246" s="164"/>
      <c r="K246" s="157" t="str">
        <f t="shared" si="37"/>
        <v>SpellData.create(SID_INVUL_POTION,"无敌药水",0,0,1,OrderId("channel"),1,ORDER_TYPE_IMMEDIATE);</v>
      </c>
      <c r="L246" s="157" t="str">
        <f t="shared" si="28"/>
        <v>SpellData.create(SID_INVUL_POTION,"Invul Potion",0,0,1,OrderId("channel"),1,ORDER_TYPE_IMMEDIATE);</v>
      </c>
      <c r="M246" s="164" t="s">
        <v>1693</v>
      </c>
      <c r="N246" s="164"/>
      <c r="O246" s="164"/>
      <c r="P246" s="164"/>
      <c r="Q246" s="164"/>
      <c r="R246" s="164"/>
      <c r="S246" s="164"/>
      <c r="T246" s="164"/>
      <c r="U246" s="164"/>
      <c r="V246" s="164"/>
      <c r="W246" s="164"/>
      <c r="X246" s="164"/>
    </row>
    <row r="247" spans="1:24">
      <c r="A247" s="164" t="s">
        <v>646</v>
      </c>
      <c r="B247" s="158" t="str">
        <f t="shared" si="39"/>
        <v>SID_STONE_SKIN_POTION</v>
      </c>
      <c r="C247" s="164" t="s">
        <v>647</v>
      </c>
      <c r="D247" s="164">
        <v>0</v>
      </c>
      <c r="E247" s="164">
        <v>0</v>
      </c>
      <c r="F247" s="164">
        <v>1</v>
      </c>
      <c r="G247" s="164" t="s">
        <v>610</v>
      </c>
      <c r="H247" s="164">
        <v>1</v>
      </c>
      <c r="I247" s="164" t="s">
        <v>609</v>
      </c>
      <c r="J247" s="164"/>
      <c r="K247" s="157" t="str">
        <f t="shared" si="37"/>
        <v>SpellData.create(SID_STONE_SKIN_POTION,"石皮药水",0,0,1,OrderId("channel"),1,ORDER_TYPE_IMMEDIATE);</v>
      </c>
      <c r="L247" s="157" t="str">
        <f t="shared" si="28"/>
        <v>SpellData.create(SID_STONE_SKIN_POTION,"Stone Skin Potion",0,0,1,OrderId("channel"),1,ORDER_TYPE_IMMEDIATE);</v>
      </c>
      <c r="M247" s="164" t="s">
        <v>1693</v>
      </c>
      <c r="N247" s="164"/>
      <c r="O247" s="164"/>
      <c r="P247" s="164"/>
      <c r="Q247" s="164"/>
      <c r="R247" s="164"/>
      <c r="S247" s="164"/>
      <c r="T247" s="164"/>
      <c r="U247" s="164"/>
      <c r="V247" s="164"/>
      <c r="W247" s="164"/>
      <c r="X247" s="164"/>
    </row>
    <row r="248" spans="1:24">
      <c r="A248" s="164" t="s">
        <v>644</v>
      </c>
      <c r="B248" s="158" t="str">
        <f t="shared" si="39"/>
        <v>SID_SPELL_POWER_POTION</v>
      </c>
      <c r="C248" s="164" t="s">
        <v>645</v>
      </c>
      <c r="D248" s="164">
        <v>0</v>
      </c>
      <c r="E248" s="164">
        <v>0</v>
      </c>
      <c r="F248" s="164">
        <v>1</v>
      </c>
      <c r="G248" s="164" t="s">
        <v>610</v>
      </c>
      <c r="H248" s="164">
        <v>1</v>
      </c>
      <c r="I248" s="164" t="s">
        <v>609</v>
      </c>
      <c r="J248" s="164"/>
      <c r="K248" s="157" t="str">
        <f t="shared" si="37"/>
        <v>SpellData.create(SID_SPELL_POWER_POTION,"法能药水",0,0,1,OrderId("channel"),1,ORDER_TYPE_IMMEDIATE);</v>
      </c>
      <c r="L248" s="157" t="str">
        <f t="shared" si="28"/>
        <v>SpellData.create(SID_SPELL_POWER_POTION,"Spell Power Potion",0,0,1,OrderId("channel"),1,ORDER_TYPE_IMMEDIATE);</v>
      </c>
      <c r="M248" s="164" t="s">
        <v>1693</v>
      </c>
      <c r="N248" s="164"/>
      <c r="O248" s="164"/>
      <c r="P248" s="164"/>
      <c r="Q248" s="164"/>
      <c r="R248" s="164"/>
      <c r="S248" s="164"/>
      <c r="T248" s="164"/>
      <c r="U248" s="164"/>
      <c r="V248" s="164"/>
      <c r="W248" s="164"/>
      <c r="X248" s="164"/>
    </row>
    <row r="249" spans="1:24">
      <c r="A249" s="164" t="s">
        <v>642</v>
      </c>
      <c r="B249" s="158" t="str">
        <f t="shared" si="39"/>
        <v>SID_SPELL_MASTER_POTION</v>
      </c>
      <c r="C249" s="164" t="s">
        <v>643</v>
      </c>
      <c r="D249" s="164">
        <v>0</v>
      </c>
      <c r="E249" s="164">
        <v>0</v>
      </c>
      <c r="F249" s="164">
        <v>1</v>
      </c>
      <c r="G249" s="164" t="s">
        <v>610</v>
      </c>
      <c r="H249" s="164">
        <v>1</v>
      </c>
      <c r="I249" s="164" t="s">
        <v>609</v>
      </c>
      <c r="J249" s="164"/>
      <c r="K249" s="157" t="str">
        <f t="shared" si="37"/>
        <v>SpellData.create(SID_SPELL_MASTER_POTION,"法术掌控药水",0,0,1,OrderId("channel"),1,ORDER_TYPE_IMMEDIATE);</v>
      </c>
      <c r="L249" s="157" t="str">
        <f t="shared" si="28"/>
        <v>SpellData.create(SID_SPELL_MASTER_POTION,"Spell Master Potion",0,0,1,OrderId("channel"),1,ORDER_TYPE_IMMEDIATE);</v>
      </c>
      <c r="M249" s="164" t="s">
        <v>1693</v>
      </c>
      <c r="N249" s="164"/>
      <c r="O249" s="164"/>
      <c r="P249" s="164"/>
      <c r="Q249" s="164"/>
      <c r="R249" s="164"/>
      <c r="S249" s="164"/>
      <c r="T249" s="164"/>
      <c r="U249" s="164"/>
      <c r="V249" s="164"/>
      <c r="W249" s="164"/>
      <c r="X249" s="164"/>
    </row>
    <row r="250" spans="1:24">
      <c r="A250" s="164" t="s">
        <v>640</v>
      </c>
      <c r="B250" s="158" t="str">
        <f t="shared" si="39"/>
        <v>SID_ARCANE_POTION</v>
      </c>
      <c r="C250" s="164" t="s">
        <v>641</v>
      </c>
      <c r="D250" s="164">
        <v>0</v>
      </c>
      <c r="E250" s="164">
        <v>0</v>
      </c>
      <c r="F250" s="164">
        <v>1</v>
      </c>
      <c r="G250" s="164" t="s">
        <v>610</v>
      </c>
      <c r="H250" s="164">
        <v>1</v>
      </c>
      <c r="I250" s="164" t="s">
        <v>609</v>
      </c>
      <c r="J250" s="164"/>
      <c r="K250" s="157" t="str">
        <f t="shared" si="37"/>
        <v>SpellData.create(SID_ARCANE_POTION,"秘法药剂",0,0,1,OrderId("channel"),1,ORDER_TYPE_IMMEDIATE);</v>
      </c>
      <c r="L250" s="157" t="str">
        <f t="shared" si="28"/>
        <v>SpellData.create(SID_ARCANE_POTION,"Arcane Potion",0,0,1,OrderId("channel"),1,ORDER_TYPE_IMMEDIATE);</v>
      </c>
      <c r="M250" s="164" t="s">
        <v>1693</v>
      </c>
      <c r="N250" s="164"/>
      <c r="O250" s="164"/>
      <c r="P250" s="164"/>
      <c r="Q250" s="164"/>
      <c r="R250" s="164"/>
      <c r="S250" s="164"/>
      <c r="T250" s="164"/>
      <c r="U250" s="164"/>
      <c r="V250" s="164"/>
      <c r="W250" s="164"/>
      <c r="X250" s="164"/>
    </row>
    <row r="251" spans="1:24">
      <c r="A251" s="164" t="s">
        <v>1678</v>
      </c>
      <c r="B251" s="158" t="str">
        <f t="shared" si="39"/>
        <v>SID_ANGRY_CAST_POTION</v>
      </c>
      <c r="C251" s="164" t="s">
        <v>639</v>
      </c>
      <c r="D251" s="164">
        <v>0</v>
      </c>
      <c r="E251" s="164">
        <v>0</v>
      </c>
      <c r="F251" s="164">
        <v>1</v>
      </c>
      <c r="G251" s="164" t="s">
        <v>610</v>
      </c>
      <c r="H251" s="164">
        <v>1</v>
      </c>
      <c r="I251" s="164" t="s">
        <v>609</v>
      </c>
      <c r="J251" s="164"/>
      <c r="K251" s="157" t="str">
        <f t="shared" si="37"/>
        <v>SpellData.create(SID_ANGRY_CAST_POTION,"愤怒施法药水",0,0,1,OrderId("channel"),1,ORDER_TYPE_IMMEDIATE);</v>
      </c>
      <c r="L251" s="157" t="str">
        <f t="shared" si="28"/>
        <v>SpellData.create(SID_ANGRY_CAST_POTION,"Angry Cast Potion",0,0,1,OrderId("channel"),1,ORDER_TYPE_IMMEDIATE);</v>
      </c>
      <c r="M251" s="164" t="s">
        <v>1693</v>
      </c>
      <c r="N251" s="164"/>
      <c r="O251" s="164"/>
      <c r="P251" s="164"/>
      <c r="Q251" s="164"/>
      <c r="R251" s="164"/>
      <c r="S251" s="164"/>
      <c r="T251" s="164"/>
      <c r="U251" s="164"/>
      <c r="V251" s="164"/>
      <c r="W251" s="164"/>
      <c r="X251" s="164"/>
    </row>
    <row r="252" spans="1:24">
      <c r="A252" s="164" t="s">
        <v>637</v>
      </c>
      <c r="B252" s="158" t="str">
        <f t="shared" si="39"/>
        <v>SID_SPELL_PIERCE_POTION</v>
      </c>
      <c r="C252" s="164" t="s">
        <v>638</v>
      </c>
      <c r="D252" s="164">
        <v>0</v>
      </c>
      <c r="E252" s="164">
        <v>0</v>
      </c>
      <c r="F252" s="164">
        <v>1</v>
      </c>
      <c r="G252" s="164" t="s">
        <v>610</v>
      </c>
      <c r="H252" s="164">
        <v>1</v>
      </c>
      <c r="I252" s="164" t="s">
        <v>609</v>
      </c>
      <c r="J252" s="164"/>
      <c r="K252" s="157" t="str">
        <f t="shared" si="37"/>
        <v>SpellData.create(SID_SPELL_PIERCE_POTION,"法术穿透药水",0,0,1,OrderId("channel"),1,ORDER_TYPE_IMMEDIATE);</v>
      </c>
      <c r="L252" s="157" t="str">
        <f t="shared" si="28"/>
        <v>SpellData.create(SID_SPELL_PIERCE_POTION,"Spell Pierce Potion",0,0,1,OrderId("channel"),1,ORDER_TYPE_IMMEDIATE);</v>
      </c>
      <c r="M252" s="164" t="s">
        <v>1693</v>
      </c>
      <c r="N252" s="164"/>
      <c r="O252" s="164"/>
      <c r="P252" s="164"/>
      <c r="Q252" s="164"/>
      <c r="R252" s="164"/>
      <c r="S252" s="164"/>
      <c r="T252" s="164"/>
      <c r="U252" s="164"/>
      <c r="V252" s="164"/>
      <c r="W252" s="164"/>
      <c r="X252" s="164"/>
    </row>
    <row r="253" spans="1:24">
      <c r="A253" s="164" t="s">
        <v>635</v>
      </c>
      <c r="B253" s="158" t="str">
        <f t="shared" si="39"/>
        <v>SID_UNSTABLE_POTION</v>
      </c>
      <c r="C253" s="164" t="s">
        <v>636</v>
      </c>
      <c r="D253" s="164">
        <v>0</v>
      </c>
      <c r="E253" s="164">
        <v>0</v>
      </c>
      <c r="F253" s="164">
        <v>1</v>
      </c>
      <c r="G253" s="164" t="s">
        <v>610</v>
      </c>
      <c r="H253" s="164">
        <v>1</v>
      </c>
      <c r="I253" s="164" t="s">
        <v>609</v>
      </c>
      <c r="J253" s="164"/>
      <c r="K253" s="157" t="str">
        <f t="shared" si="37"/>
        <v>SpellData.create(SID_UNSTABLE_POTION,"不稳定的药水",0,0,1,OrderId("channel"),1,ORDER_TYPE_IMMEDIATE);</v>
      </c>
      <c r="L253" s="157" t="str">
        <f t="shared" si="28"/>
        <v>SpellData.create(SID_UNSTABLE_POTION,"Unstable Potion",0,0,1,OrderId("channel"),1,ORDER_TYPE_IMMEDIATE);</v>
      </c>
      <c r="M253" s="164" t="s">
        <v>1693</v>
      </c>
      <c r="N253" s="164"/>
      <c r="O253" s="164"/>
      <c r="P253" s="164"/>
      <c r="Q253" s="164"/>
      <c r="R253" s="164"/>
      <c r="S253" s="164"/>
      <c r="T253" s="164"/>
      <c r="U253" s="164"/>
      <c r="V253" s="164"/>
      <c r="W253" s="164"/>
      <c r="X253" s="164"/>
    </row>
    <row r="254" spans="1:24">
      <c r="A254" s="164" t="s">
        <v>633</v>
      </c>
      <c r="B254" s="158" t="str">
        <f t="shared" si="39"/>
        <v>SID_AGILITY_POTION</v>
      </c>
      <c r="C254" s="164" t="s">
        <v>634</v>
      </c>
      <c r="D254" s="164">
        <v>0</v>
      </c>
      <c r="E254" s="164">
        <v>0</v>
      </c>
      <c r="F254" s="164">
        <v>1</v>
      </c>
      <c r="G254" s="164" t="s">
        <v>610</v>
      </c>
      <c r="H254" s="164">
        <v>1</v>
      </c>
      <c r="I254" s="164" t="s">
        <v>609</v>
      </c>
      <c r="J254" s="164"/>
      <c r="K254" s="157" t="str">
        <f t="shared" si="37"/>
        <v>SpellData.create(SID_AGILITY_POTION,"敏捷药水",0,0,1,OrderId("channel"),1,ORDER_TYPE_IMMEDIATE);</v>
      </c>
      <c r="L254" s="157" t="str">
        <f t="shared" si="28"/>
        <v>SpellData.create(SID_AGILITY_POTION,"Agility Potion",0,0,1,OrderId("channel"),1,ORDER_TYPE_IMMEDIATE);</v>
      </c>
      <c r="M254" s="164" t="s">
        <v>1693</v>
      </c>
      <c r="N254" s="164"/>
      <c r="O254" s="164"/>
      <c r="P254" s="164"/>
      <c r="Q254" s="164"/>
      <c r="R254" s="164"/>
      <c r="S254" s="164"/>
      <c r="T254" s="164"/>
      <c r="U254" s="164"/>
      <c r="V254" s="164"/>
      <c r="W254" s="164"/>
      <c r="X254" s="164"/>
    </row>
    <row r="255" spans="1:24">
      <c r="A255" s="164" t="s">
        <v>631</v>
      </c>
      <c r="B255" s="158" t="str">
        <f t="shared" si="39"/>
        <v>SID_ACUTE_POTION</v>
      </c>
      <c r="C255" s="164" t="s">
        <v>632</v>
      </c>
      <c r="D255" s="164">
        <v>0</v>
      </c>
      <c r="E255" s="164">
        <v>0</v>
      </c>
      <c r="F255" s="164">
        <v>1</v>
      </c>
      <c r="G255" s="164" t="s">
        <v>610</v>
      </c>
      <c r="H255" s="164">
        <v>1</v>
      </c>
      <c r="I255" s="164" t="s">
        <v>609</v>
      </c>
      <c r="J255" s="164"/>
      <c r="K255" s="157" t="str">
        <f t="shared" si="37"/>
        <v>SpellData.create(SID_ACUTE_POTION,"敏锐药水",0,0,1,OrderId("channel"),1,ORDER_TYPE_IMMEDIATE);</v>
      </c>
      <c r="L255" s="157" t="str">
        <f t="shared" si="28"/>
        <v>SpellData.create(SID_ACUTE_POTION,"Acute Potion",0,0,1,OrderId("channel"),1,ORDER_TYPE_IMMEDIATE);</v>
      </c>
      <c r="M255" s="164" t="s">
        <v>1693</v>
      </c>
      <c r="N255" s="164"/>
      <c r="O255" s="164"/>
      <c r="P255" s="164"/>
      <c r="Q255" s="164"/>
      <c r="R255" s="164"/>
      <c r="S255" s="164"/>
      <c r="T255" s="164"/>
      <c r="U255" s="164"/>
      <c r="V255" s="164"/>
      <c r="W255" s="164"/>
      <c r="X255" s="164"/>
    </row>
    <row r="256" spans="1:24">
      <c r="A256" s="164" t="s">
        <v>629</v>
      </c>
      <c r="B256" s="158" t="str">
        <f t="shared" si="39"/>
        <v>SID_DEXTERITY_POTION</v>
      </c>
      <c r="C256" s="164" t="s">
        <v>630</v>
      </c>
      <c r="D256" s="164">
        <v>0</v>
      </c>
      <c r="E256" s="164">
        <v>0</v>
      </c>
      <c r="F256" s="164">
        <v>1</v>
      </c>
      <c r="G256" s="164" t="s">
        <v>610</v>
      </c>
      <c r="H256" s="164">
        <v>1</v>
      </c>
      <c r="I256" s="164" t="s">
        <v>609</v>
      </c>
      <c r="J256" s="164"/>
      <c r="K256" s="157" t="str">
        <f t="shared" si="37"/>
        <v>SpellData.create(SID_DEXTERITY_POTION,"迅捷药水",0,0,1,OrderId("channel"),1,ORDER_TYPE_IMMEDIATE);</v>
      </c>
      <c r="L256" s="157" t="str">
        <f t="shared" si="28"/>
        <v>SpellData.create(SID_DEXTERITY_POTION,"Dexterity Potion",0,0,1,OrderId("channel"),1,ORDER_TYPE_IMMEDIATE);</v>
      </c>
      <c r="M256" s="164" t="s">
        <v>1693</v>
      </c>
      <c r="N256" s="164"/>
      <c r="O256" s="164"/>
      <c r="P256" s="164"/>
      <c r="Q256" s="164"/>
      <c r="R256" s="164"/>
      <c r="S256" s="164"/>
      <c r="T256" s="164"/>
      <c r="U256" s="164"/>
      <c r="V256" s="164"/>
      <c r="W256" s="164"/>
      <c r="X256" s="164"/>
    </row>
    <row r="257" spans="1:24">
      <c r="A257" s="163" t="s">
        <v>627</v>
      </c>
      <c r="B257" s="158" t="str">
        <f t="shared" si="39"/>
        <v>SID_CHARM_OF_SIMPLE_HEAL</v>
      </c>
      <c r="C257" s="163" t="s">
        <v>628</v>
      </c>
      <c r="D257" s="163">
        <v>0</v>
      </c>
      <c r="E257" s="163">
        <v>0</v>
      </c>
      <c r="F257" s="163">
        <v>1</v>
      </c>
      <c r="G257" s="163" t="s">
        <v>610</v>
      </c>
      <c r="H257" s="163">
        <v>1</v>
      </c>
      <c r="I257" s="163" t="s">
        <v>609</v>
      </c>
      <c r="J257" s="163"/>
      <c r="K257" s="157" t="str">
        <f t="shared" si="37"/>
        <v>SpellData.create(SID_CHARM_OF_SIMPLE_HEAL,"简易治疗符咒",0,0,1,OrderId("channel"),1,ORDER_TYPE_IMMEDIATE);</v>
      </c>
      <c r="L257" s="157" t="str">
        <f t="shared" si="28"/>
        <v>SpellData.create(SID_CHARM_OF_SIMPLE_HEAL,"Charm of Simple Heal",0,0,1,OrderId("channel"),1,ORDER_TYPE_IMMEDIATE);</v>
      </c>
      <c r="M257" s="163" t="s">
        <v>1693</v>
      </c>
      <c r="N257" s="163"/>
      <c r="O257" s="163"/>
      <c r="P257" s="163"/>
      <c r="Q257" s="163"/>
      <c r="R257" s="163"/>
      <c r="S257" s="163"/>
      <c r="T257" s="163"/>
      <c r="U257" s="163"/>
      <c r="V257" s="163"/>
      <c r="W257" s="163"/>
      <c r="X257" s="163"/>
    </row>
    <row r="258" spans="1:24">
      <c r="A258" s="163" t="s">
        <v>625</v>
      </c>
      <c r="B258" s="158" t="str">
        <f t="shared" si="39"/>
        <v>SID_CHARM_OF_DISPEL</v>
      </c>
      <c r="C258" s="163" t="s">
        <v>626</v>
      </c>
      <c r="D258" s="163">
        <v>0</v>
      </c>
      <c r="E258" s="163">
        <v>0</v>
      </c>
      <c r="F258" s="163">
        <v>1</v>
      </c>
      <c r="G258" s="163" t="s">
        <v>610</v>
      </c>
      <c r="H258" s="163">
        <v>1</v>
      </c>
      <c r="I258" s="163" t="s">
        <v>609</v>
      </c>
      <c r="J258" s="163"/>
      <c r="K258" s="157" t="str">
        <f t="shared" si="37"/>
        <v>SpellData.create(SID_CHARM_OF_DISPEL,"驱散术符咒",0,0,1,OrderId("channel"),1,ORDER_TYPE_IMMEDIATE);</v>
      </c>
      <c r="L258" s="157" t="str">
        <f t="shared" si="28"/>
        <v>SpellData.create(SID_CHARM_OF_DISPEL,"Charm of Dispel",0,0,1,OrderId("channel"),1,ORDER_TYPE_IMMEDIATE);</v>
      </c>
      <c r="M258" s="163" t="s">
        <v>1693</v>
      </c>
      <c r="N258" s="163"/>
      <c r="O258" s="163"/>
      <c r="P258" s="163"/>
      <c r="Q258" s="163"/>
      <c r="R258" s="163"/>
      <c r="S258" s="163"/>
      <c r="T258" s="163"/>
      <c r="U258" s="163"/>
      <c r="V258" s="163"/>
      <c r="W258" s="163"/>
      <c r="X258" s="163"/>
    </row>
    <row r="259" spans="1:24">
      <c r="A259" s="163" t="s">
        <v>623</v>
      </c>
      <c r="B259" s="158" t="str">
        <f t="shared" si="39"/>
        <v>SID_CHARM_OF_HEALING_WARD</v>
      </c>
      <c r="C259" s="163" t="s">
        <v>624</v>
      </c>
      <c r="D259" s="163">
        <v>0</v>
      </c>
      <c r="E259" s="163">
        <v>0</v>
      </c>
      <c r="F259" s="163">
        <v>1</v>
      </c>
      <c r="G259" s="163" t="s">
        <v>610</v>
      </c>
      <c r="H259" s="163">
        <v>1</v>
      </c>
      <c r="I259" s="163" t="s">
        <v>609</v>
      </c>
      <c r="J259" s="163"/>
      <c r="K259" s="157" t="str">
        <f t="shared" si="37"/>
        <v>SpellData.create(SID_CHARM_OF_HEALING_WARD,"治疗结界符咒",0,0,1,OrderId("channel"),1,ORDER_TYPE_IMMEDIATE);</v>
      </c>
      <c r="L259" s="157" t="str">
        <f t="shared" si="28"/>
        <v>SpellData.create(SID_CHARM_OF_HEALING_WARD,"Charm of Healing Ward",0,0,1,OrderId("channel"),1,ORDER_TYPE_IMMEDIATE);</v>
      </c>
      <c r="M259" s="163" t="s">
        <v>1693</v>
      </c>
      <c r="N259" s="163"/>
      <c r="O259" s="163"/>
      <c r="P259" s="163"/>
      <c r="Q259" s="163"/>
      <c r="R259" s="163"/>
      <c r="S259" s="163"/>
      <c r="T259" s="163"/>
      <c r="U259" s="163"/>
      <c r="V259" s="163"/>
      <c r="W259" s="163"/>
      <c r="X259" s="163"/>
    </row>
    <row r="260" spans="1:24">
      <c r="A260" s="163" t="s">
        <v>621</v>
      </c>
      <c r="B260" s="158" t="str">
        <f t="shared" si="39"/>
        <v>SID_CHARM_OF_INNER_FIRE</v>
      </c>
      <c r="C260" s="163" t="s">
        <v>622</v>
      </c>
      <c r="D260" s="163">
        <v>0</v>
      </c>
      <c r="E260" s="163">
        <v>0</v>
      </c>
      <c r="F260" s="163">
        <v>1</v>
      </c>
      <c r="G260" s="163" t="s">
        <v>610</v>
      </c>
      <c r="H260" s="163">
        <v>1</v>
      </c>
      <c r="I260" s="163" t="s">
        <v>609</v>
      </c>
      <c r="J260" s="163"/>
      <c r="K260" s="157" t="str">
        <f t="shared" si="37"/>
        <v>SpellData.create(SID_CHARM_OF_INNER_FIRE,"心灵之火符咒",0,0,1,OrderId("channel"),1,ORDER_TYPE_IMMEDIATE);</v>
      </c>
      <c r="L260" s="157" t="str">
        <f t="shared" si="28"/>
        <v>SpellData.create(SID_CHARM_OF_INNER_FIRE,"Charm of Inner Fire",0,0,1,OrderId("channel"),1,ORDER_TYPE_IMMEDIATE);</v>
      </c>
      <c r="M260" s="163" t="s">
        <v>1693</v>
      </c>
      <c r="N260" s="163"/>
      <c r="O260" s="163"/>
      <c r="P260" s="163"/>
      <c r="Q260" s="163"/>
      <c r="R260" s="163"/>
      <c r="S260" s="163"/>
      <c r="T260" s="163"/>
      <c r="U260" s="163"/>
      <c r="V260" s="163"/>
      <c r="W260" s="163"/>
      <c r="X260" s="163"/>
    </row>
    <row r="261" spans="1:24">
      <c r="A261" s="163" t="s">
        <v>619</v>
      </c>
      <c r="B261" s="158" t="str">
        <f t="shared" si="39"/>
        <v>SID_CHARM_OF_CHAIN_LIGHTNING</v>
      </c>
      <c r="C261" s="163" t="s">
        <v>620</v>
      </c>
      <c r="D261" s="163">
        <v>0</v>
      </c>
      <c r="E261" s="163">
        <v>0</v>
      </c>
      <c r="F261" s="163">
        <v>1</v>
      </c>
      <c r="G261" s="163" t="s">
        <v>610</v>
      </c>
      <c r="H261" s="163">
        <v>1</v>
      </c>
      <c r="I261" s="163" t="s">
        <v>609</v>
      </c>
      <c r="J261" s="163"/>
      <c r="K261" s="157" t="str">
        <f t="shared" si="37"/>
        <v>SpellData.create(SID_CHARM_OF_CHAIN_LIGHTNING,"闪电链符咒",0,0,1,OrderId("channel"),1,ORDER_TYPE_IMMEDIATE);</v>
      </c>
      <c r="L261" s="157" t="str">
        <f t="shared" si="28"/>
        <v>SpellData.create(SID_CHARM_OF_CHAIN_LIGHTNING,"Charm of Chain Lightning",0,0,1,OrderId("channel"),1,ORDER_TYPE_IMMEDIATE);</v>
      </c>
      <c r="M261" s="163" t="s">
        <v>1693</v>
      </c>
      <c r="N261" s="163"/>
      <c r="O261" s="163"/>
      <c r="P261" s="163"/>
      <c r="Q261" s="163"/>
      <c r="R261" s="163"/>
      <c r="S261" s="163"/>
      <c r="T261" s="163"/>
      <c r="U261" s="163"/>
      <c r="V261" s="163"/>
      <c r="W261" s="163"/>
      <c r="X261" s="163"/>
    </row>
    <row r="262" spans="1:24">
      <c r="A262" s="163" t="s">
        <v>617</v>
      </c>
      <c r="B262" s="158" t="str">
        <f t="shared" si="39"/>
        <v>SID_CHARM_OF_DEATH_FINGER</v>
      </c>
      <c r="C262" s="163" t="s">
        <v>618</v>
      </c>
      <c r="D262" s="163">
        <v>0</v>
      </c>
      <c r="E262" s="163">
        <v>0</v>
      </c>
      <c r="F262" s="163">
        <v>1</v>
      </c>
      <c r="G262" s="163" t="s">
        <v>610</v>
      </c>
      <c r="H262" s="163">
        <v>1</v>
      </c>
      <c r="I262" s="163" t="s">
        <v>609</v>
      </c>
      <c r="J262" s="163"/>
      <c r="K262" s="157" t="str">
        <f t="shared" si="37"/>
        <v>SpellData.create(SID_CHARM_OF_DEATH_FINGER,"死亡之指符咒",0,0,1,OrderId("channel"),1,ORDER_TYPE_IMMEDIATE);</v>
      </c>
      <c r="L262" s="157" t="str">
        <f t="shared" si="28"/>
        <v>SpellData.create(SID_CHARM_OF_DEATH_FINGER,"Charm of Death Finger",0,0,1,OrderId("channel"),1,ORDER_TYPE_IMMEDIATE);</v>
      </c>
      <c r="M262" s="163" t="s">
        <v>1693</v>
      </c>
      <c r="N262" s="163"/>
      <c r="O262" s="163"/>
      <c r="P262" s="163"/>
      <c r="Q262" s="163"/>
      <c r="R262" s="163"/>
      <c r="S262" s="163"/>
      <c r="T262" s="163"/>
      <c r="U262" s="163"/>
      <c r="V262" s="163"/>
      <c r="W262" s="163"/>
      <c r="X262" s="163"/>
    </row>
    <row r="263" spans="1:24">
      <c r="A263" s="163" t="s">
        <v>615</v>
      </c>
      <c r="B263" s="158" t="str">
        <f t="shared" si="39"/>
        <v>SID_CHARM_OF_SIPHON_LIFE</v>
      </c>
      <c r="C263" s="163" t="s">
        <v>616</v>
      </c>
      <c r="D263" s="163">
        <v>0</v>
      </c>
      <c r="E263" s="163">
        <v>0</v>
      </c>
      <c r="F263" s="163">
        <v>1</v>
      </c>
      <c r="G263" s="163" t="s">
        <v>610</v>
      </c>
      <c r="H263" s="163">
        <v>1</v>
      </c>
      <c r="I263" s="163" t="s">
        <v>609</v>
      </c>
      <c r="J263" s="163"/>
      <c r="K263" s="157" t="str">
        <f t="shared" si="37"/>
        <v>SpellData.create(SID_CHARM_OF_SIPHON_LIFE,"生命虹吸符咒",0,0,1,OrderId("channel"),1,ORDER_TYPE_IMMEDIATE);</v>
      </c>
      <c r="L263" s="157" t="str">
        <f t="shared" si="28"/>
        <v>SpellData.create(SID_CHARM_OF_SIPHON_LIFE,"Charm of Siphon Life",0,0,1,OrderId("channel"),1,ORDER_TYPE_IMMEDIATE);</v>
      </c>
      <c r="M263" s="163" t="s">
        <v>1693</v>
      </c>
      <c r="N263" s="163"/>
      <c r="O263" s="163"/>
      <c r="P263" s="163"/>
      <c r="Q263" s="163"/>
      <c r="R263" s="163"/>
      <c r="S263" s="163"/>
      <c r="T263" s="163"/>
      <c r="U263" s="163"/>
      <c r="V263" s="163"/>
      <c r="W263" s="163"/>
      <c r="X263" s="163"/>
    </row>
    <row r="264" spans="1:24">
      <c r="A264" s="163" t="s">
        <v>613</v>
      </c>
      <c r="B264" s="158" t="str">
        <f t="shared" si="39"/>
        <v>SID_DEMONIC_RUNE</v>
      </c>
      <c r="C264" s="163" t="s">
        <v>614</v>
      </c>
      <c r="D264" s="163">
        <v>0</v>
      </c>
      <c r="E264" s="163">
        <v>0</v>
      </c>
      <c r="F264" s="163">
        <v>1</v>
      </c>
      <c r="G264" s="163" t="s">
        <v>610</v>
      </c>
      <c r="H264" s="163">
        <v>1</v>
      </c>
      <c r="I264" s="163" t="s">
        <v>609</v>
      </c>
      <c r="J264" s="163"/>
      <c r="K264" s="157" t="str">
        <f t="shared" si="37"/>
        <v>SpellData.create(SID_DEMONIC_RUNE,"恶魔符文",0,0,1,OrderId("channel"),1,ORDER_TYPE_IMMEDIATE);</v>
      </c>
      <c r="L264" s="157" t="str">
        <f t="shared" si="28"/>
        <v>SpellData.create(SID_DEMONIC_RUNE,"Demonic Rune",0,0,1,OrderId("channel"),1,ORDER_TYPE_IMMEDIATE);</v>
      </c>
      <c r="M264" s="163" t="s">
        <v>1693</v>
      </c>
      <c r="N264" s="163"/>
      <c r="O264" s="163"/>
      <c r="P264" s="163"/>
      <c r="Q264" s="163"/>
      <c r="R264" s="163"/>
      <c r="S264" s="163"/>
      <c r="T264" s="163"/>
      <c r="U264" s="163"/>
      <c r="V264" s="163"/>
      <c r="W264" s="163"/>
      <c r="X264" s="163"/>
    </row>
    <row r="265" spans="1:24">
      <c r="A265" s="163" t="s">
        <v>611</v>
      </c>
      <c r="B265" s="158" t="str">
        <f t="shared" si="39"/>
        <v>SID_STRANGE_WAND</v>
      </c>
      <c r="C265" s="163" t="s">
        <v>612</v>
      </c>
      <c r="D265" s="163">
        <v>0</v>
      </c>
      <c r="E265" s="163">
        <v>0</v>
      </c>
      <c r="F265" s="163">
        <v>1</v>
      </c>
      <c r="G265" s="163" t="s">
        <v>610</v>
      </c>
      <c r="H265" s="163">
        <v>1</v>
      </c>
      <c r="I265" s="163" t="s">
        <v>609</v>
      </c>
      <c r="J265" s="163"/>
      <c r="K265" s="157" t="str">
        <f t="shared" si="37"/>
        <v>SpellData.create(SID_STRANGE_WAND,"奇异的魔杖",0,0,1,OrderId("channel"),1,ORDER_TYPE_IMMEDIATE);</v>
      </c>
      <c r="L265" s="157" t="str">
        <f t="shared" si="28"/>
        <v>SpellData.create(SID_STRANGE_WAND,"Strange Wand",0,0,1,OrderId("channel"),1,ORDER_TYPE_IMMEDIATE);</v>
      </c>
      <c r="M265" s="163" t="s">
        <v>1693</v>
      </c>
      <c r="N265" s="163"/>
      <c r="O265" s="163"/>
      <c r="P265" s="163"/>
      <c r="Q265" s="163"/>
      <c r="R265" s="163"/>
      <c r="S265" s="163"/>
      <c r="T265" s="163"/>
      <c r="U265" s="163"/>
      <c r="V265" s="163"/>
      <c r="W265" s="163"/>
      <c r="X265" s="163"/>
    </row>
    <row r="266" spans="1:24">
      <c r="K266" s="157"/>
      <c r="L266" s="157"/>
    </row>
    <row r="267" spans="1:24">
      <c r="K267" s="157"/>
      <c r="L267" s="157"/>
    </row>
    <row r="268" spans="1:24">
      <c r="K268" s="157"/>
      <c r="L268" s="157"/>
    </row>
    <row r="269" spans="1:24">
      <c r="K269" s="157"/>
      <c r="L269" s="157"/>
    </row>
    <row r="270" spans="1:24">
      <c r="K270" s="157"/>
      <c r="L270" s="157"/>
    </row>
    <row r="271" spans="1:24">
      <c r="K271" s="157"/>
      <c r="L271" s="157"/>
    </row>
    <row r="272" spans="1:24">
      <c r="K272" s="157"/>
      <c r="L272" s="157"/>
    </row>
    <row r="273" spans="11:12">
      <c r="K273" s="157"/>
      <c r="L273" s="157"/>
    </row>
    <row r="274" spans="11:12">
      <c r="K274" s="157"/>
      <c r="L274" s="157"/>
    </row>
    <row r="275" spans="11:12">
      <c r="K275" s="157"/>
      <c r="L275" s="157"/>
    </row>
    <row r="276" spans="11:12">
      <c r="K276" s="157"/>
      <c r="L276" s="157"/>
    </row>
    <row r="277" spans="11:12">
      <c r="K277" s="157"/>
      <c r="L277" s="157"/>
    </row>
    <row r="278" spans="11:12">
      <c r="K278" s="157"/>
      <c r="L278" s="157"/>
    </row>
    <row r="279" spans="11:12">
      <c r="K279" s="157"/>
      <c r="L279" s="157"/>
    </row>
    <row r="280" spans="11:12">
      <c r="K280" s="157"/>
      <c r="L280" s="157"/>
    </row>
    <row r="281" spans="11:12">
      <c r="K281" s="157"/>
      <c r="L281" s="157"/>
    </row>
    <row r="282" spans="11:12">
      <c r="K282" s="157"/>
      <c r="L282" s="157"/>
    </row>
    <row r="283" spans="11:12">
      <c r="K283" s="157"/>
      <c r="L283" s="157"/>
    </row>
    <row r="284" spans="11:12">
      <c r="K284" s="157"/>
      <c r="L284" s="157"/>
    </row>
    <row r="285" spans="11:12">
      <c r="K285" s="157"/>
      <c r="L285" s="157"/>
    </row>
    <row r="286" spans="11:12">
      <c r="K286" s="157"/>
      <c r="L286" s="157"/>
    </row>
    <row r="287" spans="11:12">
      <c r="K287" s="157"/>
      <c r="L287" s="157"/>
    </row>
    <row r="288" spans="11:12">
      <c r="K288" s="157"/>
      <c r="L288" s="157"/>
    </row>
    <row r="289" spans="11:12">
      <c r="K289" s="157"/>
      <c r="L289" s="157"/>
    </row>
    <row r="290" spans="11:12">
      <c r="K290" s="157"/>
      <c r="L290" s="157"/>
    </row>
    <row r="291" spans="11:12">
      <c r="K291" s="157"/>
      <c r="L291" s="157"/>
    </row>
    <row r="292" spans="11:12">
      <c r="K292" s="157"/>
      <c r="L292" s="157"/>
    </row>
    <row r="293" spans="11:12">
      <c r="K293" s="157"/>
      <c r="L293" s="157"/>
    </row>
    <row r="294" spans="11:12">
      <c r="K294" s="157"/>
      <c r="L294" s="157"/>
    </row>
    <row r="295" spans="11:12">
      <c r="K295" s="157"/>
      <c r="L295" s="157"/>
    </row>
    <row r="296" spans="11:12">
      <c r="K296" s="157"/>
      <c r="L296" s="157"/>
    </row>
    <row r="297" spans="11:12">
      <c r="K297" s="157"/>
      <c r="L297" s="157"/>
    </row>
    <row r="298" spans="11:12">
      <c r="K298" s="157"/>
      <c r="L298" s="157"/>
    </row>
    <row r="299" spans="11:12">
      <c r="K299" s="157"/>
      <c r="L299" s="157"/>
    </row>
    <row r="300" spans="11:12">
      <c r="K300" s="157"/>
      <c r="L300" s="157"/>
    </row>
    <row r="301" spans="11:12">
      <c r="K301" s="157"/>
      <c r="L301" s="157"/>
    </row>
    <row r="302" spans="11:12">
      <c r="K302" s="157"/>
      <c r="L302" s="157"/>
    </row>
    <row r="303" spans="11:12">
      <c r="K303" s="157"/>
      <c r="L303" s="157"/>
    </row>
    <row r="304" spans="11:12">
      <c r="K304" s="157"/>
      <c r="L304" s="157"/>
    </row>
    <row r="305" spans="11:12">
      <c r="K305" s="157"/>
      <c r="L305" s="157"/>
    </row>
    <row r="306" spans="11:12">
      <c r="K306" s="157"/>
      <c r="L306" s="157"/>
    </row>
    <row r="307" spans="11:12">
      <c r="K307" s="157"/>
      <c r="L307" s="157"/>
    </row>
    <row r="308" spans="11:12">
      <c r="K308" s="157"/>
      <c r="L308" s="157"/>
    </row>
    <row r="309" spans="11:12">
      <c r="K309" s="157"/>
      <c r="L309" s="157"/>
    </row>
    <row r="310" spans="11:12">
      <c r="K310" s="157"/>
      <c r="L310" s="157"/>
    </row>
    <row r="311" spans="11:12">
      <c r="K311" s="157"/>
      <c r="L311" s="157"/>
    </row>
    <row r="312" spans="11:12">
      <c r="K312" s="157"/>
      <c r="L312" s="157"/>
    </row>
    <row r="313" spans="11:12">
      <c r="K313" s="157"/>
      <c r="L313" s="157"/>
    </row>
    <row r="314" spans="11:12">
      <c r="K314" s="157"/>
      <c r="L314" s="157"/>
    </row>
    <row r="315" spans="11:12">
      <c r="K315" s="157"/>
      <c r="L315" s="157"/>
    </row>
    <row r="316" spans="11:12">
      <c r="K316" s="157"/>
      <c r="L316" s="157"/>
    </row>
    <row r="317" spans="11:12">
      <c r="K317" s="157"/>
      <c r="L317" s="157"/>
    </row>
    <row r="318" spans="11:12">
      <c r="K318" s="157"/>
      <c r="L318" s="157"/>
    </row>
    <row r="319" spans="11:12">
      <c r="K319" s="157"/>
      <c r="L319" s="157"/>
    </row>
    <row r="320" spans="11:12">
      <c r="K320" s="157"/>
      <c r="L320" s="157"/>
    </row>
    <row r="321" spans="11:12">
      <c r="K321" s="157"/>
      <c r="L321" s="157"/>
    </row>
    <row r="322" spans="11:12">
      <c r="K322" s="157"/>
      <c r="L322" s="157"/>
    </row>
    <row r="323" spans="11:12">
      <c r="K323" s="157"/>
      <c r="L323" s="157"/>
    </row>
    <row r="324" spans="11:12">
      <c r="K324" s="157"/>
      <c r="L324" s="157"/>
    </row>
    <row r="325" spans="11:12">
      <c r="K325" s="157"/>
      <c r="L325" s="157"/>
    </row>
    <row r="326" spans="11:12">
      <c r="K326" s="157"/>
      <c r="L326" s="157"/>
    </row>
    <row r="327" spans="11:12">
      <c r="K327" s="157"/>
      <c r="L327" s="157"/>
    </row>
    <row r="328" spans="11:12">
      <c r="K328" s="157"/>
      <c r="L328" s="157"/>
    </row>
    <row r="329" spans="11:12">
      <c r="K329" s="157"/>
      <c r="L329" s="157"/>
    </row>
    <row r="330" spans="11:12">
      <c r="K330" s="157"/>
      <c r="L330" s="157"/>
    </row>
    <row r="331" spans="11:12">
      <c r="K331" s="157"/>
      <c r="L331" s="157"/>
    </row>
    <row r="332" spans="11:12">
      <c r="K332" s="157"/>
      <c r="L332" s="157"/>
    </row>
    <row r="333" spans="11:12">
      <c r="K333" s="157"/>
      <c r="L333" s="157"/>
    </row>
    <row r="334" spans="11:12">
      <c r="K334" s="157"/>
      <c r="L334" s="157"/>
    </row>
    <row r="335" spans="11:12">
      <c r="K335" s="157"/>
      <c r="L335" s="157"/>
    </row>
    <row r="336" spans="11:12">
      <c r="K336" s="157"/>
      <c r="L336" s="157"/>
    </row>
    <row r="337" spans="11:12">
      <c r="K337" s="157"/>
      <c r="L337" s="157"/>
    </row>
    <row r="338" spans="11:12">
      <c r="K338" s="157"/>
      <c r="L338" s="157"/>
    </row>
    <row r="339" spans="11:12">
      <c r="K339" s="157"/>
      <c r="L339" s="157"/>
    </row>
    <row r="340" spans="11:12">
      <c r="K340" s="157"/>
      <c r="L340" s="157"/>
    </row>
    <row r="341" spans="11:12">
      <c r="K341" s="157"/>
      <c r="L341" s="157"/>
    </row>
    <row r="342" spans="11:12">
      <c r="K342" s="157"/>
      <c r="L342" s="157"/>
    </row>
    <row r="343" spans="11:12">
      <c r="K343" s="157"/>
      <c r="L343" s="157"/>
    </row>
    <row r="344" spans="11:12">
      <c r="K344" s="157"/>
      <c r="L344" s="157"/>
    </row>
    <row r="345" spans="11:12">
      <c r="K345" s="157"/>
      <c r="L345" s="157"/>
    </row>
    <row r="346" spans="11:12">
      <c r="K346" s="157"/>
      <c r="L346" s="157"/>
    </row>
    <row r="347" spans="11:12">
      <c r="K347" s="157"/>
      <c r="L347" s="157"/>
    </row>
    <row r="348" spans="11:12">
      <c r="K348" s="157"/>
      <c r="L348" s="157"/>
    </row>
    <row r="349" spans="11:12">
      <c r="K349" s="157"/>
      <c r="L349" s="157"/>
    </row>
    <row r="350" spans="11:12">
      <c r="K350" s="157"/>
      <c r="L350" s="157"/>
    </row>
    <row r="351" spans="11:12">
      <c r="K351" s="157"/>
      <c r="L351" s="157"/>
    </row>
    <row r="352" spans="11:12">
      <c r="K352" s="157"/>
      <c r="L352" s="157"/>
    </row>
    <row r="353" spans="11:12">
      <c r="K353" s="157"/>
      <c r="L353" s="157"/>
    </row>
    <row r="354" spans="11:12">
      <c r="K354" s="157"/>
      <c r="L354" s="157"/>
    </row>
    <row r="355" spans="11:12">
      <c r="K355" s="157"/>
      <c r="L355" s="157"/>
    </row>
    <row r="356" spans="11:12">
      <c r="K356" s="157"/>
      <c r="L356" s="157"/>
    </row>
    <row r="357" spans="11:12">
      <c r="K357" s="157"/>
      <c r="L357" s="157"/>
    </row>
    <row r="358" spans="11:12">
      <c r="K358" s="157"/>
      <c r="L358" s="157"/>
    </row>
    <row r="359" spans="11:12">
      <c r="K359" s="157"/>
      <c r="L359" s="157"/>
    </row>
    <row r="360" spans="11:12">
      <c r="K360" s="157"/>
      <c r="L360" s="157"/>
    </row>
    <row r="361" spans="11:12">
      <c r="K361" s="157"/>
      <c r="L361" s="157"/>
    </row>
    <row r="362" spans="11:12">
      <c r="K362" s="157"/>
      <c r="L362" s="157"/>
    </row>
    <row r="363" spans="11:12">
      <c r="K363" s="157"/>
      <c r="L363" s="157"/>
    </row>
    <row r="364" spans="11:12">
      <c r="K364" s="157"/>
      <c r="L364" s="157"/>
    </row>
    <row r="365" spans="11:12">
      <c r="K365" s="157"/>
      <c r="L365" s="157"/>
    </row>
    <row r="366" spans="11:12">
      <c r="K366" s="157"/>
      <c r="L366" s="157"/>
    </row>
    <row r="367" spans="11:12">
      <c r="K367" s="157"/>
      <c r="L367" s="157"/>
    </row>
    <row r="368" spans="11:12">
      <c r="K368" s="157"/>
      <c r="L368" s="157"/>
    </row>
    <row r="369" spans="11:12">
      <c r="K369" s="157"/>
      <c r="L369" s="157"/>
    </row>
    <row r="370" spans="11:12">
      <c r="K370" s="157"/>
      <c r="L370" s="157"/>
    </row>
    <row r="371" spans="11:12">
      <c r="K371" s="157"/>
      <c r="L371" s="157"/>
    </row>
    <row r="372" spans="11:12">
      <c r="K372" s="157"/>
      <c r="L372" s="157"/>
    </row>
    <row r="373" spans="11:12">
      <c r="K373" s="157"/>
      <c r="L373" s="157"/>
    </row>
    <row r="374" spans="11:12">
      <c r="K374" s="157"/>
      <c r="L374" s="157"/>
    </row>
    <row r="375" spans="11:12">
      <c r="K375" s="157"/>
      <c r="L375" s="157"/>
    </row>
    <row r="376" spans="11:12">
      <c r="K376" s="157"/>
      <c r="L376" s="157"/>
    </row>
    <row r="377" spans="11:12">
      <c r="K377" s="157"/>
      <c r="L377" s="157"/>
    </row>
    <row r="378" spans="11:12">
      <c r="K378" s="157"/>
      <c r="L378" s="157"/>
    </row>
    <row r="379" spans="11:12">
      <c r="K379" s="157"/>
      <c r="L379" s="157"/>
    </row>
    <row r="380" spans="11:12">
      <c r="K380" s="157"/>
      <c r="L380" s="157"/>
    </row>
    <row r="381" spans="11:12">
      <c r="K381" s="157"/>
      <c r="L381" s="157"/>
    </row>
    <row r="382" spans="11:12">
      <c r="K382" s="157"/>
      <c r="L382" s="157"/>
    </row>
    <row r="383" spans="11:12">
      <c r="K383" s="157"/>
      <c r="L383" s="157"/>
    </row>
    <row r="384" spans="11:12">
      <c r="K384" s="157"/>
      <c r="L384" s="157"/>
    </row>
    <row r="385" spans="11:12">
      <c r="K385" s="157"/>
      <c r="L385" s="157"/>
    </row>
    <row r="386" spans="11:12">
      <c r="K386" s="157"/>
      <c r="L386" s="157"/>
    </row>
    <row r="387" spans="11:12">
      <c r="K387" s="157"/>
      <c r="L387" s="157"/>
    </row>
    <row r="388" spans="11:12">
      <c r="K388" s="157"/>
      <c r="L388" s="157"/>
    </row>
    <row r="389" spans="11:12">
      <c r="K389" s="157"/>
      <c r="L389" s="157"/>
    </row>
    <row r="390" spans="11:12">
      <c r="K390" s="157"/>
      <c r="L390" s="157"/>
    </row>
    <row r="391" spans="11:12">
      <c r="K391" s="157"/>
      <c r="L391" s="157"/>
    </row>
    <row r="392" spans="11:12">
      <c r="K392" s="157"/>
      <c r="L392" s="157"/>
    </row>
    <row r="393" spans="11:12">
      <c r="K393" s="157"/>
      <c r="L393" s="157"/>
    </row>
    <row r="394" spans="11:12">
      <c r="K394" s="157"/>
      <c r="L394" s="157"/>
    </row>
    <row r="395" spans="11:12">
      <c r="K395" s="157"/>
      <c r="L395" s="157"/>
    </row>
    <row r="396" spans="11:12">
      <c r="K396" s="157"/>
      <c r="L396" s="157"/>
    </row>
    <row r="397" spans="11:12">
      <c r="K397" s="157"/>
      <c r="L397" s="157"/>
    </row>
    <row r="398" spans="11:12">
      <c r="K398" s="157"/>
      <c r="L398" s="157"/>
    </row>
    <row r="399" spans="11:12">
      <c r="K399" s="157"/>
      <c r="L399" s="157"/>
    </row>
    <row r="400" spans="11:12">
      <c r="K400" s="157"/>
      <c r="L400" s="157"/>
    </row>
    <row r="401" spans="11:12">
      <c r="K401" s="157"/>
      <c r="L401" s="157"/>
    </row>
    <row r="402" spans="11:12">
      <c r="K402" s="157"/>
      <c r="L402" s="157"/>
    </row>
    <row r="403" spans="11:12">
      <c r="K403" s="157"/>
      <c r="L403" s="157"/>
    </row>
    <row r="404" spans="11:12">
      <c r="K404" s="157"/>
      <c r="L404" s="157"/>
    </row>
    <row r="405" spans="11:12">
      <c r="K405" s="157"/>
      <c r="L405" s="157"/>
    </row>
    <row r="406" spans="11:12">
      <c r="K406" s="157"/>
      <c r="L406" s="157"/>
    </row>
    <row r="407" spans="11:12">
      <c r="K407" s="157"/>
      <c r="L407" s="157"/>
    </row>
    <row r="408" spans="11:12">
      <c r="K408" s="157"/>
      <c r="L408" s="157"/>
    </row>
    <row r="409" spans="11:12">
      <c r="K409" s="157"/>
      <c r="L409" s="157"/>
    </row>
    <row r="410" spans="11:12">
      <c r="K410" s="157"/>
      <c r="L410" s="157"/>
    </row>
    <row r="411" spans="11:12">
      <c r="K411" s="157"/>
      <c r="L411" s="157"/>
    </row>
    <row r="412" spans="11:12">
      <c r="K412" s="157"/>
      <c r="L412" s="157"/>
    </row>
    <row r="413" spans="11:12">
      <c r="K413" s="157"/>
      <c r="L413" s="157"/>
    </row>
    <row r="414" spans="11:12">
      <c r="K414" s="157"/>
      <c r="L414" s="157"/>
    </row>
    <row r="415" spans="11:12">
      <c r="K415" s="157"/>
      <c r="L415" s="157"/>
    </row>
    <row r="416" spans="11:12">
      <c r="K416" s="157"/>
      <c r="L416" s="157"/>
    </row>
    <row r="417" spans="11:12">
      <c r="K417" s="157"/>
      <c r="L417" s="157"/>
    </row>
    <row r="418" spans="11:12">
      <c r="K418" s="157"/>
      <c r="L418" s="157"/>
    </row>
    <row r="419" spans="11:12">
      <c r="K419" s="157"/>
      <c r="L419" s="157"/>
    </row>
    <row r="420" spans="11:12">
      <c r="K420" s="157"/>
      <c r="L420" s="157"/>
    </row>
    <row r="421" spans="11:12">
      <c r="K421" s="157"/>
      <c r="L421" s="157"/>
    </row>
    <row r="422" spans="11:12">
      <c r="K422" s="157"/>
      <c r="L422" s="157"/>
    </row>
    <row r="423" spans="11:12">
      <c r="K423" s="157"/>
      <c r="L423" s="157"/>
    </row>
    <row r="424" spans="11:12">
      <c r="K424" s="157"/>
      <c r="L424" s="157"/>
    </row>
    <row r="425" spans="11:12">
      <c r="K425" s="157"/>
      <c r="L425" s="157"/>
    </row>
    <row r="426" spans="11:12">
      <c r="K426" s="157"/>
      <c r="L426" s="157"/>
    </row>
    <row r="427" spans="11:12">
      <c r="K427" s="157"/>
      <c r="L427" s="157"/>
    </row>
    <row r="428" spans="11:12">
      <c r="K428" s="157"/>
      <c r="L428" s="157"/>
    </row>
    <row r="429" spans="11:12">
      <c r="K429" s="157"/>
      <c r="L429" s="157"/>
    </row>
    <row r="430" spans="11:12">
      <c r="K430" s="157"/>
      <c r="L430" s="157"/>
    </row>
    <row r="431" spans="11:12">
      <c r="K431" s="157"/>
      <c r="L431" s="157"/>
    </row>
    <row r="432" spans="11:12">
      <c r="K432" s="157"/>
      <c r="L432" s="157"/>
    </row>
    <row r="433" spans="11:12">
      <c r="K433" s="157"/>
      <c r="L433" s="157"/>
    </row>
    <row r="434" spans="11:12">
      <c r="K434" s="157"/>
      <c r="L434" s="157"/>
    </row>
    <row r="435" spans="11:12">
      <c r="K435" s="157"/>
      <c r="L435" s="157"/>
    </row>
    <row r="436" spans="11:12">
      <c r="K436" s="157"/>
      <c r="L436" s="157"/>
    </row>
    <row r="437" spans="11:12">
      <c r="K437" s="157"/>
      <c r="L437" s="157"/>
    </row>
    <row r="438" spans="11:12">
      <c r="K438" s="157"/>
      <c r="L438" s="157"/>
    </row>
    <row r="439" spans="11:12">
      <c r="K439" s="157"/>
      <c r="L439" s="157"/>
    </row>
    <row r="440" spans="11:12">
      <c r="K440" s="157"/>
      <c r="L440" s="157"/>
    </row>
    <row r="441" spans="11:12">
      <c r="K441" s="157"/>
      <c r="L441" s="157"/>
    </row>
    <row r="442" spans="11:12">
      <c r="K442" s="157"/>
      <c r="L442" s="157"/>
    </row>
    <row r="443" spans="11:12">
      <c r="K443" s="157"/>
      <c r="L443" s="157"/>
    </row>
    <row r="444" spans="11:12">
      <c r="K444" s="157"/>
      <c r="L444" s="157"/>
    </row>
    <row r="445" spans="11:12">
      <c r="K445" s="157"/>
      <c r="L445" s="157"/>
    </row>
    <row r="446" spans="11:12">
      <c r="K446" s="157"/>
      <c r="L446" s="157"/>
    </row>
    <row r="447" spans="11:12">
      <c r="K447" s="157"/>
      <c r="L447" s="157"/>
    </row>
    <row r="448" spans="11:12">
      <c r="K448" s="157"/>
      <c r="L448" s="157"/>
    </row>
    <row r="449" spans="11:12">
      <c r="K449" s="157"/>
      <c r="L449" s="157"/>
    </row>
    <row r="450" spans="11:12">
      <c r="K450" s="157"/>
      <c r="L450" s="157"/>
    </row>
    <row r="451" spans="11:12">
      <c r="K451" s="157"/>
      <c r="L451" s="157"/>
    </row>
    <row r="452" spans="11:12">
      <c r="K452" s="157"/>
      <c r="L452" s="157"/>
    </row>
    <row r="453" spans="11:12">
      <c r="K453" s="157"/>
      <c r="L453" s="157"/>
    </row>
    <row r="454" spans="11:12">
      <c r="K454" s="157"/>
      <c r="L454" s="157"/>
    </row>
    <row r="455" spans="11:12">
      <c r="K455" s="157"/>
      <c r="L455" s="157"/>
    </row>
    <row r="456" spans="11:12">
      <c r="K456" s="157"/>
      <c r="L456" s="157"/>
    </row>
    <row r="457" spans="11:12">
      <c r="K457" s="157"/>
      <c r="L457" s="157"/>
    </row>
    <row r="458" spans="11:12">
      <c r="K458" s="157"/>
      <c r="L458" s="157"/>
    </row>
    <row r="459" spans="11:12">
      <c r="K459" s="157"/>
      <c r="L459" s="157"/>
    </row>
    <row r="460" spans="11:12">
      <c r="K460" s="157"/>
      <c r="L460" s="157"/>
    </row>
    <row r="461" spans="11:12">
      <c r="K461" s="157"/>
      <c r="L461" s="157"/>
    </row>
    <row r="462" spans="11:12">
      <c r="K462" s="157"/>
      <c r="L462" s="157"/>
    </row>
    <row r="463" spans="11:12">
      <c r="K463" s="157"/>
      <c r="L463" s="157"/>
    </row>
    <row r="464" spans="11:12">
      <c r="K464" s="157"/>
      <c r="L464" s="157"/>
    </row>
    <row r="465" spans="11:12">
      <c r="K465" s="157"/>
      <c r="L465" s="157"/>
    </row>
    <row r="466" spans="11:12">
      <c r="K466" s="157"/>
      <c r="L466" s="157"/>
    </row>
    <row r="467" spans="11:12">
      <c r="K467" s="157"/>
      <c r="L467" s="157"/>
    </row>
    <row r="468" spans="11:12">
      <c r="K468" s="157"/>
      <c r="L468" s="157"/>
    </row>
    <row r="469" spans="11:12">
      <c r="K469" s="157"/>
      <c r="L469" s="157"/>
    </row>
    <row r="470" spans="11:12">
      <c r="K470" s="157"/>
      <c r="L470" s="157"/>
    </row>
    <row r="471" spans="11:12">
      <c r="K471" s="157"/>
      <c r="L471" s="157"/>
    </row>
    <row r="472" spans="11:12">
      <c r="K472" s="157"/>
      <c r="L472" s="157"/>
    </row>
    <row r="473" spans="11:12">
      <c r="K473" s="157"/>
      <c r="L473" s="157"/>
    </row>
    <row r="474" spans="11:12">
      <c r="K474" s="157"/>
      <c r="L474" s="157"/>
    </row>
    <row r="475" spans="11:12">
      <c r="K475" s="157"/>
      <c r="L475" s="157"/>
    </row>
    <row r="476" spans="11:12">
      <c r="K476" s="157"/>
      <c r="L476" s="157"/>
    </row>
    <row r="477" spans="11:12">
      <c r="K477" s="157"/>
      <c r="L477" s="157"/>
    </row>
    <row r="478" spans="11:12">
      <c r="K478" s="157"/>
      <c r="L478" s="157"/>
    </row>
    <row r="479" spans="11:12">
      <c r="K479" s="157"/>
      <c r="L479" s="157"/>
    </row>
    <row r="480" spans="11:12">
      <c r="K480" s="157"/>
      <c r="L480" s="157"/>
    </row>
    <row r="481" spans="11:12">
      <c r="K481" s="157"/>
      <c r="L481" s="157"/>
    </row>
    <row r="482" spans="11:12">
      <c r="K482" s="157"/>
      <c r="L482" s="157"/>
    </row>
    <row r="483" spans="11:12">
      <c r="K483" s="157"/>
      <c r="L483" s="157"/>
    </row>
    <row r="484" spans="11:12">
      <c r="K484" s="157"/>
      <c r="L484" s="157"/>
    </row>
    <row r="485" spans="11:12">
      <c r="K485" s="157"/>
      <c r="L485" s="157"/>
    </row>
    <row r="486" spans="11:12">
      <c r="K486" s="157"/>
      <c r="L486" s="157"/>
    </row>
    <row r="487" spans="11:12">
      <c r="K487" s="157"/>
      <c r="L487" s="157"/>
    </row>
    <row r="488" spans="11:12">
      <c r="K488" s="157"/>
      <c r="L488" s="157"/>
    </row>
    <row r="489" spans="11:12">
      <c r="K489" s="157"/>
      <c r="L489" s="157"/>
    </row>
    <row r="490" spans="11:12">
      <c r="K490" s="157"/>
      <c r="L490" s="157"/>
    </row>
    <row r="491" spans="11:12">
      <c r="K491" s="157"/>
      <c r="L491" s="157"/>
    </row>
    <row r="492" spans="11:12">
      <c r="K492" s="157"/>
      <c r="L492" s="157"/>
    </row>
    <row r="493" spans="11:12">
      <c r="K493" s="157"/>
      <c r="L493" s="157"/>
    </row>
    <row r="494" spans="11:12">
      <c r="K494" s="157"/>
      <c r="L494" s="157"/>
    </row>
    <row r="495" spans="11:12">
      <c r="K495" s="157"/>
      <c r="L495" s="157"/>
    </row>
    <row r="496" spans="11:12">
      <c r="K496" s="157"/>
      <c r="L496" s="157"/>
    </row>
    <row r="497" spans="11:12">
      <c r="K497" s="157"/>
      <c r="L497" s="157"/>
    </row>
    <row r="498" spans="11:12">
      <c r="K498" s="157"/>
      <c r="L498" s="157"/>
    </row>
    <row r="499" spans="11:12">
      <c r="K499" s="157"/>
      <c r="L499" s="157"/>
    </row>
    <row r="500" spans="11:12">
      <c r="K500" s="157"/>
      <c r="L500" s="157"/>
    </row>
    <row r="501" spans="11:12">
      <c r="K501" s="157"/>
      <c r="L501" s="157"/>
    </row>
    <row r="502" spans="11:12">
      <c r="K502" s="157"/>
      <c r="L502" s="157"/>
    </row>
    <row r="503" spans="11:12">
      <c r="K503" s="157"/>
      <c r="L503" s="157"/>
    </row>
    <row r="504" spans="11:12">
      <c r="K504" s="157"/>
      <c r="L504" s="157"/>
    </row>
    <row r="505" spans="11:12">
      <c r="K505" s="157"/>
      <c r="L505" s="157"/>
    </row>
    <row r="506" spans="11:12">
      <c r="K506" s="157"/>
      <c r="L506" s="157"/>
    </row>
    <row r="507" spans="11:12">
      <c r="K507" s="157"/>
      <c r="L507" s="157"/>
    </row>
    <row r="508" spans="11:12">
      <c r="K508" s="157"/>
      <c r="L508" s="157"/>
    </row>
    <row r="509" spans="11:12">
      <c r="K509" s="157"/>
      <c r="L509" s="157"/>
    </row>
    <row r="510" spans="11:12">
      <c r="K510" s="157"/>
      <c r="L510" s="157"/>
    </row>
    <row r="511" spans="11:12">
      <c r="K511" s="157"/>
      <c r="L511" s="157"/>
    </row>
    <row r="512" spans="11:12">
      <c r="K512" s="157"/>
      <c r="L512" s="157"/>
    </row>
    <row r="513" spans="11:12">
      <c r="K513" s="157"/>
      <c r="L513" s="157"/>
    </row>
    <row r="514" spans="11:12">
      <c r="K514" s="157"/>
      <c r="L514" s="157"/>
    </row>
    <row r="515" spans="11:12">
      <c r="K515" s="157"/>
      <c r="L515" s="157"/>
    </row>
    <row r="516" spans="11:12">
      <c r="K516" s="157"/>
      <c r="L516" s="157"/>
    </row>
    <row r="517" spans="11:12">
      <c r="K517" s="157"/>
      <c r="L517" s="157"/>
    </row>
    <row r="518" spans="11:12">
      <c r="K518" s="157"/>
      <c r="L518" s="157"/>
    </row>
    <row r="519" spans="11:12">
      <c r="K519" s="157"/>
      <c r="L519" s="157"/>
    </row>
    <row r="520" spans="11:12">
      <c r="K520" s="157"/>
      <c r="L520" s="157"/>
    </row>
    <row r="521" spans="11:12">
      <c r="K521" s="157"/>
      <c r="L521" s="157"/>
    </row>
    <row r="522" spans="11:12">
      <c r="K522" s="157"/>
      <c r="L522" s="157"/>
    </row>
    <row r="523" spans="11:12">
      <c r="K523" s="157"/>
      <c r="L523" s="157"/>
    </row>
    <row r="524" spans="11:12">
      <c r="K524" s="157"/>
      <c r="L524" s="157"/>
    </row>
    <row r="525" spans="11:12">
      <c r="K525" s="157"/>
      <c r="L525" s="157"/>
    </row>
    <row r="526" spans="11:12">
      <c r="K526" s="157"/>
      <c r="L526" s="157"/>
    </row>
    <row r="527" spans="11:12">
      <c r="K527" s="157"/>
      <c r="L527" s="157"/>
    </row>
    <row r="528" spans="11:12">
      <c r="K528" s="157"/>
      <c r="L528" s="157"/>
    </row>
    <row r="529" spans="11:12">
      <c r="K529" s="157"/>
      <c r="L529" s="157"/>
    </row>
    <row r="530" spans="11:12">
      <c r="K530" s="157"/>
      <c r="L530" s="157"/>
    </row>
    <row r="531" spans="11:12">
      <c r="K531" s="157"/>
      <c r="L531" s="157"/>
    </row>
    <row r="532" spans="11:12">
      <c r="K532" s="157"/>
      <c r="L532" s="157"/>
    </row>
    <row r="533" spans="11:12">
      <c r="K533" s="157"/>
      <c r="L533" s="157"/>
    </row>
    <row r="534" spans="11:12">
      <c r="K534" s="157"/>
      <c r="L534" s="157"/>
    </row>
    <row r="535" spans="11:12">
      <c r="K535" s="157"/>
      <c r="L535" s="157"/>
    </row>
    <row r="536" spans="11:12">
      <c r="K536" s="157"/>
      <c r="L536" s="157"/>
    </row>
    <row r="537" spans="11:12">
      <c r="K537" s="157"/>
      <c r="L537" s="157"/>
    </row>
    <row r="538" spans="11:12">
      <c r="K538" s="157"/>
      <c r="L538" s="157"/>
    </row>
    <row r="539" spans="11:12">
      <c r="K539" s="157"/>
      <c r="L539" s="157"/>
    </row>
    <row r="540" spans="11:12">
      <c r="K540" s="157"/>
      <c r="L540" s="157"/>
    </row>
    <row r="541" spans="11:12">
      <c r="K541" s="157"/>
      <c r="L541" s="157"/>
    </row>
    <row r="542" spans="11:12">
      <c r="K542" s="157"/>
      <c r="L542" s="157"/>
    </row>
    <row r="543" spans="11:12">
      <c r="K543" s="157"/>
      <c r="L543" s="157"/>
    </row>
    <row r="544" spans="11:12">
      <c r="K544" s="157"/>
      <c r="L544" s="157"/>
    </row>
    <row r="545" spans="11:12">
      <c r="K545" s="157"/>
      <c r="L545" s="157"/>
    </row>
    <row r="546" spans="11:12">
      <c r="K546" s="157"/>
      <c r="L546" s="157"/>
    </row>
    <row r="547" spans="11:12">
      <c r="K547" s="157"/>
      <c r="L547" s="157"/>
    </row>
    <row r="548" spans="11:12">
      <c r="K548" s="157"/>
      <c r="L548" s="157"/>
    </row>
    <row r="549" spans="11:12">
      <c r="K549" s="157"/>
      <c r="L549" s="157"/>
    </row>
    <row r="550" spans="11:12">
      <c r="K550" s="157"/>
      <c r="L550" s="157"/>
    </row>
    <row r="551" spans="11:12">
      <c r="K551" s="157"/>
      <c r="L551" s="157"/>
    </row>
    <row r="552" spans="11:12">
      <c r="K552" s="157"/>
      <c r="L552" s="157"/>
    </row>
    <row r="553" spans="11:12">
      <c r="K553" s="157"/>
      <c r="L553" s="157"/>
    </row>
    <row r="554" spans="11:12">
      <c r="K554" s="157"/>
      <c r="L554" s="157"/>
    </row>
    <row r="555" spans="11:12">
      <c r="K555" s="157"/>
      <c r="L555" s="157"/>
    </row>
    <row r="556" spans="11:12">
      <c r="K556" s="157"/>
      <c r="L556" s="157"/>
    </row>
    <row r="557" spans="11:12">
      <c r="K557" s="157"/>
      <c r="L557" s="157"/>
    </row>
    <row r="558" spans="11:12">
      <c r="K558" s="157"/>
      <c r="L558" s="157"/>
    </row>
    <row r="559" spans="11:12">
      <c r="K559" s="157"/>
      <c r="L559" s="157"/>
    </row>
    <row r="560" spans="11:12">
      <c r="K560" s="157"/>
      <c r="L560" s="157"/>
    </row>
    <row r="561" spans="11:12">
      <c r="K561" s="157"/>
      <c r="L561" s="157"/>
    </row>
    <row r="562" spans="11:12">
      <c r="K562" s="157"/>
      <c r="L562" s="157"/>
    </row>
    <row r="563" spans="11:12">
      <c r="K563" s="157"/>
      <c r="L563" s="157"/>
    </row>
    <row r="564" spans="11:12">
      <c r="K564" s="157"/>
      <c r="L564" s="157"/>
    </row>
    <row r="565" spans="11:12">
      <c r="K565" s="157"/>
      <c r="L565" s="157"/>
    </row>
    <row r="566" spans="11:12">
      <c r="K566" s="157"/>
      <c r="L566" s="157"/>
    </row>
    <row r="567" spans="11:12">
      <c r="K567" s="157"/>
      <c r="L567" s="157"/>
    </row>
    <row r="568" spans="11:12">
      <c r="K568" s="157"/>
      <c r="L568" s="157"/>
    </row>
    <row r="569" spans="11:12">
      <c r="K569" s="157"/>
      <c r="L569" s="157"/>
    </row>
    <row r="570" spans="11:12">
      <c r="K570" s="157"/>
      <c r="L570" s="157"/>
    </row>
    <row r="571" spans="11:12">
      <c r="K571" s="157"/>
      <c r="L571" s="157"/>
    </row>
    <row r="572" spans="11:12">
      <c r="K572" s="157"/>
      <c r="L572" s="157"/>
    </row>
    <row r="573" spans="11:12">
      <c r="K573" s="157"/>
      <c r="L573" s="157"/>
    </row>
    <row r="574" spans="11:12">
      <c r="K574" s="157"/>
      <c r="L574" s="157"/>
    </row>
    <row r="575" spans="11:12">
      <c r="K575" s="157"/>
      <c r="L575" s="157"/>
    </row>
    <row r="576" spans="11:12">
      <c r="K576" s="157"/>
      <c r="L576" s="157"/>
    </row>
    <row r="577" spans="11:12">
      <c r="K577" s="157"/>
      <c r="L577" s="157"/>
    </row>
    <row r="578" spans="11:12">
      <c r="K578" s="157"/>
      <c r="L578" s="157"/>
    </row>
    <row r="579" spans="11:12">
      <c r="K579" s="157"/>
      <c r="L579" s="157"/>
    </row>
    <row r="580" spans="11:12">
      <c r="K580" s="157"/>
      <c r="L580" s="157"/>
    </row>
    <row r="581" spans="11:12">
      <c r="K581" s="157"/>
      <c r="L581" s="157"/>
    </row>
    <row r="582" spans="11:12">
      <c r="K582" s="157"/>
      <c r="L582" s="157"/>
    </row>
    <row r="583" spans="11:12">
      <c r="K583" s="157"/>
      <c r="L583" s="157"/>
    </row>
    <row r="584" spans="11:12">
      <c r="K584" s="157"/>
      <c r="L584" s="157"/>
    </row>
    <row r="585" spans="11:12">
      <c r="K585" s="157"/>
      <c r="L585" s="157"/>
    </row>
    <row r="586" spans="11:12">
      <c r="K586" s="157"/>
      <c r="L586" s="157"/>
    </row>
    <row r="587" spans="11:12">
      <c r="K587" s="157"/>
      <c r="L587" s="157"/>
    </row>
    <row r="588" spans="11:12">
      <c r="K588" s="157"/>
      <c r="L588" s="157"/>
    </row>
    <row r="589" spans="11:12">
      <c r="K589" s="157"/>
      <c r="L589" s="157"/>
    </row>
    <row r="590" spans="11:12">
      <c r="K590" s="157"/>
      <c r="L590" s="157"/>
    </row>
    <row r="591" spans="11:12">
      <c r="K591" s="157"/>
      <c r="L591" s="157"/>
    </row>
    <row r="592" spans="11:12">
      <c r="K592" s="157"/>
      <c r="L592" s="157"/>
    </row>
    <row r="593" spans="11:12">
      <c r="K593" s="157"/>
      <c r="L593" s="157"/>
    </row>
    <row r="594" spans="11:12">
      <c r="K594" s="157"/>
      <c r="L594" s="157"/>
    </row>
    <row r="595" spans="11:12">
      <c r="K595" s="157"/>
      <c r="L595" s="157"/>
    </row>
    <row r="596" spans="11:12">
      <c r="K596" s="157"/>
      <c r="L596" s="157"/>
    </row>
    <row r="597" spans="11:12">
      <c r="K597" s="157"/>
      <c r="L597" s="157"/>
    </row>
    <row r="598" spans="11:12">
      <c r="K598" s="157"/>
      <c r="L598" s="157"/>
    </row>
    <row r="599" spans="11:12">
      <c r="K599" s="157"/>
      <c r="L599" s="157"/>
    </row>
    <row r="600" spans="11:12">
      <c r="K600" s="157"/>
      <c r="L600" s="157"/>
    </row>
    <row r="601" spans="11:12">
      <c r="K601" s="157"/>
      <c r="L601" s="157"/>
    </row>
    <row r="602" spans="11:12">
      <c r="K602" s="157"/>
      <c r="L602" s="157"/>
    </row>
    <row r="603" spans="11:12">
      <c r="K603" s="157"/>
      <c r="L603" s="157"/>
    </row>
    <row r="604" spans="11:12">
      <c r="K604" s="157"/>
      <c r="L604" s="157"/>
    </row>
    <row r="605" spans="11:12">
      <c r="K605" s="157"/>
      <c r="L605" s="157"/>
    </row>
    <row r="606" spans="11:12">
      <c r="K606" s="157"/>
      <c r="L606" s="157"/>
    </row>
    <row r="607" spans="11:12">
      <c r="K607" s="157"/>
      <c r="L607" s="157"/>
    </row>
    <row r="608" spans="11:12">
      <c r="K608" s="157"/>
      <c r="L608" s="157"/>
    </row>
    <row r="609" spans="11:12">
      <c r="K609" s="157"/>
      <c r="L609" s="157"/>
    </row>
    <row r="610" spans="11:12">
      <c r="K610" s="157"/>
      <c r="L610" s="157"/>
    </row>
    <row r="611" spans="11:12">
      <c r="K611" s="157"/>
      <c r="L611" s="157"/>
    </row>
    <row r="612" spans="11:12">
      <c r="K612" s="157"/>
      <c r="L612" s="157"/>
    </row>
    <row r="613" spans="11:12">
      <c r="K613" s="157"/>
      <c r="L613" s="157"/>
    </row>
    <row r="614" spans="11:12">
      <c r="K614" s="157"/>
      <c r="L614" s="157"/>
    </row>
    <row r="615" spans="11:12">
      <c r="K615" s="157"/>
      <c r="L615" s="157"/>
    </row>
    <row r="616" spans="11:12">
      <c r="K616" s="157"/>
      <c r="L616" s="157"/>
    </row>
    <row r="617" spans="11:12">
      <c r="K617" s="157"/>
      <c r="L617" s="157"/>
    </row>
    <row r="618" spans="11:12">
      <c r="K618" s="157"/>
      <c r="L618" s="157"/>
    </row>
    <row r="619" spans="11:12">
      <c r="K619" s="157"/>
      <c r="L619" s="157"/>
    </row>
    <row r="620" spans="11:12">
      <c r="K620" s="157"/>
      <c r="L620" s="157"/>
    </row>
    <row r="621" spans="11:12">
      <c r="K621" s="157"/>
      <c r="L621" s="157"/>
    </row>
    <row r="622" spans="11:12">
      <c r="K622" s="157"/>
      <c r="L622" s="157"/>
    </row>
    <row r="623" spans="11:12">
      <c r="K623" s="157"/>
      <c r="L623" s="157"/>
    </row>
    <row r="624" spans="11:12">
      <c r="K624" s="157"/>
      <c r="L624" s="157"/>
    </row>
    <row r="625" spans="11:12">
      <c r="K625" s="157"/>
      <c r="L625" s="157"/>
    </row>
    <row r="626" spans="11:12">
      <c r="K626" s="157"/>
      <c r="L626" s="157"/>
    </row>
    <row r="627" spans="11:12">
      <c r="K627" s="157"/>
      <c r="L627" s="157"/>
    </row>
    <row r="628" spans="11:12">
      <c r="K628" s="157"/>
      <c r="L628" s="157"/>
    </row>
    <row r="629" spans="11:12">
      <c r="K629" s="157"/>
      <c r="L629" s="157"/>
    </row>
    <row r="630" spans="11:12">
      <c r="K630" s="157"/>
      <c r="L630" s="157"/>
    </row>
    <row r="631" spans="11:12">
      <c r="K631" s="157"/>
      <c r="L631" s="157"/>
    </row>
    <row r="632" spans="11:12">
      <c r="K632" s="157"/>
      <c r="L632" s="157"/>
    </row>
    <row r="633" spans="11:12">
      <c r="K633" s="157"/>
      <c r="L633" s="157"/>
    </row>
    <row r="634" spans="11:12">
      <c r="K634" s="157"/>
      <c r="L634" s="157"/>
    </row>
    <row r="635" spans="11:12">
      <c r="K635" s="157"/>
      <c r="L635" s="157"/>
    </row>
    <row r="636" spans="11:12">
      <c r="K636" s="157"/>
      <c r="L636" s="157"/>
    </row>
    <row r="637" spans="11:12">
      <c r="K637" s="157"/>
      <c r="L637" s="157"/>
    </row>
    <row r="638" spans="11:12">
      <c r="K638" s="157"/>
      <c r="L638" s="157"/>
    </row>
    <row r="639" spans="11:12">
      <c r="K639" s="157"/>
      <c r="L639" s="157"/>
    </row>
    <row r="640" spans="11:12">
      <c r="K640" s="157"/>
      <c r="L640" s="157"/>
    </row>
    <row r="641" spans="11:12">
      <c r="K641" s="157"/>
      <c r="L641" s="157"/>
    </row>
    <row r="642" spans="11:12">
      <c r="K642" s="157"/>
      <c r="L642" s="157"/>
    </row>
    <row r="643" spans="11:12">
      <c r="K643" s="157"/>
      <c r="L643" s="157"/>
    </row>
    <row r="644" spans="11:12">
      <c r="K644" s="157"/>
      <c r="L644" s="157"/>
    </row>
    <row r="645" spans="11:12">
      <c r="K645" s="157"/>
      <c r="L645" s="157"/>
    </row>
    <row r="646" spans="11:12">
      <c r="K646" s="157"/>
      <c r="L646" s="157"/>
    </row>
    <row r="647" spans="11:12">
      <c r="K647" s="157"/>
      <c r="L647" s="157"/>
    </row>
    <row r="648" spans="11:12">
      <c r="K648" s="157"/>
      <c r="L648" s="157"/>
    </row>
    <row r="649" spans="11:12">
      <c r="K649" s="157"/>
      <c r="L649" s="157"/>
    </row>
    <row r="650" spans="11:12">
      <c r="K650" s="157"/>
      <c r="L650" s="157"/>
    </row>
    <row r="651" spans="11:12">
      <c r="K651" s="157"/>
      <c r="L651" s="157"/>
    </row>
    <row r="652" spans="11:12">
      <c r="K652" s="157"/>
      <c r="L652" s="157"/>
    </row>
    <row r="653" spans="11:12">
      <c r="K653" s="157"/>
      <c r="L653" s="157"/>
    </row>
    <row r="654" spans="11:12">
      <c r="K654" s="157"/>
      <c r="L654" s="157"/>
    </row>
    <row r="655" spans="11:12">
      <c r="K655" s="157"/>
      <c r="L655" s="157"/>
    </row>
    <row r="656" spans="11:12">
      <c r="K656" s="157"/>
      <c r="L656" s="157"/>
    </row>
    <row r="657" spans="11:12">
      <c r="K657" s="157"/>
      <c r="L657" s="157"/>
    </row>
    <row r="658" spans="11:12">
      <c r="K658" s="157"/>
      <c r="L658" s="157"/>
    </row>
    <row r="659" spans="11:12">
      <c r="K659" s="157"/>
      <c r="L659" s="157"/>
    </row>
    <row r="660" spans="11:12">
      <c r="K660" s="157"/>
      <c r="L660" s="157"/>
    </row>
    <row r="661" spans="11:12">
      <c r="K661" s="157"/>
      <c r="L661" s="157"/>
    </row>
    <row r="662" spans="11:12">
      <c r="K662" s="157"/>
      <c r="L662" s="157"/>
    </row>
    <row r="663" spans="11:12">
      <c r="K663" s="157"/>
      <c r="L663" s="157"/>
    </row>
    <row r="664" spans="11:12">
      <c r="K664" s="157"/>
      <c r="L664" s="157"/>
    </row>
    <row r="665" spans="11:12">
      <c r="K665" s="157"/>
      <c r="L665" s="157"/>
    </row>
    <row r="666" spans="11:12">
      <c r="K666" s="157"/>
      <c r="L666" s="157"/>
    </row>
    <row r="667" spans="11:12">
      <c r="K667" s="157"/>
      <c r="L667" s="157"/>
    </row>
    <row r="668" spans="11:12">
      <c r="K668" s="157"/>
      <c r="L668" s="157"/>
    </row>
    <row r="669" spans="11:12">
      <c r="K669" s="157"/>
      <c r="L669" s="157"/>
    </row>
    <row r="670" spans="11:12">
      <c r="K670" s="157"/>
      <c r="L670" s="157"/>
    </row>
    <row r="671" spans="11:12">
      <c r="K671" s="157"/>
      <c r="L671" s="157"/>
    </row>
    <row r="672" spans="11:12">
      <c r="K672" s="157"/>
      <c r="L672" s="157"/>
    </row>
    <row r="673" spans="11:12">
      <c r="K673" s="157"/>
      <c r="L673" s="157"/>
    </row>
    <row r="674" spans="11:12">
      <c r="K674" s="157"/>
      <c r="L674" s="157"/>
    </row>
    <row r="675" spans="11:12">
      <c r="K675" s="157"/>
      <c r="L675" s="157"/>
    </row>
    <row r="676" spans="11:12">
      <c r="K676" s="157"/>
      <c r="L676" s="157"/>
    </row>
    <row r="677" spans="11:12">
      <c r="K677" s="157"/>
      <c r="L677" s="157"/>
    </row>
    <row r="678" spans="11:12">
      <c r="K678" s="157"/>
      <c r="L678" s="157"/>
    </row>
    <row r="679" spans="11:12">
      <c r="K679" s="157"/>
      <c r="L679" s="157"/>
    </row>
    <row r="680" spans="11:12">
      <c r="K680" s="157"/>
      <c r="L680" s="157"/>
    </row>
    <row r="681" spans="11:12">
      <c r="K681" s="157"/>
      <c r="L681" s="157"/>
    </row>
    <row r="682" spans="11:12">
      <c r="K682" s="157"/>
      <c r="L682" s="157"/>
    </row>
    <row r="683" spans="11:12">
      <c r="K683" s="157"/>
      <c r="L683" s="157"/>
    </row>
    <row r="684" spans="11:12">
      <c r="K684" s="157"/>
      <c r="L684" s="157"/>
    </row>
    <row r="685" spans="11:12">
      <c r="K685" s="157"/>
      <c r="L685" s="157"/>
    </row>
    <row r="686" spans="11:12">
      <c r="K686" s="157"/>
      <c r="L686" s="157"/>
    </row>
    <row r="687" spans="11:12">
      <c r="K687" s="157"/>
      <c r="L687" s="157"/>
    </row>
    <row r="688" spans="11:12">
      <c r="K688" s="157"/>
      <c r="L688" s="157"/>
    </row>
    <row r="689" spans="11:12">
      <c r="K689" s="157"/>
      <c r="L689" s="157"/>
    </row>
    <row r="690" spans="11:12">
      <c r="K690" s="157"/>
      <c r="L690" s="157"/>
    </row>
    <row r="691" spans="11:12">
      <c r="K691" s="157"/>
      <c r="L691" s="157"/>
    </row>
    <row r="692" spans="11:12">
      <c r="K692" s="157"/>
      <c r="L692" s="157"/>
    </row>
    <row r="693" spans="11:12">
      <c r="K693" s="157"/>
      <c r="L693" s="157"/>
    </row>
    <row r="694" spans="11:12">
      <c r="K694" s="157"/>
      <c r="L694" s="157"/>
    </row>
    <row r="695" spans="11:12">
      <c r="K695" s="157"/>
      <c r="L695" s="157"/>
    </row>
    <row r="696" spans="11:12">
      <c r="K696" s="157"/>
      <c r="L696" s="157"/>
    </row>
    <row r="697" spans="11:12">
      <c r="K697" s="157"/>
      <c r="L697" s="157"/>
    </row>
    <row r="698" spans="11:12">
      <c r="K698" s="157"/>
      <c r="L698" s="157"/>
    </row>
    <row r="699" spans="11:12">
      <c r="K699" s="157"/>
      <c r="L699" s="157"/>
    </row>
    <row r="700" spans="11:12">
      <c r="K700" s="157"/>
      <c r="L700" s="157"/>
    </row>
    <row r="701" spans="11:12">
      <c r="K701" s="157"/>
      <c r="L701" s="157"/>
    </row>
    <row r="702" spans="11:12">
      <c r="K702" s="157"/>
      <c r="L702" s="157"/>
    </row>
    <row r="703" spans="11:12">
      <c r="K703" s="157"/>
      <c r="L703" s="157"/>
    </row>
    <row r="704" spans="11:12">
      <c r="K704" s="157"/>
      <c r="L704" s="157"/>
    </row>
    <row r="705" spans="11:12">
      <c r="K705" s="157"/>
      <c r="L705" s="157"/>
    </row>
    <row r="706" spans="11:12">
      <c r="K706" s="157"/>
      <c r="L706" s="157"/>
    </row>
    <row r="707" spans="11:12">
      <c r="K707" s="157"/>
      <c r="L707" s="157"/>
    </row>
    <row r="708" spans="11:12">
      <c r="K708" s="157"/>
      <c r="L708" s="157"/>
    </row>
    <row r="709" spans="11:12">
      <c r="K709" s="157"/>
      <c r="L709" s="157"/>
    </row>
    <row r="710" spans="11:12">
      <c r="K710" s="157"/>
      <c r="L710" s="157"/>
    </row>
    <row r="711" spans="11:12">
      <c r="K711" s="157"/>
      <c r="L711" s="157"/>
    </row>
    <row r="712" spans="11:12">
      <c r="K712" s="157"/>
      <c r="L712" s="157"/>
    </row>
    <row r="713" spans="11:12">
      <c r="K713" s="157"/>
      <c r="L713" s="157"/>
    </row>
    <row r="714" spans="11:12">
      <c r="K714" s="157"/>
      <c r="L714" s="157"/>
    </row>
    <row r="715" spans="11:12">
      <c r="K715" s="157"/>
      <c r="L715" s="157"/>
    </row>
    <row r="716" spans="11:12">
      <c r="K716" s="157"/>
      <c r="L716" s="157"/>
    </row>
    <row r="717" spans="11:12">
      <c r="K717" s="157"/>
      <c r="L717" s="157"/>
    </row>
    <row r="718" spans="11:12">
      <c r="K718" s="157"/>
      <c r="L718" s="157"/>
    </row>
    <row r="719" spans="11:12">
      <c r="K719" s="157"/>
      <c r="L719" s="157"/>
    </row>
    <row r="720" spans="11:12">
      <c r="K720" s="157"/>
      <c r="L720" s="157"/>
    </row>
    <row r="721" spans="11:12">
      <c r="K721" s="157"/>
      <c r="L721" s="157"/>
    </row>
    <row r="722" spans="11:12">
      <c r="K722" s="157"/>
      <c r="L722" s="157"/>
    </row>
    <row r="723" spans="11:12">
      <c r="K723" s="157"/>
      <c r="L723" s="157"/>
    </row>
    <row r="724" spans="11:12">
      <c r="K724" s="157"/>
      <c r="L724" s="157"/>
    </row>
    <row r="725" spans="11:12">
      <c r="K725" s="157"/>
      <c r="L725" s="157"/>
    </row>
    <row r="726" spans="11:12">
      <c r="K726" s="157"/>
      <c r="L726" s="157"/>
    </row>
    <row r="727" spans="11:12">
      <c r="K727" s="157"/>
      <c r="L727" s="157"/>
    </row>
    <row r="728" spans="11:12">
      <c r="K728" s="157"/>
      <c r="L728" s="157"/>
    </row>
    <row r="729" spans="11:12">
      <c r="K729" s="157"/>
      <c r="L729" s="157"/>
    </row>
    <row r="730" spans="11:12">
      <c r="K730" s="157"/>
      <c r="L730" s="157"/>
    </row>
    <row r="731" spans="11:12">
      <c r="K731" s="157"/>
      <c r="L731" s="157"/>
    </row>
    <row r="732" spans="11:12">
      <c r="K732" s="157"/>
      <c r="L732" s="157"/>
    </row>
    <row r="733" spans="11:12">
      <c r="K733" s="157"/>
      <c r="L733" s="157"/>
    </row>
    <row r="734" spans="11:12">
      <c r="K734" s="157"/>
      <c r="L734" s="157"/>
    </row>
    <row r="735" spans="11:12">
      <c r="K735" s="157"/>
      <c r="L735" s="157"/>
    </row>
    <row r="736" spans="11:12">
      <c r="K736" s="157"/>
      <c r="L736" s="157"/>
    </row>
    <row r="737" spans="11:12">
      <c r="K737" s="157"/>
      <c r="L737" s="157"/>
    </row>
    <row r="738" spans="11:12">
      <c r="K738" s="157"/>
      <c r="L738" s="157"/>
    </row>
    <row r="739" spans="11:12">
      <c r="K739" s="157"/>
      <c r="L739" s="157"/>
    </row>
    <row r="740" spans="11:12">
      <c r="K740" s="157"/>
      <c r="L740" s="157"/>
    </row>
    <row r="741" spans="11:12">
      <c r="K741" s="157"/>
      <c r="L741" s="157"/>
    </row>
    <row r="742" spans="11:12">
      <c r="K742" s="157"/>
      <c r="L742" s="157"/>
    </row>
    <row r="743" spans="11:12">
      <c r="K743" s="157"/>
      <c r="L743" s="157"/>
    </row>
    <row r="744" spans="11:12">
      <c r="K744" s="157"/>
      <c r="L744" s="157"/>
    </row>
    <row r="745" spans="11:12">
      <c r="K745" s="157"/>
      <c r="L745" s="157"/>
    </row>
    <row r="746" spans="11:12">
      <c r="K746" s="157"/>
      <c r="L746" s="157"/>
    </row>
    <row r="747" spans="11:12">
      <c r="K747" s="157"/>
      <c r="L747" s="157"/>
    </row>
    <row r="748" spans="11:12">
      <c r="K748" s="157"/>
      <c r="L748" s="157"/>
    </row>
    <row r="749" spans="11:12">
      <c r="K749" s="157"/>
      <c r="L749" s="157"/>
    </row>
    <row r="750" spans="11:12">
      <c r="K750" s="157"/>
      <c r="L750" s="157"/>
    </row>
    <row r="751" spans="11:12">
      <c r="K751" s="157"/>
      <c r="L751" s="157"/>
    </row>
    <row r="752" spans="11:12">
      <c r="K752" s="157"/>
      <c r="L752" s="157"/>
    </row>
    <row r="753" spans="11:12">
      <c r="K753" s="157"/>
      <c r="L753" s="157"/>
    </row>
    <row r="754" spans="11:12">
      <c r="K754" s="157"/>
      <c r="L754" s="157"/>
    </row>
    <row r="755" spans="11:12">
      <c r="K755" s="157"/>
      <c r="L755" s="157"/>
    </row>
    <row r="756" spans="11:12">
      <c r="K756" s="157"/>
      <c r="L756" s="157"/>
    </row>
    <row r="757" spans="11:12">
      <c r="K757" s="157"/>
      <c r="L757" s="157"/>
    </row>
    <row r="758" spans="11:12">
      <c r="K758" s="157"/>
      <c r="L758" s="157"/>
    </row>
    <row r="759" spans="11:12">
      <c r="K759" s="157"/>
      <c r="L759" s="157"/>
    </row>
    <row r="760" spans="11:12">
      <c r="K760" s="157"/>
      <c r="L760" s="157"/>
    </row>
    <row r="761" spans="11:12">
      <c r="K761" s="157"/>
      <c r="L761" s="157"/>
    </row>
    <row r="762" spans="11:12">
      <c r="K762" s="157"/>
      <c r="L762" s="157"/>
    </row>
    <row r="763" spans="11:12">
      <c r="K763" s="157"/>
      <c r="L763" s="157"/>
    </row>
    <row r="764" spans="11:12">
      <c r="K764" s="157"/>
      <c r="L764" s="157"/>
    </row>
    <row r="765" spans="11:12">
      <c r="K765" s="157"/>
      <c r="L765" s="157"/>
    </row>
    <row r="766" spans="11:12">
      <c r="K766" s="157"/>
      <c r="L766" s="157"/>
    </row>
    <row r="767" spans="11:12">
      <c r="K767" s="157"/>
      <c r="L767" s="157"/>
    </row>
    <row r="768" spans="11:12">
      <c r="K768" s="157"/>
      <c r="L768" s="157"/>
    </row>
    <row r="769" spans="11:12">
      <c r="K769" s="157"/>
      <c r="L769" s="157"/>
    </row>
    <row r="770" spans="11:12">
      <c r="K770" s="157"/>
      <c r="L770" s="157"/>
    </row>
    <row r="771" spans="11:12">
      <c r="K771" s="157"/>
      <c r="L771" s="157"/>
    </row>
    <row r="772" spans="11:12">
      <c r="K772" s="157"/>
      <c r="L772" s="157"/>
    </row>
    <row r="773" spans="11:12">
      <c r="K773" s="157"/>
      <c r="L773" s="157"/>
    </row>
    <row r="774" spans="11:12">
      <c r="K774" s="157"/>
      <c r="L774" s="157"/>
    </row>
    <row r="775" spans="11:12">
      <c r="K775" s="157"/>
      <c r="L775" s="157"/>
    </row>
    <row r="776" spans="11:12">
      <c r="K776" s="157"/>
      <c r="L776" s="157"/>
    </row>
    <row r="777" spans="11:12">
      <c r="K777" s="157"/>
      <c r="L777" s="157"/>
    </row>
    <row r="778" spans="11:12">
      <c r="K778" s="157"/>
      <c r="L778" s="157"/>
    </row>
    <row r="779" spans="11:12">
      <c r="K779" s="157"/>
      <c r="L779" s="157"/>
    </row>
    <row r="780" spans="11:12">
      <c r="K780" s="157"/>
      <c r="L780" s="157"/>
    </row>
    <row r="781" spans="11:12">
      <c r="K781" s="157"/>
      <c r="L781" s="157"/>
    </row>
    <row r="782" spans="11:12">
      <c r="K782" s="157"/>
      <c r="L782" s="157"/>
    </row>
    <row r="783" spans="11:12">
      <c r="K783" s="157"/>
      <c r="L783" s="157"/>
    </row>
    <row r="784" spans="11:12">
      <c r="K784" s="157"/>
      <c r="L784" s="157"/>
    </row>
    <row r="785" spans="11:12">
      <c r="K785" s="157"/>
      <c r="L785" s="157"/>
    </row>
    <row r="786" spans="11:12">
      <c r="K786" s="157"/>
      <c r="L786" s="157"/>
    </row>
    <row r="787" spans="11:12">
      <c r="K787" s="157"/>
      <c r="L787" s="157"/>
    </row>
    <row r="788" spans="11:12">
      <c r="K788" s="157"/>
      <c r="L788" s="157"/>
    </row>
    <row r="789" spans="11:12">
      <c r="K789" s="157"/>
      <c r="L789" s="157"/>
    </row>
    <row r="790" spans="11:12">
      <c r="K790" s="157"/>
      <c r="L790" s="157"/>
    </row>
    <row r="791" spans="11:12">
      <c r="K791" s="157"/>
      <c r="L791" s="157"/>
    </row>
    <row r="792" spans="11:12">
      <c r="K792" s="157"/>
      <c r="L792" s="157"/>
    </row>
    <row r="793" spans="11:12">
      <c r="K793" s="157"/>
      <c r="L793" s="157"/>
    </row>
    <row r="794" spans="11:12">
      <c r="K794" s="157"/>
      <c r="L794" s="157"/>
    </row>
    <row r="795" spans="11:12">
      <c r="K795" s="157"/>
      <c r="L795" s="157"/>
    </row>
    <row r="796" spans="11:12">
      <c r="K796" s="157"/>
      <c r="L796" s="157"/>
    </row>
    <row r="797" spans="11:12">
      <c r="K797" s="157"/>
      <c r="L797" s="157"/>
    </row>
    <row r="798" spans="11:12">
      <c r="K798" s="157"/>
      <c r="L798" s="157"/>
    </row>
    <row r="799" spans="11:12">
      <c r="K799" s="157"/>
      <c r="L799" s="157"/>
    </row>
    <row r="800" spans="11:12">
      <c r="K800" s="157"/>
      <c r="L800" s="157"/>
    </row>
    <row r="801" spans="11:12">
      <c r="K801" s="157"/>
      <c r="L801" s="157"/>
    </row>
    <row r="802" spans="11:12">
      <c r="K802" s="157"/>
      <c r="L802" s="157"/>
    </row>
    <row r="803" spans="11:12">
      <c r="K803" s="157"/>
      <c r="L803" s="157"/>
    </row>
    <row r="804" spans="11:12">
      <c r="K804" s="157"/>
      <c r="L804" s="157"/>
    </row>
    <row r="805" spans="11:12">
      <c r="K805" s="157"/>
      <c r="L805" s="157"/>
    </row>
    <row r="806" spans="11:12">
      <c r="K806" s="157"/>
      <c r="L806" s="157"/>
    </row>
    <row r="807" spans="11:12">
      <c r="K807" s="157"/>
      <c r="L807" s="157"/>
    </row>
    <row r="808" spans="11:12">
      <c r="K808" s="157"/>
      <c r="L808" s="157"/>
    </row>
    <row r="809" spans="11:12">
      <c r="K809" s="157"/>
      <c r="L809" s="157"/>
    </row>
    <row r="810" spans="11:12">
      <c r="K810" s="157"/>
      <c r="L810" s="157"/>
    </row>
    <row r="811" spans="11:12">
      <c r="K811" s="157"/>
      <c r="L811" s="157"/>
    </row>
    <row r="812" spans="11:12">
      <c r="K812" s="157"/>
      <c r="L812" s="157"/>
    </row>
    <row r="813" spans="11:12">
      <c r="K813" s="157"/>
      <c r="L813" s="157"/>
    </row>
    <row r="814" spans="11:12">
      <c r="K814" s="157"/>
      <c r="L814" s="157"/>
    </row>
    <row r="815" spans="11:12">
      <c r="K815" s="157"/>
      <c r="L815" s="157"/>
    </row>
    <row r="816" spans="11:12">
      <c r="K816" s="157"/>
      <c r="L816" s="157"/>
    </row>
    <row r="817" spans="11:12">
      <c r="K817" s="157"/>
      <c r="L817" s="157"/>
    </row>
    <row r="818" spans="11:12">
      <c r="K818" s="157"/>
      <c r="L818" s="157"/>
    </row>
    <row r="819" spans="11:12">
      <c r="K819" s="157"/>
      <c r="L819" s="157"/>
    </row>
    <row r="820" spans="11:12">
      <c r="K820" s="157"/>
      <c r="L820" s="157"/>
    </row>
    <row r="821" spans="11:12">
      <c r="K821" s="157"/>
      <c r="L821" s="157"/>
    </row>
    <row r="822" spans="11:12">
      <c r="K822" s="157"/>
      <c r="L822" s="157"/>
    </row>
    <row r="823" spans="11:12">
      <c r="K823" s="157"/>
      <c r="L823" s="157"/>
    </row>
    <row r="824" spans="11:12">
      <c r="K824" s="157"/>
      <c r="L824" s="157"/>
    </row>
    <row r="825" spans="11:12">
      <c r="K825" s="157"/>
      <c r="L825" s="157"/>
    </row>
    <row r="826" spans="11:12">
      <c r="K826" s="157"/>
      <c r="L826" s="157"/>
    </row>
    <row r="827" spans="11:12">
      <c r="K827" s="157"/>
      <c r="L827" s="157"/>
    </row>
    <row r="828" spans="11:12">
      <c r="K828" s="157"/>
      <c r="L828" s="157"/>
    </row>
    <row r="829" spans="11:12">
      <c r="K829" s="157"/>
      <c r="L829" s="157"/>
    </row>
    <row r="830" spans="11:12">
      <c r="K830" s="157"/>
      <c r="L830" s="157"/>
    </row>
    <row r="831" spans="11:12">
      <c r="K831" s="157"/>
      <c r="L831" s="157"/>
    </row>
    <row r="832" spans="11:12">
      <c r="K832" s="157"/>
      <c r="L832" s="157"/>
    </row>
    <row r="833" spans="11:12">
      <c r="K833" s="157"/>
      <c r="L833" s="157"/>
    </row>
    <row r="834" spans="11:12">
      <c r="K834" s="157"/>
      <c r="L834" s="157"/>
    </row>
    <row r="835" spans="11:12">
      <c r="K835" s="157"/>
      <c r="L835" s="157"/>
    </row>
    <row r="836" spans="11:12">
      <c r="K836" s="157"/>
      <c r="L836" s="157"/>
    </row>
    <row r="837" spans="11:12">
      <c r="K837" s="157"/>
      <c r="L837" s="157"/>
    </row>
    <row r="838" spans="11:12">
      <c r="K838" s="157"/>
      <c r="L838" s="157"/>
    </row>
    <row r="839" spans="11:12">
      <c r="K839" s="157"/>
      <c r="L839" s="157"/>
    </row>
    <row r="840" spans="11:12">
      <c r="K840" s="157"/>
      <c r="L840" s="157"/>
    </row>
    <row r="841" spans="11:12">
      <c r="K841" s="157"/>
      <c r="L841" s="157"/>
    </row>
    <row r="842" spans="11:12">
      <c r="K842" s="157"/>
      <c r="L842" s="157"/>
    </row>
    <row r="843" spans="11:12">
      <c r="K843" s="157"/>
      <c r="L843" s="157"/>
    </row>
    <row r="844" spans="11:12">
      <c r="K844" s="157"/>
      <c r="L844" s="157"/>
    </row>
    <row r="845" spans="11:12">
      <c r="K845" s="157"/>
      <c r="L845" s="157"/>
    </row>
    <row r="846" spans="11:12">
      <c r="K846" s="157"/>
      <c r="L846" s="157"/>
    </row>
    <row r="847" spans="11:12">
      <c r="K847" s="157"/>
      <c r="L847" s="157"/>
    </row>
    <row r="848" spans="11:12">
      <c r="K848" s="157"/>
      <c r="L848" s="157"/>
    </row>
    <row r="849" spans="11:12">
      <c r="K849" s="157"/>
      <c r="L849" s="157"/>
    </row>
    <row r="850" spans="11:12">
      <c r="K850" s="157"/>
      <c r="L850" s="157"/>
    </row>
    <row r="851" spans="11:12">
      <c r="K851" s="157"/>
      <c r="L851" s="157"/>
    </row>
    <row r="852" spans="11:12">
      <c r="K852" s="157"/>
      <c r="L852" s="157"/>
    </row>
    <row r="853" spans="11:12">
      <c r="K853" s="157"/>
      <c r="L853" s="157"/>
    </row>
    <row r="854" spans="11:12">
      <c r="K854" s="157"/>
      <c r="L854" s="157"/>
    </row>
    <row r="855" spans="11:12">
      <c r="K855" s="157"/>
      <c r="L855" s="157"/>
    </row>
    <row r="856" spans="11:12">
      <c r="K856" s="157"/>
      <c r="L856" s="157"/>
    </row>
    <row r="857" spans="11:12">
      <c r="K857" s="157"/>
      <c r="L857" s="157"/>
    </row>
    <row r="858" spans="11:12">
      <c r="K858" s="157"/>
      <c r="L858" s="157"/>
    </row>
    <row r="859" spans="11:12">
      <c r="K859" s="157"/>
      <c r="L859" s="157"/>
    </row>
    <row r="860" spans="11:12">
      <c r="K860" s="157"/>
      <c r="L860" s="157"/>
    </row>
    <row r="861" spans="11:12">
      <c r="K861" s="157"/>
      <c r="L861" s="157"/>
    </row>
    <row r="862" spans="11:12">
      <c r="K862" s="157"/>
      <c r="L862" s="157"/>
    </row>
    <row r="863" spans="11:12">
      <c r="K863" s="157"/>
      <c r="L863" s="157"/>
    </row>
    <row r="864" spans="11:12">
      <c r="K864" s="157"/>
      <c r="L864" s="157"/>
    </row>
    <row r="865" spans="11:12">
      <c r="K865" s="157"/>
      <c r="L865" s="157"/>
    </row>
    <row r="866" spans="11:12">
      <c r="K866" s="157"/>
      <c r="L866" s="157"/>
    </row>
    <row r="867" spans="11:12">
      <c r="K867" s="157"/>
      <c r="L867" s="157"/>
    </row>
    <row r="868" spans="11:12">
      <c r="K868" s="157"/>
      <c r="L868" s="157"/>
    </row>
    <row r="869" spans="11:12">
      <c r="K869" s="157"/>
      <c r="L869" s="157"/>
    </row>
    <row r="870" spans="11:12">
      <c r="K870" s="157"/>
      <c r="L870" s="157"/>
    </row>
    <row r="871" spans="11:12">
      <c r="K871" s="157"/>
      <c r="L871" s="157"/>
    </row>
    <row r="872" spans="11:12">
      <c r="K872" s="157"/>
      <c r="L872" s="157"/>
    </row>
    <row r="873" spans="11:12">
      <c r="K873" s="157"/>
      <c r="L873" s="157"/>
    </row>
    <row r="874" spans="11:12">
      <c r="K874" s="157"/>
      <c r="L874" s="157"/>
    </row>
    <row r="875" spans="11:12">
      <c r="K875" s="157"/>
      <c r="L875" s="157"/>
    </row>
    <row r="876" spans="11:12">
      <c r="K876" s="157"/>
      <c r="L876" s="157"/>
    </row>
    <row r="877" spans="11:12">
      <c r="K877" s="157"/>
      <c r="L877" s="157"/>
    </row>
    <row r="878" spans="11:12">
      <c r="K878" s="157"/>
      <c r="L878" s="157"/>
    </row>
    <row r="879" spans="11:12">
      <c r="K879" s="157"/>
      <c r="L879" s="157"/>
    </row>
    <row r="880" spans="11:12">
      <c r="K880" s="157"/>
      <c r="L880" s="157"/>
    </row>
    <row r="881" spans="11:12">
      <c r="K881" s="157"/>
      <c r="L881" s="157"/>
    </row>
    <row r="882" spans="11:12">
      <c r="K882" s="157"/>
      <c r="L882" s="157"/>
    </row>
    <row r="883" spans="11:12">
      <c r="K883" s="157"/>
      <c r="L883" s="157"/>
    </row>
    <row r="884" spans="11:12">
      <c r="K884" s="157"/>
      <c r="L884" s="157"/>
    </row>
    <row r="885" spans="11:12">
      <c r="K885" s="157"/>
      <c r="L885" s="157"/>
    </row>
    <row r="886" spans="11:12">
      <c r="K886" s="157"/>
      <c r="L886" s="157"/>
    </row>
    <row r="887" spans="11:12">
      <c r="K887" s="157"/>
      <c r="L887" s="157"/>
    </row>
    <row r="888" spans="11:12">
      <c r="K888" s="157"/>
      <c r="L888" s="157"/>
    </row>
    <row r="889" spans="11:12">
      <c r="K889" s="157"/>
      <c r="L889" s="157"/>
    </row>
    <row r="890" spans="11:12">
      <c r="K890" s="157"/>
      <c r="L890" s="157"/>
    </row>
    <row r="891" spans="11:12">
      <c r="K891" s="157"/>
      <c r="L891" s="157"/>
    </row>
    <row r="892" spans="11:12">
      <c r="K892" s="157"/>
      <c r="L892" s="157"/>
    </row>
    <row r="893" spans="11:12">
      <c r="K893" s="157"/>
      <c r="L893" s="157"/>
    </row>
    <row r="894" spans="11:12">
      <c r="K894" s="157"/>
      <c r="L894" s="157"/>
    </row>
    <row r="895" spans="11:12">
      <c r="K895" s="157"/>
      <c r="L895" s="157"/>
    </row>
    <row r="896" spans="11:12">
      <c r="K896" s="157"/>
      <c r="L896" s="157"/>
    </row>
    <row r="897" spans="11:12">
      <c r="K897" s="157"/>
      <c r="L897" s="157"/>
    </row>
    <row r="898" spans="11:12">
      <c r="K898" s="157"/>
      <c r="L898" s="157"/>
    </row>
    <row r="899" spans="11:12">
      <c r="K899" s="157"/>
      <c r="L899" s="157"/>
    </row>
    <row r="900" spans="11:12">
      <c r="K900" s="157"/>
      <c r="L900" s="157"/>
    </row>
    <row r="901" spans="11:12">
      <c r="K901" s="157"/>
      <c r="L901" s="157"/>
    </row>
    <row r="902" spans="11:12">
      <c r="K902" s="157"/>
      <c r="L902" s="157"/>
    </row>
    <row r="903" spans="11:12">
      <c r="K903" s="157"/>
      <c r="L903" s="157"/>
    </row>
    <row r="904" spans="11:12">
      <c r="K904" s="157"/>
      <c r="L904" s="157"/>
    </row>
    <row r="905" spans="11:12">
      <c r="K905" s="157"/>
      <c r="L905" s="157"/>
    </row>
    <row r="906" spans="11:12">
      <c r="K906" s="157"/>
      <c r="L906" s="157"/>
    </row>
    <row r="907" spans="11:12">
      <c r="K907" s="157"/>
      <c r="L907" s="157"/>
    </row>
    <row r="908" spans="11:12">
      <c r="K908" s="157"/>
      <c r="L908" s="157"/>
    </row>
    <row r="909" spans="11:12">
      <c r="K909" s="157"/>
      <c r="L909" s="157"/>
    </row>
    <row r="910" spans="11:12">
      <c r="K910" s="157"/>
      <c r="L910" s="157"/>
    </row>
    <row r="911" spans="11:12">
      <c r="K911" s="157"/>
      <c r="L911" s="157"/>
    </row>
    <row r="912" spans="11:12">
      <c r="K912" s="157"/>
      <c r="L912" s="157"/>
    </row>
    <row r="913" spans="11:12">
      <c r="K913" s="157"/>
      <c r="L913" s="157"/>
    </row>
    <row r="914" spans="11:12">
      <c r="K914" s="157"/>
      <c r="L914" s="157"/>
    </row>
    <row r="915" spans="11:12">
      <c r="K915" s="157"/>
      <c r="L915" s="157"/>
    </row>
    <row r="916" spans="11:12">
      <c r="K916" s="157"/>
      <c r="L916" s="157"/>
    </row>
    <row r="917" spans="11:12">
      <c r="K917" s="157"/>
      <c r="L917" s="157"/>
    </row>
    <row r="918" spans="11:12">
      <c r="K918" s="157"/>
      <c r="L918" s="157"/>
    </row>
    <row r="919" spans="11:12">
      <c r="K919" s="157"/>
      <c r="L919" s="157"/>
    </row>
    <row r="920" spans="11:12">
      <c r="K920" s="157"/>
      <c r="L920" s="157"/>
    </row>
    <row r="921" spans="11:12">
      <c r="K921" s="157"/>
      <c r="L921" s="157"/>
    </row>
    <row r="922" spans="11:12">
      <c r="K922" s="157"/>
      <c r="L922" s="157"/>
    </row>
    <row r="923" spans="11:12">
      <c r="K923" s="157"/>
      <c r="L923" s="157"/>
    </row>
    <row r="924" spans="11:12">
      <c r="K924" s="157"/>
      <c r="L924" s="157"/>
    </row>
    <row r="925" spans="11:12">
      <c r="K925" s="157"/>
      <c r="L925" s="157"/>
    </row>
    <row r="926" spans="11:12">
      <c r="K926" s="157"/>
      <c r="L926" s="157"/>
    </row>
    <row r="927" spans="11:12">
      <c r="K927" s="157"/>
      <c r="L927" s="157"/>
    </row>
    <row r="928" spans="11:12">
      <c r="K928" s="157"/>
      <c r="L928" s="157"/>
    </row>
    <row r="929" spans="11:12">
      <c r="K929" s="157"/>
      <c r="L929" s="157"/>
    </row>
    <row r="930" spans="11:12">
      <c r="K930" s="157"/>
      <c r="L930" s="157"/>
    </row>
    <row r="931" spans="11:12">
      <c r="K931" s="157"/>
      <c r="L931" s="157"/>
    </row>
    <row r="932" spans="11:12">
      <c r="K932" s="157"/>
      <c r="L932" s="157"/>
    </row>
    <row r="933" spans="11:12">
      <c r="K933" s="157"/>
      <c r="L933" s="157"/>
    </row>
    <row r="934" spans="11:12">
      <c r="K934" s="157"/>
      <c r="L934" s="157"/>
    </row>
    <row r="935" spans="11:12">
      <c r="K935" s="157"/>
      <c r="L935" s="157"/>
    </row>
    <row r="936" spans="11:12">
      <c r="K936" s="157"/>
      <c r="L936" s="157"/>
    </row>
    <row r="937" spans="11:12">
      <c r="K937" s="157"/>
      <c r="L937" s="157"/>
    </row>
    <row r="938" spans="11:12">
      <c r="K938" s="157"/>
      <c r="L938" s="157"/>
    </row>
    <row r="939" spans="11:12">
      <c r="K939" s="157"/>
      <c r="L939" s="157"/>
    </row>
    <row r="940" spans="11:12">
      <c r="K940" s="157"/>
      <c r="L940" s="157"/>
    </row>
    <row r="941" spans="11:12">
      <c r="K941" s="157"/>
      <c r="L941" s="157"/>
    </row>
    <row r="942" spans="11:12">
      <c r="K942" s="157"/>
      <c r="L942" s="157"/>
    </row>
    <row r="943" spans="11:12">
      <c r="K943" s="157"/>
      <c r="L943" s="157"/>
    </row>
    <row r="944" spans="11:12">
      <c r="K944" s="157"/>
      <c r="L944" s="157"/>
    </row>
    <row r="945" spans="11:12">
      <c r="K945" s="157"/>
      <c r="L945" s="157"/>
    </row>
    <row r="946" spans="11:12">
      <c r="K946" s="157"/>
      <c r="L946" s="157"/>
    </row>
    <row r="947" spans="11:12">
      <c r="K947" s="157"/>
      <c r="L947" s="157"/>
    </row>
    <row r="948" spans="11:12">
      <c r="K948" s="157"/>
      <c r="L948" s="157"/>
    </row>
    <row r="949" spans="11:12">
      <c r="K949" s="157"/>
      <c r="L949" s="157"/>
    </row>
    <row r="950" spans="11:12">
      <c r="K950" s="157"/>
      <c r="L950" s="157"/>
    </row>
    <row r="951" spans="11:12">
      <c r="K951" s="157"/>
      <c r="L951" s="157"/>
    </row>
    <row r="952" spans="11:12">
      <c r="K952" s="157"/>
      <c r="L952" s="157"/>
    </row>
    <row r="953" spans="11:12">
      <c r="K953" s="157"/>
      <c r="L953" s="157"/>
    </row>
    <row r="954" spans="11:12">
      <c r="K954" s="157"/>
      <c r="L954" s="157"/>
    </row>
    <row r="955" spans="11:12">
      <c r="K955" s="157"/>
      <c r="L955" s="157"/>
    </row>
    <row r="956" spans="11:12">
      <c r="K956" s="157"/>
      <c r="L956" s="157"/>
    </row>
    <row r="957" spans="11:12">
      <c r="K957" s="157"/>
      <c r="L957" s="157"/>
    </row>
    <row r="958" spans="11:12">
      <c r="K958" s="157"/>
      <c r="L958" s="157"/>
    </row>
    <row r="959" spans="11:12">
      <c r="K959" s="157"/>
      <c r="L959" s="157"/>
    </row>
    <row r="960" spans="11:12">
      <c r="K960" s="157"/>
      <c r="L960" s="157"/>
    </row>
    <row r="961" spans="11:12">
      <c r="K961" s="157"/>
      <c r="L961" s="157"/>
    </row>
    <row r="962" spans="11:12">
      <c r="K962" s="157"/>
      <c r="L962" s="157"/>
    </row>
    <row r="963" spans="11:12">
      <c r="K963" s="157"/>
      <c r="L963" s="157"/>
    </row>
    <row r="964" spans="11:12">
      <c r="K964" s="157"/>
      <c r="L964" s="157"/>
    </row>
    <row r="965" spans="11:12">
      <c r="K965" s="157"/>
      <c r="L965" s="157"/>
    </row>
    <row r="966" spans="11:12">
      <c r="K966" s="157"/>
      <c r="L966" s="157"/>
    </row>
    <row r="967" spans="11:12">
      <c r="K967" s="157"/>
      <c r="L967" s="157"/>
    </row>
    <row r="968" spans="11:12">
      <c r="K968" s="157"/>
      <c r="L968" s="157"/>
    </row>
    <row r="969" spans="11:12">
      <c r="K969" s="157"/>
      <c r="L969" s="157"/>
    </row>
    <row r="970" spans="11:12">
      <c r="K970" s="157"/>
      <c r="L970" s="157"/>
    </row>
    <row r="971" spans="11:12">
      <c r="K971" s="157"/>
      <c r="L971" s="157"/>
    </row>
    <row r="972" spans="11:12">
      <c r="K972" s="157"/>
      <c r="L972" s="157"/>
    </row>
    <row r="973" spans="11:12">
      <c r="K973" s="157"/>
      <c r="L973" s="157"/>
    </row>
    <row r="974" spans="11:12">
      <c r="K974" s="157"/>
      <c r="L974" s="157"/>
    </row>
    <row r="975" spans="11:12">
      <c r="K975" s="157"/>
      <c r="L975" s="157"/>
    </row>
    <row r="976" spans="11:12">
      <c r="K976" s="157"/>
      <c r="L976" s="157"/>
    </row>
    <row r="977" spans="11:12">
      <c r="K977" s="157"/>
      <c r="L977" s="157"/>
    </row>
    <row r="978" spans="11:12">
      <c r="K978" s="157"/>
      <c r="L978" s="157"/>
    </row>
    <row r="979" spans="11:12">
      <c r="K979" s="157"/>
      <c r="L979" s="157"/>
    </row>
    <row r="980" spans="11:12">
      <c r="K980" s="157"/>
      <c r="L980" s="157"/>
    </row>
    <row r="981" spans="11:12">
      <c r="K981" s="157"/>
      <c r="L981" s="157"/>
    </row>
    <row r="982" spans="11:12">
      <c r="K982" s="157"/>
      <c r="L982" s="157"/>
    </row>
    <row r="983" spans="11:12">
      <c r="K983" s="157"/>
      <c r="L983" s="157"/>
    </row>
    <row r="984" spans="11:12">
      <c r="K984" s="157"/>
      <c r="L984" s="157"/>
    </row>
    <row r="985" spans="11:12">
      <c r="K985" s="157"/>
      <c r="L985" s="157"/>
    </row>
    <row r="986" spans="11:12">
      <c r="K986" s="157"/>
      <c r="L986" s="157"/>
    </row>
    <row r="987" spans="11:12">
      <c r="K987" s="157"/>
      <c r="L987" s="157"/>
    </row>
    <row r="988" spans="11:12">
      <c r="K988" s="157"/>
      <c r="L988" s="157"/>
    </row>
    <row r="989" spans="11:12">
      <c r="K989" s="157"/>
      <c r="L989" s="157"/>
    </row>
    <row r="990" spans="11:12">
      <c r="K990" s="157"/>
      <c r="L990" s="157"/>
    </row>
    <row r="991" spans="11:12">
      <c r="K991" s="157"/>
      <c r="L991" s="157"/>
    </row>
    <row r="992" spans="11:12">
      <c r="K992" s="157"/>
      <c r="L992" s="157"/>
    </row>
    <row r="993" spans="11:12">
      <c r="K993" s="157"/>
      <c r="L993" s="157"/>
    </row>
    <row r="994" spans="11:12">
      <c r="K994" s="157"/>
      <c r="L994" s="157"/>
    </row>
    <row r="995" spans="11:12">
      <c r="K995" s="157"/>
      <c r="L995" s="157"/>
    </row>
    <row r="996" spans="11:12">
      <c r="K996" s="157"/>
      <c r="L996" s="157"/>
    </row>
    <row r="997" spans="11:12">
      <c r="K997" s="157"/>
      <c r="L997" s="157"/>
    </row>
    <row r="998" spans="11:12">
      <c r="K998" s="157"/>
      <c r="L998" s="157"/>
    </row>
    <row r="999" spans="11:12">
      <c r="K999" s="157"/>
      <c r="L999" s="157"/>
    </row>
    <row r="1000" spans="11:12">
      <c r="K1000" s="157"/>
      <c r="L1000" s="157"/>
    </row>
    <row r="1001" spans="11:12">
      <c r="K1001" s="157"/>
      <c r="L1001" s="157"/>
    </row>
    <row r="1002" spans="11:12">
      <c r="K1002" s="157"/>
      <c r="L1002" s="157"/>
    </row>
    <row r="1003" spans="11:12">
      <c r="K1003" s="157"/>
      <c r="L1003" s="157"/>
    </row>
    <row r="1004" spans="11:12">
      <c r="K1004" s="157"/>
      <c r="L1004" s="157"/>
    </row>
    <row r="1005" spans="11:12">
      <c r="K1005" s="157"/>
      <c r="L1005" s="157"/>
    </row>
    <row r="1006" spans="11:12">
      <c r="K1006" s="157"/>
      <c r="L1006" s="157"/>
    </row>
    <row r="1007" spans="11:12">
      <c r="K1007" s="157"/>
      <c r="L1007" s="157"/>
    </row>
    <row r="1008" spans="11:12">
      <c r="K1008" s="157"/>
      <c r="L1008" s="157"/>
    </row>
    <row r="1009" spans="11:12">
      <c r="K1009" s="157"/>
      <c r="L1009" s="157"/>
    </row>
    <row r="1010" spans="11:12">
      <c r="K1010" s="157"/>
      <c r="L1010" s="157"/>
    </row>
    <row r="1011" spans="11:12">
      <c r="K1011" s="157"/>
      <c r="L1011" s="157"/>
    </row>
    <row r="1012" spans="11:12">
      <c r="K1012" s="157"/>
      <c r="L1012" s="157"/>
    </row>
    <row r="1013" spans="11:12">
      <c r="K1013" s="157"/>
      <c r="L1013" s="157"/>
    </row>
    <row r="1014" spans="11:12">
      <c r="K1014" s="157"/>
      <c r="L1014" s="157"/>
    </row>
    <row r="1015" spans="11:12">
      <c r="K1015" s="157"/>
      <c r="L1015" s="157"/>
    </row>
    <row r="1016" spans="11:12">
      <c r="K1016" s="157"/>
      <c r="L1016" s="157"/>
    </row>
  </sheetData>
  <phoneticPr fontId="7" type="noConversion"/>
  <conditionalFormatting sqref="B266:B1048576 B1:B2">
    <cfRule type="duplicateValues" dxfId="1" priority="2"/>
  </conditionalFormatting>
  <conditionalFormatting sqref="A1:A1048576">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80" bestFit="1" customWidth="1"/>
    <col min="2" max="2" width="12.140625" style="180" bestFit="1" customWidth="1"/>
    <col min="3" max="3" width="45.28515625" style="180" bestFit="1" customWidth="1"/>
    <col min="4" max="4" width="10.28515625" style="180" bestFit="1" customWidth="1"/>
    <col min="5" max="6" width="8.42578125" style="180" bestFit="1" customWidth="1"/>
    <col min="7" max="8" width="10.28515625" style="180" bestFit="1" customWidth="1"/>
    <col min="9" max="9" width="10.28515625" style="180" customWidth="1"/>
    <col min="10" max="10" width="6.42578125" style="180" customWidth="1"/>
    <col min="11" max="11" width="16.42578125" style="180" bestFit="1" customWidth="1"/>
    <col min="12" max="16384" width="17.28515625" style="180"/>
  </cols>
  <sheetData>
    <row r="1" spans="1:11">
      <c r="A1" s="179" t="s">
        <v>27</v>
      </c>
      <c r="B1" s="179" t="s">
        <v>29</v>
      </c>
      <c r="C1" s="179" t="s">
        <v>30</v>
      </c>
      <c r="D1" s="179" t="s">
        <v>31</v>
      </c>
      <c r="E1" s="179" t="s">
        <v>32</v>
      </c>
      <c r="F1" s="179" t="s">
        <v>33</v>
      </c>
      <c r="G1" s="179" t="s">
        <v>34</v>
      </c>
      <c r="H1" s="179" t="s">
        <v>35</v>
      </c>
      <c r="I1" s="179" t="s">
        <v>36</v>
      </c>
      <c r="J1" s="179"/>
      <c r="K1" s="179" t="s">
        <v>83</v>
      </c>
    </row>
    <row r="2" spans="1:11">
      <c r="A2" s="202" t="s">
        <v>84</v>
      </c>
      <c r="B2" s="181" t="s">
        <v>1</v>
      </c>
      <c r="C2" s="181" t="s">
        <v>1494</v>
      </c>
      <c r="D2" s="181" t="str">
        <f>PlayerAbilities!C2</f>
        <v>盾牌格档</v>
      </c>
      <c r="E2" s="181" t="str">
        <f>PlayerAbilities!C5</f>
        <v>阳炎风暴</v>
      </c>
      <c r="F2" s="181" t="str">
        <f>PlayerAbilities!C8</f>
        <v>秘法震击</v>
      </c>
      <c r="G2" s="181" t="str">
        <f>PlayerAbilities!C11</f>
        <v>纷争</v>
      </c>
      <c r="H2" s="181" t="str">
        <f>PlayerAbilities!C14</f>
        <v>辛多雷之盾</v>
      </c>
      <c r="I2" s="181"/>
      <c r="J2" s="181"/>
      <c r="K2" s="181"/>
    </row>
    <row r="3" spans="1:11">
      <c r="A3" s="203"/>
      <c r="B3" s="181" t="s">
        <v>381</v>
      </c>
      <c r="C3" s="181" t="s">
        <v>1495</v>
      </c>
      <c r="D3" s="181" t="str">
        <f>PlayerAbilities!C17</f>
        <v>割伤</v>
      </c>
      <c r="E3" s="181" t="str">
        <f>PlayerAbilities!C20</f>
        <v>野蛮咆哮</v>
      </c>
      <c r="F3" s="181" t="str">
        <f>PlayerAbilities!C23</f>
        <v>丛林治愈</v>
      </c>
      <c r="G3" s="181" t="str">
        <f>PlayerAbilities!C26</f>
        <v>自然反射</v>
      </c>
      <c r="H3" s="181" t="str">
        <f>PlayerAbilities!C29</f>
        <v>生存本能</v>
      </c>
      <c r="I3" s="181"/>
      <c r="J3" s="181"/>
      <c r="K3" s="181"/>
    </row>
    <row r="4" spans="1:11">
      <c r="A4" s="204" t="s">
        <v>483</v>
      </c>
      <c r="B4" s="182" t="s">
        <v>37</v>
      </c>
      <c r="C4" s="182" t="s">
        <v>509</v>
      </c>
      <c r="D4" s="182" t="str">
        <f>PlayerAbilities!C32</f>
        <v>生命绽放</v>
      </c>
      <c r="E4" s="182" t="str">
        <f>PlayerAbilities!C35</f>
        <v>回春术</v>
      </c>
      <c r="F4" s="182" t="str">
        <f>PlayerAbilities!C38</f>
        <v>愈合</v>
      </c>
      <c r="G4" s="182" t="str">
        <f>PlayerAbilities!C41</f>
        <v>迅捷治愈</v>
      </c>
      <c r="H4" s="182" t="str">
        <f>PlayerAbilities!C44</f>
        <v>宁静</v>
      </c>
      <c r="I4" s="182"/>
      <c r="J4" s="182"/>
      <c r="K4" s="182"/>
    </row>
    <row r="5" spans="1:11">
      <c r="A5" s="203"/>
      <c r="B5" s="182" t="s">
        <v>55</v>
      </c>
      <c r="C5" s="182" t="s">
        <v>512</v>
      </c>
      <c r="D5" s="182" t="str">
        <f>PlayerAbilities!C47</f>
        <v>闪耀之光</v>
      </c>
      <c r="E5" s="182" t="str">
        <f>PlayerAbilities!C50</f>
        <v>圣光术</v>
      </c>
      <c r="F5" s="182" t="str">
        <f>PlayerAbilities!C53</f>
        <v>神圣震击</v>
      </c>
      <c r="G5" s="182" t="str">
        <f>PlayerAbilities!C56</f>
        <v>神恩</v>
      </c>
      <c r="H5" s="182" t="str">
        <f>PlayerAbilities!C59</f>
        <v>圣光印记</v>
      </c>
      <c r="I5" s="182"/>
      <c r="J5" s="182"/>
      <c r="K5" s="182"/>
    </row>
    <row r="6" spans="1:11">
      <c r="A6" s="203"/>
      <c r="B6" s="182" t="s">
        <v>104</v>
      </c>
      <c r="C6" s="182" t="s">
        <v>524</v>
      </c>
      <c r="D6" s="182" t="str">
        <f>PlayerAbilities!C62</f>
        <v>医疗术</v>
      </c>
      <c r="E6" s="182" t="str">
        <f>PlayerAbilities!C74</f>
        <v>驱魔</v>
      </c>
      <c r="F6" s="182" t="str">
        <f>PlayerAbilities!C68</f>
        <v>护盾术</v>
      </c>
      <c r="G6" s="182" t="str">
        <f>PlayerAbilities!C71</f>
        <v>愈合祷言</v>
      </c>
      <c r="H6" s="182" t="str">
        <f>PlayerAbilities!C65</f>
        <v>治疗祷言</v>
      </c>
      <c r="I6" s="182"/>
      <c r="J6" s="182"/>
      <c r="K6" s="182"/>
    </row>
    <row r="7" spans="1:11">
      <c r="A7" s="205" t="s">
        <v>529</v>
      </c>
      <c r="B7" s="183" t="s">
        <v>170</v>
      </c>
      <c r="C7" s="183" t="s">
        <v>533</v>
      </c>
      <c r="D7" s="183" t="str">
        <f>PlayerAbilities!C97</f>
        <v>英勇打击</v>
      </c>
      <c r="E7" s="183" t="str">
        <f>PlayerAbilities!C100</f>
        <v>撕裂</v>
      </c>
      <c r="F7" s="183" t="str">
        <f>PlayerAbilities!C103</f>
        <v>压制</v>
      </c>
      <c r="G7" s="183" t="str">
        <f>PlayerAbilities!C106</f>
        <v>致死打击</v>
      </c>
      <c r="H7" s="183" t="str">
        <f>PlayerAbilities!C109</f>
        <v>斩杀</v>
      </c>
      <c r="I7" s="183"/>
      <c r="J7" s="183"/>
      <c r="K7" s="183"/>
    </row>
    <row r="8" spans="1:11">
      <c r="A8" s="203"/>
      <c r="B8" s="183" t="s">
        <v>126</v>
      </c>
      <c r="C8" s="183" t="s">
        <v>544</v>
      </c>
      <c r="D8" s="183" t="str">
        <f>PlayerAbilities!C77</f>
        <v>黑箭</v>
      </c>
      <c r="E8" s="183" t="str">
        <f>PlayerAbilities!C80</f>
        <v>专注</v>
      </c>
      <c r="F8" s="183" t="str">
        <f>PlayerAbilities!C83</f>
        <v>冰冻陷阱</v>
      </c>
      <c r="G8" s="183" t="str">
        <f>PlayerAbilities!C86</f>
        <v>女妖之力</v>
      </c>
      <c r="H8" s="183" t="str">
        <f>PlayerAbilities!C89</f>
        <v>死亡契约</v>
      </c>
      <c r="I8" s="183" t="str">
        <f>PlayerAbilities!C92</f>
        <v>食尸鬼仆从</v>
      </c>
      <c r="J8" s="183"/>
      <c r="K8" s="183" t="s">
        <v>545</v>
      </c>
    </row>
    <row r="9" spans="1:11">
      <c r="A9" s="203"/>
      <c r="B9" s="183" t="s">
        <v>362</v>
      </c>
      <c r="C9" s="183" t="s">
        <v>546</v>
      </c>
      <c r="D9" s="183" t="str">
        <f>PlayerAbilities!C143</f>
        <v>邪恶攻击</v>
      </c>
      <c r="E9" s="183" t="str">
        <f>PlayerAbilities!C146</f>
        <v>剔骨</v>
      </c>
      <c r="F9" s="183" t="str">
        <f>PlayerAbilities!C149</f>
        <v>突袭</v>
      </c>
      <c r="G9" s="183" t="str">
        <f>PlayerAbilities!C152</f>
        <v>剑舞</v>
      </c>
      <c r="H9" s="183" t="str">
        <f>PlayerAbilities!C155</f>
        <v>潜行</v>
      </c>
      <c r="I9" s="183"/>
      <c r="J9" s="183"/>
      <c r="K9" s="183" t="s">
        <v>547</v>
      </c>
    </row>
    <row r="10" spans="1:11">
      <c r="A10" s="203"/>
      <c r="B10" s="183" t="s">
        <v>195</v>
      </c>
      <c r="C10" s="183" t="s">
        <v>548</v>
      </c>
      <c r="D10" s="183" t="str">
        <f>PlayerAbilities!C112</f>
        <v>寒冰箭</v>
      </c>
      <c r="E10" s="183" t="str">
        <f>PlayerAbilities!C115</f>
        <v>暴风雪</v>
      </c>
      <c r="F10" s="183" t="str">
        <f>PlayerAbilities!C118</f>
        <v>冰冻新星</v>
      </c>
      <c r="G10" s="183" t="str">
        <f>PlayerAbilities!C121</f>
        <v>变形术</v>
      </c>
      <c r="H10" s="183" t="str">
        <f>PlayerAbilities!C124</f>
        <v>法术转移</v>
      </c>
      <c r="I10" s="183" t="str">
        <f>PlayerAbilities!C127</f>
        <v>智慧导能</v>
      </c>
      <c r="J10" s="183"/>
      <c r="K10" s="183"/>
    </row>
    <row r="11" spans="1:11">
      <c r="A11" s="203"/>
      <c r="B11" s="183" t="s">
        <v>249</v>
      </c>
      <c r="C11" s="183" t="s">
        <v>549</v>
      </c>
      <c r="D11" s="183" t="str">
        <f>PlayerAbilities!C128</f>
        <v>风暴鞭笞</v>
      </c>
      <c r="E11" s="183" t="str">
        <f>PlayerAbilities!C131</f>
        <v>大地震击</v>
      </c>
      <c r="F11" s="183" t="str">
        <f>PlayerAbilities!C134</f>
        <v>净化术</v>
      </c>
      <c r="G11" s="183" t="str">
        <f>PlayerAbilities!C137</f>
        <v>附魔图腾</v>
      </c>
      <c r="H11" s="183" t="str">
        <f>PlayerAbilities!C140</f>
        <v>升腾</v>
      </c>
      <c r="I11" s="183"/>
      <c r="J11" s="183"/>
      <c r="K11" s="183"/>
    </row>
    <row r="12" spans="1:11">
      <c r="A12" s="203"/>
      <c r="B12" s="183" t="s">
        <v>453</v>
      </c>
      <c r="C12" s="183" t="s">
        <v>550</v>
      </c>
      <c r="D12" s="183" t="str">
        <f>PlayerAbilities!C158</f>
        <v>暗言字：痛</v>
      </c>
      <c r="E12" s="183" t="str">
        <f>PlayerAbilities!C161</f>
        <v>精髓榨取</v>
      </c>
      <c r="F12" s="183" t="str">
        <f>PlayerAbilities!C164</f>
        <v>精神鞭笞</v>
      </c>
      <c r="G12" s="183" t="str">
        <f>PlayerAbilities!C167</f>
        <v>暗言字：死</v>
      </c>
      <c r="H12" s="183" t="str">
        <f>PlayerAbilities!C170</f>
        <v>暗言字：惧</v>
      </c>
      <c r="I12" s="183"/>
      <c r="J12" s="183"/>
      <c r="K12" s="183"/>
    </row>
    <row r="13" spans="1:11">
      <c r="A13" s="179"/>
      <c r="B13" s="179"/>
      <c r="C13" s="179"/>
      <c r="D13" s="179"/>
      <c r="E13" s="179"/>
      <c r="F13" s="179"/>
      <c r="G13" s="179"/>
      <c r="H13" s="179"/>
      <c r="I13" s="179"/>
      <c r="J13" s="179"/>
      <c r="K13" s="179"/>
    </row>
    <row r="14" spans="1:11">
      <c r="A14" s="155" t="s">
        <v>2162</v>
      </c>
      <c r="B14" s="179"/>
      <c r="C14" s="179"/>
      <c r="D14" s="179"/>
      <c r="E14" s="179"/>
      <c r="F14" s="179"/>
      <c r="G14" s="179"/>
      <c r="H14" s="179"/>
      <c r="I14" s="179"/>
      <c r="J14" s="179"/>
      <c r="K14" s="179"/>
    </row>
    <row r="15" spans="1:11">
      <c r="A15" s="155" t="s">
        <v>2163</v>
      </c>
      <c r="B15" s="179"/>
      <c r="C15" s="179"/>
      <c r="D15" s="179"/>
      <c r="E15" s="179"/>
      <c r="F15" s="179"/>
      <c r="G15" s="179"/>
      <c r="H15" s="179"/>
      <c r="I15" s="179"/>
      <c r="J15" s="179"/>
      <c r="K15" s="179"/>
    </row>
    <row r="16" spans="1:11">
      <c r="A16" s="155"/>
      <c r="B16" s="179"/>
      <c r="C16" s="179"/>
      <c r="D16" s="179"/>
      <c r="E16" s="179"/>
      <c r="F16" s="179"/>
      <c r="G16" s="179"/>
      <c r="H16" s="179"/>
      <c r="I16" s="179"/>
      <c r="J16" s="179"/>
      <c r="K16" s="179"/>
    </row>
    <row r="17" spans="1:11">
      <c r="A17" s="155" t="s">
        <v>2164</v>
      </c>
      <c r="B17" s="179"/>
      <c r="C17" s="179"/>
      <c r="D17" s="179"/>
      <c r="E17" s="179"/>
      <c r="F17" s="179"/>
      <c r="G17" s="179"/>
      <c r="H17" s="179"/>
      <c r="I17" s="179"/>
      <c r="J17" s="179"/>
      <c r="K17" s="179"/>
    </row>
    <row r="18" spans="1:11">
      <c r="A18" s="155" t="s">
        <v>2165</v>
      </c>
      <c r="B18" s="179"/>
      <c r="C18" s="179"/>
      <c r="D18" s="179"/>
      <c r="E18" s="179"/>
      <c r="F18" s="179"/>
      <c r="G18" s="179"/>
      <c r="H18" s="179"/>
      <c r="I18" s="179"/>
      <c r="J18" s="179"/>
      <c r="K18" s="179"/>
    </row>
    <row r="19" spans="1:11">
      <c r="A19" s="155" t="s">
        <v>2166</v>
      </c>
      <c r="B19" s="179"/>
      <c r="C19" s="179"/>
      <c r="D19" s="179"/>
      <c r="E19" s="179"/>
      <c r="F19" s="179"/>
      <c r="G19" s="179"/>
      <c r="H19" s="179"/>
      <c r="I19" s="179"/>
      <c r="J19" s="179"/>
      <c r="K19" s="179"/>
    </row>
    <row r="20" spans="1:11">
      <c r="A20" s="155" t="s">
        <v>2167</v>
      </c>
      <c r="B20" s="179"/>
      <c r="C20" s="179"/>
      <c r="D20" s="179"/>
      <c r="E20" s="179"/>
      <c r="F20" s="179"/>
      <c r="G20" s="179"/>
      <c r="H20" s="179"/>
      <c r="I20" s="179"/>
      <c r="J20" s="179"/>
      <c r="K20" s="179"/>
    </row>
    <row r="21" spans="1:11">
      <c r="A21" s="155" t="s">
        <v>2168</v>
      </c>
    </row>
    <row r="22" spans="1:11">
      <c r="A22" s="155"/>
    </row>
    <row r="23" spans="1:11">
      <c r="A23" s="155" t="s">
        <v>2162</v>
      </c>
    </row>
    <row r="24" spans="1:11">
      <c r="A24" s="155" t="s">
        <v>2169</v>
      </c>
    </row>
    <row r="25" spans="1:11">
      <c r="A25" s="155"/>
    </row>
    <row r="26" spans="1:11">
      <c r="A26" s="155" t="s">
        <v>2170</v>
      </c>
    </row>
    <row r="27" spans="1:11">
      <c r="A27" s="155" t="s">
        <v>2171</v>
      </c>
    </row>
    <row r="28" spans="1:11">
      <c r="A28" s="155" t="s">
        <v>2172</v>
      </c>
    </row>
    <row r="29" spans="1:11">
      <c r="A29" s="155" t="s">
        <v>2173</v>
      </c>
    </row>
    <row r="30" spans="1:11">
      <c r="A30" s="155" t="s">
        <v>2174</v>
      </c>
    </row>
    <row r="31" spans="1:11">
      <c r="A31" s="155"/>
    </row>
    <row r="32" spans="1:11">
      <c r="A32" s="155" t="s">
        <v>2175</v>
      </c>
    </row>
    <row r="33" spans="1:1">
      <c r="A33" s="155" t="s">
        <v>2176</v>
      </c>
    </row>
    <row r="34" spans="1:1">
      <c r="A34" s="155"/>
    </row>
    <row r="35" spans="1:1">
      <c r="A35" s="155" t="s">
        <v>2177</v>
      </c>
    </row>
    <row r="36" spans="1:1">
      <c r="A36" s="155" t="s">
        <v>2178</v>
      </c>
    </row>
    <row r="37" spans="1:1">
      <c r="A37" s="155" t="s">
        <v>2179</v>
      </c>
    </row>
    <row r="38" spans="1:1">
      <c r="A38" s="155" t="s">
        <v>2180</v>
      </c>
    </row>
    <row r="39" spans="1:1">
      <c r="A39" s="155" t="s">
        <v>2181</v>
      </c>
    </row>
    <row r="40" spans="1:1">
      <c r="A40" s="155"/>
    </row>
    <row r="41" spans="1:1">
      <c r="A41" s="155" t="s">
        <v>2175</v>
      </c>
    </row>
    <row r="42" spans="1:1">
      <c r="A42" s="155" t="s">
        <v>2182</v>
      </c>
    </row>
    <row r="43" spans="1:1">
      <c r="A43" s="155"/>
    </row>
    <row r="44" spans="1:1">
      <c r="A44" s="155" t="s">
        <v>2183</v>
      </c>
    </row>
    <row r="45" spans="1:1">
      <c r="A45" s="155" t="s">
        <v>2184</v>
      </c>
    </row>
    <row r="46" spans="1:1">
      <c r="A46" s="155" t="s">
        <v>2185</v>
      </c>
    </row>
    <row r="47" spans="1:1">
      <c r="A47" s="155" t="s">
        <v>2186</v>
      </c>
    </row>
    <row r="48" spans="1:1">
      <c r="A48" s="155" t="s">
        <v>2187</v>
      </c>
    </row>
    <row r="49" spans="1:1">
      <c r="A49" s="155"/>
    </row>
    <row r="50" spans="1:1">
      <c r="A50" s="155" t="s">
        <v>2175</v>
      </c>
    </row>
    <row r="51" spans="1:1">
      <c r="A51" s="155" t="s">
        <v>2188</v>
      </c>
    </row>
    <row r="52" spans="1:1">
      <c r="A52" s="155"/>
    </row>
    <row r="53" spans="1:1">
      <c r="A53" s="155" t="s">
        <v>2189</v>
      </c>
    </row>
    <row r="54" spans="1:1">
      <c r="A54" s="155" t="s">
        <v>2190</v>
      </c>
    </row>
    <row r="55" spans="1:1">
      <c r="A55" s="155" t="s">
        <v>2191</v>
      </c>
    </row>
    <row r="56" spans="1:1">
      <c r="A56" s="155" t="s">
        <v>2192</v>
      </c>
    </row>
    <row r="57" spans="1:1">
      <c r="A57" s="155" t="s">
        <v>2193</v>
      </c>
    </row>
    <row r="58" spans="1:1">
      <c r="A58" s="155"/>
    </row>
    <row r="59" spans="1:1">
      <c r="A59" s="155" t="s">
        <v>2194</v>
      </c>
    </row>
    <row r="60" spans="1:1">
      <c r="A60" s="155" t="s">
        <v>2195</v>
      </c>
    </row>
    <row r="61" spans="1:1">
      <c r="A61" s="155"/>
    </row>
    <row r="62" spans="1:1">
      <c r="A62" s="155" t="s">
        <v>2196</v>
      </c>
    </row>
    <row r="63" spans="1:1">
      <c r="A63" s="155" t="s">
        <v>2197</v>
      </c>
    </row>
    <row r="64" spans="1:1">
      <c r="A64" s="155" t="s">
        <v>2198</v>
      </c>
    </row>
    <row r="65" spans="1:1">
      <c r="A65" s="155" t="s">
        <v>2199</v>
      </c>
    </row>
    <row r="66" spans="1:1">
      <c r="A66" s="155" t="s">
        <v>2200</v>
      </c>
    </row>
    <row r="67" spans="1:1">
      <c r="A67" s="155"/>
    </row>
    <row r="68" spans="1:1">
      <c r="A68" s="155" t="s">
        <v>2201</v>
      </c>
    </row>
    <row r="69" spans="1:1">
      <c r="A69" s="155" t="s">
        <v>2202</v>
      </c>
    </row>
    <row r="70" spans="1:1">
      <c r="A70" s="155"/>
    </row>
    <row r="71" spans="1:1">
      <c r="A71" s="155" t="s">
        <v>2203</v>
      </c>
    </row>
    <row r="72" spans="1:1">
      <c r="A72" s="155" t="s">
        <v>2204</v>
      </c>
    </row>
    <row r="73" spans="1:1">
      <c r="A73" s="155" t="s">
        <v>2205</v>
      </c>
    </row>
    <row r="74" spans="1:1">
      <c r="A74" s="155" t="s">
        <v>2206</v>
      </c>
    </row>
    <row r="75" spans="1:1">
      <c r="A75" s="155" t="s">
        <v>2207</v>
      </c>
    </row>
    <row r="76" spans="1:1">
      <c r="A76" s="155"/>
    </row>
    <row r="77" spans="1:1">
      <c r="A77" s="155" t="s">
        <v>2208</v>
      </c>
    </row>
    <row r="78" spans="1:1">
      <c r="A78" s="155" t="s">
        <v>2209</v>
      </c>
    </row>
    <row r="79" spans="1:1">
      <c r="A79" s="155"/>
    </row>
    <row r="80" spans="1:1">
      <c r="A80" s="155" t="s">
        <v>2210</v>
      </c>
    </row>
    <row r="81" spans="1:1">
      <c r="A81" s="155" t="s">
        <v>2211</v>
      </c>
    </row>
    <row r="82" spans="1:1">
      <c r="A82" s="155" t="s">
        <v>2212</v>
      </c>
    </row>
    <row r="83" spans="1:1">
      <c r="A83" s="155" t="s">
        <v>2213</v>
      </c>
    </row>
    <row r="84" spans="1:1">
      <c r="A84" s="155" t="s">
        <v>2214</v>
      </c>
    </row>
    <row r="85" spans="1:1">
      <c r="A85" s="155"/>
    </row>
    <row r="86" spans="1:1">
      <c r="A86" s="155" t="s">
        <v>2208</v>
      </c>
    </row>
    <row r="87" spans="1:1">
      <c r="A87" s="155" t="s">
        <v>2215</v>
      </c>
    </row>
    <row r="88" spans="1:1">
      <c r="A88" s="155"/>
    </row>
    <row r="89" spans="1:1">
      <c r="A89" s="155" t="s">
        <v>2216</v>
      </c>
    </row>
    <row r="90" spans="1:1">
      <c r="A90" s="155" t="s">
        <v>2217</v>
      </c>
    </row>
    <row r="91" spans="1:1">
      <c r="A91" s="155" t="s">
        <v>2218</v>
      </c>
    </row>
    <row r="92" spans="1:1">
      <c r="A92" s="155" t="s">
        <v>2219</v>
      </c>
    </row>
    <row r="93" spans="1:1">
      <c r="A93" s="155" t="s">
        <v>2220</v>
      </c>
    </row>
    <row r="94" spans="1:1">
      <c r="A94" s="155"/>
    </row>
    <row r="95" spans="1:1">
      <c r="A95" s="155" t="s">
        <v>2201</v>
      </c>
    </row>
    <row r="96" spans="1:1">
      <c r="A96" s="155" t="s">
        <v>2221</v>
      </c>
    </row>
    <row r="97" spans="1:1">
      <c r="A97" s="155"/>
    </row>
    <row r="98" spans="1:1">
      <c r="A98" s="155" t="s">
        <v>2222</v>
      </c>
    </row>
    <row r="99" spans="1:1">
      <c r="A99" s="155" t="s">
        <v>2223</v>
      </c>
    </row>
    <row r="100" spans="1:1">
      <c r="A100" s="155" t="s">
        <v>2224</v>
      </c>
    </row>
    <row r="101" spans="1:1">
      <c r="A101" s="155" t="s">
        <v>2225</v>
      </c>
    </row>
    <row r="102" spans="1:1">
      <c r="A102" s="155" t="s">
        <v>2226</v>
      </c>
    </row>
    <row r="103" spans="1:1">
      <c r="A103" s="155"/>
    </row>
    <row r="104" spans="1:1">
      <c r="A104" s="155" t="s">
        <v>2208</v>
      </c>
    </row>
    <row r="105" spans="1:1">
      <c r="A105" s="155" t="s">
        <v>2227</v>
      </c>
    </row>
    <row r="106" spans="1:1">
      <c r="A106" s="155"/>
    </row>
    <row r="107" spans="1:1">
      <c r="A107" s="155" t="s">
        <v>2228</v>
      </c>
    </row>
    <row r="108" spans="1:1">
      <c r="A108" s="155" t="s">
        <v>2229</v>
      </c>
    </row>
    <row r="109" spans="1:1">
      <c r="A109" s="155" t="s">
        <v>2230</v>
      </c>
    </row>
    <row r="110" spans="1:1">
      <c r="A110" s="155" t="s">
        <v>2231</v>
      </c>
    </row>
    <row r="111" spans="1:1">
      <c r="A111" s="155" t="s">
        <v>2232</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8" t="s">
        <v>57</v>
      </c>
      <c r="B1" s="207"/>
      <c r="C1" s="207"/>
      <c r="D1" s="207"/>
      <c r="E1" s="207"/>
      <c r="F1" s="207"/>
      <c r="G1" s="207"/>
      <c r="H1" s="207"/>
      <c r="I1" s="207"/>
      <c r="J1" s="207"/>
      <c r="K1" s="16"/>
      <c r="L1" s="16"/>
    </row>
    <row r="2" spans="1:12">
      <c r="A2" s="208" t="s">
        <v>58</v>
      </c>
      <c r="B2" s="207"/>
      <c r="C2" s="207"/>
      <c r="D2" s="207"/>
      <c r="E2" s="207"/>
      <c r="F2" s="207"/>
      <c r="G2" s="207"/>
      <c r="H2" s="207"/>
      <c r="I2" s="207"/>
      <c r="J2" s="207"/>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6" t="s">
        <v>253</v>
      </c>
      <c r="B5" s="15">
        <v>1</v>
      </c>
      <c r="C5" s="17" t="s">
        <v>345</v>
      </c>
      <c r="D5" s="17" t="s">
        <v>347</v>
      </c>
      <c r="E5" s="17" t="s">
        <v>348</v>
      </c>
      <c r="F5" s="17" t="s">
        <v>350</v>
      </c>
      <c r="G5" s="17"/>
      <c r="H5" s="17"/>
      <c r="I5" s="209" t="s">
        <v>351</v>
      </c>
      <c r="J5" s="211"/>
      <c r="K5" s="20"/>
      <c r="L5" s="17"/>
    </row>
    <row r="6" spans="1:12">
      <c r="A6" s="207"/>
      <c r="B6" s="15">
        <v>2</v>
      </c>
      <c r="C6" s="17" t="s">
        <v>385</v>
      </c>
      <c r="D6" s="17" t="s">
        <v>347</v>
      </c>
      <c r="E6" s="17" t="s">
        <v>348</v>
      </c>
      <c r="F6" s="17" t="s">
        <v>350</v>
      </c>
      <c r="G6" s="17" t="s">
        <v>386</v>
      </c>
      <c r="H6" s="17"/>
      <c r="I6" s="210"/>
      <c r="J6" s="210"/>
      <c r="K6" s="20"/>
      <c r="L6" s="17"/>
    </row>
    <row r="7" spans="1:12">
      <c r="A7" s="207"/>
      <c r="B7" s="15">
        <v>3</v>
      </c>
      <c r="C7" s="17" t="s">
        <v>390</v>
      </c>
      <c r="D7" s="17" t="s">
        <v>391</v>
      </c>
      <c r="E7" s="17" t="s">
        <v>347</v>
      </c>
      <c r="F7" s="17" t="s">
        <v>393</v>
      </c>
      <c r="G7" s="17"/>
      <c r="H7" s="17"/>
      <c r="I7" s="210"/>
      <c r="J7" s="210"/>
      <c r="K7" s="20"/>
      <c r="L7" s="17"/>
    </row>
    <row r="8" spans="1:12">
      <c r="A8" s="207"/>
      <c r="B8" s="15">
        <v>4</v>
      </c>
      <c r="C8" s="17" t="s">
        <v>398</v>
      </c>
      <c r="D8" s="17" t="s">
        <v>400</v>
      </c>
      <c r="E8" s="17" t="s">
        <v>348</v>
      </c>
      <c r="F8" s="17" t="s">
        <v>347</v>
      </c>
      <c r="G8" s="17" t="s">
        <v>386</v>
      </c>
      <c r="H8" s="17" t="s">
        <v>401</v>
      </c>
      <c r="I8" s="210"/>
      <c r="J8" s="210"/>
      <c r="K8" s="20"/>
      <c r="L8" s="17"/>
    </row>
    <row r="9" spans="1:12">
      <c r="A9" s="207"/>
      <c r="B9" s="15">
        <v>5</v>
      </c>
      <c r="C9" s="17" t="s">
        <v>403</v>
      </c>
      <c r="D9" s="17" t="s">
        <v>401</v>
      </c>
      <c r="E9" s="17" t="s">
        <v>400</v>
      </c>
      <c r="F9" s="17"/>
      <c r="G9" s="17"/>
      <c r="H9" s="17"/>
      <c r="I9" s="210"/>
      <c r="J9" s="210"/>
      <c r="K9" s="20"/>
      <c r="L9" s="17"/>
    </row>
    <row r="10" spans="1:12">
      <c r="A10" s="207"/>
      <c r="B10" s="15">
        <v>6</v>
      </c>
      <c r="C10" s="17" t="s">
        <v>407</v>
      </c>
      <c r="D10" s="17" t="s">
        <v>408</v>
      </c>
      <c r="E10" s="17" t="s">
        <v>409</v>
      </c>
      <c r="F10" s="17"/>
      <c r="G10" s="17"/>
      <c r="H10" s="17"/>
      <c r="I10" s="210"/>
      <c r="J10" s="210"/>
      <c r="K10" s="20"/>
      <c r="L10" s="17"/>
    </row>
    <row r="11" spans="1:12">
      <c r="A11" s="206" t="s">
        <v>418</v>
      </c>
      <c r="B11" s="15"/>
      <c r="C11" s="17" t="s">
        <v>345</v>
      </c>
      <c r="D11" s="17" t="s">
        <v>423</v>
      </c>
      <c r="E11" s="17" t="s">
        <v>425</v>
      </c>
      <c r="F11" s="17" t="s">
        <v>427</v>
      </c>
      <c r="G11" s="17"/>
      <c r="H11" s="17"/>
      <c r="I11" s="18"/>
      <c r="J11" s="19"/>
      <c r="K11" s="20"/>
      <c r="L11" s="17"/>
    </row>
    <row r="12" spans="1:12">
      <c r="A12" s="207"/>
      <c r="B12" s="15"/>
      <c r="C12" s="17" t="s">
        <v>385</v>
      </c>
      <c r="D12" s="17" t="s">
        <v>423</v>
      </c>
      <c r="E12" s="17" t="s">
        <v>425</v>
      </c>
      <c r="F12" s="17" t="s">
        <v>434</v>
      </c>
      <c r="G12" s="17"/>
      <c r="H12" s="17"/>
      <c r="I12" s="18"/>
      <c r="J12" s="19"/>
      <c r="K12" s="20"/>
      <c r="L12" s="17"/>
    </row>
    <row r="13" spans="1:12">
      <c r="A13" s="207"/>
      <c r="B13" s="15"/>
      <c r="C13" s="17" t="s">
        <v>390</v>
      </c>
      <c r="D13" s="17" t="s">
        <v>439</v>
      </c>
      <c r="E13" s="17" t="s">
        <v>441</v>
      </c>
      <c r="F13" s="17"/>
      <c r="G13" s="17"/>
      <c r="H13" s="17"/>
      <c r="I13" s="18"/>
      <c r="J13" s="19"/>
      <c r="K13" s="20"/>
      <c r="L13" s="17"/>
    </row>
    <row r="14" spans="1:12">
      <c r="A14" s="207"/>
      <c r="B14" s="15"/>
      <c r="C14" s="17" t="s">
        <v>398</v>
      </c>
      <c r="D14" s="17" t="s">
        <v>439</v>
      </c>
      <c r="E14" s="17" t="s">
        <v>448</v>
      </c>
      <c r="F14" s="17" t="s">
        <v>449</v>
      </c>
      <c r="G14" s="17" t="s">
        <v>451</v>
      </c>
      <c r="H14" s="17" t="s">
        <v>452</v>
      </c>
      <c r="I14" s="18"/>
      <c r="J14" s="19"/>
      <c r="K14" s="20"/>
      <c r="L14" s="17"/>
    </row>
    <row r="15" spans="1:12">
      <c r="A15" s="207"/>
      <c r="B15" s="15"/>
      <c r="C15" s="17" t="s">
        <v>403</v>
      </c>
      <c r="D15" s="17" t="s">
        <v>452</v>
      </c>
      <c r="E15" s="17" t="s">
        <v>439</v>
      </c>
      <c r="F15" s="17"/>
      <c r="G15" s="17"/>
      <c r="H15" s="17"/>
      <c r="I15" s="18"/>
      <c r="J15" s="19"/>
      <c r="K15" s="20"/>
      <c r="L15" s="17"/>
    </row>
    <row r="16" spans="1:12">
      <c r="A16" s="207"/>
      <c r="B16" s="15"/>
      <c r="C16" s="17" t="s">
        <v>407</v>
      </c>
      <c r="D16" s="17" t="s">
        <v>456</v>
      </c>
      <c r="E16" s="17"/>
      <c r="F16" s="17"/>
      <c r="G16" s="17"/>
      <c r="H16" s="17"/>
      <c r="I16" s="18"/>
      <c r="J16" s="19"/>
      <c r="K16" s="20"/>
      <c r="L16" s="17"/>
    </row>
    <row r="17" spans="1:12">
      <c r="A17" s="206" t="s">
        <v>457</v>
      </c>
      <c r="B17" s="15"/>
      <c r="C17" s="17" t="s">
        <v>460</v>
      </c>
      <c r="D17" s="17" t="s">
        <v>461</v>
      </c>
      <c r="E17" s="17" t="s">
        <v>462</v>
      </c>
      <c r="F17" s="17"/>
      <c r="G17" s="17"/>
      <c r="H17" s="17"/>
      <c r="I17" s="18"/>
      <c r="J17" s="19"/>
      <c r="K17" s="20"/>
      <c r="L17" s="17"/>
    </row>
    <row r="18" spans="1:12">
      <c r="A18" s="207"/>
      <c r="B18" s="15"/>
      <c r="C18" s="17" t="s">
        <v>465</v>
      </c>
      <c r="D18" s="17" t="s">
        <v>96</v>
      </c>
      <c r="E18" s="17" t="s">
        <v>461</v>
      </c>
      <c r="F18" s="17" t="s">
        <v>400</v>
      </c>
      <c r="G18" s="17" t="s">
        <v>462</v>
      </c>
      <c r="H18" s="17"/>
      <c r="I18" s="18"/>
      <c r="J18" s="19"/>
      <c r="K18" s="20"/>
      <c r="L18" s="17"/>
    </row>
    <row r="19" spans="1:12">
      <c r="A19" s="207"/>
      <c r="B19" s="15"/>
      <c r="C19" s="17" t="s">
        <v>469</v>
      </c>
      <c r="D19" s="17" t="s">
        <v>471</v>
      </c>
      <c r="E19" s="17" t="s">
        <v>461</v>
      </c>
      <c r="F19" s="17" t="s">
        <v>400</v>
      </c>
      <c r="G19" s="17" t="s">
        <v>96</v>
      </c>
      <c r="H19" s="17" t="s">
        <v>461</v>
      </c>
      <c r="I19" s="18"/>
      <c r="J19" s="19"/>
      <c r="K19" s="20"/>
      <c r="L19" s="17"/>
    </row>
    <row r="20" spans="1:12">
      <c r="A20" s="207"/>
      <c r="B20" s="15"/>
      <c r="C20" s="21" t="s">
        <v>474</v>
      </c>
      <c r="D20" s="17" t="s">
        <v>471</v>
      </c>
      <c r="E20" s="17" t="s">
        <v>461</v>
      </c>
      <c r="F20" s="17" t="s">
        <v>400</v>
      </c>
      <c r="G20" s="17" t="s">
        <v>96</v>
      </c>
      <c r="H20" s="17" t="s">
        <v>461</v>
      </c>
      <c r="I20" s="18"/>
      <c r="J20" s="19"/>
      <c r="K20" s="20"/>
      <c r="L20" s="17"/>
    </row>
    <row r="21" spans="1:12">
      <c r="A21" s="206" t="s">
        <v>484</v>
      </c>
      <c r="B21" s="15"/>
      <c r="C21" s="17" t="s">
        <v>460</v>
      </c>
      <c r="D21" s="17" t="s">
        <v>485</v>
      </c>
      <c r="E21" s="17" t="s">
        <v>486</v>
      </c>
      <c r="F21" s="17" t="s">
        <v>42</v>
      </c>
      <c r="G21" s="17"/>
      <c r="H21" s="17"/>
      <c r="I21" s="18"/>
      <c r="J21" s="19"/>
      <c r="K21" s="20"/>
      <c r="L21" s="17"/>
    </row>
    <row r="22" spans="1:12">
      <c r="A22" s="207"/>
      <c r="B22" s="15"/>
      <c r="C22" s="21" t="s">
        <v>487</v>
      </c>
      <c r="D22" s="17" t="s">
        <v>488</v>
      </c>
      <c r="E22" s="17" t="s">
        <v>489</v>
      </c>
      <c r="F22" s="17" t="s">
        <v>490</v>
      </c>
      <c r="G22" s="17"/>
      <c r="H22" s="17"/>
      <c r="I22" s="18"/>
      <c r="J22" s="19"/>
      <c r="K22" s="20"/>
      <c r="L22" s="17"/>
    </row>
    <row r="23" spans="1:12">
      <c r="A23" s="207"/>
      <c r="B23" s="15"/>
      <c r="C23" s="17" t="s">
        <v>469</v>
      </c>
      <c r="D23" s="17" t="s">
        <v>491</v>
      </c>
      <c r="E23" s="17" t="s">
        <v>492</v>
      </c>
      <c r="F23" s="17" t="s">
        <v>493</v>
      </c>
      <c r="G23" s="17"/>
      <c r="H23" s="17"/>
      <c r="I23" s="18"/>
      <c r="J23" s="19"/>
      <c r="K23" s="20"/>
      <c r="L23" s="17"/>
    </row>
    <row r="24" spans="1:12">
      <c r="A24" s="207"/>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2018-07-03T14:52:17Z</dcterms:modified>
</cp:coreProperties>
</file>