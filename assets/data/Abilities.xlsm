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18481095-F3DF-485C-B8D0-EE739E4A06E5}" xr6:coauthVersionLast="33" xr6:coauthVersionMax="33"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4" i="10" l="1"/>
  <c r="E44" i="10"/>
  <c r="D44" i="10"/>
  <c r="F51" i="10"/>
  <c r="E51" i="10"/>
  <c r="D51" i="10"/>
  <c r="F52" i="10"/>
  <c r="E52" i="10"/>
  <c r="D52" i="10"/>
  <c r="D54" i="10"/>
  <c r="E54" i="10"/>
  <c r="F54" i="10"/>
  <c r="F55" i="10"/>
  <c r="E55" i="10"/>
  <c r="D55" i="10"/>
  <c r="K112" i="10" l="1"/>
  <c r="L112" i="10"/>
  <c r="B112" i="10"/>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AA56" i="3"/>
  <c r="AA45" i="3"/>
  <c r="AA12" i="3"/>
  <c r="Y7" i="3"/>
  <c r="AA19" i="3"/>
  <c r="AA39" i="3"/>
  <c r="Y15" i="3"/>
  <c r="Y40" i="3"/>
  <c r="AA41" i="3"/>
  <c r="AA7" i="3"/>
  <c r="Y30" i="3"/>
  <c r="AA17" i="3"/>
  <c r="Y34" i="3"/>
  <c r="AA38" i="3"/>
  <c r="Y47" i="3"/>
  <c r="AA42" i="3"/>
  <c r="AA29" i="3"/>
  <c r="Y57" i="3"/>
  <c r="AA43" i="3"/>
  <c r="AA33" i="3"/>
  <c r="AA35" i="3"/>
  <c r="AA57" i="3"/>
  <c r="Y23" i="3"/>
  <c r="Y38" i="3"/>
  <c r="AA2" i="3"/>
  <c r="Y16" i="3"/>
  <c r="Y17" i="3"/>
  <c r="Y46" i="3"/>
  <c r="X14" i="3"/>
  <c r="AA21" i="3"/>
  <c r="Y44" i="3"/>
  <c r="AA13" i="3"/>
  <c r="AA18" i="3"/>
  <c r="Y43" i="3"/>
  <c r="AA51" i="3"/>
  <c r="Y53" i="3"/>
  <c r="Y32" i="3"/>
  <c r="Y5" i="3"/>
  <c r="Y37" i="3"/>
  <c r="W14" i="3"/>
  <c r="Y8" i="3"/>
  <c r="AA6" i="3"/>
  <c r="Y11" i="3"/>
  <c r="Y49" i="3"/>
  <c r="AA36" i="3"/>
  <c r="Y56" i="3"/>
  <c r="AA40" i="3"/>
  <c r="AA8" i="3"/>
  <c r="AA58" i="3"/>
  <c r="Y21" i="3"/>
  <c r="Y31" i="3"/>
  <c r="Y4" i="3"/>
  <c r="Y50" i="3"/>
  <c r="Y12" i="3"/>
  <c r="AA23" i="3"/>
  <c r="AA20" i="3"/>
  <c r="AA53" i="3"/>
  <c r="AA5" i="3"/>
  <c r="AA11" i="3"/>
  <c r="Y54" i="3"/>
  <c r="X26" i="3"/>
  <c r="AA34" i="3"/>
  <c r="AA28" i="3"/>
  <c r="AA47" i="3"/>
  <c r="Y13" i="3"/>
  <c r="Y36" i="3"/>
  <c r="AA16" i="3"/>
  <c r="AA3" i="3"/>
  <c r="AA46" i="3"/>
  <c r="Y41" i="3"/>
  <c r="AA49" i="3"/>
  <c r="AA22" i="3"/>
  <c r="AA14" i="3"/>
  <c r="Y19" i="3"/>
  <c r="AA4" i="3"/>
  <c r="Y29" i="3"/>
  <c r="AA55" i="3"/>
  <c r="Y6" i="3"/>
  <c r="Y45" i="3"/>
  <c r="AA26" i="3"/>
  <c r="AA30" i="3"/>
  <c r="Y10" i="3"/>
  <c r="Y28" i="3"/>
  <c r="Y25" i="3"/>
  <c r="Y26" i="3"/>
  <c r="AA9" i="3"/>
  <c r="Y52" i="3"/>
  <c r="Z14" i="3"/>
  <c r="AA54" i="3"/>
  <c r="AA15" i="3"/>
  <c r="AA50" i="3"/>
  <c r="AA10" i="3"/>
  <c r="Y58" i="3"/>
  <c r="Y48" i="3"/>
  <c r="Y35" i="3"/>
  <c r="Y51" i="3"/>
  <c r="Y42" i="3"/>
  <c r="AA32" i="3"/>
  <c r="Y20" i="3"/>
  <c r="Y22" i="3"/>
  <c r="Y39" i="3"/>
  <c r="AA52" i="3"/>
  <c r="Y2" i="3"/>
  <c r="AA31" i="3"/>
  <c r="Y9" i="3"/>
  <c r="Y55" i="3"/>
  <c r="Y33" i="3"/>
  <c r="Y3" i="3"/>
  <c r="Y14" i="3"/>
  <c r="Y18" i="3"/>
  <c r="AA25" i="3"/>
  <c r="AA37" i="3"/>
  <c r="AA44" i="3"/>
  <c r="AA4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57" i="3"/>
  <c r="X17" i="3"/>
  <c r="X33" i="3"/>
  <c r="X47" i="3"/>
  <c r="X32" i="3"/>
  <c r="X28" i="3"/>
  <c r="X4" i="3"/>
  <c r="X49" i="3"/>
  <c r="X10" i="3"/>
  <c r="X52" i="3"/>
  <c r="X40" i="3"/>
  <c r="X43" i="3"/>
  <c r="X23" i="3"/>
  <c r="X20" i="3"/>
  <c r="X53" i="3"/>
  <c r="X55" i="3"/>
  <c r="X8" i="3"/>
  <c r="X9" i="3"/>
  <c r="X12" i="3"/>
  <c r="X6" i="3"/>
  <c r="X30" i="3"/>
  <c r="X54" i="3"/>
  <c r="X48" i="3"/>
  <c r="X3" i="3"/>
  <c r="X44" i="3"/>
  <c r="X7" i="3"/>
  <c r="X16" i="3"/>
  <c r="X41" i="3"/>
  <c r="X5" i="3"/>
  <c r="X31" i="3"/>
  <c r="X15" i="3"/>
  <c r="X42" i="3"/>
  <c r="X50" i="3"/>
  <c r="X19" i="3"/>
  <c r="X13" i="3"/>
  <c r="X29" i="3"/>
  <c r="X11" i="3"/>
  <c r="X46" i="3"/>
  <c r="X18" i="3"/>
  <c r="X34" i="3"/>
  <c r="X45" i="3"/>
  <c r="X58" i="3"/>
  <c r="X38" i="3"/>
  <c r="X36" i="3"/>
  <c r="X25" i="3"/>
  <c r="X51" i="3"/>
  <c r="X56" i="3"/>
  <c r="X37" i="3"/>
  <c r="X2" i="3"/>
  <c r="X35" i="3"/>
  <c r="X21" i="3"/>
  <c r="X39"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10" i="3"/>
  <c r="Z58" i="3"/>
  <c r="W20" i="3"/>
  <c r="W5" i="3"/>
  <c r="Z18" i="3"/>
  <c r="Z43" i="3"/>
  <c r="Z45" i="3"/>
  <c r="W21" i="3"/>
  <c r="Z25" i="3"/>
  <c r="W11" i="3"/>
  <c r="W33" i="3"/>
  <c r="Z30" i="3"/>
  <c r="Z47" i="3"/>
  <c r="W9" i="3"/>
  <c r="Z40" i="3"/>
  <c r="Z11" i="3"/>
  <c r="W54" i="3"/>
  <c r="Z13" i="3"/>
  <c r="W18" i="3"/>
  <c r="W2" i="3"/>
  <c r="Z36" i="3"/>
  <c r="W8" i="3"/>
  <c r="Z16" i="3"/>
  <c r="Z52" i="3"/>
  <c r="W4" i="3"/>
  <c r="W39" i="3"/>
  <c r="Z34" i="3"/>
  <c r="Z41" i="3"/>
  <c r="W57" i="3"/>
  <c r="Z2" i="3"/>
  <c r="W40" i="3"/>
  <c r="W7" i="3"/>
  <c r="Z37" i="3"/>
  <c r="Z46" i="3"/>
  <c r="W34" i="3"/>
  <c r="W6" i="3"/>
  <c r="Z8" i="3"/>
  <c r="Z23" i="3"/>
  <c r="Z28" i="3"/>
  <c r="W19" i="3"/>
  <c r="W38" i="3"/>
  <c r="Z33" i="3"/>
  <c r="Z19" i="3"/>
  <c r="W13" i="3"/>
  <c r="W41" i="3"/>
  <c r="W37" i="3"/>
  <c r="Z10" i="3"/>
  <c r="Z44" i="3"/>
  <c r="W3" i="3"/>
  <c r="W23" i="3"/>
  <c r="Z3" i="3"/>
  <c r="Z57" i="3"/>
  <c r="Z49" i="3"/>
  <c r="Z20" i="3"/>
  <c r="W36" i="3"/>
  <c r="Z38" i="3"/>
  <c r="W48" i="3"/>
  <c r="Z29" i="3"/>
  <c r="W16" i="3"/>
  <c r="W53" i="3"/>
  <c r="W31" i="3"/>
  <c r="Z17" i="3"/>
  <c r="W30" i="3"/>
  <c r="Z21" i="3"/>
  <c r="W46" i="3"/>
  <c r="W47" i="3"/>
  <c r="W50" i="3"/>
  <c r="Z9" i="3"/>
  <c r="Z5" i="3"/>
  <c r="W35" i="3"/>
  <c r="W15" i="3"/>
  <c r="W29" i="3"/>
  <c r="W28" i="3"/>
  <c r="W17" i="3"/>
  <c r="W45" i="3"/>
  <c r="W25" i="3"/>
  <c r="Z51" i="3"/>
  <c r="Z35" i="3"/>
  <c r="Z53" i="3"/>
  <c r="Z48" i="3"/>
  <c r="W58" i="3"/>
  <c r="Z55" i="3"/>
  <c r="Z15" i="3"/>
  <c r="W12" i="3"/>
  <c r="Z12" i="3"/>
  <c r="W43" i="3"/>
  <c r="W42" i="3"/>
  <c r="W52" i="3"/>
  <c r="Z7" i="3"/>
  <c r="Z31" i="3"/>
  <c r="Z50" i="3"/>
  <c r="W32" i="3"/>
  <c r="Z6" i="3"/>
  <c r="W49" i="3"/>
  <c r="W51" i="3"/>
  <c r="Z4" i="3"/>
  <c r="Z54" i="3"/>
  <c r="Z32" i="3"/>
  <c r="Z39" i="3"/>
  <c r="W55" i="3"/>
  <c r="W56" i="3"/>
  <c r="Z42" i="3"/>
  <c r="Z56" i="3"/>
  <c r="W44" i="3"/>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L49" i="5"/>
  <c r="I66" i="5"/>
  <c r="J87" i="5"/>
  <c r="K40" i="5"/>
  <c r="K61" i="5"/>
  <c r="L22" i="5"/>
  <c r="J34" i="5"/>
  <c r="J24" i="5"/>
  <c r="I70" i="5"/>
  <c r="H79" i="5"/>
  <c r="H75" i="5"/>
  <c r="H51" i="5"/>
  <c r="H85" i="5"/>
  <c r="L95" i="5"/>
  <c r="J39" i="5"/>
  <c r="K52" i="5"/>
  <c r="J51" i="5"/>
  <c r="J33" i="5"/>
  <c r="I30" i="5"/>
  <c r="L21" i="5"/>
  <c r="J61" i="5"/>
  <c r="I25" i="5"/>
  <c r="I7" i="5"/>
  <c r="K13" i="5"/>
  <c r="J4" i="5"/>
  <c r="L6" i="5"/>
  <c r="L40" i="5"/>
  <c r="H52" i="5"/>
  <c r="J3" i="5"/>
  <c r="H67" i="5"/>
  <c r="I93" i="5"/>
  <c r="J68" i="5"/>
  <c r="K12" i="5"/>
  <c r="L94" i="5"/>
  <c r="I40" i="5"/>
  <c r="J79" i="5"/>
  <c r="I16" i="5"/>
  <c r="K30" i="5"/>
  <c r="I23" i="5"/>
  <c r="I97" i="5"/>
  <c r="H77" i="5"/>
  <c r="L75" i="5"/>
  <c r="J66" i="5"/>
  <c r="L25" i="5"/>
  <c r="J94" i="5"/>
  <c r="H7" i="5"/>
  <c r="K25" i="5"/>
  <c r="L24" i="5"/>
  <c r="I14" i="5"/>
  <c r="K50" i="5"/>
  <c r="H95" i="5"/>
  <c r="K70" i="5"/>
  <c r="J30" i="5"/>
  <c r="L32" i="5"/>
  <c r="K42" i="5"/>
  <c r="I94" i="5"/>
  <c r="L7" i="5"/>
  <c r="K21" i="5"/>
  <c r="J31" i="5"/>
  <c r="H24" i="5"/>
  <c r="K31" i="5"/>
  <c r="J67" i="5"/>
  <c r="L43" i="5"/>
  <c r="J13" i="5"/>
  <c r="K32" i="5"/>
  <c r="L58" i="5"/>
  <c r="J70" i="5"/>
  <c r="K24" i="5"/>
  <c r="H42" i="5"/>
  <c r="J16" i="5"/>
  <c r="L84" i="5"/>
  <c r="J95" i="5"/>
  <c r="K78" i="5"/>
  <c r="H78" i="5"/>
  <c r="J6" i="5"/>
  <c r="K75" i="5"/>
  <c r="L86" i="5"/>
  <c r="K86" i="5"/>
  <c r="I52" i="5"/>
  <c r="L66" i="5"/>
  <c r="K48" i="5"/>
  <c r="H58" i="5"/>
  <c r="K43" i="5"/>
  <c r="L16" i="5"/>
  <c r="J42" i="5"/>
  <c r="I41" i="5"/>
  <c r="I77" i="5"/>
  <c r="L51" i="5"/>
  <c r="I67" i="5"/>
  <c r="L23" i="5"/>
  <c r="H61" i="5"/>
  <c r="I13" i="5"/>
  <c r="L15" i="5"/>
  <c r="L4" i="5"/>
  <c r="I21" i="5"/>
  <c r="L78" i="5"/>
  <c r="I4" i="5"/>
  <c r="H14" i="5"/>
  <c r="H16" i="5"/>
  <c r="L87" i="5"/>
  <c r="K58" i="5"/>
  <c r="I86" i="5"/>
  <c r="H60" i="5"/>
  <c r="I78" i="5"/>
  <c r="K96" i="5"/>
  <c r="K3" i="5"/>
  <c r="K93" i="5"/>
  <c r="H6" i="5"/>
  <c r="J77" i="5"/>
  <c r="L33" i="5"/>
  <c r="L48" i="5"/>
  <c r="L42" i="5"/>
  <c r="H12" i="5"/>
  <c r="K41" i="5"/>
  <c r="H23" i="5"/>
  <c r="L85" i="5"/>
  <c r="J86" i="5"/>
  <c r="J60" i="5"/>
  <c r="H41" i="5"/>
  <c r="I76" i="5"/>
  <c r="J7" i="5"/>
  <c r="K97" i="5"/>
  <c r="K57" i="5"/>
  <c r="I34" i="5"/>
  <c r="L70" i="5"/>
  <c r="H50" i="5"/>
  <c r="K49" i="5"/>
  <c r="J85" i="5"/>
  <c r="L12" i="5"/>
  <c r="I12" i="5"/>
  <c r="I68" i="5"/>
  <c r="K15" i="5"/>
  <c r="L79" i="5"/>
  <c r="I6" i="5"/>
  <c r="K33" i="5"/>
  <c r="L88" i="5"/>
  <c r="H59" i="5"/>
  <c r="L13" i="5"/>
  <c r="I39" i="5"/>
  <c r="K87" i="5"/>
  <c r="H68" i="5"/>
  <c r="I3" i="5"/>
  <c r="H43" i="5"/>
  <c r="L31" i="5"/>
  <c r="H39" i="5"/>
  <c r="I75" i="5"/>
  <c r="L68" i="5"/>
  <c r="H84" i="5"/>
  <c r="H69" i="5"/>
  <c r="H49" i="5"/>
  <c r="L5" i="5"/>
  <c r="I31" i="5"/>
  <c r="L59" i="5"/>
  <c r="I51" i="5"/>
  <c r="K34" i="5"/>
  <c r="K22" i="5"/>
  <c r="H94" i="5"/>
  <c r="H4" i="5"/>
  <c r="I87" i="5"/>
  <c r="H33" i="5"/>
  <c r="I61" i="5"/>
  <c r="J25" i="5"/>
  <c r="K5" i="5"/>
  <c r="H25" i="5"/>
  <c r="I57" i="5"/>
  <c r="H88" i="5"/>
  <c r="I85" i="5"/>
  <c r="K68" i="5"/>
  <c r="J43" i="5"/>
  <c r="H96" i="5"/>
  <c r="J58" i="5"/>
  <c r="H48" i="5"/>
  <c r="H5" i="5"/>
  <c r="J84" i="5"/>
  <c r="J22" i="5"/>
  <c r="I49" i="5"/>
  <c r="H70" i="5"/>
  <c r="H97" i="5"/>
  <c r="I79" i="5"/>
  <c r="J23" i="5"/>
  <c r="L39" i="5"/>
  <c r="L57" i="5"/>
  <c r="J49" i="5"/>
  <c r="I15" i="5"/>
  <c r="K94" i="5"/>
  <c r="K16" i="5"/>
  <c r="H22" i="5"/>
  <c r="L50" i="5"/>
  <c r="K66" i="5"/>
  <c r="H21" i="5"/>
  <c r="J97" i="5"/>
  <c r="L52" i="5"/>
  <c r="I43" i="5"/>
  <c r="L97" i="5"/>
  <c r="I32" i="5"/>
  <c r="K23" i="5"/>
  <c r="J15" i="5"/>
  <c r="H93" i="5"/>
  <c r="I84" i="5"/>
  <c r="K76" i="5"/>
  <c r="K77" i="5"/>
  <c r="J48" i="5"/>
  <c r="I48" i="5"/>
  <c r="J57" i="5"/>
  <c r="H86" i="5"/>
  <c r="K60" i="5"/>
  <c r="I58" i="5"/>
  <c r="K67" i="5"/>
  <c r="L76" i="5"/>
  <c r="J5" i="5"/>
  <c r="K79" i="5"/>
  <c r="L3" i="5"/>
  <c r="L67" i="5"/>
  <c r="J59" i="5"/>
  <c r="H13" i="5"/>
  <c r="H34" i="5"/>
  <c r="I42" i="5"/>
  <c r="K85" i="5"/>
  <c r="J75" i="5"/>
  <c r="I88" i="5"/>
  <c r="H40" i="5"/>
  <c r="K88" i="5"/>
  <c r="J78" i="5"/>
  <c r="L93" i="5"/>
  <c r="L60" i="5"/>
  <c r="I22" i="5"/>
  <c r="J93" i="5"/>
  <c r="K4" i="5"/>
  <c r="J69" i="5"/>
  <c r="H32" i="5"/>
  <c r="K84" i="5"/>
  <c r="H30" i="5"/>
  <c r="H3" i="5"/>
  <c r="I59" i="5"/>
  <c r="H76" i="5"/>
  <c r="I50" i="5"/>
  <c r="K6" i="5"/>
  <c r="K51" i="5"/>
  <c r="L96" i="5"/>
  <c r="K14" i="5"/>
  <c r="L34" i="5"/>
  <c r="I96" i="5"/>
  <c r="J40" i="5"/>
  <c r="J50" i="5"/>
  <c r="K39" i="5"/>
  <c r="J14" i="5"/>
  <c r="L30" i="5"/>
  <c r="K95" i="5"/>
  <c r="J96" i="5"/>
  <c r="I95" i="5"/>
  <c r="J21" i="5"/>
  <c r="L77" i="5"/>
  <c r="K7" i="5"/>
  <c r="L61" i="5"/>
  <c r="J32" i="5"/>
  <c r="I24" i="5"/>
  <c r="H66" i="5"/>
  <c r="L14" i="5"/>
  <c r="I5" i="5"/>
  <c r="J41" i="5"/>
  <c r="J76" i="5"/>
  <c r="I69" i="5"/>
  <c r="J12" i="5"/>
  <c r="K69" i="5"/>
  <c r="J88" i="5"/>
  <c r="H87" i="5"/>
  <c r="H15" i="5"/>
  <c r="H31" i="5"/>
  <c r="L69" i="5"/>
  <c r="I60" i="5"/>
  <c r="H57" i="5"/>
  <c r="I33" i="5"/>
  <c r="K59" i="5"/>
  <c r="J52" i="5"/>
  <c r="L41"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X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<sst xmlns="http://schemas.openxmlformats.org/spreadsheetml/2006/main" count="4198" uniqueCount="2256">
  <si>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</si>
  <si>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</si>
  <si>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</si>
  <si>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</si>
  <si>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</si>
  <si>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</si>
  <si>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</si>
  <si>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</si>
  <si>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</si>
  <si>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</si>
  <si>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</si>
  <si>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</si>
  <si>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</si>
  <si>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</si>
  <si>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</si>
  <si>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</si>
  <si>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</si>
  <si>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</si>
  <si>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</si>
  <si>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</si>
  <si>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</si>
  <si>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</si>
  <si>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</si>
  <si>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</si>
  <si>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</si>
  <si>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</si>
  <si>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</si>
  <si>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</si>
  <si>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</si>
  <si>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</si>
  <si>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</si>
  <si>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</si>
  <si>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</si>
  <si>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</si>
  <si>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</si>
  <si>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</si>
  <si>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</si>
  <si>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</si>
  <si>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</si>
  <si>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</si>
  <si>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</si>
  <si>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</si>
  <si>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</si>
  <si>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</si>
  <si>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</si>
  <si>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</si>
  <si>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</si>
  <si>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</si>
  <si>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</si>
  <si>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</si>
  <si>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</si>
  <si>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</si>
  <si>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</si>
  <si>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</si>
  <si>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</si>
  <si>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</si>
  <si>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</si>
  <si>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</si>
  <si>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</si>
  <si>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</si>
  <si>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</si>
  <si>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</si>
  <si>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</si>
  <si>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</si>
  <si>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</si>
  <si>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</si>
  <si>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</si>
  <si>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</si>
  <si>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</si>
  <si>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</si>
  <si>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</si>
  <si>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</si>
  <si>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</si>
  <si>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</si>
  <si>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</si>
  <si>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</si>
  <si>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</si>
  <si>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</si>
  <si>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</si>
  <si>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</si>
  <si>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</si>
  <si>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</si>
  <si>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</si>
  <si>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</si>
  <si>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</si>
  <si>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</si>
  <si>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</si>
  <si>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</si>
  <si>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</si>
  <si>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</si>
  <si>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</si>
  <si>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</si>
  <si>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</si>
  <si>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</si>
  <si>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</si>
  <si>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</si>
  <si>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</si>
  <si>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</si>
  <si>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</si>
  <si>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</si>
  <si>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</si>
  <si>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</si>
  <si>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</si>
  <si>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</si>
  <si>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</si>
  <si>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</si>
  <si>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</si>
  <si>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</si>
  <si>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</si>
  <si>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</si>
  <si>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</si>
  <si>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</si>
  <si>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</si>
  <si>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</si>
  <si>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</si>
  <si>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</si>
  <si>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</si>
  <si>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</si>
  <si>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</si>
  <si>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</si>
  <si>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</si>
  <si>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</si>
  <si>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</si>
  <si>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</si>
  <si>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</si>
  <si>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</si>
  <si>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</si>
  <si>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</si>
  <si>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</si>
  <si>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</si>
  <si>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</si>
  <si>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</si>
  <si>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</si>
  <si>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</si>
  <si>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</si>
  <si>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</si>
  <si>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</si>
  <si>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</si>
  <si>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</si>
  <si>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</si>
  <si>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</si>
  <si>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</si>
  <si>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</si>
  <si>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</si>
  <si>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</si>
  <si>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</si>
  <si>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</si>
  <si>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</si>
  <si>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</si>
  <si>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</si>
  <si>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</si>
  <si>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</si>
  <si>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</si>
  <si>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</si>
  <si>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</si>
  <si>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</si>
  <si>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</si>
  <si>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</si>
  <si>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</si>
  <si>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</si>
  <si>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</si>
  <si>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</si>
  <si>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</si>
  <si>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</si>
  <si>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</si>
  <si>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</si>
  <si>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</si>
  <si>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</si>
  <si>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</si>
  <si>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</si>
  <si>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</si>
  <si>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</si>
  <si>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</si>
  <si>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</si>
  <si>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</si>
  <si>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</si>
  <si>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</si>
  <si>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</si>
  <si>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</si>
  <si>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</si>
  <si>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</si>
  <si>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</si>
  <si>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</si>
  <si>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</si>
  <si>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</si>
  <si>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</si>
  <si>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</si>
  <si>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</si>
  <si>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</si>
  <si>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</si>
  <si>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</si>
  <si>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</si>
  <si>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</si>
  <si>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</si>
  <si>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</si>
  <si>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</si>
  <si>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</si>
  <si>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</si>
  <si>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</si>
  <si>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</si>
  <si>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</si>
  <si>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</si>
  <si>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</si>
  <si>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</si>
  <si>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</si>
  <si>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</si>
  <si>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</si>
  <si>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</si>
  <si>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</si>
  <si>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</si>
  <si>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</si>
  <si>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</si>
  <si>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</si>
  <si>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</si>
  <si>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</si>
  <si>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</si>
  <si>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</si>
  <si>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</si>
  <si>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</si>
  <si>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</si>
  <si>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</si>
  <si>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</si>
  <si>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</si>
  <si>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</si>
  <si>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</si>
  <si>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</si>
  <si>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</si>
  <si>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</si>
  <si>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</si>
  <si>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</si>
  <si>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</si>
  <si>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</si>
  <si>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</si>
  <si>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</si>
  <si>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</si>
  <si>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</si>
  <si>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</si>
  <si>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</si>
  <si>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</si>
  <si>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</si>
  <si>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</si>
  <si>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</si>
  <si>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</si>
  <si>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</si>
  <si>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</si>
  <si>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</si>
  <si>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</si>
  <si>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</si>
  <si>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</si>
  <si>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</si>
  <si>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</si>
  <si>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</si>
  <si>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</si>
  <si>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</si>
  <si>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</si>
  <si>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</si>
  <si>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</si>
  <si>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</si>
  <si>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</si>
  <si>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</si>
  <si>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</si>
  <si>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</si>
  <si>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</si>
  <si>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</si>
  <si>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</si>
  <si>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</si>
  <si>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</si>
  <si>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</si>
  <si>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</si>
  <si>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</si>
  <si>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</si>
  <si>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</si>
  <si>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</si>
  <si>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</si>
  <si>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</si>
  <si>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</si>
  <si>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</si>
  <si>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</si>
  <si>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</si>
  <si>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</si>
  <si>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</si>
  <si>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</si>
  <si>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</si>
  <si>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</si>
  <si>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</si>
  <si>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</si>
  <si>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</si>
  <si>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</si>
  <si>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</si>
  <si>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</si>
  <si>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</si>
  <si>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</si>
  <si>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</si>
  <si>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</si>
  <si>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</si>
  <si>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</si>
  <si>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</si>
  <si>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</si>
  <si>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</si>
  <si>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</si>
  <si>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</si>
  <si>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</si>
  <si>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</si>
  <si>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</si>
  <si>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</si>
  <si>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</si>
  <si>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</si>
  <si>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</si>
  <si>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</si>
  <si>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</si>
  <si>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</si>
  <si>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</si>
  <si>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</si>
  <si>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</si>
  <si>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</si>
  <si>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</si>
  <si>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</si>
  <si>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</si>
  <si>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</si>
  <si>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</si>
  <si>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</si>
  <si>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</si>
  <si>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</si>
  <si>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</si>
  <si>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</si>
  <si>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</si>
  <si>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</si>
  <si>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</si>
  <si>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</si>
  <si>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</si>
  <si>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</si>
  <si>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</si>
  <si>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</si>
  <si>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</si>
  <si>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</si>
  <si>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</si>
  <si>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</si>
  <si>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</si>
  <si>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</si>
  <si>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</si>
  <si>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</si>
  <si>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</si>
  <si>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</si>
  <si>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</si>
  <si>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</si>
  <si>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</si>
  <si>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</si>
  <si>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</si>
  <si>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</si>
  <si>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</si>
  <si>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</si>
  <si>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</si>
  <si>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</si>
  <si>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</si>
  <si>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</si>
  <si>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</si>
  <si>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</si>
  <si>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</si>
  <si>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</si>
  <si>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</si>
  <si>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</si>
  <si>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</si>
  <si>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</si>
  <si>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</si>
  <si>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</si>
  <si>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</si>
  <si>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</si>
  <si>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</si>
  <si>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</si>
  <si>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</si>
  <si>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</si>
  <si>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</si>
  <si>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</si>
  <si>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</si>
  <si>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</si>
  <si>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</si>
  <si>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</si>
  <si>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</si>
  <si>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</si>
  <si>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</si>
  <si>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</si>
  <si>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</si>
  <si>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</si>
  <si>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</si>
  <si>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</si>
  <si>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</si>
  <si>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</si>
  <si>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</si>
  <si>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</si>
  <si>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</si>
  <si>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</si>
  <si>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</si>
  <si>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</si>
  <si>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</si>
  <si>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</si>
  <si>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</si>
  <si>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</si>
  <si>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</si>
  <si>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</si>
  <si>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</si>
  <si>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</si>
  <si>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</si>
  <si>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</si>
  <si>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</si>
  <si>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</si>
  <si>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</si>
  <si>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</si>
  <si>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</si>
  <si>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</si>
  <si>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</si>
  <si>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</si>
  <si>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</si>
  <si>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</si>
  <si>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</si>
  <si>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</si>
  <si>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</si>
  <si>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</si>
  <si>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</si>
  <si>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</si>
  <si>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</si>
  <si>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</si>
  <si>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</si>
  <si>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</si>
  <si>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</si>
  <si>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</si>
  <si>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</si>
  <si>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</si>
  <si>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</si>
  <si>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</si>
  <si>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</si>
  <si>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</si>
  <si>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</si>
  <si>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</si>
  <si>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</si>
  <si>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</si>
  <si>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</si>
  <si>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</si>
  <si>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</si>
  <si>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</si>
  <si>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</si>
  <si>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</si>
  <si>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</si>
  <si>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</si>
  <si>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</si>
  <si>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</si>
  <si>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</si>
  <si>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</si>
  <si>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</si>
  <si>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</si>
  <si>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</si>
  <si>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</si>
  <si>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</si>
  <si>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</si>
  <si>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</si>
  <si>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</si>
  <si>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</si>
  <si>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</si>
  <si>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</si>
  <si>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</si>
  <si>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</si>
  <si>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</si>
  <si>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</si>
  <si>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</si>
  <si>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</si>
  <si>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</si>
  <si>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</si>
  <si>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</si>
  <si>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</si>
  <si>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</si>
  <si>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</si>
  <si>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</si>
  <si>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</si>
  <si>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</si>
  <si>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</si>
  <si>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</si>
  <si>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</si>
  <si>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</si>
  <si>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</si>
  <si>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</si>
  <si>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</si>
  <si>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</si>
  <si>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</si>
  <si>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</si>
  <si>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</si>
  <si>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</si>
  <si>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</si>
  <si>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</si>
  <si>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</si>
  <si>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</si>
  <si>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</si>
  <si>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</si>
  <si>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</si>
  <si>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</si>
  <si>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</si>
  <si>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</si>
  <si>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</si>
  <si>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</si>
  <si>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</si>
  <si>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</si>
  <si>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</si>
  <si>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</si>
  <si>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</si>
  <si>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</si>
  <si>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</si>
  <si>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</si>
  <si>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</si>
  <si>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</si>
  <si>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</si>
  <si>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</si>
  <si>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</si>
  <si>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</si>
  <si>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</si>
  <si>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</si>
  <si>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</si>
  <si>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</si>
  <si>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</si>
  <si>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</si>
  <si>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</si>
  <si>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</si>
  <si>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</si>
  <si>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</si>
  <si>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</si>
  <si>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</si>
  <si>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</si>
  <si>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</si>
  <si>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</si>
  <si>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</si>
  <si>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</si>
  <si>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</si>
  <si>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</si>
  <si>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</si>
  <si>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</si>
  <si>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</si>
  <si>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</si>
  <si>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</si>
  <si>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</si>
  <si>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</si>
  <si>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</si>
  <si>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</si>
  <si>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</si>
  <si>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</si>
  <si>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</si>
  <si>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</si>
  <si>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</si>
  <si>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</si>
  <si>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</si>
  <si>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</si>
  <si>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</si>
  <si>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</si>
  <si>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</si>
  <si>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</si>
  <si>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</si>
  <si>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</si>
  <si>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</si>
  <si>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</si>
  <si>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</si>
  <si>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</si>
  <si>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</si>
  <si>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</si>
  <si>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</si>
  <si>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</si>
  <si>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</si>
  <si>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</si>
  <si>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</si>
  <si>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</si>
  <si>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</si>
  <si>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</si>
  <si>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</si>
  <si>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</si>
  <si>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</si>
  <si>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</si>
  <si>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</si>
  <si>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</si>
  <si>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</si>
  <si>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</si>
  <si>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</si>
  <si>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</si>
  <si>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</si>
  <si>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</si>
  <si>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</si>
  <si>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</si>
  <si>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</si>
  <si>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</si>
  <si>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</si>
  <si>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</si>
  <si>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</si>
  <si>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</si>
  <si>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</si>
  <si>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</si>
  <si>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</si>
  <si>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</si>
  <si>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</si>
  <si>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</si>
  <si>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</si>
  <si>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</si>
  <si>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</si>
  <si>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</si>
  <si>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</si>
  <si>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</si>
  <si>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</si>
  <si>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</si>
  <si>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</si>
  <si>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</si>
  <si>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</si>
  <si>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</si>
  <si>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</si>
  <si>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</si>
  <si>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</si>
  <si>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</si>
  <si>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</si>
  <si>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</si>
  <si>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</si>
  <si>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</si>
  <si>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</si>
  <si>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</si>
  <si>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</si>
  <si>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</si>
  <si>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</si>
  <si>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</si>
  <si>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</si>
  <si>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</si>
  <si>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</si>
  <si>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</si>
  <si>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</si>
  <si>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</si>
  <si>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</si>
  <si>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</si>
  <si>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</si>
  <si>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</si>
  <si>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</si>
  <si>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</si>
  <si>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</si>
  <si>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</si>
  <si>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</si>
  <si>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</si>
  <si>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</si>
  <si>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</si>
  <si>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</si>
  <si>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</si>
  <si>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</si>
  <si>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</si>
  <si>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</si>
  <si>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</si>
  <si>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</si>
  <si>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</si>
  <si>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</si>
  <si>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</si>
  <si>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</si>
  <si>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</si>
  <si>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</si>
  <si>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</si>
  <si>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</si>
  <si>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</si>
  <si>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</si>
  <si>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</si>
  <si>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</si>
  <si>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</si>
  <si>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</si>
  <si>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</si>
  <si>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</si>
  <si>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</si>
  <si>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</si>
  <si>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</si>
  <si>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</si>
  <si>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</si>
  <si>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</si>
  <si>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</si>
  <si>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</si>
  <si>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</si>
  <si>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</si>
  <si>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</si>
  <si>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</si>
  <si>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</si>
  <si>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</si>
  <si>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</si>
  <si>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</si>
  <si>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</si>
  <si>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</si>
  <si>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</si>
  <si>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</si>
  <si>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</si>
  <si>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</si>
  <si>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</si>
  <si>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</si>
  <si>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</si>
  <si>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</si>
  <si>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</si>
  <si>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</si>
  <si>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</si>
  <si>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</si>
  <si>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</si>
  <si>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</si>
  <si>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</si>
  <si>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</si>
  <si>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</si>
  <si>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</si>
  <si>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</si>
  <si>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</si>
  <si>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</si>
  <si>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</si>
  <si>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</si>
  <si>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</si>
  <si>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</si>
  <si>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</si>
  <si>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</si>
  <si>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</si>
  <si>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</si>
  <si>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</si>
  <si>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</si>
  <si>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</si>
  <si>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</si>
  <si>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</si>
  <si>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</si>
  <si>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</si>
  <si>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</si>
  <si>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</si>
  <si>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</si>
  <si>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</si>
  <si>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</si>
  <si>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</si>
  <si>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</si>
  <si>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</si>
  <si>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</si>
  <si>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</si>
  <si>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</si>
  <si>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</si>
  <si>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</si>
  <si>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</si>
  <si>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</si>
  <si>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</si>
  <si>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</si>
  <si>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</si>
  <si>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</si>
  <si>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</si>
  <si>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</si>
  <si>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</si>
  <si>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</si>
  <si>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</si>
  <si>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</si>
  <si>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</si>
  <si>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</si>
  <si>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</si>
  <si>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</si>
  <si>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</si>
  <si>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</si>
  <si>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</si>
  <si>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</si>
  <si>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</si>
  <si>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</si>
  <si>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</si>
  <si>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</si>
  <si>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</si>
  <si>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</si>
  <si>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</si>
  <si>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</si>
  <si>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</si>
  <si>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</si>
  <si>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</si>
  <si>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</si>
  <si>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</si>
  <si>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</si>
  <si>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</si>
  <si>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</si>
  <si>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</si>
  <si>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</si>
  <si>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</si>
  <si>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</si>
  <si>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</si>
  <si>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</si>
  <si>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</si>
  <si>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</si>
  <si>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</si>
  <si>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</si>
  <si>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</si>
  <si>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</si>
  <si>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</si>
  <si>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</si>
  <si>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</si>
  <si>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</si>
  <si>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</si>
  <si>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</si>
  <si>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</si>
  <si>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</si>
  <si>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</si>
  <si>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</si>
  <si>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</si>
  <si>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</si>
  <si>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</si>
  <si>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</si>
  <si>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</si>
  <si>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</si>
  <si>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</si>
  <si>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</si>
  <si>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</si>
  <si>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</si>
  <si>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</si>
  <si>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</si>
  <si>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</si>
  <si>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</si>
  <si>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</si>
  <si>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</si>
  <si>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</si>
  <si>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</si>
  <si>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</si>
  <si>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</si>
  <si>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</si>
  <si>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</si>
  <si>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</si>
  <si>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</si>
  <si>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</si>
  <si>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</si>
  <si>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</si>
  <si>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</si>
  <si>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</si>
  <si>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</si>
  <si>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</si>
  <si>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</si>
  <si>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</si>
  <si>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</si>
  <si>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</si>
  <si>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</si>
  <si>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</si>
  <si>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</si>
  <si>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</si>
  <si>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</si>
  <si>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</si>
  <si>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</si>
  <si>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</si>
  <si>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</si>
  <si>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</si>
  <si>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</si>
  <si>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</si>
  <si>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</si>
  <si>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</si>
  <si>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</si>
  <si>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</si>
  <si>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</si>
  <si>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</si>
  <si>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</si>
  <si>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</si>
  <si>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</si>
  <si>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</si>
  <si>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</si>
  <si>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</si>
  <si>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</si>
  <si>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</si>
  <si>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</si>
  <si>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</si>
  <si>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</si>
  <si>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</si>
  <si>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</si>
  <si>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</si>
  <si>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</si>
  <si>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</si>
  <si>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</si>
  <si>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</si>
  <si>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</si>
  <si>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</si>
  <si>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</si>
  <si>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</si>
  <si>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</si>
  <si>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</si>
  <si>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</si>
  <si>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</si>
  <si>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</si>
  <si>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</si>
  <si>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</si>
  <si>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</si>
  <si>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</si>
  <si>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</si>
  <si>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</si>
  <si>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</si>
  <si>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</si>
  <si>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</si>
  <si>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</si>
  <si>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</si>
  <si>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</si>
  <si>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</si>
  <si>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</si>
  <si>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</si>
  <si>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</si>
  <si>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</si>
  <si>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</si>
  <si>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</si>
  <si>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</si>
  <si>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</si>
  <si>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</si>
  <si>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</si>
  <si>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</si>
  <si>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</si>
  <si>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</si>
  <si>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</si>
  <si>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</si>
  <si>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</si>
  <si>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</si>
  <si>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</si>
  <si>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</si>
  <si>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</si>
  <si>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</si>
  <si>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</si>
  <si>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</si>
  <si>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</si>
  <si>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</si>
  <si>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</si>
  <si>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</si>
  <si>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</si>
  <si>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</si>
  <si>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</si>
  <si>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</si>
  <si>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</si>
  <si>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</si>
  <si>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</si>
  <si>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</si>
  <si>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</si>
  <si>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</si>
  <si>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</si>
  <si>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</si>
  <si>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</si>
  <si>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</si>
  <si>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</si>
  <si>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</si>
  <si>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</si>
  <si>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</si>
  <si>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</si>
  <si>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</si>
  <si>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</si>
  <si>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</si>
  <si>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</si>
  <si>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</si>
  <si>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</si>
  <si>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</si>
  <si>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</si>
  <si>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</si>
  <si>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</si>
  <si>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</si>
  <si>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</si>
  <si>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</si>
  <si>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</si>
  <si>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</si>
  <si>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</si>
  <si>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</si>
  <si>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</si>
  <si>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</si>
  <si>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</si>
  <si>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</si>
  <si>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</si>
  <si>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</si>
  <si>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</si>
  <si>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</si>
  <si>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</si>
  <si>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</si>
  <si>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</si>
  <si>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</si>
  <si>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</si>
  <si>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</si>
  <si>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</si>
  <si>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</si>
  <si>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</si>
  <si>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</si>
  <si>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</si>
  <si>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</si>
  <si>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</si>
  <si>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</si>
  <si>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</si>
  <si>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</si>
  <si>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</si>
  <si>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</si>
  <si>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</si>
  <si>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</si>
  <si>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</si>
  <si>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</si>
  <si>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</si>
  <si>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</si>
  <si>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</si>
  <si>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</si>
  <si>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</si>
  <si>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</si>
  <si>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</si>
  <si>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</si>
  <si>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</si>
  <si>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</si>
  <si>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</si>
  <si>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</si>
  <si>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</si>
  <si>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</si>
  <si>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</si>
  <si>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</si>
  <si>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</si>
  <si>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</si>
  <si>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</si>
  <si>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</si>
  <si>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</si>
  <si>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</si>
  <si>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</si>
  <si>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</si>
  <si>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</si>
  <si>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</si>
  <si>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</si>
  <si>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</si>
  <si>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</si>
  <si>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</si>
  <si>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</si>
  <si>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</si>
  <si>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</si>
  <si>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</si>
  <si>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</si>
  <si>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</si>
  <si>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</si>
  <si>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</si>
  <si>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</si>
  <si>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</si>
  <si>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</si>
  <si>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</si>
  <si>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</si>
  <si>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</si>
  <si>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</si>
  <si>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</si>
  <si>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</si>
  <si>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</si>
  <si>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</si>
  <si>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</si>
  <si>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</si>
  <si>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</si>
  <si>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</si>
  <si>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</si>
  <si>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</si>
  <si>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</si>
  <si>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</si>
  <si>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</si>
  <si>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</si>
  <si>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</si>
  <si>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</si>
  <si>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</si>
  <si>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</si>
  <si>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</si>
  <si>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</si>
  <si>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</si>
  <si>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</si>
  <si>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</si>
  <si>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</si>
  <si>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</si>
  <si>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</si>
  <si>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</si>
  <si>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</si>
  <si>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</si>
  <si>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</si>
  <si>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</si>
  <si>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</si>
  <si>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</si>
  <si>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</si>
  <si>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</si>
  <si>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</si>
  <si>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</si>
  <si>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</si>
  <si>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</si>
  <si>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</si>
  <si>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</si>
  <si>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</si>
  <si>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</si>
  <si>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</si>
  <si>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</si>
  <si>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</si>
  <si>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</si>
  <si>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</si>
  <si>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</si>
  <si>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</si>
  <si>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</si>
  <si>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</si>
  <si>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</si>
  <si>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</si>
  <si>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</si>
  <si>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</si>
  <si>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</si>
  <si>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</si>
  <si>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</si>
  <si>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</si>
  <si>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</si>
  <si>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</si>
  <si>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</si>
  <si>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</si>
  <si>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</si>
  <si>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</si>
  <si>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</si>
  <si>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</si>
  <si>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</si>
  <si>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</si>
  <si>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</si>
  <si>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</si>
  <si>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</si>
  <si>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</si>
  <si>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</si>
  <si>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</si>
  <si>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</si>
  <si>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</si>
  <si>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</si>
  <si>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</si>
  <si>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</si>
  <si>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</si>
  <si>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</si>
  <si>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</si>
  <si>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</si>
  <si>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</si>
  <si>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</si>
  <si>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</si>
  <si>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</si>
  <si>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</si>
  <si>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</si>
  <si>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</si>
  <si>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</si>
  <si>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</si>
  <si>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</si>
  <si>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</si>
  <si>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</si>
  <si>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</si>
  <si>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</si>
  <si>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</si>
  <si>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</si>
  <si>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</si>
  <si>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</si>
  <si>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</si>
  <si>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</si>
  <si>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</si>
  <si>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</si>
  <si>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</si>
  <si>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</si>
  <si>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</si>
  <si>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</si>
  <si>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</si>
  <si>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</si>
  <si>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</si>
  <si>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</si>
  <si>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</si>
  <si>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</si>
  <si>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</si>
  <si>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</si>
  <si>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</si>
  <si>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</si>
  <si>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</si>
  <si>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</si>
  <si>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</si>
  <si>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</si>
  <si>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</si>
  <si>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</si>
  <si>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</si>
  <si>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</si>
  <si>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</si>
  <si>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</si>
  <si>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</si>
  <si>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</si>
  <si>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</si>
  <si>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</si>
  <si>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</si>
  <si>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</si>
  <si>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</si>
  <si>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</si>
  <si>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</si>
  <si>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</si>
  <si>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</si>
  <si>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</si>
  <si>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</si>
  <si>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</si>
  <si>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</si>
  <si>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</si>
  <si>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</si>
  <si>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</si>
  <si>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</si>
  <si>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</si>
  <si>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</si>
  <si>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</si>
  <si>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</si>
  <si>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</si>
  <si>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</si>
  <si>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</si>
  <si>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</si>
  <si>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</si>
  <si>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</si>
  <si>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</si>
  <si>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</si>
  <si>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</si>
  <si>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</si>
  <si>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</si>
  <si>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</si>
  <si>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</si>
  <si>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</si>
  <si>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</si>
  <si>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</si>
  <si>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</si>
  <si>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</si>
  <si>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</si>
  <si>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</si>
  <si>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</si>
  <si>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</si>
  <si>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</si>
  <si>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</si>
  <si>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</si>
  <si>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</si>
  <si>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</si>
  <si>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</si>
  <si>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</si>
  <si>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</si>
  <si>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</si>
  <si>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</si>
  <si>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</si>
  <si>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</si>
  <si>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</si>
  <si>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</si>
  <si>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</si>
  <si>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</si>
  <si>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</si>
  <si>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</si>
  <si>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</si>
  <si>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</si>
  <si>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</si>
  <si>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</si>
  <si>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</si>
  <si>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</si>
  <si>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</si>
  <si>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</si>
  <si>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</si>
  <si>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</si>
  <si>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</si>
  <si>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</si>
  <si>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</si>
  <si>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</si>
  <si>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</si>
  <si>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</si>
  <si>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</si>
  <si>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</si>
  <si>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</si>
  <si>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</si>
  <si>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</si>
  <si>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</si>
  <si>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</si>
  <si>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</si>
  <si>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</si>
  <si>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</si>
  <si>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</si>
  <si>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</si>
  <si>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</si>
  <si>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</si>
  <si>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</si>
  <si>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</si>
  <si>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</si>
  <si>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</si>
  <si>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</si>
  <si>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</si>
  <si>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</si>
  <si>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</si>
  <si>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</si>
  <si>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</si>
  <si>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</si>
  <si>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</si>
  <si>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</si>
  <si>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</si>
  <si>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</si>
  <si>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</si>
  <si>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</si>
  <si>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</si>
  <si>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</si>
  <si>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</si>
  <si>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</si>
  <si>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</si>
  <si>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</si>
  <si>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</si>
  <si>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</si>
  <si>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</si>
  <si>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</si>
  <si>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</si>
  <si>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</si>
  <si>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</si>
  <si>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</si>
  <si>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</si>
  <si>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</si>
  <si>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</si>
  <si>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</si>
  <si>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</si>
  <si>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</si>
  <si>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</si>
  <si>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</si>
  <si>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</si>
  <si>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</si>
  <si>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</si>
  <si>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</si>
  <si>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</si>
  <si>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</si>
  <si>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</si>
  <si>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</si>
  <si>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</si>
  <si>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</si>
  <si>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</si>
  <si>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</si>
  <si>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</si>
  <si>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</si>
  <si>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</si>
  <si>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</si>
  <si>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</si>
  <si>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</si>
  <si>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</si>
  <si>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</si>
  <si>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</si>
  <si>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</si>
  <si>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</si>
  <si>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</si>
  <si>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</si>
  <si>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</si>
  <si>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</si>
  <si>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</si>
  <si>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</si>
  <si>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</si>
  <si>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</si>
  <si>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</si>
  <si>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</si>
  <si>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</si>
  <si>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</si>
  <si>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</si>
  <si>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</si>
  <si>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</si>
  <si>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</si>
  <si>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</si>
  <si>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</si>
  <si>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</si>
  <si>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</si>
  <si>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</si>
  <si>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</si>
  <si>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</si>
  <si>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</si>
  <si>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</si>
  <si>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</si>
  <si>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</si>
  <si>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</si>
  <si>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</si>
  <si>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</si>
  <si>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</si>
  <si>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</si>
  <si>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</si>
  <si>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</si>
  <si>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</si>
  <si>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</si>
  <si>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</si>
  <si>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</si>
  <si>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</si>
  <si>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</si>
  <si>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</si>
  <si>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</si>
  <si>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</si>
  <si>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</si>
  <si>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</si>
  <si>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</si>
  <si>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</si>
  <si>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</si>
  <si>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</si>
  <si>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</si>
  <si>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</si>
  <si>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</si>
  <si>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</si>
  <si>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</si>
  <si>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</si>
  <si>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</si>
  <si>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</si>
  <si>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</si>
  <si>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</si>
  <si>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</si>
  <si>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</si>
  <si>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</si>
  <si>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</si>
  <si>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</si>
  <si>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</si>
  <si>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</si>
  <si>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</si>
  <si>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</si>
  <si>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</si>
  <si>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</si>
  <si>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</si>
  <si>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</si>
  <si>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</si>
  <si>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</si>
  <si>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</si>
  <si>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</si>
  <si>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</si>
  <si>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</si>
  <si>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</si>
  <si>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</si>
  <si>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</si>
  <si>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</si>
  <si>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</si>
  <si>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</si>
  <si>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</si>
  <si>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</si>
  <si>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</si>
  <si>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</si>
  <si>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</si>
  <si>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</si>
  <si>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</si>
  <si>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</si>
  <si>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</si>
  <si>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</si>
  <si>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</si>
  <si>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</si>
  <si>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</si>
  <si>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</si>
  <si>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</si>
  <si>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</si>
  <si>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</si>
  <si>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</si>
  <si>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</si>
  <si>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</si>
  <si>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</si>
  <si>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</si>
  <si>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</si>
  <si>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</si>
  <si>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</si>
  <si>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</si>
  <si>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</si>
  <si>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</si>
  <si>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</si>
  <si>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</si>
  <si>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</si>
  <si>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</si>
  <si>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</si>
  <si>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</si>
  <si>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</si>
  <si>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</si>
  <si>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</si>
  <si>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</si>
  <si>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</si>
  <si>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</si>
  <si>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</si>
  <si>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</si>
  <si>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</si>
  <si>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</si>
  <si>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</si>
  <si>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</si>
  <si>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</si>
  <si>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</si>
  <si>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</si>
  <si>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</si>
  <si>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</si>
  <si>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</si>
  <si>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</si>
  <si>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</si>
  <si>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</si>
  <si>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</si>
  <si>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</si>
  <si>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</si>
  <si>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</si>
  <si>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</si>
  <si>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</si>
  <si>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</si>
  <si>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</si>
  <si>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</si>
  <si>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</si>
  <si>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</si>
  <si>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</si>
  <si>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</si>
  <si>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</si>
  <si>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</si>
  <si>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</si>
  <si>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</si>
  <si>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</si>
  <si>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</si>
  <si>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</si>
  <si>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</si>
  <si>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</si>
  <si>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</si>
  <si>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</si>
  <si>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</si>
  <si>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</si>
  <si>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</si>
  <si>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</si>
  <si>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</si>
  <si>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</si>
  <si>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</si>
  <si>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</si>
  <si>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</si>
  <si>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</si>
  <si>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</si>
  <si>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</si>
  <si>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</si>
  <si>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</si>
  <si>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</si>
  <si>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</si>
  <si>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</si>
  <si>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</si>
  <si>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</si>
  <si>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</si>
  <si>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</si>
  <si>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</si>
  <si>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</si>
  <si>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</si>
  <si>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</si>
  <si>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</si>
  <si>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</si>
  <si>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</si>
  <si>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</si>
  <si>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</si>
  <si>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</si>
  <si>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</si>
  <si>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</si>
  <si>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</si>
  <si>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</si>
  <si>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</si>
  <si>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</si>
  <si>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</si>
  <si>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</si>
  <si>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</si>
  <si>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</si>
  <si>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</si>
  <si>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</si>
  <si>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</si>
  <si>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</si>
  <si>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</si>
  <si>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</si>
  <si>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</si>
  <si>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</si>
  <si>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</si>
  <si>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</si>
  <si>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</si>
  <si>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</si>
  <si>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</si>
  <si>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</si>
  <si>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</si>
  <si>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</si>
  <si>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</si>
  <si>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</si>
  <si>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</si>
  <si>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</si>
  <si>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</si>
  <si>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</si>
  <si>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</si>
  <si>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</si>
  <si>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</si>
  <si>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</si>
  <si>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</si>
  <si>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</si>
  <si>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</si>
  <si>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</si>
  <si>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</si>
  <si>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</si>
  <si>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</si>
  <si>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</si>
  <si>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</si>
  <si>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</si>
  <si>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</si>
  <si>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</si>
  <si>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</si>
  <si>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</si>
  <si>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</si>
  <si>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</si>
  <si>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</si>
  <si>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</si>
  <si>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</si>
  <si>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</si>
  <si>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</si>
  <si>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</si>
  <si>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</si>
  <si>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</si>
  <si>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</si>
  <si>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</si>
  <si>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</si>
  <si>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</si>
  <si>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</si>
  <si>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</si>
  <si>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</si>
  <si>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</si>
  <si>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</si>
  <si>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</si>
  <si>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</si>
  <si>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</si>
  <si>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</si>
  <si>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</si>
  <si>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</si>
  <si>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</si>
  <si>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</si>
  <si>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</si>
  <si>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</si>
  <si>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</si>
  <si>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</si>
  <si>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</si>
  <si>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</si>
  <si>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</si>
  <si>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</si>
  <si>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</si>
  <si>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</si>
  <si>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</si>
  <si>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</si>
  <si>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</si>
  <si>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</si>
  <si>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</si>
  <si>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</si>
  <si>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</si>
  <si>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</si>
  <si>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</si>
  <si>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</si>
  <si>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</si>
  <si>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</si>
  <si>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</si>
  <si>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</si>
  <si>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</si>
  <si>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</si>
  <si>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</si>
  <si>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</si>
  <si>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</si>
  <si>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</si>
  <si>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</si>
  <si>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</si>
  <si>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</si>
  <si>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</si>
  <si>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</si>
  <si>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</si>
  <si>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</si>
  <si>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</si>
  <si>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</si>
  <si>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</si>
  <si>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</si>
  <si>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</si>
  <si>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</si>
  <si>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</si>
  <si>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</si>
  <si>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</si>
  <si>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</si>
  <si>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</si>
  <si>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</si>
  <si>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</si>
  <si>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</si>
  <si>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</si>
  <si>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</si>
  <si>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</si>
  <si>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</si>
  <si>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</si>
  <si>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</si>
  <si>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</si>
  <si>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</si>
  <si>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</si>
  <si>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</si>
  <si>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</si>
  <si>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</si>
  <si>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</si>
  <si>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</si>
  <si>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</si>
  <si>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</si>
  <si>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</si>
  <si>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</si>
  <si>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</si>
  <si>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</si>
  <si>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</si>
  <si>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</si>
  <si>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</si>
  <si>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</si>
  <si>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</si>
  <si>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</si>
  <si>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</si>
  <si>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</si>
  <si>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</si>
  <si>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</si>
  <si>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</si>
  <si>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</si>
  <si>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</si>
  <si>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</si>
  <si>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</si>
  <si>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</si>
  <si>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</si>
  <si>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</si>
  <si>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</si>
  <si>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</si>
  <si>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</si>
  <si>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</si>
  <si>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</si>
  <si>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</si>
  <si>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</si>
  <si>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</si>
  <si>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</si>
  <si>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</si>
  <si>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</si>
  <si>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</si>
  <si>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</si>
  <si>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</si>
  <si>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</si>
  <si>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</si>
  <si>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</si>
  <si>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</si>
  <si>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</si>
  <si>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</si>
  <si>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</si>
  <si>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</si>
  <si>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</si>
  <si>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</si>
  <si>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</si>
  <si>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</si>
  <si>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</si>
  <si>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</si>
  <si>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</si>
  <si>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</si>
  <si>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</si>
  <si>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</si>
  <si>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</si>
  <si>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</si>
  <si>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</si>
  <si>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</si>
  <si>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</si>
  <si>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</si>
  <si>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</si>
  <si>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</si>
  <si>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</si>
  <si>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</si>
  <si>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</si>
  <si>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</si>
  <si>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</si>
  <si>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</si>
  <si>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</si>
  <si>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</si>
  <si>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</si>
  <si>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</si>
  <si>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</si>
  <si>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</si>
  <si>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</si>
  <si>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</si>
  <si>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</si>
  <si>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</si>
  <si>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</si>
  <si>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</si>
  <si>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</si>
  <si>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</si>
  <si>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</si>
  <si>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</si>
  <si>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</si>
  <si>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</si>
  <si>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</si>
  <si>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</si>
  <si>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</si>
  <si>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</si>
  <si>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</si>
  <si>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</si>
  <si>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</si>
  <si>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</si>
  <si>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</si>
  <si>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</si>
  <si>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</si>
  <si>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</si>
  <si>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</si>
  <si>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</si>
  <si>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</si>
  <si>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</si>
  <si>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</si>
  <si>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</si>
  <si>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</si>
  <si>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</si>
  <si>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</si>
  <si>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</si>
  <si>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</si>
  <si>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</si>
  <si>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</si>
  <si>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</si>
  <si>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</si>
  <si>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</si>
  <si>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</si>
  <si>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</si>
  <si>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</si>
  <si>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</si>
  <si>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</si>
  <si>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</si>
  <si>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</si>
  <si>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</si>
  <si>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</si>
  <si>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</si>
  <si>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</si>
  <si>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</si>
  <si>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</si>
  <si>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</si>
  <si>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</si>
  <si>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</si>
  <si>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</si>
  <si>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</si>
  <si>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</si>
  <si>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</si>
  <si>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</si>
  <si>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</si>
  <si>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</si>
  <si>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</si>
  <si>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</si>
  <si>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</si>
  <si>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</si>
  <si>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</si>
  <si>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</si>
  <si>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</si>
  <si>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</si>
  <si>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</si>
  <si>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</si>
  <si>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</si>
  <si>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</si>
  <si>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</si>
  <si>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</si>
  <si>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</si>
  <si>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</si>
  <si>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</si>
  <si>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</si>
  <si>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</si>
  <si>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</si>
  <si>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</si>
  <si>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</si>
  <si>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</si>
  <si>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</si>
  <si>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</si>
  <si>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</si>
  <si>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</si>
  <si>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</si>
  <si>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</si>
  <si>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</si>
  <si>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</si>
  <si>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</si>
  <si>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</si>
  <si>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</si>
  <si>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</si>
  <si>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Evaserate</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</si>
  <si>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</si>
  <si>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</si>
  <si>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</si>
  <si>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</si>
  <si>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</si>
  <si>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</si>
  <si>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</si>
  <si>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</si>
  <si>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</si>
  <si>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</si>
  <si>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</si>
  <si>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</si>
  <si>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</si>
  <si>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</si>
  <si>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</si>
  <si>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</si>
  <si>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</si>
  <si>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</si>
  <si>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</si>
  <si>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</si>
  <si>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</si>
  <si>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</si>
  <si>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</si>
  <si>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</si>
  <si>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Heals all allies with in target area and increases their armor.</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</si>
  <si>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</si>
  <si>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</si>
  <si>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</si>
  <si>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</si>
  <si>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</si>
  <si>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</si>
  <si>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</si>
  <si>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</si>
  <si>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</si>
  <si>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</si>
  <si>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</si>
  <si>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</si>
  <si>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</si>
  <si>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</si>
  <si>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</si>
  <si>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</si>
  <si>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</si>
  <si>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</si>
  <si>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</si>
  <si>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</si>
  <si>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</si>
  <si>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</si>
  <si>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</si>
  <si>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</si>
  <si>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</si>
  <si>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</si>
  <si>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</si>
  <si>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</si>
  <si>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</si>
  <si>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</si>
  <si>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</si>
  <si>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</si>
  <si>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</si>
  <si>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</si>
  <si>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</si>
  <si>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</si>
  <si>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</si>
  <si>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</si>
  <si>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</si>
  <si>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</si>
  <si>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</si>
  <si>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</si>
  <si>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</si>
  <si>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</si>
  <si>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</si>
  <si>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</si>
  <si>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</si>
  <si>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</si>
  <si>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</si>
  <si>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</si>
  <si>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</si>
  <si>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</si>
  <si>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</si>
  <si>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</si>
  <si>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</si>
  <si>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</si>
  <si>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</si>
  <si>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</si>
  <si>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</si>
  <si>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</si>
  <si>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</si>
  <si>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</si>
  <si>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</si>
  <si>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</si>
  <si>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</si>
  <si>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</si>
  <si>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</si>
  <si>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</si>
  <si>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</si>
  <si>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</si>
  <si>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</si>
  <si>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</si>
  <si>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</si>
  <si>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</si>
  <si>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</si>
  <si>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</si>
  <si>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</si>
  <si>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</si>
  <si>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</si>
  <si>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</si>
  <si>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</si>
  <si>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</si>
  <si>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</si>
  <si>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</si>
  <si>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</si>
  <si>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</si>
  <si>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</si>
  <si>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</si>
  <si>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</si>
  <si>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</si>
  <si>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</si>
  <si>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</si>
  <si>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</si>
  <si>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</si>
  <si>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</si>
  <si>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</si>
  <si>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</si>
  <si>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</si>
  <si>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</si>
  <si>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</si>
  <si>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</si>
  <si>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</si>
  <si>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</si>
  <si>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</si>
  <si>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</si>
  <si>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</si>
  <si>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</si>
  <si>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</si>
  <si>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</si>
  <si>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</si>
  <si>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</si>
  <si>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</si>
  <si>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</si>
  <si>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</si>
  <si>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</si>
  <si>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</si>
  <si>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</si>
  <si>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</si>
  <si>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</si>
  <si>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</si>
  <si>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</si>
  <si>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</si>
  <si>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</si>
  <si>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</si>
  <si>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</si>
  <si>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</si>
  <si>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</si>
  <si>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</si>
  <si>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</si>
  <si>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</si>
  <si>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</si>
  <si>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</si>
  <si>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</si>
  <si>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</si>
  <si>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Heals all allies for {1#} with in target area and increases their armor by {2#}.</t>
  </si>
  <si>
    <t>Heals {1#}, increases armor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</si>
  <si>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</si>
  <si>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</si>
  <si>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</si>
  <si>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</si>
  <si>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</si>
  <si>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</si>
  <si>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</si>
  <si>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</si>
  <si>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</si>
  <si>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</si>
  <si>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</si>
  <si>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</si>
  <si>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</si>
  <si>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</si>
  <si>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</si>
  <si>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</si>
  <si>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</si>
  <si>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</si>
  <si>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</si>
  <si>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</si>
  <si>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</si>
  <si>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</si>
  <si>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</si>
  <si>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</si>
  <si>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</si>
  <si>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</si>
  <si>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</si>
  <si>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</si>
  <si>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</si>
  <si>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</si>
  <si>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</si>
  <si>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</si>
  <si>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</si>
  <si>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</si>
  <si>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</si>
  <si>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</si>
  <si>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</si>
  <si>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</si>
  <si>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</si>
  <si>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</si>
  <si>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</si>
  <si>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</si>
  <si>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</si>
  <si>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</si>
  <si>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</si>
  <si>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</si>
  <si>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</si>
  <si>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</si>
  <si>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</si>
  <si>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</si>
  <si>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</si>
  <si>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</si>
  <si>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</si>
  <si>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</si>
  <si>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</si>
  <si>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</si>
  <si>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</si>
  <si>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</si>
  <si>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</si>
  <si>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</si>
  <si>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</si>
  <si>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</si>
  <si>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</si>
  <si>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</si>
  <si>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</si>
  <si>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</si>
  <si>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</si>
  <si>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</si>
  <si>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</si>
  <si>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</si>
  <si>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</si>
  <si>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</si>
  <si>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</si>
  <si>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</si>
  <si>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A02S</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</si>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</sst>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88"/>
  <sheetViews>
    <sheetView tabSelected="1" topLeftCell="B1" workbookViewId="0">
      <pane ySplit="1" topLeftCell="A14" activePane="bottomLeft" state="frozen"/>
      <selection activeCell="B1" sqref="B1"/>
      <selection pane="bottomLeft" activeCell="J22" sqref="J22"/>
    </sheetView>
  </sheetViews>
  <sheetFormatPr defaultColWidth="17.28515625" defaultRowHeight="14.25"/>
  <cols>
    <col min="1" max="1" width="13.140625" style="161" hidden="1" customWidth="1"/>
    <col min="2" max="2" width="15.7109375" style="161" customWidth="1"/>
    <col min="3" max="3" width="11" style="161" hidden="1" customWidth="1"/>
    <col min="4" max="4" width="14.42578125" style="163" customWidth="1"/>
    <col min="5" max="5" width="3" style="161" customWidth="1"/>
    <col min="6" max="6" width="48.5703125" style="161" hidden="1" customWidth="1"/>
    <col min="7" max="7" width="42.7109375" style="161" customWidth="1"/>
    <col min="8" max="8" width="50.5703125" style="161" hidden="1" customWidth="1"/>
    <col min="9" max="9" width="50.7109375" style="161" hidden="1" customWidth="1"/>
    <col min="10" max="10" width="51.5703125" style="161" customWidth="1"/>
    <col min="11" max="11" width="40.7109375" style="161" hidden="1" customWidth="1"/>
    <col min="12" max="12" width="46.28515625" style="161" customWidth="1"/>
    <col min="13" max="14" width="5" style="161" customWidth="1"/>
    <col min="15" max="15" width="4.7109375" style="161" customWidth="1"/>
    <col min="16" max="16" width="4.7109375" style="167" customWidth="1"/>
    <col min="17" max="17" width="4.7109375" style="168" customWidth="1"/>
    <col min="18" max="18" width="4.7109375" style="167" customWidth="1"/>
    <col min="19" max="19" width="4.7109375" style="168" customWidth="1"/>
    <col min="20" max="20" width="4.7109375" style="167" customWidth="1"/>
    <col min="21" max="21" width="4.7109375" style="168" customWidth="1"/>
    <col min="22" max="22" width="4.7109375" style="167" customWidth="1"/>
    <col min="23" max="23" width="5.85546875" style="194" bestFit="1" customWidth="1"/>
    <col min="24" max="24" width="5.7109375" style="194" bestFit="1" customWidth="1"/>
    <col min="25" max="25" width="4.42578125" style="194" customWidth="1"/>
    <col min="26" max="26" width="3.5703125" style="194" customWidth="1"/>
    <col min="27" max="27" width="6.5703125" style="194" customWidth="1"/>
    <col min="28" max="29" width="5.85546875" style="194" customWidth="1"/>
    <col min="30" max="30" width="2.7109375" style="161" customWidth="1"/>
    <col min="31" max="31" width="11.140625" style="161" customWidth="1"/>
    <col min="32" max="35" width="3" style="161" customWidth="1"/>
    <col min="36" max="36" width="8.140625" style="161" customWidth="1"/>
    <col min="37" max="38" width="11.140625" style="161" customWidth="1"/>
    <col min="39" max="40" width="3.5703125" style="161" customWidth="1"/>
    <col min="41" max="16384" width="17.28515625" style="143"/>
  </cols>
  <sheetData>
    <row r="1" spans="1:40" s="23" customFormat="1">
      <c r="A1" s="158" t="s">
        <v>1937</v>
      </c>
      <c r="B1" s="158" t="s">
        <v>1796</v>
      </c>
      <c r="C1" s="158" t="s">
        <v>1939</v>
      </c>
      <c r="D1" s="158" t="s">
        <v>1938</v>
      </c>
      <c r="E1" s="191" t="s">
        <v>2007</v>
      </c>
      <c r="F1" s="158" t="s">
        <v>1940</v>
      </c>
      <c r="G1" s="158" t="s">
        <v>1941</v>
      </c>
      <c r="H1" s="158" t="s">
        <v>1943</v>
      </c>
      <c r="I1" s="158" t="s">
        <v>1942</v>
      </c>
      <c r="J1" s="158" t="s">
        <v>1888</v>
      </c>
      <c r="K1" s="158" t="s">
        <v>1944</v>
      </c>
      <c r="L1" s="158" t="s">
        <v>1945</v>
      </c>
      <c r="M1" s="158" t="s">
        <v>1852</v>
      </c>
      <c r="N1" s="158" t="s">
        <v>1853</v>
      </c>
      <c r="O1" s="158" t="s">
        <v>1854</v>
      </c>
      <c r="P1" s="164" t="s">
        <v>581</v>
      </c>
      <c r="Q1" s="169" t="s">
        <v>582</v>
      </c>
      <c r="R1" s="164" t="s">
        <v>583</v>
      </c>
      <c r="S1" s="169" t="s">
        <v>584</v>
      </c>
      <c r="T1" s="164" t="s">
        <v>585</v>
      </c>
      <c r="U1" s="169" t="s">
        <v>586</v>
      </c>
      <c r="V1" s="164" t="s">
        <v>0</v>
      </c>
      <c r="W1" s="192" t="s">
        <v>2008</v>
      </c>
      <c r="X1" s="192" t="s">
        <v>2038</v>
      </c>
      <c r="Y1" s="192" t="s">
        <v>2102</v>
      </c>
      <c r="Z1" s="192" t="s">
        <v>2103</v>
      </c>
      <c r="AA1" s="192" t="s">
        <v>2105</v>
      </c>
      <c r="AB1" s="192" t="s">
        <v>2106</v>
      </c>
      <c r="AC1" s="192" t="s">
        <v>2107</v>
      </c>
      <c r="AD1" s="158" t="s">
        <v>1048</v>
      </c>
      <c r="AE1" s="158" t="s">
        <v>2104</v>
      </c>
      <c r="AF1" s="158" t="s">
        <v>2162</v>
      </c>
      <c r="AG1" s="158" t="s">
        <v>2163</v>
      </c>
      <c r="AH1" s="158" t="s">
        <v>2164</v>
      </c>
      <c r="AI1" s="158" t="s">
        <v>2165</v>
      </c>
      <c r="AJ1" s="158" t="s">
        <v>2108</v>
      </c>
      <c r="AK1" s="158" t="s">
        <v>2166</v>
      </c>
      <c r="AL1" s="158" t="s">
        <v>2177</v>
      </c>
      <c r="AM1" s="158" t="s">
        <v>2181</v>
      </c>
      <c r="AN1" s="158" t="s">
        <v>2182</v>
      </c>
    </row>
    <row r="2" spans="1:40">
      <c r="A2" s="159" t="s">
        <v>1</v>
      </c>
      <c r="B2" s="159" t="s">
        <v>1797</v>
      </c>
      <c r="C2" s="157" t="s">
        <v>2</v>
      </c>
      <c r="D2" s="157" t="s">
        <v>576</v>
      </c>
      <c r="E2" s="157">
        <v>1</v>
      </c>
      <c r="F2" s="159" t="s">
        <v>602</v>
      </c>
      <c r="G2" s="159" t="s">
        <v>1795</v>
      </c>
      <c r="H2" s="159" t="s">
        <v>3</v>
      </c>
      <c r="I2" s="159"/>
      <c r="J2" s="159" t="s">
        <v>1881</v>
      </c>
      <c r="K2" s="159" t="s">
        <v>603</v>
      </c>
      <c r="L2" s="159" t="s">
        <v>1946</v>
      </c>
      <c r="M2" s="159">
        <v>0.45</v>
      </c>
      <c r="N2" s="159"/>
      <c r="O2" s="159"/>
      <c r="P2" s="165"/>
      <c r="Q2" s="166"/>
      <c r="R2" s="165"/>
      <c r="S2" s="166"/>
      <c r="T2" s="165">
        <v>30</v>
      </c>
      <c r="U2" s="166">
        <v>5</v>
      </c>
      <c r="V2" s="165">
        <v>7</v>
      </c>
      <c r="W2" s="193" t="s">
        <v>2009</v>
      </c>
      <c r="X2" s="193" t="s">
        <v>2098</v>
      </c>
      <c r="Y2" s="193">
        <v>0</v>
      </c>
      <c r="Z2" s="193">
        <v>0</v>
      </c>
      <c r="AA2" s="193">
        <v>1.67</v>
      </c>
      <c r="AB2" s="193">
        <v>0</v>
      </c>
      <c r="AC2" s="193">
        <v>5</v>
      </c>
      <c r="AD2" s="159" t="s">
        <v>1049</v>
      </c>
      <c r="AE2" s="159" t="s">
        <v>2070</v>
      </c>
      <c r="AF2" s="159">
        <v>0</v>
      </c>
      <c r="AG2" s="159">
        <v>2</v>
      </c>
      <c r="AH2" s="159">
        <v>0</v>
      </c>
      <c r="AI2" s="159">
        <v>0</v>
      </c>
      <c r="AJ2" s="159" t="s">
        <v>2109</v>
      </c>
      <c r="AK2" s="159" t="s">
        <v>2167</v>
      </c>
      <c r="AL2" s="159"/>
      <c r="AM2" s="159">
        <v>1</v>
      </c>
      <c r="AN2" s="159"/>
    </row>
    <row r="3" spans="1:40">
      <c r="A3" s="159"/>
      <c r="B3" s="159"/>
      <c r="C3" s="157"/>
      <c r="D3" s="157"/>
      <c r="E3" s="157">
        <v>2</v>
      </c>
      <c r="F3" s="143"/>
      <c r="G3" s="143"/>
      <c r="H3" s="159" t="s">
        <v>4</v>
      </c>
      <c r="I3" s="159"/>
      <c r="J3" s="159" t="s">
        <v>1881</v>
      </c>
      <c r="K3" s="159" t="s">
        <v>604</v>
      </c>
      <c r="L3" s="159" t="s">
        <v>1946</v>
      </c>
      <c r="M3" s="159">
        <v>0.6</v>
      </c>
      <c r="N3" s="159"/>
      <c r="O3" s="159"/>
      <c r="P3" s="165"/>
      <c r="Q3" s="166"/>
      <c r="R3" s="165"/>
      <c r="S3" s="166"/>
      <c r="T3" s="165">
        <v>30</v>
      </c>
      <c r="U3" s="166">
        <v>5</v>
      </c>
      <c r="V3" s="165">
        <v>7</v>
      </c>
      <c r="W3" s="193"/>
      <c r="X3" s="193"/>
      <c r="Y3" s="193"/>
      <c r="Z3" s="193"/>
      <c r="AA3" s="193"/>
      <c r="AB3" s="193"/>
      <c r="AC3" s="193"/>
      <c r="AD3" s="159"/>
      <c r="AE3" s="159"/>
      <c r="AF3" s="159"/>
      <c r="AG3" s="159"/>
      <c r="AH3" s="159"/>
      <c r="AI3" s="159"/>
      <c r="AJ3" s="159"/>
      <c r="AK3" s="159"/>
      <c r="AL3" s="159"/>
      <c r="AM3" s="159"/>
      <c r="AN3" s="159"/>
    </row>
    <row r="4" spans="1:40">
      <c r="A4" s="159"/>
      <c r="B4" s="159"/>
      <c r="C4" s="157"/>
      <c r="D4" s="157"/>
      <c r="E4" s="157">
        <v>3</v>
      </c>
      <c r="F4" s="143"/>
      <c r="G4" s="143"/>
      <c r="H4" s="159" t="s">
        <v>5</v>
      </c>
      <c r="I4" s="159"/>
      <c r="J4" s="159" t="s">
        <v>1881</v>
      </c>
      <c r="K4" s="159" t="s">
        <v>605</v>
      </c>
      <c r="L4" s="159" t="s">
        <v>1946</v>
      </c>
      <c r="M4" s="159">
        <v>0.75</v>
      </c>
      <c r="N4" s="159"/>
      <c r="O4" s="159"/>
      <c r="P4" s="165"/>
      <c r="Q4" s="166"/>
      <c r="R4" s="165"/>
      <c r="S4" s="166"/>
      <c r="T4" s="165">
        <v>30</v>
      </c>
      <c r="U4" s="166">
        <v>5</v>
      </c>
      <c r="V4" s="165">
        <v>7</v>
      </c>
      <c r="W4" s="193"/>
      <c r="X4" s="193"/>
      <c r="Y4" s="193"/>
      <c r="Z4" s="193"/>
      <c r="AA4" s="193"/>
      <c r="AB4" s="193"/>
      <c r="AC4" s="193"/>
      <c r="AD4" s="159"/>
      <c r="AE4" s="159"/>
      <c r="AF4" s="159"/>
      <c r="AG4" s="159"/>
      <c r="AH4" s="159"/>
      <c r="AI4" s="159"/>
      <c r="AJ4" s="159"/>
      <c r="AK4" s="159"/>
      <c r="AL4" s="159"/>
      <c r="AM4" s="159"/>
      <c r="AN4" s="159"/>
    </row>
    <row r="5" spans="1:40">
      <c r="A5" s="159"/>
      <c r="B5" s="159"/>
      <c r="C5" s="159" t="s">
        <v>8</v>
      </c>
      <c r="D5" s="160" t="s">
        <v>577</v>
      </c>
      <c r="E5" s="157">
        <v>1</v>
      </c>
      <c r="F5" s="159" t="s">
        <v>1333</v>
      </c>
      <c r="G5" s="159" t="s">
        <v>1820</v>
      </c>
      <c r="H5" s="159" t="s">
        <v>9</v>
      </c>
      <c r="I5" s="159"/>
      <c r="J5" s="159" t="s">
        <v>1882</v>
      </c>
      <c r="K5" s="159" t="s">
        <v>1312</v>
      </c>
      <c r="L5" s="159" t="s">
        <v>1947</v>
      </c>
      <c r="M5" s="159">
        <v>50</v>
      </c>
      <c r="N5" s="159"/>
      <c r="O5" s="159"/>
      <c r="P5" s="165"/>
      <c r="Q5" s="166"/>
      <c r="R5" s="165"/>
      <c r="S5" s="166">
        <v>250</v>
      </c>
      <c r="T5" s="165">
        <v>20</v>
      </c>
      <c r="U5" s="166">
        <v>8</v>
      </c>
      <c r="V5" s="165">
        <v>8</v>
      </c>
      <c r="W5" s="193" t="s">
        <v>2010</v>
      </c>
      <c r="X5" s="193" t="s">
        <v>2098</v>
      </c>
      <c r="Y5" s="193">
        <v>0</v>
      </c>
      <c r="Z5" s="193">
        <v>0</v>
      </c>
      <c r="AA5" s="193">
        <v>1.34</v>
      </c>
      <c r="AB5" s="193">
        <v>0</v>
      </c>
      <c r="AC5" s="193">
        <v>1</v>
      </c>
      <c r="AD5" s="159" t="s">
        <v>1311</v>
      </c>
      <c r="AE5" s="159" t="s">
        <v>2071</v>
      </c>
      <c r="AF5" s="159">
        <v>1</v>
      </c>
      <c r="AG5" s="159">
        <v>2</v>
      </c>
      <c r="AH5" s="159">
        <v>1</v>
      </c>
      <c r="AI5" s="159">
        <v>0</v>
      </c>
      <c r="AJ5" s="159" t="s">
        <v>2110</v>
      </c>
      <c r="AK5" s="159" t="s">
        <v>2168</v>
      </c>
      <c r="AL5" s="159"/>
      <c r="AM5" s="159">
        <v>1</v>
      </c>
      <c r="AN5" s="159"/>
    </row>
    <row r="6" spans="1:40">
      <c r="A6" s="159"/>
      <c r="B6" s="159"/>
      <c r="C6" s="159"/>
      <c r="D6" s="160"/>
      <c r="E6" s="157">
        <v>2</v>
      </c>
      <c r="F6" s="143"/>
      <c r="G6" s="143"/>
      <c r="H6" s="159" t="s">
        <v>10</v>
      </c>
      <c r="I6" s="159"/>
      <c r="J6" s="159" t="s">
        <v>1882</v>
      </c>
      <c r="K6" s="159" t="s">
        <v>1313</v>
      </c>
      <c r="L6" s="159" t="s">
        <v>1947</v>
      </c>
      <c r="M6" s="159">
        <v>100</v>
      </c>
      <c r="N6" s="159"/>
      <c r="O6" s="159"/>
      <c r="P6" s="165"/>
      <c r="Q6" s="166"/>
      <c r="R6" s="165"/>
      <c r="S6" s="166">
        <v>250</v>
      </c>
      <c r="T6" s="165">
        <v>20</v>
      </c>
      <c r="U6" s="166">
        <v>8</v>
      </c>
      <c r="V6" s="165">
        <v>8</v>
      </c>
      <c r="W6" s="193"/>
      <c r="X6" s="193"/>
      <c r="Y6" s="193"/>
      <c r="Z6" s="193"/>
      <c r="AA6" s="193"/>
      <c r="AB6" s="193"/>
      <c r="AC6" s="193"/>
      <c r="AD6" s="159"/>
      <c r="AE6" s="159"/>
      <c r="AF6" s="159"/>
      <c r="AG6" s="159"/>
      <c r="AH6" s="159"/>
      <c r="AI6" s="159"/>
      <c r="AJ6" s="159"/>
      <c r="AK6" s="159"/>
      <c r="AL6" s="159"/>
      <c r="AM6" s="159"/>
      <c r="AN6" s="159"/>
    </row>
    <row r="7" spans="1:40">
      <c r="A7" s="159"/>
      <c r="B7" s="159"/>
      <c r="C7" s="159"/>
      <c r="D7" s="160"/>
      <c r="E7" s="157">
        <v>3</v>
      </c>
      <c r="F7" s="143"/>
      <c r="G7" s="143"/>
      <c r="H7" s="159" t="s">
        <v>11</v>
      </c>
      <c r="I7" s="159"/>
      <c r="J7" s="159" t="s">
        <v>1882</v>
      </c>
      <c r="K7" s="159" t="s">
        <v>1314</v>
      </c>
      <c r="L7" s="159" t="s">
        <v>1947</v>
      </c>
      <c r="M7" s="159">
        <v>150</v>
      </c>
      <c r="N7" s="159"/>
      <c r="O7" s="159"/>
      <c r="P7" s="165"/>
      <c r="Q7" s="166"/>
      <c r="R7" s="165"/>
      <c r="S7" s="166">
        <v>250</v>
      </c>
      <c r="T7" s="165">
        <v>20</v>
      </c>
      <c r="U7" s="166">
        <v>8</v>
      </c>
      <c r="V7" s="165">
        <v>8</v>
      </c>
      <c r="W7" s="193"/>
      <c r="X7" s="193"/>
      <c r="Y7" s="193"/>
      <c r="Z7" s="193"/>
      <c r="AA7" s="193"/>
      <c r="AB7" s="193"/>
      <c r="AC7" s="193"/>
      <c r="AD7" s="159"/>
      <c r="AE7" s="159"/>
      <c r="AF7" s="159"/>
      <c r="AG7" s="159"/>
      <c r="AH7" s="159"/>
      <c r="AI7" s="159"/>
      <c r="AJ7" s="159"/>
      <c r="AK7" s="159"/>
      <c r="AL7" s="159"/>
      <c r="AM7" s="159"/>
      <c r="AN7" s="159"/>
    </row>
    <row r="8" spans="1:40">
      <c r="A8" s="159"/>
      <c r="B8" s="159"/>
      <c r="C8" s="159" t="s">
        <v>13</v>
      </c>
      <c r="D8" s="160" t="s">
        <v>578</v>
      </c>
      <c r="E8" s="157">
        <v>1</v>
      </c>
      <c r="F8" s="159" t="s">
        <v>1315</v>
      </c>
      <c r="G8" s="159" t="s">
        <v>1821</v>
      </c>
      <c r="H8" s="159" t="s">
        <v>1334</v>
      </c>
      <c r="I8" s="159"/>
      <c r="J8" s="159" t="s">
        <v>1883</v>
      </c>
      <c r="K8" s="159" t="s">
        <v>1316</v>
      </c>
      <c r="L8" s="159" t="s">
        <v>1948</v>
      </c>
      <c r="M8" s="159">
        <v>40</v>
      </c>
      <c r="N8" s="159">
        <v>0.04</v>
      </c>
      <c r="O8" s="159"/>
      <c r="P8" s="165"/>
      <c r="Q8" s="166"/>
      <c r="R8" s="165">
        <v>400</v>
      </c>
      <c r="S8" s="166"/>
      <c r="T8" s="165"/>
      <c r="U8" s="166">
        <v>5</v>
      </c>
      <c r="V8" s="165">
        <v>2</v>
      </c>
      <c r="W8" s="193" t="s">
        <v>2011</v>
      </c>
      <c r="X8" s="193" t="s">
        <v>2098</v>
      </c>
      <c r="Y8" s="193">
        <v>0</v>
      </c>
      <c r="Z8" s="193">
        <v>0</v>
      </c>
      <c r="AA8" s="193">
        <v>1.34</v>
      </c>
      <c r="AB8" s="193">
        <v>1</v>
      </c>
      <c r="AC8" s="193">
        <v>1</v>
      </c>
      <c r="AD8" s="159" t="s">
        <v>1319</v>
      </c>
      <c r="AE8" s="159" t="s">
        <v>2072</v>
      </c>
      <c r="AF8" s="159">
        <v>2</v>
      </c>
      <c r="AG8" s="159">
        <v>2</v>
      </c>
      <c r="AH8" s="159">
        <v>2</v>
      </c>
      <c r="AI8" s="159">
        <v>0</v>
      </c>
      <c r="AJ8" s="159" t="s">
        <v>2111</v>
      </c>
      <c r="AK8" s="159" t="s">
        <v>2168</v>
      </c>
      <c r="AL8" s="159" t="s">
        <v>2178</v>
      </c>
      <c r="AM8" s="159">
        <v>1</v>
      </c>
      <c r="AN8" s="159"/>
    </row>
    <row r="9" spans="1:40">
      <c r="A9" s="159"/>
      <c r="B9" s="159"/>
      <c r="C9" s="159"/>
      <c r="D9" s="160"/>
      <c r="E9" s="157">
        <v>2</v>
      </c>
      <c r="F9" s="143"/>
      <c r="G9" s="159"/>
      <c r="H9" s="159" t="s">
        <v>1335</v>
      </c>
      <c r="I9" s="159"/>
      <c r="J9" s="159" t="s">
        <v>1883</v>
      </c>
      <c r="K9" s="159" t="s">
        <v>1317</v>
      </c>
      <c r="L9" s="159" t="s">
        <v>1948</v>
      </c>
      <c r="M9" s="159">
        <v>80</v>
      </c>
      <c r="N9" s="159">
        <v>0.08</v>
      </c>
      <c r="O9" s="159"/>
      <c r="P9" s="165"/>
      <c r="Q9" s="166"/>
      <c r="R9" s="165">
        <v>400</v>
      </c>
      <c r="S9" s="166"/>
      <c r="T9" s="165"/>
      <c r="U9" s="166">
        <v>5</v>
      </c>
      <c r="V9" s="165">
        <v>2</v>
      </c>
      <c r="W9" s="193"/>
      <c r="X9" s="193"/>
      <c r="Y9" s="193"/>
      <c r="Z9" s="193"/>
      <c r="AA9" s="193"/>
      <c r="AB9" s="193"/>
      <c r="AC9" s="193"/>
      <c r="AD9" s="159"/>
      <c r="AE9" s="159"/>
      <c r="AF9" s="159"/>
      <c r="AG9" s="159"/>
      <c r="AH9" s="159"/>
      <c r="AI9" s="159"/>
      <c r="AJ9" s="159"/>
      <c r="AK9" s="159"/>
      <c r="AL9" s="159" t="s">
        <v>2178</v>
      </c>
      <c r="AM9" s="159"/>
      <c r="AN9" s="159"/>
    </row>
    <row r="10" spans="1:40">
      <c r="A10" s="159"/>
      <c r="B10" s="159"/>
      <c r="C10" s="159"/>
      <c r="D10" s="160"/>
      <c r="E10" s="157">
        <v>3</v>
      </c>
      <c r="F10" s="143"/>
      <c r="G10" s="159"/>
      <c r="H10" s="159" t="s">
        <v>1336</v>
      </c>
      <c r="I10" s="159"/>
      <c r="J10" s="159" t="s">
        <v>1883</v>
      </c>
      <c r="K10" s="159" t="s">
        <v>1318</v>
      </c>
      <c r="L10" s="159" t="s">
        <v>1948</v>
      </c>
      <c r="M10" s="159">
        <v>120</v>
      </c>
      <c r="N10" s="159">
        <v>0.12</v>
      </c>
      <c r="O10" s="159"/>
      <c r="P10" s="165"/>
      <c r="Q10" s="166"/>
      <c r="R10" s="165">
        <v>400</v>
      </c>
      <c r="S10" s="166"/>
      <c r="T10" s="165"/>
      <c r="U10" s="166">
        <v>5</v>
      </c>
      <c r="V10" s="165">
        <v>2</v>
      </c>
      <c r="W10" s="193"/>
      <c r="X10" s="193"/>
      <c r="Y10" s="193"/>
      <c r="Z10" s="193"/>
      <c r="AA10" s="193"/>
      <c r="AB10" s="193"/>
      <c r="AC10" s="193"/>
      <c r="AD10" s="159"/>
      <c r="AE10" s="159"/>
      <c r="AF10" s="159"/>
      <c r="AG10" s="159"/>
      <c r="AH10" s="159"/>
      <c r="AI10" s="159"/>
      <c r="AJ10" s="159"/>
      <c r="AK10" s="159"/>
      <c r="AL10" s="159" t="s">
        <v>2178</v>
      </c>
      <c r="AM10" s="159"/>
      <c r="AN10" s="159"/>
    </row>
    <row r="11" spans="1:40">
      <c r="A11" s="159"/>
      <c r="B11" s="159"/>
      <c r="C11" s="159" t="s">
        <v>14</v>
      </c>
      <c r="D11" s="160" t="s">
        <v>579</v>
      </c>
      <c r="E11" s="157">
        <v>1</v>
      </c>
      <c r="F11" s="159" t="s">
        <v>1320</v>
      </c>
      <c r="G11" s="159" t="s">
        <v>1822</v>
      </c>
      <c r="H11" s="159" t="s">
        <v>1321</v>
      </c>
      <c r="I11" s="159"/>
      <c r="J11" s="159" t="s">
        <v>1886</v>
      </c>
      <c r="K11" s="159" t="s">
        <v>1324</v>
      </c>
      <c r="L11" s="159" t="s">
        <v>1949</v>
      </c>
      <c r="M11" s="159">
        <v>0.5</v>
      </c>
      <c r="N11" s="159"/>
      <c r="O11" s="159"/>
      <c r="P11" s="165"/>
      <c r="Q11" s="166"/>
      <c r="R11" s="165">
        <v>600</v>
      </c>
      <c r="S11" s="166"/>
      <c r="T11" s="165"/>
      <c r="U11" s="166">
        <v>5</v>
      </c>
      <c r="V11" s="165">
        <v>14</v>
      </c>
      <c r="W11" s="193" t="s">
        <v>2012</v>
      </c>
      <c r="X11" s="193" t="s">
        <v>2098</v>
      </c>
      <c r="Y11" s="193">
        <v>0</v>
      </c>
      <c r="Z11" s="193">
        <v>0</v>
      </c>
      <c r="AA11" s="193">
        <v>1.34</v>
      </c>
      <c r="AB11" s="193">
        <v>1</v>
      </c>
      <c r="AC11" s="193">
        <v>5</v>
      </c>
      <c r="AD11" s="159" t="s">
        <v>1327</v>
      </c>
      <c r="AE11" s="159" t="s">
        <v>1784</v>
      </c>
      <c r="AF11" s="159">
        <v>3</v>
      </c>
      <c r="AG11" s="159">
        <v>2</v>
      </c>
      <c r="AH11" s="159">
        <v>3</v>
      </c>
      <c r="AI11" s="159">
        <v>0</v>
      </c>
      <c r="AJ11" s="159" t="s">
        <v>2112</v>
      </c>
      <c r="AK11" s="159" t="s">
        <v>2168</v>
      </c>
      <c r="AL11" s="159" t="s">
        <v>2178</v>
      </c>
      <c r="AM11" s="159">
        <v>1</v>
      </c>
      <c r="AN11" s="159"/>
    </row>
    <row r="12" spans="1:40">
      <c r="A12" s="159"/>
      <c r="B12" s="159"/>
      <c r="C12" s="159"/>
      <c r="D12" s="160"/>
      <c r="E12" s="157">
        <v>2</v>
      </c>
      <c r="F12" s="143"/>
      <c r="G12" s="159"/>
      <c r="H12" s="159" t="s">
        <v>1322</v>
      </c>
      <c r="I12" s="159"/>
      <c r="J12" s="159" t="s">
        <v>1886</v>
      </c>
      <c r="K12" s="159" t="s">
        <v>1325</v>
      </c>
      <c r="L12" s="159" t="s">
        <v>1949</v>
      </c>
      <c r="M12" s="159">
        <v>0.6</v>
      </c>
      <c r="N12" s="159"/>
      <c r="O12" s="159"/>
      <c r="P12" s="165"/>
      <c r="Q12" s="166"/>
      <c r="R12" s="165">
        <v>600</v>
      </c>
      <c r="S12" s="166"/>
      <c r="T12" s="165"/>
      <c r="U12" s="166">
        <v>5</v>
      </c>
      <c r="V12" s="165">
        <v>12</v>
      </c>
      <c r="W12" s="193"/>
      <c r="X12" s="193"/>
      <c r="Y12" s="193"/>
      <c r="Z12" s="193"/>
      <c r="AA12" s="193"/>
      <c r="AB12" s="193"/>
      <c r="AC12" s="193"/>
      <c r="AD12" s="159"/>
      <c r="AE12" s="159"/>
      <c r="AF12" s="159"/>
      <c r="AG12" s="159"/>
      <c r="AH12" s="159"/>
      <c r="AI12" s="159"/>
      <c r="AJ12" s="159"/>
      <c r="AK12" s="159"/>
      <c r="AL12" s="159" t="s">
        <v>2178</v>
      </c>
      <c r="AM12" s="159"/>
      <c r="AN12" s="159"/>
    </row>
    <row r="13" spans="1:40">
      <c r="A13" s="159"/>
      <c r="B13" s="159"/>
      <c r="C13" s="159"/>
      <c r="D13" s="160"/>
      <c r="E13" s="157">
        <v>3</v>
      </c>
      <c r="F13" s="143"/>
      <c r="G13" s="159"/>
      <c r="H13" s="159" t="s">
        <v>1323</v>
      </c>
      <c r="I13" s="159"/>
      <c r="J13" s="159" t="s">
        <v>1886</v>
      </c>
      <c r="K13" s="159" t="s">
        <v>1326</v>
      </c>
      <c r="L13" s="159" t="s">
        <v>1949</v>
      </c>
      <c r="M13" s="159">
        <v>0.7</v>
      </c>
      <c r="N13" s="159"/>
      <c r="O13" s="159"/>
      <c r="P13" s="165"/>
      <c r="Q13" s="166"/>
      <c r="R13" s="165">
        <v>600</v>
      </c>
      <c r="S13" s="166"/>
      <c r="T13" s="165"/>
      <c r="U13" s="166">
        <v>5</v>
      </c>
      <c r="V13" s="165">
        <v>10</v>
      </c>
      <c r="W13" s="193"/>
      <c r="X13" s="193"/>
      <c r="Y13" s="193"/>
      <c r="Z13" s="193"/>
      <c r="AA13" s="193"/>
      <c r="AB13" s="193"/>
      <c r="AC13" s="193"/>
      <c r="AD13" s="159"/>
      <c r="AE13" s="159"/>
      <c r="AF13" s="159"/>
      <c r="AG13" s="159"/>
      <c r="AH13" s="159"/>
      <c r="AI13" s="159"/>
      <c r="AJ13" s="159"/>
      <c r="AK13" s="159"/>
      <c r="AL13" s="159" t="s">
        <v>2178</v>
      </c>
      <c r="AM13" s="159"/>
      <c r="AN13" s="159"/>
    </row>
    <row r="14" spans="1:40">
      <c r="A14" s="159"/>
      <c r="B14" s="159"/>
      <c r="C14" s="159" t="s">
        <v>15</v>
      </c>
      <c r="D14" s="160" t="s">
        <v>580</v>
      </c>
      <c r="E14" s="157">
        <v>1</v>
      </c>
      <c r="F14" s="159" t="s">
        <v>1328</v>
      </c>
      <c r="G14" s="159" t="s">
        <v>1824</v>
      </c>
      <c r="H14" s="159" t="s">
        <v>1759</v>
      </c>
      <c r="I14" s="159"/>
      <c r="J14" s="159" t="s">
        <v>1884</v>
      </c>
      <c r="K14" s="159" t="s">
        <v>1329</v>
      </c>
      <c r="L14" s="159" t="s">
        <v>1950</v>
      </c>
      <c r="M14" s="159">
        <v>0.2</v>
      </c>
      <c r="N14" s="159"/>
      <c r="O14" s="159"/>
      <c r="P14" s="165"/>
      <c r="Q14" s="166"/>
      <c r="R14" s="165"/>
      <c r="S14" s="166"/>
      <c r="T14" s="165"/>
      <c r="U14" s="166">
        <v>8</v>
      </c>
      <c r="V14" s="165">
        <v>30</v>
      </c>
      <c r="W14" s="193" t="s">
        <v>2013</v>
      </c>
      <c r="X14" s="193" t="s">
        <v>2098</v>
      </c>
      <c r="Y14" s="193">
        <v>0</v>
      </c>
      <c r="Z14" s="193">
        <v>0</v>
      </c>
      <c r="AA14" s="193">
        <v>1.34</v>
      </c>
      <c r="AB14" s="193">
        <v>0</v>
      </c>
      <c r="AC14" s="193">
        <v>5</v>
      </c>
      <c r="AD14" s="159" t="s">
        <v>2100</v>
      </c>
      <c r="AE14" s="159" t="s">
        <v>2073</v>
      </c>
      <c r="AF14" s="159">
        <v>1</v>
      </c>
      <c r="AG14" s="159">
        <v>1</v>
      </c>
      <c r="AH14" s="159">
        <v>0</v>
      </c>
      <c r="AI14" s="159">
        <v>1</v>
      </c>
      <c r="AJ14" s="159" t="s">
        <v>2113</v>
      </c>
      <c r="AK14" s="159" t="s">
        <v>2169</v>
      </c>
      <c r="AL14" s="159"/>
      <c r="AM14" s="159">
        <v>1</v>
      </c>
      <c r="AN14" s="159"/>
    </row>
    <row r="15" spans="1:40">
      <c r="A15" s="159"/>
      <c r="B15" s="159"/>
      <c r="C15" s="159"/>
      <c r="D15" s="160"/>
      <c r="E15" s="157">
        <v>2</v>
      </c>
      <c r="F15" s="143"/>
      <c r="G15" s="159"/>
      <c r="H15" s="159" t="s">
        <v>16</v>
      </c>
      <c r="I15" s="159"/>
      <c r="J15" s="159" t="s">
        <v>1884</v>
      </c>
      <c r="K15" s="159" t="s">
        <v>1330</v>
      </c>
      <c r="L15" s="159" t="s">
        <v>1950</v>
      </c>
      <c r="M15" s="159">
        <v>0.35</v>
      </c>
      <c r="N15" s="159"/>
      <c r="O15" s="159"/>
      <c r="P15" s="165"/>
      <c r="Q15" s="166"/>
      <c r="R15" s="165"/>
      <c r="S15" s="166"/>
      <c r="T15" s="165"/>
      <c r="U15" s="166">
        <v>8</v>
      </c>
      <c r="V15" s="165">
        <v>30</v>
      </c>
      <c r="W15" s="193"/>
      <c r="X15" s="193"/>
      <c r="Y15" s="193"/>
      <c r="Z15" s="193"/>
      <c r="AA15" s="193"/>
      <c r="AB15" s="193"/>
      <c r="AC15" s="193"/>
      <c r="AD15" s="159"/>
      <c r="AE15" s="159"/>
      <c r="AF15" s="159"/>
      <c r="AG15" s="159"/>
      <c r="AH15" s="159"/>
      <c r="AI15" s="159"/>
      <c r="AJ15" s="159"/>
      <c r="AK15" s="159"/>
      <c r="AL15" s="159"/>
      <c r="AM15" s="159"/>
      <c r="AN15" s="159"/>
    </row>
    <row r="16" spans="1:40">
      <c r="A16" s="159"/>
      <c r="B16" s="159"/>
      <c r="C16" s="159"/>
      <c r="D16" s="160"/>
      <c r="E16" s="157">
        <v>3</v>
      </c>
      <c r="F16" s="143"/>
      <c r="G16" s="159"/>
      <c r="H16" s="159" t="s">
        <v>17</v>
      </c>
      <c r="I16" s="159"/>
      <c r="J16" s="159" t="s">
        <v>1884</v>
      </c>
      <c r="K16" s="159" t="s">
        <v>1331</v>
      </c>
      <c r="L16" s="159" t="s">
        <v>1950</v>
      </c>
      <c r="M16" s="159">
        <v>0.5</v>
      </c>
      <c r="N16" s="159"/>
      <c r="O16" s="159"/>
      <c r="P16" s="165"/>
      <c r="Q16" s="166"/>
      <c r="R16" s="165"/>
      <c r="S16" s="166"/>
      <c r="T16" s="165"/>
      <c r="U16" s="166">
        <v>8</v>
      </c>
      <c r="V16" s="165">
        <v>30</v>
      </c>
      <c r="W16" s="193"/>
      <c r="X16" s="193"/>
      <c r="Y16" s="193"/>
      <c r="Z16" s="193"/>
      <c r="AA16" s="193"/>
      <c r="AB16" s="193"/>
      <c r="AC16" s="193"/>
      <c r="AD16" s="159"/>
      <c r="AE16" s="159"/>
      <c r="AF16" s="159"/>
      <c r="AG16" s="159"/>
      <c r="AH16" s="159"/>
      <c r="AI16" s="159"/>
      <c r="AJ16" s="159"/>
      <c r="AK16" s="159"/>
      <c r="AL16" s="159"/>
      <c r="AM16" s="159"/>
      <c r="AN16" s="159"/>
    </row>
    <row r="17" spans="1:40">
      <c r="A17" s="161" t="s">
        <v>18</v>
      </c>
      <c r="B17" s="161" t="s">
        <v>1798</v>
      </c>
      <c r="C17" s="159" t="s">
        <v>19</v>
      </c>
      <c r="D17" s="157" t="s">
        <v>889</v>
      </c>
      <c r="E17" s="157">
        <v>1</v>
      </c>
      <c r="F17" s="159" t="s">
        <v>1332</v>
      </c>
      <c r="G17" s="159" t="s">
        <v>1823</v>
      </c>
      <c r="H17" s="159" t="s">
        <v>1337</v>
      </c>
      <c r="I17" s="159"/>
      <c r="J17" s="159" t="s">
        <v>1885</v>
      </c>
      <c r="K17" s="159" t="s">
        <v>1340</v>
      </c>
      <c r="L17" s="159" t="s">
        <v>1951</v>
      </c>
      <c r="M17" s="159">
        <v>100</v>
      </c>
      <c r="N17" s="159">
        <v>50</v>
      </c>
      <c r="O17" s="159"/>
      <c r="P17" s="165"/>
      <c r="Q17" s="166"/>
      <c r="R17" s="165">
        <v>128</v>
      </c>
      <c r="S17" s="166"/>
      <c r="T17" s="165"/>
      <c r="U17" s="166">
        <v>16</v>
      </c>
      <c r="V17" s="165">
        <v>1</v>
      </c>
      <c r="W17" s="193" t="s">
        <v>2014</v>
      </c>
      <c r="X17" s="193" t="s">
        <v>2098</v>
      </c>
      <c r="Y17" s="193">
        <v>0</v>
      </c>
      <c r="Z17" s="193">
        <v>0</v>
      </c>
      <c r="AA17" s="193">
        <v>1.17</v>
      </c>
      <c r="AB17" s="193">
        <v>1</v>
      </c>
      <c r="AC17" s="193">
        <v>5</v>
      </c>
      <c r="AD17" s="159" t="s">
        <v>1049</v>
      </c>
      <c r="AE17" s="159" t="s">
        <v>2074</v>
      </c>
      <c r="AF17" s="159">
        <v>0</v>
      </c>
      <c r="AG17" s="159">
        <v>2</v>
      </c>
      <c r="AH17" s="159">
        <v>0</v>
      </c>
      <c r="AI17" s="159">
        <v>0</v>
      </c>
      <c r="AJ17" s="159" t="s">
        <v>2114</v>
      </c>
      <c r="AK17" s="159" t="s">
        <v>2170</v>
      </c>
      <c r="AL17" s="159" t="s">
        <v>2178</v>
      </c>
      <c r="AM17" s="159">
        <v>1</v>
      </c>
      <c r="AN17" s="159"/>
    </row>
    <row r="18" spans="1:40">
      <c r="C18" s="157"/>
      <c r="D18" s="157"/>
      <c r="E18" s="157">
        <v>2</v>
      </c>
      <c r="F18" s="143"/>
      <c r="G18" s="159"/>
      <c r="H18" s="159" t="s">
        <v>1338</v>
      </c>
      <c r="I18" s="159"/>
      <c r="J18" s="159" t="s">
        <v>1885</v>
      </c>
      <c r="K18" s="159" t="s">
        <v>1341</v>
      </c>
      <c r="L18" s="159" t="s">
        <v>1951</v>
      </c>
      <c r="M18" s="159">
        <v>200</v>
      </c>
      <c r="N18" s="159">
        <v>100</v>
      </c>
      <c r="O18" s="159"/>
      <c r="P18" s="165"/>
      <c r="Q18" s="166"/>
      <c r="R18" s="165">
        <v>128</v>
      </c>
      <c r="S18" s="166"/>
      <c r="T18" s="165"/>
      <c r="U18" s="166">
        <v>16</v>
      </c>
      <c r="V18" s="165">
        <v>1</v>
      </c>
      <c r="W18" s="193"/>
      <c r="X18" s="193"/>
      <c r="Y18" s="193"/>
      <c r="Z18" s="193"/>
      <c r="AA18" s="193"/>
      <c r="AB18" s="193"/>
      <c r="AC18" s="193"/>
      <c r="AD18" s="159"/>
      <c r="AE18" s="159"/>
      <c r="AF18" s="159"/>
      <c r="AG18" s="159"/>
      <c r="AH18" s="159"/>
      <c r="AI18" s="159"/>
      <c r="AJ18" s="159"/>
      <c r="AK18" s="159"/>
      <c r="AL18" s="159" t="s">
        <v>2178</v>
      </c>
      <c r="AM18" s="159"/>
      <c r="AN18" s="159"/>
    </row>
    <row r="19" spans="1:40">
      <c r="C19" s="157"/>
      <c r="D19" s="157"/>
      <c r="E19" s="157">
        <v>3</v>
      </c>
      <c r="F19" s="143"/>
      <c r="G19" s="159"/>
      <c r="H19" s="159" t="s">
        <v>1339</v>
      </c>
      <c r="I19" s="159"/>
      <c r="J19" s="159" t="s">
        <v>1885</v>
      </c>
      <c r="K19" s="159" t="s">
        <v>1342</v>
      </c>
      <c r="L19" s="159" t="s">
        <v>1951</v>
      </c>
      <c r="M19" s="159">
        <v>300</v>
      </c>
      <c r="N19" s="159">
        <v>150</v>
      </c>
      <c r="O19" s="159"/>
      <c r="P19" s="165"/>
      <c r="Q19" s="166"/>
      <c r="R19" s="165">
        <v>128</v>
      </c>
      <c r="S19" s="166"/>
      <c r="T19" s="165"/>
      <c r="U19" s="166">
        <v>16</v>
      </c>
      <c r="V19" s="165">
        <v>1</v>
      </c>
      <c r="W19" s="193"/>
      <c r="X19" s="193"/>
      <c r="Y19" s="193"/>
      <c r="Z19" s="193"/>
      <c r="AA19" s="193"/>
      <c r="AB19" s="193"/>
      <c r="AC19" s="193"/>
      <c r="AD19" s="159"/>
      <c r="AE19" s="159"/>
      <c r="AF19" s="159"/>
      <c r="AG19" s="159"/>
      <c r="AH19" s="159"/>
      <c r="AI19" s="159"/>
      <c r="AJ19" s="159"/>
      <c r="AK19" s="159"/>
      <c r="AL19" s="159" t="s">
        <v>2178</v>
      </c>
      <c r="AM19" s="159"/>
      <c r="AN19" s="159"/>
    </row>
    <row r="20" spans="1:40">
      <c r="C20" s="159" t="s">
        <v>20</v>
      </c>
      <c r="D20" s="160" t="s">
        <v>760</v>
      </c>
      <c r="E20" s="157">
        <v>1</v>
      </c>
      <c r="F20" s="159" t="s">
        <v>1343</v>
      </c>
      <c r="G20" s="159" t="s">
        <v>1826</v>
      </c>
      <c r="H20" s="159" t="s">
        <v>21</v>
      </c>
      <c r="I20" s="159"/>
      <c r="J20" s="159" t="s">
        <v>1886</v>
      </c>
      <c r="K20" s="159" t="s">
        <v>1344</v>
      </c>
      <c r="L20" s="159" t="s">
        <v>1952</v>
      </c>
      <c r="M20" s="159">
        <v>0.05</v>
      </c>
      <c r="N20" s="159"/>
      <c r="O20" s="159"/>
      <c r="P20" s="165"/>
      <c r="Q20" s="166"/>
      <c r="R20" s="165"/>
      <c r="S20" s="166">
        <v>600</v>
      </c>
      <c r="T20" s="165"/>
      <c r="U20" s="166">
        <v>10</v>
      </c>
      <c r="V20" s="165">
        <v>5</v>
      </c>
      <c r="W20" s="193" t="s">
        <v>2042</v>
      </c>
      <c r="X20" s="193" t="s">
        <v>2098</v>
      </c>
      <c r="Y20" s="193">
        <v>0</v>
      </c>
      <c r="Z20" s="193">
        <v>0</v>
      </c>
      <c r="AA20" s="193">
        <v>1.17</v>
      </c>
      <c r="AB20" s="193">
        <v>0</v>
      </c>
      <c r="AC20" s="193">
        <v>5</v>
      </c>
      <c r="AD20" s="159" t="s">
        <v>1311</v>
      </c>
      <c r="AE20" s="159" t="s">
        <v>1766</v>
      </c>
      <c r="AF20" s="159">
        <v>1</v>
      </c>
      <c r="AG20" s="159">
        <v>2</v>
      </c>
      <c r="AH20" s="159">
        <v>1</v>
      </c>
      <c r="AI20" s="159">
        <v>0</v>
      </c>
      <c r="AJ20" s="159" t="s">
        <v>2115</v>
      </c>
      <c r="AK20" s="159" t="s">
        <v>2170</v>
      </c>
      <c r="AL20" s="159"/>
      <c r="AM20" s="159">
        <v>1</v>
      </c>
      <c r="AN20" s="159"/>
    </row>
    <row r="21" spans="1:40">
      <c r="C21" s="159"/>
      <c r="D21" s="160"/>
      <c r="E21" s="157">
        <v>2</v>
      </c>
      <c r="F21" s="143"/>
      <c r="G21" s="159"/>
      <c r="H21" s="159" t="s">
        <v>22</v>
      </c>
      <c r="I21" s="159"/>
      <c r="J21" s="159" t="s">
        <v>1886</v>
      </c>
      <c r="K21" s="159" t="s">
        <v>1345</v>
      </c>
      <c r="L21" s="159" t="s">
        <v>1952</v>
      </c>
      <c r="M21" s="159">
        <v>0.1</v>
      </c>
      <c r="N21" s="159"/>
      <c r="O21" s="159"/>
      <c r="P21" s="165"/>
      <c r="Q21" s="166"/>
      <c r="R21" s="165"/>
      <c r="S21" s="166">
        <v>600</v>
      </c>
      <c r="T21" s="165"/>
      <c r="U21" s="166">
        <v>10</v>
      </c>
      <c r="V21" s="165">
        <v>5</v>
      </c>
      <c r="W21" s="193"/>
      <c r="X21" s="193"/>
      <c r="Y21" s="193"/>
      <c r="Z21" s="193"/>
      <c r="AA21" s="193"/>
      <c r="AB21" s="193"/>
      <c r="AC21" s="193"/>
      <c r="AD21" s="159"/>
      <c r="AE21" s="159"/>
      <c r="AF21" s="159"/>
      <c r="AG21" s="159"/>
      <c r="AH21" s="159"/>
      <c r="AI21" s="159"/>
      <c r="AJ21" s="159"/>
      <c r="AK21" s="159"/>
      <c r="AL21" s="159"/>
      <c r="AM21" s="159"/>
      <c r="AN21" s="159"/>
    </row>
    <row r="22" spans="1:40">
      <c r="C22" s="159"/>
      <c r="D22" s="160"/>
      <c r="E22" s="157">
        <v>3</v>
      </c>
      <c r="F22" s="143"/>
      <c r="G22" s="159"/>
      <c r="H22" s="159" t="s">
        <v>23</v>
      </c>
      <c r="I22" s="159"/>
      <c r="J22" s="159" t="s">
        <v>1886</v>
      </c>
      <c r="K22" s="159" t="s">
        <v>1346</v>
      </c>
      <c r="L22" s="159" t="s">
        <v>1952</v>
      </c>
      <c r="M22" s="159">
        <v>0.15</v>
      </c>
      <c r="N22" s="159"/>
      <c r="O22" s="159"/>
      <c r="P22" s="165"/>
      <c r="Q22" s="166"/>
      <c r="R22" s="165"/>
      <c r="S22" s="166">
        <v>600</v>
      </c>
      <c r="T22" s="165"/>
      <c r="U22" s="166">
        <v>10</v>
      </c>
      <c r="V22" s="165">
        <v>5</v>
      </c>
      <c r="W22" s="193"/>
      <c r="X22" s="193"/>
      <c r="Y22" s="193"/>
      <c r="Z22" s="193"/>
      <c r="AA22" s="193"/>
      <c r="AB22" s="193"/>
      <c r="AC22" s="193"/>
      <c r="AD22" s="159"/>
      <c r="AE22" s="159"/>
      <c r="AF22" s="159"/>
      <c r="AG22" s="159"/>
      <c r="AH22" s="159"/>
      <c r="AI22" s="159"/>
      <c r="AJ22" s="159"/>
      <c r="AK22" s="159"/>
      <c r="AL22" s="159"/>
      <c r="AM22" s="159"/>
      <c r="AN22" s="159"/>
    </row>
    <row r="23" spans="1:40">
      <c r="C23" s="159" t="s">
        <v>24</v>
      </c>
      <c r="D23" s="160" t="s">
        <v>887</v>
      </c>
      <c r="E23" s="157">
        <v>1</v>
      </c>
      <c r="F23" s="159" t="s">
        <v>25</v>
      </c>
      <c r="G23" s="159" t="s">
        <v>1825</v>
      </c>
      <c r="H23" s="159" t="s">
        <v>1348</v>
      </c>
      <c r="I23" s="159"/>
      <c r="J23" s="159" t="s">
        <v>1887</v>
      </c>
      <c r="K23" s="159" t="s">
        <v>1347</v>
      </c>
      <c r="L23" s="159" t="s">
        <v>1953</v>
      </c>
      <c r="M23" s="159">
        <v>0.03</v>
      </c>
      <c r="N23" s="159">
        <v>60</v>
      </c>
      <c r="O23" s="159"/>
      <c r="P23" s="165"/>
      <c r="Q23" s="166"/>
      <c r="R23" s="165"/>
      <c r="S23" s="166"/>
      <c r="T23" s="165">
        <v>0.5</v>
      </c>
      <c r="U23" s="166"/>
      <c r="V23" s="165">
        <v>1</v>
      </c>
      <c r="W23" s="193" t="s">
        <v>2015</v>
      </c>
      <c r="X23" s="193" t="s">
        <v>2098</v>
      </c>
      <c r="Y23" s="193">
        <v>0</v>
      </c>
      <c r="Z23" s="193">
        <v>0</v>
      </c>
      <c r="AA23" s="193">
        <v>1.17</v>
      </c>
      <c r="AB23" s="193">
        <v>0</v>
      </c>
      <c r="AC23" s="193">
        <v>5</v>
      </c>
      <c r="AD23" s="159" t="s">
        <v>1319</v>
      </c>
      <c r="AE23" s="159" t="s">
        <v>2075</v>
      </c>
      <c r="AF23" s="159">
        <v>2</v>
      </c>
      <c r="AG23" s="159">
        <v>2</v>
      </c>
      <c r="AH23" s="159">
        <v>2</v>
      </c>
      <c r="AI23" s="159">
        <v>0</v>
      </c>
      <c r="AJ23" s="159" t="s">
        <v>2116</v>
      </c>
      <c r="AK23" s="159" t="s">
        <v>2170</v>
      </c>
      <c r="AL23" s="159"/>
      <c r="AM23" s="159">
        <v>1</v>
      </c>
      <c r="AN23" s="159"/>
    </row>
    <row r="24" spans="1:40">
      <c r="C24" s="159"/>
      <c r="D24" s="160"/>
      <c r="E24" s="157">
        <v>2</v>
      </c>
      <c r="F24" s="143"/>
      <c r="G24" s="159"/>
      <c r="H24" s="159" t="s">
        <v>1349</v>
      </c>
      <c r="I24" s="159"/>
      <c r="J24" s="159" t="s">
        <v>1887</v>
      </c>
      <c r="K24" s="159" t="s">
        <v>1351</v>
      </c>
      <c r="L24" s="159" t="s">
        <v>1953</v>
      </c>
      <c r="M24" s="159">
        <v>0.06</v>
      </c>
      <c r="N24" s="159">
        <v>120</v>
      </c>
      <c r="O24" s="159"/>
      <c r="P24" s="165"/>
      <c r="Q24" s="166"/>
      <c r="R24" s="165"/>
      <c r="S24" s="166"/>
      <c r="T24" s="165">
        <v>0.5</v>
      </c>
      <c r="U24" s="166"/>
      <c r="V24" s="165">
        <v>1</v>
      </c>
      <c r="W24" s="193"/>
      <c r="X24" s="193"/>
      <c r="Y24" s="193"/>
      <c r="Z24" s="193"/>
      <c r="AA24" s="193"/>
      <c r="AB24" s="193"/>
      <c r="AC24" s="193"/>
      <c r="AD24" s="159"/>
      <c r="AE24" s="159"/>
      <c r="AF24" s="159"/>
      <c r="AG24" s="159"/>
      <c r="AH24" s="159"/>
      <c r="AI24" s="159"/>
      <c r="AJ24" s="159"/>
      <c r="AK24" s="159"/>
      <c r="AL24" s="159"/>
      <c r="AM24" s="159"/>
      <c r="AN24" s="159"/>
    </row>
    <row r="25" spans="1:40">
      <c r="C25" s="159"/>
      <c r="D25" s="160"/>
      <c r="E25" s="157">
        <v>3</v>
      </c>
      <c r="F25" s="143"/>
      <c r="G25" s="159"/>
      <c r="H25" s="159" t="s">
        <v>1350</v>
      </c>
      <c r="I25" s="159"/>
      <c r="J25" s="159" t="s">
        <v>1887</v>
      </c>
      <c r="K25" s="159" t="s">
        <v>1352</v>
      </c>
      <c r="L25" s="159" t="s">
        <v>1953</v>
      </c>
      <c r="M25" s="159">
        <v>0.09</v>
      </c>
      <c r="N25" s="159">
        <v>240</v>
      </c>
      <c r="O25" s="159"/>
      <c r="P25" s="165"/>
      <c r="Q25" s="166"/>
      <c r="R25" s="165"/>
      <c r="S25" s="166"/>
      <c r="T25" s="165">
        <v>0.5</v>
      </c>
      <c r="U25" s="166"/>
      <c r="V25" s="165">
        <v>1</v>
      </c>
      <c r="W25" s="193"/>
      <c r="X25" s="193"/>
      <c r="Y25" s="193"/>
      <c r="Z25" s="193"/>
      <c r="AA25" s="193"/>
      <c r="AB25" s="193"/>
      <c r="AC25" s="193"/>
      <c r="AD25" s="159"/>
      <c r="AE25" s="159"/>
      <c r="AF25" s="159"/>
      <c r="AG25" s="159"/>
      <c r="AH25" s="159"/>
      <c r="AI25" s="159"/>
      <c r="AJ25" s="159"/>
      <c r="AK25" s="159"/>
      <c r="AL25" s="159"/>
      <c r="AM25" s="159"/>
      <c r="AN25" s="159"/>
    </row>
    <row r="26" spans="1:40">
      <c r="C26" s="159" t="s">
        <v>26</v>
      </c>
      <c r="D26" s="160" t="s">
        <v>759</v>
      </c>
      <c r="E26" s="157">
        <v>1</v>
      </c>
      <c r="F26" s="159" t="s">
        <v>1353</v>
      </c>
      <c r="G26" s="159" t="s">
        <v>1827</v>
      </c>
      <c r="H26" s="159" t="s">
        <v>1354</v>
      </c>
      <c r="I26" s="159"/>
      <c r="J26" s="159" t="s">
        <v>1889</v>
      </c>
      <c r="K26" s="159" t="s">
        <v>1357</v>
      </c>
      <c r="L26" s="159" t="s">
        <v>1954</v>
      </c>
      <c r="M26" s="159">
        <v>0.02</v>
      </c>
      <c r="N26" s="159">
        <v>0.12</v>
      </c>
      <c r="O26" s="159"/>
      <c r="P26" s="165"/>
      <c r="Q26" s="166"/>
      <c r="R26" s="165"/>
      <c r="S26" s="166"/>
      <c r="T26" s="165"/>
      <c r="U26" s="166">
        <v>5</v>
      </c>
      <c r="V26" s="165">
        <v>15</v>
      </c>
      <c r="W26" s="193" t="s">
        <v>2016</v>
      </c>
      <c r="X26" s="193" t="s">
        <v>2098</v>
      </c>
      <c r="Y26" s="193">
        <v>0</v>
      </c>
      <c r="Z26" s="193">
        <v>0</v>
      </c>
      <c r="AA26" s="193">
        <v>1.17</v>
      </c>
      <c r="AB26" s="193">
        <v>0</v>
      </c>
      <c r="AC26" s="193">
        <v>5</v>
      </c>
      <c r="AD26" s="159" t="s">
        <v>1327</v>
      </c>
      <c r="AE26" s="159" t="s">
        <v>2076</v>
      </c>
      <c r="AF26" s="159">
        <v>3</v>
      </c>
      <c r="AG26" s="159">
        <v>2</v>
      </c>
      <c r="AH26" s="159">
        <v>3</v>
      </c>
      <c r="AI26" s="159">
        <v>0</v>
      </c>
      <c r="AJ26" s="159" t="s">
        <v>2117</v>
      </c>
      <c r="AK26" s="159" t="s">
        <v>2170</v>
      </c>
      <c r="AL26" s="159"/>
      <c r="AM26" s="159">
        <v>1</v>
      </c>
      <c r="AN26" s="159"/>
    </row>
    <row r="27" spans="1:40">
      <c r="C27" s="159"/>
      <c r="D27" s="160"/>
      <c r="E27" s="157">
        <v>2</v>
      </c>
      <c r="F27" s="143"/>
      <c r="G27" s="159"/>
      <c r="H27" s="159" t="s">
        <v>1355</v>
      </c>
      <c r="I27" s="159"/>
      <c r="J27" s="159" t="s">
        <v>1889</v>
      </c>
      <c r="K27" s="159" t="s">
        <v>1358</v>
      </c>
      <c r="L27" s="159" t="s">
        <v>1954</v>
      </c>
      <c r="M27" s="159">
        <v>0.04</v>
      </c>
      <c r="N27" s="159">
        <v>0.18</v>
      </c>
      <c r="O27" s="159"/>
      <c r="P27" s="165"/>
      <c r="Q27" s="166"/>
      <c r="R27" s="165"/>
      <c r="S27" s="166"/>
      <c r="T27" s="165"/>
      <c r="U27" s="166">
        <v>5</v>
      </c>
      <c r="V27" s="165">
        <v>15</v>
      </c>
      <c r="W27" s="193"/>
      <c r="X27" s="193"/>
      <c r="Y27" s="193"/>
      <c r="Z27" s="193"/>
      <c r="AA27" s="193"/>
      <c r="AB27" s="193"/>
      <c r="AC27" s="193"/>
      <c r="AD27" s="159"/>
      <c r="AE27" s="159"/>
      <c r="AF27" s="159"/>
      <c r="AG27" s="159"/>
      <c r="AH27" s="159"/>
      <c r="AI27" s="159"/>
      <c r="AJ27" s="159"/>
      <c r="AK27" s="159"/>
      <c r="AL27" s="159"/>
      <c r="AM27" s="159"/>
      <c r="AN27" s="159"/>
    </row>
    <row r="28" spans="1:40">
      <c r="C28" s="159"/>
      <c r="D28" s="160"/>
      <c r="E28" s="157">
        <v>3</v>
      </c>
      <c r="F28" s="143"/>
      <c r="G28" s="159"/>
      <c r="H28" s="159" t="s">
        <v>1356</v>
      </c>
      <c r="I28" s="159"/>
      <c r="J28" s="159" t="s">
        <v>1889</v>
      </c>
      <c r="K28" s="159" t="s">
        <v>1359</v>
      </c>
      <c r="L28" s="159" t="s">
        <v>1954</v>
      </c>
      <c r="M28" s="159">
        <v>0.06</v>
      </c>
      <c r="N28" s="159">
        <v>0.24</v>
      </c>
      <c r="O28" s="159"/>
      <c r="P28" s="165"/>
      <c r="Q28" s="166"/>
      <c r="R28" s="165"/>
      <c r="S28" s="166"/>
      <c r="T28" s="165"/>
      <c r="U28" s="166">
        <v>5</v>
      </c>
      <c r="V28" s="165">
        <v>15</v>
      </c>
      <c r="W28" s="193"/>
      <c r="X28" s="193"/>
      <c r="Y28" s="193"/>
      <c r="Z28" s="193"/>
      <c r="AA28" s="193"/>
      <c r="AB28" s="193"/>
      <c r="AC28" s="193"/>
      <c r="AD28" s="159"/>
      <c r="AE28" s="159"/>
      <c r="AF28" s="159"/>
      <c r="AG28" s="159"/>
      <c r="AH28" s="159"/>
      <c r="AI28" s="159"/>
      <c r="AJ28" s="159"/>
      <c r="AK28" s="159"/>
      <c r="AL28" s="159"/>
      <c r="AM28" s="159"/>
      <c r="AN28" s="159"/>
    </row>
    <row r="29" spans="1:40">
      <c r="C29" s="159" t="s">
        <v>28</v>
      </c>
      <c r="D29" s="160" t="s">
        <v>886</v>
      </c>
      <c r="E29" s="157">
        <v>1</v>
      </c>
      <c r="F29" s="159" t="s">
        <v>1760</v>
      </c>
      <c r="G29" s="159" t="s">
        <v>1828</v>
      </c>
      <c r="H29" s="159" t="s">
        <v>1761</v>
      </c>
      <c r="I29" s="159"/>
      <c r="J29" s="159" t="s">
        <v>1890</v>
      </c>
      <c r="K29" s="159" t="s">
        <v>1360</v>
      </c>
      <c r="L29" s="159" t="s">
        <v>1955</v>
      </c>
      <c r="M29" s="159">
        <v>0.3</v>
      </c>
      <c r="N29" s="159"/>
      <c r="O29" s="159"/>
      <c r="P29" s="165"/>
      <c r="Q29" s="166"/>
      <c r="R29" s="165"/>
      <c r="S29" s="166"/>
      <c r="T29" s="165"/>
      <c r="U29" s="166">
        <v>5</v>
      </c>
      <c r="V29" s="165">
        <v>60</v>
      </c>
      <c r="W29" s="193" t="s">
        <v>2017</v>
      </c>
      <c r="X29" s="193" t="s">
        <v>2098</v>
      </c>
      <c r="Y29" s="193">
        <v>0</v>
      </c>
      <c r="Z29" s="193">
        <v>0</v>
      </c>
      <c r="AA29" s="193">
        <v>1.17</v>
      </c>
      <c r="AB29" s="193">
        <v>0</v>
      </c>
      <c r="AC29" s="193">
        <v>5</v>
      </c>
      <c r="AD29" s="159" t="s">
        <v>2100</v>
      </c>
      <c r="AE29" s="159" t="s">
        <v>2077</v>
      </c>
      <c r="AF29" s="159">
        <v>1</v>
      </c>
      <c r="AG29" s="159">
        <v>1</v>
      </c>
      <c r="AH29" s="159">
        <v>0</v>
      </c>
      <c r="AI29" s="159">
        <v>1</v>
      </c>
      <c r="AJ29" s="159" t="s">
        <v>2118</v>
      </c>
      <c r="AK29" s="159" t="s">
        <v>2170</v>
      </c>
      <c r="AL29" s="159"/>
      <c r="AM29" s="159">
        <v>1</v>
      </c>
      <c r="AN29" s="159"/>
    </row>
    <row r="30" spans="1:40">
      <c r="C30" s="159"/>
      <c r="D30" s="160"/>
      <c r="E30" s="157">
        <v>2</v>
      </c>
      <c r="F30" s="143"/>
      <c r="G30" s="159"/>
      <c r="H30" s="159" t="s">
        <v>1762</v>
      </c>
      <c r="I30" s="159"/>
      <c r="J30" s="159" t="s">
        <v>1890</v>
      </c>
      <c r="K30" s="159" t="s">
        <v>1361</v>
      </c>
      <c r="L30" s="159" t="s">
        <v>1955</v>
      </c>
      <c r="M30" s="159">
        <v>0.4</v>
      </c>
      <c r="N30" s="159"/>
      <c r="O30" s="159"/>
      <c r="P30" s="165"/>
      <c r="Q30" s="166"/>
      <c r="R30" s="165"/>
      <c r="S30" s="166"/>
      <c r="T30" s="165"/>
      <c r="U30" s="166">
        <v>8</v>
      </c>
      <c r="V30" s="165">
        <v>60</v>
      </c>
      <c r="W30" s="193"/>
      <c r="X30" s="193"/>
      <c r="Y30" s="193"/>
      <c r="Z30" s="193"/>
      <c r="AA30" s="193"/>
      <c r="AB30" s="193"/>
      <c r="AC30" s="193"/>
      <c r="AD30" s="159"/>
      <c r="AE30" s="159"/>
      <c r="AF30" s="159"/>
      <c r="AG30" s="159"/>
      <c r="AH30" s="159"/>
      <c r="AI30" s="159"/>
      <c r="AJ30" s="159"/>
      <c r="AK30" s="159"/>
      <c r="AL30" s="159"/>
      <c r="AM30" s="159"/>
      <c r="AN30" s="159"/>
    </row>
    <row r="31" spans="1:40">
      <c r="C31" s="159"/>
      <c r="D31" s="160"/>
      <c r="E31" s="157">
        <v>3</v>
      </c>
      <c r="F31" s="143"/>
      <c r="G31" s="159"/>
      <c r="H31" s="159" t="s">
        <v>1763</v>
      </c>
      <c r="I31" s="159"/>
      <c r="J31" s="159" t="s">
        <v>1890</v>
      </c>
      <c r="K31" s="159" t="s">
        <v>1362</v>
      </c>
      <c r="L31" s="159" t="s">
        <v>1955</v>
      </c>
      <c r="M31" s="159">
        <v>0.5</v>
      </c>
      <c r="N31" s="159"/>
      <c r="O31" s="159"/>
      <c r="P31" s="165"/>
      <c r="Q31" s="166"/>
      <c r="R31" s="165"/>
      <c r="S31" s="166"/>
      <c r="T31" s="165"/>
      <c r="U31" s="166">
        <v>11</v>
      </c>
      <c r="V31" s="165">
        <v>60</v>
      </c>
      <c r="W31" s="193"/>
      <c r="X31" s="193"/>
      <c r="Y31" s="193"/>
      <c r="Z31" s="193"/>
      <c r="AA31" s="193"/>
      <c r="AB31" s="193"/>
      <c r="AC31" s="193"/>
      <c r="AD31" s="159"/>
      <c r="AE31" s="159"/>
      <c r="AF31" s="159"/>
      <c r="AG31" s="159"/>
      <c r="AH31" s="159"/>
      <c r="AI31" s="159"/>
      <c r="AJ31" s="159"/>
      <c r="AK31" s="159"/>
      <c r="AL31" s="159"/>
      <c r="AM31" s="159"/>
      <c r="AN31" s="159"/>
    </row>
    <row r="32" spans="1:40">
      <c r="A32" s="159" t="s">
        <v>37</v>
      </c>
      <c r="B32" s="159" t="s">
        <v>1799</v>
      </c>
      <c r="C32" s="159" t="s">
        <v>38</v>
      </c>
      <c r="D32" s="157" t="s">
        <v>1442</v>
      </c>
      <c r="E32" s="157">
        <v>1</v>
      </c>
      <c r="F32" s="159" t="s">
        <v>1363</v>
      </c>
      <c r="G32" s="159" t="s">
        <v>1829</v>
      </c>
      <c r="H32" s="159" t="s">
        <v>1364</v>
      </c>
      <c r="I32" s="159"/>
      <c r="J32" s="159" t="s">
        <v>1891</v>
      </c>
      <c r="K32" s="159" t="s">
        <v>1367</v>
      </c>
      <c r="L32" s="159" t="s">
        <v>1956</v>
      </c>
      <c r="M32" s="159">
        <v>35</v>
      </c>
      <c r="N32" s="159">
        <v>100</v>
      </c>
      <c r="O32" s="159"/>
      <c r="P32" s="165"/>
      <c r="Q32" s="166"/>
      <c r="R32" s="165">
        <v>800</v>
      </c>
      <c r="S32" s="166"/>
      <c r="T32" s="165">
        <v>50</v>
      </c>
      <c r="U32" s="166">
        <v>7</v>
      </c>
      <c r="V32" s="165">
        <v>1</v>
      </c>
      <c r="W32" s="193" t="s">
        <v>2018</v>
      </c>
      <c r="X32" s="193" t="s">
        <v>2098</v>
      </c>
      <c r="Y32" s="193">
        <v>0</v>
      </c>
      <c r="Z32" s="193">
        <v>0</v>
      </c>
      <c r="AA32" s="193">
        <v>2.67</v>
      </c>
      <c r="AB32" s="193">
        <v>1</v>
      </c>
      <c r="AC32" s="193">
        <v>1</v>
      </c>
      <c r="AD32" s="159" t="s">
        <v>1049</v>
      </c>
      <c r="AE32" s="159" t="s">
        <v>2077</v>
      </c>
      <c r="AF32" s="159">
        <v>0</v>
      </c>
      <c r="AG32" s="159">
        <v>2</v>
      </c>
      <c r="AH32" s="159">
        <v>0</v>
      </c>
      <c r="AI32" s="159">
        <v>0</v>
      </c>
      <c r="AJ32" s="159" t="s">
        <v>2119</v>
      </c>
      <c r="AK32" s="159" t="s">
        <v>2168</v>
      </c>
      <c r="AL32" s="159" t="s">
        <v>2179</v>
      </c>
      <c r="AM32" s="159">
        <v>1</v>
      </c>
      <c r="AN32" s="159"/>
    </row>
    <row r="33" spans="1:40">
      <c r="A33" s="159"/>
      <c r="B33" s="159"/>
      <c r="C33" s="157"/>
      <c r="D33" s="157"/>
      <c r="E33" s="157">
        <v>2</v>
      </c>
      <c r="F33" s="143"/>
      <c r="G33" s="159"/>
      <c r="H33" s="159" t="s">
        <v>1365</v>
      </c>
      <c r="I33" s="159"/>
      <c r="J33" s="159" t="s">
        <v>1891</v>
      </c>
      <c r="K33" s="159" t="s">
        <v>1368</v>
      </c>
      <c r="L33" s="159" t="s">
        <v>1956</v>
      </c>
      <c r="M33" s="159">
        <v>70</v>
      </c>
      <c r="N33" s="159">
        <v>200</v>
      </c>
      <c r="O33" s="159"/>
      <c r="P33" s="165"/>
      <c r="Q33" s="166"/>
      <c r="R33" s="165">
        <v>800</v>
      </c>
      <c r="S33" s="166"/>
      <c r="T33" s="165">
        <v>50</v>
      </c>
      <c r="U33" s="166">
        <v>7</v>
      </c>
      <c r="V33" s="165">
        <v>1</v>
      </c>
      <c r="W33" s="193"/>
      <c r="X33" s="193"/>
      <c r="Y33" s="193"/>
      <c r="Z33" s="193"/>
      <c r="AA33" s="193"/>
      <c r="AB33" s="193"/>
      <c r="AC33" s="193"/>
      <c r="AD33" s="159"/>
      <c r="AE33" s="159"/>
      <c r="AF33" s="159"/>
      <c r="AG33" s="159"/>
      <c r="AH33" s="159"/>
      <c r="AI33" s="159"/>
      <c r="AJ33" s="159"/>
      <c r="AK33" s="159"/>
      <c r="AL33" s="159" t="s">
        <v>2179</v>
      </c>
      <c r="AM33" s="159"/>
      <c r="AN33" s="159"/>
    </row>
    <row r="34" spans="1:40">
      <c r="A34" s="159"/>
      <c r="B34" s="159"/>
      <c r="C34" s="157"/>
      <c r="D34" s="157"/>
      <c r="E34" s="157">
        <v>3</v>
      </c>
      <c r="F34" s="143"/>
      <c r="G34" s="159"/>
      <c r="H34" s="159" t="s">
        <v>1366</v>
      </c>
      <c r="I34" s="159"/>
      <c r="J34" s="159" t="s">
        <v>1891</v>
      </c>
      <c r="K34" s="159" t="s">
        <v>1369</v>
      </c>
      <c r="L34" s="159" t="s">
        <v>1956</v>
      </c>
      <c r="M34" s="159">
        <v>105</v>
      </c>
      <c r="N34" s="159">
        <v>300</v>
      </c>
      <c r="O34" s="159"/>
      <c r="P34" s="165"/>
      <c r="Q34" s="166"/>
      <c r="R34" s="165">
        <v>800</v>
      </c>
      <c r="S34" s="166"/>
      <c r="T34" s="165">
        <v>50</v>
      </c>
      <c r="U34" s="166">
        <v>7</v>
      </c>
      <c r="V34" s="165">
        <v>1</v>
      </c>
      <c r="W34" s="193"/>
      <c r="X34" s="193"/>
      <c r="Y34" s="193"/>
      <c r="Z34" s="193"/>
      <c r="AA34" s="193"/>
      <c r="AB34" s="193"/>
      <c r="AC34" s="193"/>
      <c r="AD34" s="159"/>
      <c r="AE34" s="159"/>
      <c r="AF34" s="159"/>
      <c r="AG34" s="159"/>
      <c r="AH34" s="159"/>
      <c r="AI34" s="159"/>
      <c r="AJ34" s="159"/>
      <c r="AK34" s="159"/>
      <c r="AL34" s="159" t="s">
        <v>2179</v>
      </c>
      <c r="AM34" s="159"/>
      <c r="AN34" s="159"/>
    </row>
    <row r="35" spans="1:40">
      <c r="A35" s="159"/>
      <c r="B35" s="159"/>
      <c r="C35" s="159" t="s">
        <v>39</v>
      </c>
      <c r="D35" s="160" t="s">
        <v>885</v>
      </c>
      <c r="E35" s="157">
        <v>1</v>
      </c>
      <c r="F35" s="159" t="s">
        <v>1370</v>
      </c>
      <c r="G35" s="159" t="s">
        <v>1830</v>
      </c>
      <c r="H35" s="159" t="s">
        <v>40</v>
      </c>
      <c r="I35" s="159"/>
      <c r="J35" s="159" t="s">
        <v>1892</v>
      </c>
      <c r="K35" s="159" t="s">
        <v>1371</v>
      </c>
      <c r="L35" s="159" t="s">
        <v>1957</v>
      </c>
      <c r="M35" s="159">
        <v>80</v>
      </c>
      <c r="N35" s="159">
        <v>0.2</v>
      </c>
      <c r="O35" s="159"/>
      <c r="P35" s="165"/>
      <c r="Q35" s="166"/>
      <c r="R35" s="165">
        <v>800</v>
      </c>
      <c r="S35" s="166"/>
      <c r="T35" s="165">
        <v>75</v>
      </c>
      <c r="U35" s="166">
        <v>12</v>
      </c>
      <c r="V35" s="165">
        <v>1</v>
      </c>
      <c r="W35" s="193" t="s">
        <v>2019</v>
      </c>
      <c r="X35" s="193" t="s">
        <v>2098</v>
      </c>
      <c r="Y35" s="193">
        <v>0</v>
      </c>
      <c r="Z35" s="193">
        <v>0</v>
      </c>
      <c r="AA35" s="193">
        <v>2.67</v>
      </c>
      <c r="AB35" s="193">
        <v>1</v>
      </c>
      <c r="AC35" s="193">
        <v>1</v>
      </c>
      <c r="AD35" s="159" t="s">
        <v>1311</v>
      </c>
      <c r="AE35" s="159" t="s">
        <v>2078</v>
      </c>
      <c r="AF35" s="159">
        <v>1</v>
      </c>
      <c r="AG35" s="159">
        <v>2</v>
      </c>
      <c r="AH35" s="159">
        <v>1</v>
      </c>
      <c r="AI35" s="159">
        <v>0</v>
      </c>
      <c r="AJ35" s="159" t="s">
        <v>2120</v>
      </c>
      <c r="AK35" s="159" t="s">
        <v>2168</v>
      </c>
      <c r="AL35" s="159" t="s">
        <v>2179</v>
      </c>
      <c r="AM35" s="159">
        <v>1</v>
      </c>
      <c r="AN35" s="159"/>
    </row>
    <row r="36" spans="1:40">
      <c r="A36" s="159"/>
      <c r="B36" s="159"/>
      <c r="C36" s="159"/>
      <c r="D36" s="160"/>
      <c r="E36" s="157">
        <v>2</v>
      </c>
      <c r="F36" s="143"/>
      <c r="G36" s="159"/>
      <c r="H36" s="159" t="s">
        <v>41</v>
      </c>
      <c r="I36" s="159"/>
      <c r="J36" s="159" t="s">
        <v>1892</v>
      </c>
      <c r="K36" s="159" t="s">
        <v>1372</v>
      </c>
      <c r="L36" s="159" t="s">
        <v>1957</v>
      </c>
      <c r="M36" s="159">
        <v>140</v>
      </c>
      <c r="N36" s="159">
        <v>0.4</v>
      </c>
      <c r="O36" s="159"/>
      <c r="P36" s="165"/>
      <c r="Q36" s="166"/>
      <c r="R36" s="165">
        <v>800</v>
      </c>
      <c r="S36" s="166"/>
      <c r="T36" s="165">
        <v>110</v>
      </c>
      <c r="U36" s="166">
        <v>12</v>
      </c>
      <c r="V36" s="165">
        <v>1</v>
      </c>
      <c r="W36" s="193"/>
      <c r="X36" s="193"/>
      <c r="Y36" s="193"/>
      <c r="Z36" s="193"/>
      <c r="AA36" s="193"/>
      <c r="AB36" s="193"/>
      <c r="AC36" s="193"/>
      <c r="AD36" s="159"/>
      <c r="AE36" s="159"/>
      <c r="AF36" s="159"/>
      <c r="AG36" s="159"/>
      <c r="AH36" s="159"/>
      <c r="AI36" s="159"/>
      <c r="AJ36" s="159"/>
      <c r="AK36" s="159"/>
      <c r="AL36" s="159" t="s">
        <v>2179</v>
      </c>
      <c r="AM36" s="159"/>
      <c r="AN36" s="159"/>
    </row>
    <row r="37" spans="1:40">
      <c r="A37" s="159"/>
      <c r="B37" s="159"/>
      <c r="C37" s="159"/>
      <c r="D37" s="160"/>
      <c r="E37" s="157">
        <v>3</v>
      </c>
      <c r="F37" s="143"/>
      <c r="G37" s="159"/>
      <c r="H37" s="159" t="s">
        <v>1375</v>
      </c>
      <c r="I37" s="159"/>
      <c r="J37" s="159" t="s">
        <v>1892</v>
      </c>
      <c r="K37" s="159" t="s">
        <v>1373</v>
      </c>
      <c r="L37" s="159" t="s">
        <v>1957</v>
      </c>
      <c r="M37" s="159">
        <v>200</v>
      </c>
      <c r="N37" s="159">
        <v>0.6</v>
      </c>
      <c r="O37" s="159"/>
      <c r="P37" s="165"/>
      <c r="Q37" s="166"/>
      <c r="R37" s="165">
        <v>800</v>
      </c>
      <c r="S37" s="166"/>
      <c r="T37" s="165">
        <v>145</v>
      </c>
      <c r="U37" s="166">
        <v>12</v>
      </c>
      <c r="V37" s="165">
        <v>1</v>
      </c>
      <c r="W37" s="193"/>
      <c r="X37" s="193"/>
      <c r="Y37" s="193"/>
      <c r="Z37" s="193"/>
      <c r="AA37" s="193"/>
      <c r="AB37" s="193"/>
      <c r="AC37" s="193"/>
      <c r="AD37" s="159"/>
      <c r="AE37" s="159"/>
      <c r="AF37" s="159"/>
      <c r="AG37" s="159"/>
      <c r="AH37" s="159"/>
      <c r="AI37" s="159"/>
      <c r="AJ37" s="159"/>
      <c r="AK37" s="159"/>
      <c r="AL37" s="159" t="s">
        <v>2179</v>
      </c>
      <c r="AM37" s="159"/>
      <c r="AN37" s="159"/>
    </row>
    <row r="38" spans="1:40">
      <c r="A38" s="159"/>
      <c r="B38" s="159"/>
      <c r="C38" s="159" t="s">
        <v>42</v>
      </c>
      <c r="D38" s="160" t="s">
        <v>882</v>
      </c>
      <c r="E38" s="157">
        <v>1</v>
      </c>
      <c r="F38" s="159" t="s">
        <v>1374</v>
      </c>
      <c r="G38" s="159" t="s">
        <v>1831</v>
      </c>
      <c r="H38" s="159" t="s">
        <v>1376</v>
      </c>
      <c r="I38" s="159"/>
      <c r="J38" s="159" t="s">
        <v>1893</v>
      </c>
      <c r="K38" s="159" t="s">
        <v>1379</v>
      </c>
      <c r="L38" s="159" t="s">
        <v>1958</v>
      </c>
      <c r="M38" s="159">
        <v>200</v>
      </c>
      <c r="N38" s="159">
        <v>100</v>
      </c>
      <c r="O38" s="159">
        <v>35</v>
      </c>
      <c r="P38" s="165">
        <v>3</v>
      </c>
      <c r="Q38" s="166"/>
      <c r="R38" s="165">
        <v>800</v>
      </c>
      <c r="S38" s="166"/>
      <c r="T38" s="165">
        <v>100</v>
      </c>
      <c r="U38" s="166">
        <v>25</v>
      </c>
      <c r="V38" s="165">
        <v>1</v>
      </c>
      <c r="W38" s="193" t="s">
        <v>2020</v>
      </c>
      <c r="X38" s="193" t="s">
        <v>2098</v>
      </c>
      <c r="Y38" s="193">
        <v>0</v>
      </c>
      <c r="Z38" s="193">
        <v>0</v>
      </c>
      <c r="AA38" s="193">
        <v>5</v>
      </c>
      <c r="AB38" s="193">
        <v>1</v>
      </c>
      <c r="AC38" s="193">
        <v>1</v>
      </c>
      <c r="AD38" s="159" t="s">
        <v>1319</v>
      </c>
      <c r="AE38" s="159" t="s">
        <v>270</v>
      </c>
      <c r="AF38" s="159">
        <v>2</v>
      </c>
      <c r="AG38" s="159">
        <v>2</v>
      </c>
      <c r="AH38" s="159">
        <v>2</v>
      </c>
      <c r="AI38" s="159">
        <v>0</v>
      </c>
      <c r="AJ38" s="159" t="s">
        <v>2121</v>
      </c>
      <c r="AK38" s="159" t="s">
        <v>2168</v>
      </c>
      <c r="AL38" s="159" t="s">
        <v>2179</v>
      </c>
      <c r="AM38" s="159">
        <v>1</v>
      </c>
      <c r="AN38" s="159"/>
    </row>
    <row r="39" spans="1:40">
      <c r="A39" s="159"/>
      <c r="B39" s="159"/>
      <c r="C39" s="159"/>
      <c r="D39" s="160"/>
      <c r="E39" s="157">
        <v>2</v>
      </c>
      <c r="F39" s="143"/>
      <c r="G39" s="159"/>
      <c r="H39" s="159" t="s">
        <v>1377</v>
      </c>
      <c r="I39" s="159"/>
      <c r="J39" s="159" t="s">
        <v>1893</v>
      </c>
      <c r="K39" s="159" t="s">
        <v>1380</v>
      </c>
      <c r="L39" s="159" t="s">
        <v>1958</v>
      </c>
      <c r="M39" s="159">
        <v>350</v>
      </c>
      <c r="N39" s="159">
        <v>200</v>
      </c>
      <c r="O39" s="159">
        <v>25</v>
      </c>
      <c r="P39" s="165">
        <v>3</v>
      </c>
      <c r="Q39" s="166"/>
      <c r="R39" s="165">
        <v>800</v>
      </c>
      <c r="S39" s="166"/>
      <c r="T39" s="165">
        <v>120</v>
      </c>
      <c r="U39" s="166">
        <v>25</v>
      </c>
      <c r="V39" s="165">
        <v>1</v>
      </c>
      <c r="W39" s="193"/>
      <c r="X39" s="193"/>
      <c r="Y39" s="193"/>
      <c r="Z39" s="193"/>
      <c r="AA39" s="193"/>
      <c r="AB39" s="193"/>
      <c r="AC39" s="193"/>
      <c r="AD39" s="159"/>
      <c r="AE39" s="159"/>
      <c r="AF39" s="159"/>
      <c r="AG39" s="159"/>
      <c r="AH39" s="159"/>
      <c r="AI39" s="159"/>
      <c r="AJ39" s="159"/>
      <c r="AK39" s="159"/>
      <c r="AL39" s="159" t="s">
        <v>2179</v>
      </c>
      <c r="AM39" s="159"/>
      <c r="AN39" s="159"/>
    </row>
    <row r="40" spans="1:40">
      <c r="A40" s="159"/>
      <c r="B40" s="159"/>
      <c r="C40" s="159"/>
      <c r="D40" s="160"/>
      <c r="E40" s="157">
        <v>3</v>
      </c>
      <c r="F40" s="143"/>
      <c r="G40" s="159"/>
      <c r="H40" s="159" t="s">
        <v>1378</v>
      </c>
      <c r="I40" s="159"/>
      <c r="J40" s="159" t="s">
        <v>1893</v>
      </c>
      <c r="K40" s="159" t="s">
        <v>1381</v>
      </c>
      <c r="L40" s="159" t="s">
        <v>1958</v>
      </c>
      <c r="M40" s="159">
        <v>500</v>
      </c>
      <c r="N40" s="159">
        <v>300</v>
      </c>
      <c r="O40" s="159">
        <v>15</v>
      </c>
      <c r="P40" s="165">
        <v>3</v>
      </c>
      <c r="Q40" s="166"/>
      <c r="R40" s="165">
        <v>800</v>
      </c>
      <c r="S40" s="166"/>
      <c r="T40" s="165">
        <v>140</v>
      </c>
      <c r="U40" s="166">
        <v>25</v>
      </c>
      <c r="V40" s="165">
        <v>1</v>
      </c>
      <c r="W40" s="193"/>
      <c r="X40" s="193"/>
      <c r="Y40" s="193"/>
      <c r="Z40" s="193"/>
      <c r="AA40" s="193"/>
      <c r="AB40" s="193"/>
      <c r="AC40" s="193"/>
      <c r="AD40" s="159"/>
      <c r="AE40" s="159"/>
      <c r="AF40" s="159"/>
      <c r="AG40" s="159"/>
      <c r="AH40" s="159"/>
      <c r="AI40" s="159"/>
      <c r="AJ40" s="159"/>
      <c r="AK40" s="159"/>
      <c r="AL40" s="159" t="s">
        <v>2179</v>
      </c>
      <c r="AM40" s="159"/>
      <c r="AN40" s="159"/>
    </row>
    <row r="41" spans="1:40">
      <c r="A41" s="159"/>
      <c r="B41" s="159"/>
      <c r="C41" s="159" t="s">
        <v>43</v>
      </c>
      <c r="D41" s="160" t="s">
        <v>880</v>
      </c>
      <c r="E41" s="157">
        <v>1</v>
      </c>
      <c r="F41" s="159" t="s">
        <v>44</v>
      </c>
      <c r="G41" s="159" t="s">
        <v>1894</v>
      </c>
      <c r="H41" s="159" t="s">
        <v>45</v>
      </c>
      <c r="I41" s="159"/>
      <c r="J41" s="159" t="s">
        <v>1895</v>
      </c>
      <c r="K41" s="159" t="s">
        <v>1383</v>
      </c>
      <c r="L41" s="159" t="s">
        <v>1894</v>
      </c>
      <c r="M41" s="159">
        <v>0</v>
      </c>
      <c r="N41" s="159"/>
      <c r="O41" s="159"/>
      <c r="P41" s="165"/>
      <c r="Q41" s="166"/>
      <c r="R41" s="165">
        <v>800</v>
      </c>
      <c r="S41" s="166"/>
      <c r="T41" s="165">
        <v>150</v>
      </c>
      <c r="U41" s="166"/>
      <c r="V41" s="165">
        <v>11</v>
      </c>
      <c r="W41" s="193" t="s">
        <v>2043</v>
      </c>
      <c r="X41" s="193" t="s">
        <v>2098</v>
      </c>
      <c r="Y41" s="193">
        <v>0</v>
      </c>
      <c r="Z41" s="193">
        <v>0</v>
      </c>
      <c r="AA41" s="193">
        <v>2.67</v>
      </c>
      <c r="AB41" s="193">
        <v>1</v>
      </c>
      <c r="AC41" s="193">
        <v>1</v>
      </c>
      <c r="AD41" s="159" t="s">
        <v>1327</v>
      </c>
      <c r="AE41" s="159" t="s">
        <v>2079</v>
      </c>
      <c r="AF41" s="159">
        <v>3</v>
      </c>
      <c r="AG41" s="159">
        <v>2</v>
      </c>
      <c r="AH41" s="159">
        <v>3</v>
      </c>
      <c r="AI41" s="159">
        <v>0</v>
      </c>
      <c r="AJ41" s="159" t="s">
        <v>2122</v>
      </c>
      <c r="AK41" s="159" t="s">
        <v>2168</v>
      </c>
      <c r="AL41" s="159" t="s">
        <v>2179</v>
      </c>
      <c r="AM41" s="159">
        <v>1</v>
      </c>
      <c r="AN41" s="159"/>
    </row>
    <row r="42" spans="1:40">
      <c r="A42" s="159"/>
      <c r="B42" s="159"/>
      <c r="C42" s="159"/>
      <c r="D42" s="160"/>
      <c r="E42" s="157">
        <v>2</v>
      </c>
      <c r="F42" s="143"/>
      <c r="G42" s="159"/>
      <c r="H42" s="159" t="s">
        <v>1382</v>
      </c>
      <c r="I42" s="159"/>
      <c r="J42" s="159" t="s">
        <v>1896</v>
      </c>
      <c r="K42" s="159" t="s">
        <v>1385</v>
      </c>
      <c r="L42" s="159" t="s">
        <v>1959</v>
      </c>
      <c r="M42" s="159">
        <v>5</v>
      </c>
      <c r="N42" s="159"/>
      <c r="O42" s="159"/>
      <c r="P42" s="165"/>
      <c r="Q42" s="166"/>
      <c r="R42" s="165">
        <v>800</v>
      </c>
      <c r="S42" s="166"/>
      <c r="T42" s="165">
        <v>150</v>
      </c>
      <c r="U42" s="166"/>
      <c r="V42" s="165">
        <v>11</v>
      </c>
      <c r="W42" s="193"/>
      <c r="X42" s="193"/>
      <c r="Y42" s="193"/>
      <c r="Z42" s="193"/>
      <c r="AA42" s="193"/>
      <c r="AB42" s="193"/>
      <c r="AC42" s="193"/>
      <c r="AD42" s="159"/>
      <c r="AE42" s="159"/>
      <c r="AF42" s="159"/>
      <c r="AG42" s="159"/>
      <c r="AH42" s="159"/>
      <c r="AI42" s="159"/>
      <c r="AJ42" s="159"/>
      <c r="AK42" s="159"/>
      <c r="AL42" s="159" t="s">
        <v>2179</v>
      </c>
      <c r="AM42" s="159"/>
      <c r="AN42" s="159"/>
    </row>
    <row r="43" spans="1:40">
      <c r="A43" s="159"/>
      <c r="B43" s="159"/>
      <c r="C43" s="159"/>
      <c r="D43" s="160"/>
      <c r="E43" s="157">
        <v>3</v>
      </c>
      <c r="F43" s="143"/>
      <c r="G43" s="159"/>
      <c r="H43" s="159" t="s">
        <v>1386</v>
      </c>
      <c r="I43" s="159"/>
      <c r="J43" s="159" t="s">
        <v>1897</v>
      </c>
      <c r="K43" s="159" t="s">
        <v>1384</v>
      </c>
      <c r="L43" s="159" t="s">
        <v>1960</v>
      </c>
      <c r="M43" s="159">
        <v>10</v>
      </c>
      <c r="N43" s="159"/>
      <c r="O43" s="159"/>
      <c r="P43" s="165"/>
      <c r="Q43" s="166"/>
      <c r="R43" s="165">
        <v>800</v>
      </c>
      <c r="S43" s="166"/>
      <c r="T43" s="165">
        <v>150</v>
      </c>
      <c r="U43" s="166"/>
      <c r="V43" s="165">
        <v>11</v>
      </c>
      <c r="W43" s="193"/>
      <c r="X43" s="193"/>
      <c r="Y43" s="193"/>
      <c r="Z43" s="193"/>
      <c r="AA43" s="193"/>
      <c r="AB43" s="193"/>
      <c r="AC43" s="193"/>
      <c r="AD43" s="159"/>
      <c r="AE43" s="159"/>
      <c r="AF43" s="159"/>
      <c r="AG43" s="159"/>
      <c r="AH43" s="159"/>
      <c r="AI43" s="159"/>
      <c r="AJ43" s="159"/>
      <c r="AK43" s="159"/>
      <c r="AL43" s="159" t="s">
        <v>2179</v>
      </c>
      <c r="AM43" s="159"/>
      <c r="AN43" s="159"/>
    </row>
    <row r="44" spans="1:40">
      <c r="A44" s="159"/>
      <c r="B44" s="159"/>
      <c r="C44" s="159" t="s">
        <v>46</v>
      </c>
      <c r="D44" s="160" t="s">
        <v>758</v>
      </c>
      <c r="E44" s="157">
        <v>1</v>
      </c>
      <c r="F44" s="159" t="s">
        <v>1387</v>
      </c>
      <c r="G44" s="159" t="s">
        <v>1961</v>
      </c>
      <c r="H44" s="159" t="s">
        <v>47</v>
      </c>
      <c r="I44" s="159"/>
      <c r="J44" s="159" t="s">
        <v>1898</v>
      </c>
      <c r="K44" s="159" t="s">
        <v>1388</v>
      </c>
      <c r="L44" s="159" t="s">
        <v>1962</v>
      </c>
      <c r="M44" s="159">
        <v>200</v>
      </c>
      <c r="N44" s="159"/>
      <c r="O44" s="159"/>
      <c r="P44" s="165"/>
      <c r="Q44" s="166">
        <v>8</v>
      </c>
      <c r="R44" s="165"/>
      <c r="S44" s="166">
        <v>1200</v>
      </c>
      <c r="T44" s="165">
        <v>200</v>
      </c>
      <c r="U44" s="166"/>
      <c r="V44" s="165">
        <v>40</v>
      </c>
      <c r="W44" s="193" t="s">
        <v>2021</v>
      </c>
      <c r="X44" s="193" t="s">
        <v>2098</v>
      </c>
      <c r="Y44" s="193">
        <v>0</v>
      </c>
      <c r="Z44" s="193">
        <v>0</v>
      </c>
      <c r="AA44" s="193">
        <v>0</v>
      </c>
      <c r="AB44" s="193">
        <v>0</v>
      </c>
      <c r="AC44" s="193">
        <v>1</v>
      </c>
      <c r="AD44" s="159" t="s">
        <v>2100</v>
      </c>
      <c r="AE44" s="159" t="s">
        <v>2080</v>
      </c>
      <c r="AF44" s="159">
        <v>1</v>
      </c>
      <c r="AG44" s="159">
        <v>1</v>
      </c>
      <c r="AH44" s="159">
        <v>0</v>
      </c>
      <c r="AI44" s="159">
        <v>1</v>
      </c>
      <c r="AJ44" s="159" t="s">
        <v>2123</v>
      </c>
      <c r="AK44" s="159" t="s">
        <v>2093</v>
      </c>
      <c r="AL44" s="159"/>
      <c r="AM44" s="159">
        <v>1</v>
      </c>
      <c r="AN44" s="159"/>
    </row>
    <row r="45" spans="1:40">
      <c r="A45" s="159"/>
      <c r="B45" s="159"/>
      <c r="C45" s="159"/>
      <c r="D45" s="160"/>
      <c r="E45" s="157">
        <v>2</v>
      </c>
      <c r="F45" s="143"/>
      <c r="G45" s="159"/>
      <c r="H45" s="159" t="s">
        <v>48</v>
      </c>
      <c r="I45" s="159"/>
      <c r="J45" s="159" t="s">
        <v>1898</v>
      </c>
      <c r="K45" s="159" t="s">
        <v>1389</v>
      </c>
      <c r="L45" s="159" t="s">
        <v>1962</v>
      </c>
      <c r="M45" s="159">
        <v>300</v>
      </c>
      <c r="N45" s="159"/>
      <c r="O45" s="159"/>
      <c r="P45" s="165"/>
      <c r="Q45" s="166">
        <v>8</v>
      </c>
      <c r="R45" s="165"/>
      <c r="S45" s="166">
        <v>1200</v>
      </c>
      <c r="T45" s="165">
        <v>250</v>
      </c>
      <c r="U45" s="166"/>
      <c r="V45" s="165">
        <v>40</v>
      </c>
      <c r="W45" s="193"/>
      <c r="X45" s="193"/>
      <c r="Y45" s="193"/>
      <c r="Z45" s="193"/>
      <c r="AA45" s="193"/>
      <c r="AB45" s="193"/>
      <c r="AC45" s="193"/>
      <c r="AD45" s="159"/>
      <c r="AE45" s="159"/>
      <c r="AF45" s="159"/>
      <c r="AG45" s="159"/>
      <c r="AH45" s="159"/>
      <c r="AI45" s="159"/>
      <c r="AJ45" s="159"/>
      <c r="AK45" s="159"/>
      <c r="AL45" s="159"/>
      <c r="AM45" s="159"/>
      <c r="AN45" s="159"/>
    </row>
    <row r="46" spans="1:40">
      <c r="A46" s="159"/>
      <c r="B46" s="159"/>
      <c r="C46" s="159"/>
      <c r="D46" s="160"/>
      <c r="E46" s="157">
        <v>3</v>
      </c>
      <c r="F46" s="143"/>
      <c r="G46" s="159"/>
      <c r="H46" s="159" t="s">
        <v>50</v>
      </c>
      <c r="I46" s="159"/>
      <c r="J46" s="159" t="s">
        <v>1898</v>
      </c>
      <c r="K46" s="159" t="s">
        <v>1390</v>
      </c>
      <c r="L46" s="159" t="s">
        <v>1962</v>
      </c>
      <c r="M46" s="159">
        <v>400</v>
      </c>
      <c r="N46" s="159"/>
      <c r="O46" s="159"/>
      <c r="P46" s="165"/>
      <c r="Q46" s="166">
        <v>8</v>
      </c>
      <c r="R46" s="165"/>
      <c r="S46" s="166">
        <v>1200</v>
      </c>
      <c r="T46" s="165">
        <v>300</v>
      </c>
      <c r="U46" s="166"/>
      <c r="V46" s="165">
        <v>40</v>
      </c>
      <c r="W46" s="193"/>
      <c r="X46" s="193"/>
      <c r="Y46" s="193"/>
      <c r="Z46" s="193"/>
      <c r="AA46" s="193"/>
      <c r="AB46" s="193"/>
      <c r="AC46" s="193"/>
      <c r="AD46" s="159"/>
      <c r="AE46" s="159"/>
      <c r="AF46" s="159"/>
      <c r="AG46" s="159"/>
      <c r="AH46" s="159"/>
      <c r="AI46" s="159"/>
      <c r="AJ46" s="159"/>
      <c r="AK46" s="159"/>
      <c r="AL46" s="159"/>
      <c r="AM46" s="159"/>
      <c r="AN46" s="159"/>
    </row>
    <row r="47" spans="1:40">
      <c r="A47" s="161" t="s">
        <v>55</v>
      </c>
      <c r="B47" s="161" t="s">
        <v>1800</v>
      </c>
      <c r="C47" s="159" t="s">
        <v>80</v>
      </c>
      <c r="D47" s="157" t="s">
        <v>1446</v>
      </c>
      <c r="E47" s="157">
        <v>1</v>
      </c>
      <c r="F47" s="159" t="s">
        <v>1614</v>
      </c>
      <c r="G47" s="159" t="s">
        <v>1832</v>
      </c>
      <c r="H47" s="159" t="s">
        <v>81</v>
      </c>
      <c r="I47" s="159"/>
      <c r="J47" s="159" t="s">
        <v>1899</v>
      </c>
      <c r="K47" s="159" t="s">
        <v>1615</v>
      </c>
      <c r="L47" s="159" t="s">
        <v>1963</v>
      </c>
      <c r="M47" s="159">
        <v>100</v>
      </c>
      <c r="N47" s="159">
        <v>0.1</v>
      </c>
      <c r="O47" s="159"/>
      <c r="P47" s="165"/>
      <c r="Q47" s="166"/>
      <c r="R47" s="165">
        <v>800</v>
      </c>
      <c r="S47" s="166"/>
      <c r="T47" s="165">
        <v>50</v>
      </c>
      <c r="U47" s="166"/>
      <c r="V47" s="165">
        <v>3.5</v>
      </c>
      <c r="W47" s="193" t="s">
        <v>2022</v>
      </c>
      <c r="X47" s="193" t="s">
        <v>2098</v>
      </c>
      <c r="Y47" s="193">
        <v>0</v>
      </c>
      <c r="Z47" s="193">
        <v>0</v>
      </c>
      <c r="AA47" s="193">
        <v>2.17</v>
      </c>
      <c r="AB47" s="193">
        <v>1</v>
      </c>
      <c r="AC47" s="193">
        <v>1</v>
      </c>
      <c r="AD47" s="159" t="s">
        <v>1049</v>
      </c>
      <c r="AE47" s="159" t="s">
        <v>2081</v>
      </c>
      <c r="AF47" s="159">
        <v>0</v>
      </c>
      <c r="AG47" s="159">
        <v>2</v>
      </c>
      <c r="AH47" s="159">
        <v>0</v>
      </c>
      <c r="AI47" s="159">
        <v>0</v>
      </c>
      <c r="AJ47" s="159" t="s">
        <v>2124</v>
      </c>
      <c r="AK47" s="159" t="s">
        <v>2168</v>
      </c>
      <c r="AL47" s="159" t="s">
        <v>2179</v>
      </c>
      <c r="AM47" s="159">
        <v>1</v>
      </c>
      <c r="AN47" s="159"/>
    </row>
    <row r="48" spans="1:40">
      <c r="C48" s="157"/>
      <c r="D48" s="157"/>
      <c r="E48" s="157">
        <v>2</v>
      </c>
      <c r="F48" s="143"/>
      <c r="G48" s="159"/>
      <c r="H48" s="159" t="s">
        <v>82</v>
      </c>
      <c r="I48" s="159"/>
      <c r="J48" s="159" t="s">
        <v>1899</v>
      </c>
      <c r="K48" s="159" t="s">
        <v>1616</v>
      </c>
      <c r="L48" s="159" t="s">
        <v>1963</v>
      </c>
      <c r="M48" s="159">
        <v>175</v>
      </c>
      <c r="N48" s="159">
        <v>0.2</v>
      </c>
      <c r="O48" s="159"/>
      <c r="P48" s="165"/>
      <c r="Q48" s="166"/>
      <c r="R48" s="165">
        <v>800</v>
      </c>
      <c r="S48" s="166"/>
      <c r="T48" s="165">
        <v>50</v>
      </c>
      <c r="U48" s="166"/>
      <c r="V48" s="165">
        <v>3.5</v>
      </c>
      <c r="W48" s="193"/>
      <c r="X48" s="193"/>
      <c r="Y48" s="193"/>
      <c r="Z48" s="193"/>
      <c r="AA48" s="193"/>
      <c r="AB48" s="193"/>
      <c r="AC48" s="193"/>
      <c r="AD48" s="159"/>
      <c r="AE48" s="159"/>
      <c r="AF48" s="159"/>
      <c r="AG48" s="159"/>
      <c r="AH48" s="159"/>
      <c r="AI48" s="159"/>
      <c r="AJ48" s="159"/>
      <c r="AK48" s="159"/>
      <c r="AL48" s="159" t="s">
        <v>2179</v>
      </c>
      <c r="AM48" s="159"/>
      <c r="AN48" s="159"/>
    </row>
    <row r="49" spans="1:40">
      <c r="C49" s="157"/>
      <c r="D49" s="157"/>
      <c r="E49" s="157">
        <v>3</v>
      </c>
      <c r="F49" s="143"/>
      <c r="G49" s="159"/>
      <c r="H49" s="159" t="s">
        <v>85</v>
      </c>
      <c r="I49" s="159"/>
      <c r="J49" s="159" t="s">
        <v>1899</v>
      </c>
      <c r="K49" s="159" t="s">
        <v>1617</v>
      </c>
      <c r="L49" s="159" t="s">
        <v>1963</v>
      </c>
      <c r="M49" s="159">
        <v>250</v>
      </c>
      <c r="N49" s="159">
        <v>0.3</v>
      </c>
      <c r="O49" s="159"/>
      <c r="P49" s="165"/>
      <c r="Q49" s="166"/>
      <c r="R49" s="165">
        <v>800</v>
      </c>
      <c r="S49" s="166"/>
      <c r="T49" s="165">
        <v>50</v>
      </c>
      <c r="U49" s="166"/>
      <c r="V49" s="165">
        <v>3.5</v>
      </c>
      <c r="W49" s="193"/>
      <c r="X49" s="193"/>
      <c r="Y49" s="193"/>
      <c r="Z49" s="193"/>
      <c r="AA49" s="193"/>
      <c r="AB49" s="193"/>
      <c r="AC49" s="193"/>
      <c r="AD49" s="159"/>
      <c r="AE49" s="159"/>
      <c r="AF49" s="159"/>
      <c r="AG49" s="159"/>
      <c r="AH49" s="159"/>
      <c r="AI49" s="159"/>
      <c r="AJ49" s="159"/>
      <c r="AK49" s="159"/>
      <c r="AL49" s="159" t="s">
        <v>2179</v>
      </c>
      <c r="AM49" s="159"/>
      <c r="AN49" s="159"/>
    </row>
    <row r="50" spans="1:40">
      <c r="C50" s="159" t="s">
        <v>86</v>
      </c>
      <c r="D50" s="160" t="s">
        <v>756</v>
      </c>
      <c r="E50" s="157">
        <v>1</v>
      </c>
      <c r="F50" s="159" t="s">
        <v>87</v>
      </c>
      <c r="G50" s="159" t="s">
        <v>1833</v>
      </c>
      <c r="H50" s="159" t="s">
        <v>88</v>
      </c>
      <c r="I50" s="159"/>
      <c r="J50" s="159" t="s">
        <v>1900</v>
      </c>
      <c r="K50" s="159" t="s">
        <v>1443</v>
      </c>
      <c r="L50" s="159" t="s">
        <v>1964</v>
      </c>
      <c r="M50" s="159">
        <v>200</v>
      </c>
      <c r="N50" s="159"/>
      <c r="O50" s="159"/>
      <c r="P50" s="165">
        <v>2.6</v>
      </c>
      <c r="Q50" s="166"/>
      <c r="R50" s="165">
        <v>800</v>
      </c>
      <c r="S50" s="166"/>
      <c r="T50" s="165">
        <v>100</v>
      </c>
      <c r="U50" s="166"/>
      <c r="V50" s="165">
        <v>1</v>
      </c>
      <c r="W50" s="193" t="s">
        <v>2023</v>
      </c>
      <c r="X50" s="193" t="s">
        <v>2098</v>
      </c>
      <c r="Y50" s="193">
        <v>0</v>
      </c>
      <c r="Z50" s="193">
        <v>0</v>
      </c>
      <c r="AA50" s="193">
        <v>0</v>
      </c>
      <c r="AB50" s="193">
        <v>1</v>
      </c>
      <c r="AC50" s="193">
        <v>1</v>
      </c>
      <c r="AD50" s="159" t="s">
        <v>1311</v>
      </c>
      <c r="AE50" s="159" t="s">
        <v>2082</v>
      </c>
      <c r="AF50" s="159">
        <v>1</v>
      </c>
      <c r="AG50" s="159">
        <v>2</v>
      </c>
      <c r="AH50" s="159">
        <v>1</v>
      </c>
      <c r="AI50" s="159">
        <v>0</v>
      </c>
      <c r="AJ50" s="159" t="s">
        <v>2125</v>
      </c>
      <c r="AK50" s="159" t="s">
        <v>582</v>
      </c>
      <c r="AL50" s="159" t="s">
        <v>2179</v>
      </c>
      <c r="AM50" s="159">
        <v>1</v>
      </c>
      <c r="AN50" s="159"/>
    </row>
    <row r="51" spans="1:40">
      <c r="C51" s="159"/>
      <c r="D51" s="160"/>
      <c r="E51" s="157">
        <v>2</v>
      </c>
      <c r="F51" s="143"/>
      <c r="G51" s="159"/>
      <c r="H51" s="159" t="s">
        <v>89</v>
      </c>
      <c r="I51" s="159"/>
      <c r="J51" s="159" t="s">
        <v>1900</v>
      </c>
      <c r="K51" s="159" t="s">
        <v>1444</v>
      </c>
      <c r="L51" s="159" t="s">
        <v>1964</v>
      </c>
      <c r="M51" s="159">
        <v>400</v>
      </c>
      <c r="N51" s="159"/>
      <c r="O51" s="159"/>
      <c r="P51" s="165">
        <v>2.6</v>
      </c>
      <c r="Q51" s="166"/>
      <c r="R51" s="165">
        <v>800</v>
      </c>
      <c r="S51" s="166"/>
      <c r="T51" s="165">
        <v>115</v>
      </c>
      <c r="U51" s="166"/>
      <c r="V51" s="165">
        <v>1</v>
      </c>
      <c r="W51" s="193"/>
      <c r="X51" s="193"/>
      <c r="Y51" s="193"/>
      <c r="Z51" s="193"/>
      <c r="AA51" s="193"/>
      <c r="AB51" s="193"/>
      <c r="AC51" s="193"/>
      <c r="AD51" s="159"/>
      <c r="AE51" s="159"/>
      <c r="AF51" s="159"/>
      <c r="AG51" s="159"/>
      <c r="AH51" s="159"/>
      <c r="AI51" s="159"/>
      <c r="AJ51" s="159"/>
      <c r="AK51" s="159"/>
      <c r="AL51" s="159" t="s">
        <v>2179</v>
      </c>
      <c r="AM51" s="159"/>
      <c r="AN51" s="159"/>
    </row>
    <row r="52" spans="1:40">
      <c r="C52" s="159"/>
      <c r="D52" s="160"/>
      <c r="E52" s="157">
        <v>3</v>
      </c>
      <c r="F52" s="143"/>
      <c r="G52" s="159"/>
      <c r="H52" s="159" t="s">
        <v>90</v>
      </c>
      <c r="I52" s="159"/>
      <c r="J52" s="159" t="s">
        <v>1900</v>
      </c>
      <c r="K52" s="159" t="s">
        <v>1445</v>
      </c>
      <c r="L52" s="159" t="s">
        <v>1964</v>
      </c>
      <c r="M52" s="159">
        <v>600</v>
      </c>
      <c r="N52" s="159"/>
      <c r="O52" s="159"/>
      <c r="P52" s="165">
        <v>2.6</v>
      </c>
      <c r="Q52" s="166"/>
      <c r="R52" s="165">
        <v>800</v>
      </c>
      <c r="S52" s="166"/>
      <c r="T52" s="165">
        <v>130</v>
      </c>
      <c r="U52" s="166"/>
      <c r="V52" s="165">
        <v>1</v>
      </c>
      <c r="W52" s="193"/>
      <c r="X52" s="193"/>
      <c r="Y52" s="193"/>
      <c r="Z52" s="193"/>
      <c r="AA52" s="193"/>
      <c r="AB52" s="193"/>
      <c r="AC52" s="193"/>
      <c r="AD52" s="159"/>
      <c r="AE52" s="159"/>
      <c r="AF52" s="159"/>
      <c r="AG52" s="159"/>
      <c r="AH52" s="159"/>
      <c r="AI52" s="159"/>
      <c r="AJ52" s="159"/>
      <c r="AK52" s="159"/>
      <c r="AL52" s="159" t="s">
        <v>2179</v>
      </c>
      <c r="AM52" s="159"/>
      <c r="AN52" s="159"/>
    </row>
    <row r="53" spans="1:40">
      <c r="C53" s="159" t="s">
        <v>91</v>
      </c>
      <c r="D53" s="160" t="s">
        <v>755</v>
      </c>
      <c r="E53" s="157">
        <v>1</v>
      </c>
      <c r="F53" s="159" t="s">
        <v>92</v>
      </c>
      <c r="G53" s="159" t="s">
        <v>1834</v>
      </c>
      <c r="H53" s="159" t="s">
        <v>93</v>
      </c>
      <c r="I53" s="159"/>
      <c r="J53" s="159" t="s">
        <v>1966</v>
      </c>
      <c r="K53" s="159" t="s">
        <v>1447</v>
      </c>
      <c r="L53" s="159" t="s">
        <v>1965</v>
      </c>
      <c r="M53" s="159">
        <v>0.1</v>
      </c>
      <c r="N53" s="159"/>
      <c r="O53" s="159"/>
      <c r="P53" s="165"/>
      <c r="Q53" s="166"/>
      <c r="R53" s="165">
        <v>800</v>
      </c>
      <c r="S53" s="166"/>
      <c r="T53" s="165">
        <v>100</v>
      </c>
      <c r="U53" s="166">
        <v>6</v>
      </c>
      <c r="V53" s="165">
        <v>15</v>
      </c>
      <c r="W53" s="193" t="s">
        <v>2024</v>
      </c>
      <c r="X53" s="193" t="s">
        <v>2098</v>
      </c>
      <c r="Y53" s="193">
        <v>0</v>
      </c>
      <c r="Z53" s="193">
        <v>0</v>
      </c>
      <c r="AA53" s="193">
        <v>2.17</v>
      </c>
      <c r="AB53" s="193">
        <v>1</v>
      </c>
      <c r="AC53" s="193">
        <v>1</v>
      </c>
      <c r="AD53" s="159" t="s">
        <v>1319</v>
      </c>
      <c r="AE53" s="159" t="s">
        <v>2083</v>
      </c>
      <c r="AF53" s="159">
        <v>2</v>
      </c>
      <c r="AG53" s="159">
        <v>2</v>
      </c>
      <c r="AH53" s="159">
        <v>2</v>
      </c>
      <c r="AI53" s="159">
        <v>0</v>
      </c>
      <c r="AJ53" s="159" t="s">
        <v>2126</v>
      </c>
      <c r="AK53" s="159" t="s">
        <v>2168</v>
      </c>
      <c r="AL53" s="159" t="s">
        <v>2179</v>
      </c>
      <c r="AM53" s="159">
        <v>1</v>
      </c>
      <c r="AN53" s="159"/>
    </row>
    <row r="54" spans="1:40">
      <c r="C54" s="159"/>
      <c r="D54" s="160"/>
      <c r="E54" s="157">
        <v>2</v>
      </c>
      <c r="F54" s="143"/>
      <c r="G54" s="159"/>
      <c r="H54" s="159" t="s">
        <v>94</v>
      </c>
      <c r="I54" s="159"/>
      <c r="J54" s="159" t="s">
        <v>1966</v>
      </c>
      <c r="K54" s="159" t="s">
        <v>1448</v>
      </c>
      <c r="L54" s="159" t="s">
        <v>1965</v>
      </c>
      <c r="M54" s="159">
        <v>0.2</v>
      </c>
      <c r="N54" s="159"/>
      <c r="O54" s="159"/>
      <c r="P54" s="165"/>
      <c r="Q54" s="166"/>
      <c r="R54" s="165">
        <v>800</v>
      </c>
      <c r="S54" s="166"/>
      <c r="T54" s="165">
        <v>150</v>
      </c>
      <c r="U54" s="166">
        <v>6</v>
      </c>
      <c r="V54" s="165">
        <v>15</v>
      </c>
      <c r="W54" s="193"/>
      <c r="X54" s="193"/>
      <c r="Y54" s="193"/>
      <c r="Z54" s="193"/>
      <c r="AA54" s="193"/>
      <c r="AB54" s="193"/>
      <c r="AC54" s="193"/>
      <c r="AD54" s="159"/>
      <c r="AE54" s="159"/>
      <c r="AF54" s="159"/>
      <c r="AG54" s="159"/>
      <c r="AH54" s="159"/>
      <c r="AI54" s="159"/>
      <c r="AJ54" s="159"/>
      <c r="AK54" s="159"/>
      <c r="AL54" s="159" t="s">
        <v>2179</v>
      </c>
      <c r="AM54" s="159"/>
      <c r="AN54" s="159"/>
    </row>
    <row r="55" spans="1:40">
      <c r="C55" s="159"/>
      <c r="D55" s="160"/>
      <c r="E55" s="157">
        <v>3</v>
      </c>
      <c r="F55" s="143"/>
      <c r="G55" s="159"/>
      <c r="H55" s="159" t="s">
        <v>95</v>
      </c>
      <c r="I55" s="159"/>
      <c r="J55" s="159" t="s">
        <v>1967</v>
      </c>
      <c r="K55" s="159" t="s">
        <v>1449</v>
      </c>
      <c r="L55" s="159" t="s">
        <v>1968</v>
      </c>
      <c r="M55" s="159">
        <v>0.3</v>
      </c>
      <c r="N55" s="159"/>
      <c r="O55" s="159"/>
      <c r="P55" s="165"/>
      <c r="Q55" s="166"/>
      <c r="R55" s="165">
        <v>800</v>
      </c>
      <c r="S55" s="166"/>
      <c r="T55" s="165">
        <v>200</v>
      </c>
      <c r="U55" s="166">
        <v>6</v>
      </c>
      <c r="V55" s="165">
        <v>15</v>
      </c>
      <c r="W55" s="193"/>
      <c r="X55" s="193"/>
      <c r="Y55" s="193"/>
      <c r="Z55" s="193"/>
      <c r="AA55" s="193"/>
      <c r="AB55" s="193"/>
      <c r="AC55" s="193"/>
      <c r="AD55" s="159"/>
      <c r="AE55" s="159"/>
      <c r="AF55" s="159"/>
      <c r="AG55" s="159"/>
      <c r="AH55" s="159"/>
      <c r="AI55" s="159"/>
      <c r="AJ55" s="159"/>
      <c r="AK55" s="159"/>
      <c r="AL55" s="159" t="s">
        <v>2179</v>
      </c>
      <c r="AM55" s="159"/>
      <c r="AN55" s="159"/>
    </row>
    <row r="56" spans="1:40">
      <c r="C56" s="159" t="s">
        <v>96</v>
      </c>
      <c r="D56" s="160" t="s">
        <v>871</v>
      </c>
      <c r="E56" s="157">
        <v>1</v>
      </c>
      <c r="F56" s="159" t="s">
        <v>1618</v>
      </c>
      <c r="G56" s="159" t="s">
        <v>1835</v>
      </c>
      <c r="H56" s="159" t="s">
        <v>1613</v>
      </c>
      <c r="I56" s="159"/>
      <c r="J56" s="159" t="s">
        <v>1901</v>
      </c>
      <c r="K56" s="159" t="s">
        <v>1619</v>
      </c>
      <c r="L56" s="159" t="s">
        <v>1969</v>
      </c>
      <c r="M56" s="159">
        <v>1</v>
      </c>
      <c r="N56" s="159">
        <v>0.5</v>
      </c>
      <c r="O56" s="159"/>
      <c r="P56" s="165"/>
      <c r="Q56" s="166"/>
      <c r="R56" s="165"/>
      <c r="S56" s="166"/>
      <c r="T56" s="165">
        <v>50</v>
      </c>
      <c r="U56" s="166">
        <v>10</v>
      </c>
      <c r="V56" s="165">
        <v>40</v>
      </c>
      <c r="W56" s="193" t="s">
        <v>2025</v>
      </c>
      <c r="X56" s="193" t="s">
        <v>2098</v>
      </c>
      <c r="Y56" s="193">
        <v>0</v>
      </c>
      <c r="Z56" s="193">
        <v>0</v>
      </c>
      <c r="AA56" s="193">
        <v>2.17</v>
      </c>
      <c r="AB56" s="193">
        <v>0</v>
      </c>
      <c r="AC56" s="193">
        <v>1</v>
      </c>
      <c r="AD56" s="159" t="s">
        <v>1327</v>
      </c>
      <c r="AE56" s="159" t="s">
        <v>2084</v>
      </c>
      <c r="AF56" s="159">
        <v>1</v>
      </c>
      <c r="AG56" s="159">
        <v>1</v>
      </c>
      <c r="AH56" s="159">
        <v>0</v>
      </c>
      <c r="AI56" s="159">
        <v>1</v>
      </c>
      <c r="AJ56" s="159" t="s">
        <v>2127</v>
      </c>
      <c r="AK56" s="159" t="s">
        <v>2168</v>
      </c>
      <c r="AL56" s="159"/>
      <c r="AM56" s="159">
        <v>1</v>
      </c>
      <c r="AN56" s="159"/>
    </row>
    <row r="57" spans="1:40">
      <c r="C57" s="159"/>
      <c r="D57" s="160"/>
      <c r="E57" s="157">
        <v>2</v>
      </c>
      <c r="F57" s="143"/>
      <c r="G57" s="159"/>
      <c r="H57" s="159" t="s">
        <v>1613</v>
      </c>
      <c r="I57" s="159"/>
      <c r="J57" s="159" t="s">
        <v>1901</v>
      </c>
      <c r="K57" s="159" t="s">
        <v>1619</v>
      </c>
      <c r="L57" s="159" t="s">
        <v>1969</v>
      </c>
      <c r="M57" s="159">
        <v>1</v>
      </c>
      <c r="N57" s="159">
        <v>0.5</v>
      </c>
      <c r="O57" s="159"/>
      <c r="P57" s="165"/>
      <c r="Q57" s="166"/>
      <c r="R57" s="165"/>
      <c r="S57" s="166"/>
      <c r="T57" s="165">
        <v>50</v>
      </c>
      <c r="U57" s="166">
        <v>15</v>
      </c>
      <c r="V57" s="165">
        <v>40</v>
      </c>
      <c r="W57" s="193"/>
      <c r="X57" s="193"/>
      <c r="Y57" s="193"/>
      <c r="Z57" s="193"/>
      <c r="AA57" s="193"/>
      <c r="AB57" s="193"/>
      <c r="AC57" s="193"/>
      <c r="AD57" s="159"/>
      <c r="AE57" s="159"/>
      <c r="AF57" s="159"/>
      <c r="AG57" s="159"/>
      <c r="AH57" s="159"/>
      <c r="AI57" s="159"/>
      <c r="AJ57" s="159"/>
      <c r="AK57" s="159"/>
      <c r="AL57" s="159"/>
      <c r="AM57" s="159"/>
      <c r="AN57" s="159"/>
    </row>
    <row r="58" spans="1:40">
      <c r="C58" s="159"/>
      <c r="D58" s="160"/>
      <c r="E58" s="157">
        <v>3</v>
      </c>
      <c r="F58" s="143"/>
      <c r="G58" s="159"/>
      <c r="H58" s="159" t="s">
        <v>1613</v>
      </c>
      <c r="I58" s="159"/>
      <c r="J58" s="159" t="s">
        <v>1901</v>
      </c>
      <c r="K58" s="159" t="s">
        <v>1619</v>
      </c>
      <c r="L58" s="159" t="s">
        <v>1969</v>
      </c>
      <c r="M58" s="159">
        <v>1</v>
      </c>
      <c r="N58" s="159">
        <v>0.5</v>
      </c>
      <c r="O58" s="159"/>
      <c r="P58" s="165"/>
      <c r="Q58" s="166"/>
      <c r="R58" s="165"/>
      <c r="S58" s="166"/>
      <c r="T58" s="165">
        <v>50</v>
      </c>
      <c r="U58" s="166">
        <v>20</v>
      </c>
      <c r="V58" s="165">
        <v>40</v>
      </c>
      <c r="W58" s="193"/>
      <c r="X58" s="193"/>
      <c r="Y58" s="193"/>
      <c r="Z58" s="193"/>
      <c r="AA58" s="193"/>
      <c r="AB58" s="193"/>
      <c r="AC58" s="193"/>
      <c r="AD58" s="159"/>
      <c r="AE58" s="159"/>
      <c r="AF58" s="159"/>
      <c r="AG58" s="159"/>
      <c r="AH58" s="159"/>
      <c r="AI58" s="159"/>
      <c r="AJ58" s="159"/>
      <c r="AK58" s="159"/>
      <c r="AL58" s="159"/>
      <c r="AM58" s="159"/>
      <c r="AN58" s="159"/>
    </row>
    <row r="59" spans="1:40">
      <c r="C59" s="159" t="s">
        <v>98</v>
      </c>
      <c r="D59" s="160" t="s">
        <v>1450</v>
      </c>
      <c r="E59" s="157">
        <v>1</v>
      </c>
      <c r="F59" s="159" t="s">
        <v>99</v>
      </c>
      <c r="G59" s="159" t="s">
        <v>1836</v>
      </c>
      <c r="H59" s="159" t="s">
        <v>100</v>
      </c>
      <c r="I59" s="159"/>
      <c r="J59" s="159" t="s">
        <v>1902</v>
      </c>
      <c r="K59" s="159" t="s">
        <v>1451</v>
      </c>
      <c r="L59" s="159" t="s">
        <v>1970</v>
      </c>
      <c r="M59" s="159">
        <v>0.5</v>
      </c>
      <c r="N59" s="159"/>
      <c r="O59" s="159"/>
      <c r="P59" s="165"/>
      <c r="Q59" s="166"/>
      <c r="R59" s="165">
        <v>800</v>
      </c>
      <c r="S59" s="166"/>
      <c r="T59" s="165">
        <v>10</v>
      </c>
      <c r="U59" s="166">
        <v>15</v>
      </c>
      <c r="V59" s="165">
        <v>10</v>
      </c>
      <c r="W59" s="193" t="s">
        <v>2026</v>
      </c>
      <c r="X59" s="193" t="s">
        <v>2098</v>
      </c>
      <c r="Y59" s="193">
        <v>0</v>
      </c>
      <c r="Z59" s="193">
        <v>0</v>
      </c>
      <c r="AA59" s="193">
        <v>2.17</v>
      </c>
      <c r="AB59" s="193">
        <v>1</v>
      </c>
      <c r="AC59" s="193">
        <v>1</v>
      </c>
      <c r="AD59" s="159" t="s">
        <v>2100</v>
      </c>
      <c r="AE59" s="159" t="s">
        <v>2085</v>
      </c>
      <c r="AF59" s="159">
        <v>3</v>
      </c>
      <c r="AG59" s="159">
        <v>2</v>
      </c>
      <c r="AH59" s="159">
        <v>3</v>
      </c>
      <c r="AI59" s="159">
        <v>0</v>
      </c>
      <c r="AJ59" s="159" t="s">
        <v>2128</v>
      </c>
      <c r="AK59" s="159" t="s">
        <v>2168</v>
      </c>
      <c r="AL59" s="159" t="s">
        <v>2179</v>
      </c>
      <c r="AM59" s="159">
        <v>1</v>
      </c>
      <c r="AN59" s="159"/>
    </row>
    <row r="60" spans="1:40">
      <c r="C60" s="159"/>
      <c r="D60" s="160"/>
      <c r="E60" s="157">
        <v>2</v>
      </c>
      <c r="F60" s="143"/>
      <c r="G60" s="159"/>
      <c r="H60" s="159" t="s">
        <v>101</v>
      </c>
      <c r="I60" s="159"/>
      <c r="J60" s="159" t="s">
        <v>1902</v>
      </c>
      <c r="K60" s="159" t="s">
        <v>1452</v>
      </c>
      <c r="L60" s="159" t="s">
        <v>1970</v>
      </c>
      <c r="M60" s="159">
        <v>0.65</v>
      </c>
      <c r="N60" s="159"/>
      <c r="O60" s="159"/>
      <c r="P60" s="165"/>
      <c r="Q60" s="166"/>
      <c r="R60" s="165">
        <v>800</v>
      </c>
      <c r="S60" s="166"/>
      <c r="T60" s="165">
        <v>10</v>
      </c>
      <c r="U60" s="166">
        <v>20</v>
      </c>
      <c r="V60" s="165">
        <v>10</v>
      </c>
      <c r="W60" s="193"/>
      <c r="X60" s="193"/>
      <c r="Y60" s="193"/>
      <c r="Z60" s="193"/>
      <c r="AA60" s="193"/>
      <c r="AB60" s="193"/>
      <c r="AC60" s="193"/>
      <c r="AD60" s="159"/>
      <c r="AE60" s="159"/>
      <c r="AF60" s="159"/>
      <c r="AG60" s="159"/>
      <c r="AH60" s="159"/>
      <c r="AI60" s="159"/>
      <c r="AJ60" s="159"/>
      <c r="AK60" s="159"/>
      <c r="AL60" s="159" t="s">
        <v>2179</v>
      </c>
      <c r="AM60" s="159"/>
      <c r="AN60" s="159"/>
    </row>
    <row r="61" spans="1:40">
      <c r="C61" s="159"/>
      <c r="D61" s="160"/>
      <c r="E61" s="157">
        <v>3</v>
      </c>
      <c r="F61" s="143"/>
      <c r="G61" s="159"/>
      <c r="H61" s="159" t="s">
        <v>102</v>
      </c>
      <c r="I61" s="159"/>
      <c r="J61" s="159" t="s">
        <v>1902</v>
      </c>
      <c r="K61" s="159" t="s">
        <v>1453</v>
      </c>
      <c r="L61" s="159" t="s">
        <v>1970</v>
      </c>
      <c r="M61" s="159">
        <v>0.8</v>
      </c>
      <c r="N61" s="159"/>
      <c r="O61" s="159"/>
      <c r="P61" s="165"/>
      <c r="Q61" s="166"/>
      <c r="R61" s="165">
        <v>800</v>
      </c>
      <c r="S61" s="166"/>
      <c r="T61" s="165">
        <v>10</v>
      </c>
      <c r="U61" s="166">
        <v>25</v>
      </c>
      <c r="V61" s="165">
        <v>10</v>
      </c>
      <c r="W61" s="193"/>
      <c r="X61" s="193"/>
      <c r="Y61" s="193"/>
      <c r="Z61" s="193"/>
      <c r="AA61" s="193"/>
      <c r="AB61" s="193"/>
      <c r="AC61" s="193"/>
      <c r="AD61" s="159"/>
      <c r="AE61" s="159"/>
      <c r="AF61" s="159"/>
      <c r="AG61" s="159"/>
      <c r="AH61" s="159"/>
      <c r="AI61" s="159"/>
      <c r="AJ61" s="159"/>
      <c r="AK61" s="159"/>
      <c r="AL61" s="159" t="s">
        <v>2179</v>
      </c>
      <c r="AM61" s="159"/>
      <c r="AN61" s="159"/>
    </row>
    <row r="62" spans="1:40">
      <c r="A62" s="159" t="s">
        <v>104</v>
      </c>
      <c r="B62" s="159" t="s">
        <v>1801</v>
      </c>
      <c r="C62" s="159" t="s">
        <v>106</v>
      </c>
      <c r="D62" s="157" t="s">
        <v>754</v>
      </c>
      <c r="E62" s="157">
        <v>1</v>
      </c>
      <c r="F62" s="159" t="s">
        <v>1391</v>
      </c>
      <c r="G62" s="159" t="s">
        <v>1869</v>
      </c>
      <c r="H62" s="159" t="s">
        <v>107</v>
      </c>
      <c r="I62" s="159"/>
      <c r="J62" s="159" t="s">
        <v>1903</v>
      </c>
      <c r="K62" s="159" t="s">
        <v>1392</v>
      </c>
      <c r="L62" s="159" t="s">
        <v>1971</v>
      </c>
      <c r="M62" s="159">
        <v>150</v>
      </c>
      <c r="N62" s="159">
        <v>0.04</v>
      </c>
      <c r="O62" s="159"/>
      <c r="P62" s="165"/>
      <c r="Q62" s="166"/>
      <c r="R62" s="165">
        <v>800</v>
      </c>
      <c r="S62" s="166"/>
      <c r="T62" s="165">
        <v>75</v>
      </c>
      <c r="U62" s="166">
        <v>12</v>
      </c>
      <c r="V62" s="165">
        <v>1</v>
      </c>
      <c r="W62" s="193" t="s">
        <v>2027</v>
      </c>
      <c r="X62" s="193" t="s">
        <v>2098</v>
      </c>
      <c r="Y62" s="193">
        <v>0</v>
      </c>
      <c r="Z62" s="193">
        <v>0</v>
      </c>
      <c r="AA62" s="193">
        <v>1.17</v>
      </c>
      <c r="AB62" s="193">
        <v>1</v>
      </c>
      <c r="AC62" s="193">
        <v>1</v>
      </c>
      <c r="AD62" s="159" t="s">
        <v>1049</v>
      </c>
      <c r="AE62" s="159" t="s">
        <v>265</v>
      </c>
      <c r="AF62" s="159">
        <v>0</v>
      </c>
      <c r="AG62" s="159">
        <v>2</v>
      </c>
      <c r="AH62" s="159">
        <v>0</v>
      </c>
      <c r="AI62" s="159">
        <v>0</v>
      </c>
      <c r="AJ62" s="159" t="s">
        <v>2127</v>
      </c>
      <c r="AK62" s="159" t="s">
        <v>2171</v>
      </c>
      <c r="AL62" s="159" t="s">
        <v>2179</v>
      </c>
      <c r="AM62" s="159">
        <v>1</v>
      </c>
      <c r="AN62" s="159"/>
    </row>
    <row r="63" spans="1:40">
      <c r="A63" s="159"/>
      <c r="B63" s="159"/>
      <c r="C63" s="157"/>
      <c r="D63" s="157"/>
      <c r="E63" s="157">
        <v>2</v>
      </c>
      <c r="F63" s="143"/>
      <c r="G63" s="159"/>
      <c r="H63" s="159" t="s">
        <v>108</v>
      </c>
      <c r="I63" s="159"/>
      <c r="J63" s="159" t="s">
        <v>1903</v>
      </c>
      <c r="K63" s="159" t="s">
        <v>1393</v>
      </c>
      <c r="L63" s="159" t="s">
        <v>1971</v>
      </c>
      <c r="M63" s="159">
        <v>200</v>
      </c>
      <c r="N63" s="159">
        <v>0.08</v>
      </c>
      <c r="O63" s="159"/>
      <c r="P63" s="165"/>
      <c r="Q63" s="166"/>
      <c r="R63" s="165">
        <v>800</v>
      </c>
      <c r="S63" s="166"/>
      <c r="T63" s="165">
        <v>100</v>
      </c>
      <c r="U63" s="166">
        <v>12</v>
      </c>
      <c r="V63" s="165">
        <v>1</v>
      </c>
      <c r="W63" s="193"/>
      <c r="X63" s="193"/>
      <c r="Y63" s="193"/>
      <c r="Z63" s="193"/>
      <c r="AA63" s="193"/>
      <c r="AB63" s="193"/>
      <c r="AC63" s="193"/>
      <c r="AD63" s="159"/>
      <c r="AE63" s="159"/>
      <c r="AF63" s="159"/>
      <c r="AG63" s="159"/>
      <c r="AH63" s="159"/>
      <c r="AI63" s="159"/>
      <c r="AJ63" s="159"/>
      <c r="AK63" s="159"/>
      <c r="AL63" s="159" t="s">
        <v>2179</v>
      </c>
      <c r="AM63" s="159"/>
      <c r="AN63" s="159"/>
    </row>
    <row r="64" spans="1:40">
      <c r="A64" s="159"/>
      <c r="B64" s="159"/>
      <c r="C64" s="157"/>
      <c r="D64" s="157"/>
      <c r="E64" s="157">
        <v>3</v>
      </c>
      <c r="F64" s="143"/>
      <c r="G64" s="159"/>
      <c r="H64" s="159" t="s">
        <v>109</v>
      </c>
      <c r="I64" s="159"/>
      <c r="J64" s="159" t="s">
        <v>1903</v>
      </c>
      <c r="K64" s="159" t="s">
        <v>1394</v>
      </c>
      <c r="L64" s="159" t="s">
        <v>1971</v>
      </c>
      <c r="M64" s="159">
        <v>250</v>
      </c>
      <c r="N64" s="159">
        <v>0.12</v>
      </c>
      <c r="O64" s="159"/>
      <c r="P64" s="165"/>
      <c r="Q64" s="166"/>
      <c r="R64" s="165">
        <v>800</v>
      </c>
      <c r="S64" s="166"/>
      <c r="T64" s="165">
        <v>125</v>
      </c>
      <c r="U64" s="166">
        <v>12</v>
      </c>
      <c r="V64" s="165">
        <v>1</v>
      </c>
      <c r="W64" s="193"/>
      <c r="X64" s="193"/>
      <c r="Y64" s="193"/>
      <c r="Z64" s="193"/>
      <c r="AA64" s="193"/>
      <c r="AB64" s="193"/>
      <c r="AC64" s="193"/>
      <c r="AD64" s="159"/>
      <c r="AE64" s="159"/>
      <c r="AF64" s="159"/>
      <c r="AG64" s="159"/>
      <c r="AH64" s="159"/>
      <c r="AI64" s="159"/>
      <c r="AJ64" s="159"/>
      <c r="AK64" s="159"/>
      <c r="AL64" s="159" t="s">
        <v>2179</v>
      </c>
      <c r="AM64" s="159"/>
      <c r="AN64" s="159"/>
    </row>
    <row r="65" spans="1:40">
      <c r="A65" s="159"/>
      <c r="B65" s="159"/>
      <c r="C65" s="159" t="s">
        <v>110</v>
      </c>
      <c r="D65" s="160" t="s">
        <v>866</v>
      </c>
      <c r="E65" s="157">
        <v>1</v>
      </c>
      <c r="F65" s="159" t="s">
        <v>111</v>
      </c>
      <c r="G65" s="159" t="s">
        <v>1837</v>
      </c>
      <c r="H65" s="159" t="s">
        <v>112</v>
      </c>
      <c r="I65" s="159"/>
      <c r="J65" s="159" t="s">
        <v>1973</v>
      </c>
      <c r="K65" s="159" t="s">
        <v>1395</v>
      </c>
      <c r="L65" s="159" t="s">
        <v>1972</v>
      </c>
      <c r="M65" s="159">
        <v>250</v>
      </c>
      <c r="N65" s="159">
        <v>7</v>
      </c>
      <c r="O65" s="159"/>
      <c r="P65" s="165">
        <v>3</v>
      </c>
      <c r="Q65" s="166"/>
      <c r="R65" s="165">
        <v>800</v>
      </c>
      <c r="S65" s="166">
        <v>250</v>
      </c>
      <c r="T65" s="165">
        <v>100</v>
      </c>
      <c r="U65" s="166"/>
      <c r="V65" s="165">
        <v>1</v>
      </c>
      <c r="W65" s="193" t="s">
        <v>2028</v>
      </c>
      <c r="X65" s="193" t="s">
        <v>2098</v>
      </c>
      <c r="Y65" s="193">
        <v>0</v>
      </c>
      <c r="Z65" s="193">
        <v>0</v>
      </c>
      <c r="AA65" s="193">
        <v>0</v>
      </c>
      <c r="AB65" s="193">
        <v>2</v>
      </c>
      <c r="AC65" s="193">
        <v>3</v>
      </c>
      <c r="AD65" s="159" t="s">
        <v>1311</v>
      </c>
      <c r="AE65" s="159" t="s">
        <v>1066</v>
      </c>
      <c r="AF65" s="159">
        <v>1</v>
      </c>
      <c r="AG65" s="159">
        <v>2</v>
      </c>
      <c r="AH65" s="159">
        <v>1</v>
      </c>
      <c r="AI65" s="159">
        <v>0</v>
      </c>
      <c r="AJ65" s="159" t="s">
        <v>2129</v>
      </c>
      <c r="AK65" s="159" t="s">
        <v>2171</v>
      </c>
      <c r="AL65" s="159"/>
      <c r="AM65" s="159">
        <v>1</v>
      </c>
      <c r="AN65" s="159"/>
    </row>
    <row r="66" spans="1:40">
      <c r="A66" s="159"/>
      <c r="B66" s="159"/>
      <c r="C66" s="159"/>
      <c r="D66" s="160"/>
      <c r="E66" s="157">
        <v>2</v>
      </c>
      <c r="F66" s="143"/>
      <c r="G66" s="159"/>
      <c r="H66" s="159" t="s">
        <v>113</v>
      </c>
      <c r="I66" s="159"/>
      <c r="J66" s="159" t="s">
        <v>1973</v>
      </c>
      <c r="K66" s="159" t="s">
        <v>1396</v>
      </c>
      <c r="L66" s="159" t="s">
        <v>1972</v>
      </c>
      <c r="M66" s="159">
        <v>375</v>
      </c>
      <c r="N66" s="159">
        <v>10</v>
      </c>
      <c r="O66" s="159"/>
      <c r="P66" s="165">
        <v>3</v>
      </c>
      <c r="Q66" s="166"/>
      <c r="R66" s="165">
        <v>800</v>
      </c>
      <c r="S66" s="166">
        <v>300</v>
      </c>
      <c r="T66" s="165">
        <v>100</v>
      </c>
      <c r="U66" s="166"/>
      <c r="V66" s="165">
        <v>1</v>
      </c>
      <c r="W66" s="193"/>
      <c r="X66" s="193"/>
      <c r="Y66" s="193"/>
      <c r="Z66" s="193"/>
      <c r="AA66" s="193"/>
      <c r="AB66" s="193"/>
      <c r="AC66" s="193"/>
      <c r="AD66" s="159"/>
      <c r="AE66" s="159"/>
      <c r="AF66" s="159"/>
      <c r="AG66" s="159"/>
      <c r="AH66" s="159"/>
      <c r="AI66" s="159"/>
      <c r="AJ66" s="159"/>
      <c r="AK66" s="159"/>
      <c r="AL66" s="159"/>
      <c r="AM66" s="159"/>
      <c r="AN66" s="159"/>
    </row>
    <row r="67" spans="1:40">
      <c r="A67" s="159"/>
      <c r="B67" s="159"/>
      <c r="C67" s="159"/>
      <c r="D67" s="160"/>
      <c r="E67" s="157">
        <v>3</v>
      </c>
      <c r="F67" s="143"/>
      <c r="G67" s="159"/>
      <c r="H67" s="159" t="s">
        <v>114</v>
      </c>
      <c r="I67" s="159"/>
      <c r="J67" s="159" t="s">
        <v>1973</v>
      </c>
      <c r="K67" s="159" t="s">
        <v>1397</v>
      </c>
      <c r="L67" s="159" t="s">
        <v>1972</v>
      </c>
      <c r="M67" s="159">
        <v>500</v>
      </c>
      <c r="N67" s="159">
        <v>13</v>
      </c>
      <c r="O67" s="159"/>
      <c r="P67" s="165">
        <v>3</v>
      </c>
      <c r="Q67" s="166"/>
      <c r="R67" s="165">
        <v>800</v>
      </c>
      <c r="S67" s="166">
        <v>350</v>
      </c>
      <c r="T67" s="165">
        <v>100</v>
      </c>
      <c r="U67" s="166"/>
      <c r="V67" s="165">
        <v>1</v>
      </c>
      <c r="W67" s="193"/>
      <c r="X67" s="193"/>
      <c r="Y67" s="193"/>
      <c r="Z67" s="193"/>
      <c r="AA67" s="193"/>
      <c r="AB67" s="193"/>
      <c r="AC67" s="193"/>
      <c r="AD67" s="159"/>
      <c r="AE67" s="159"/>
      <c r="AF67" s="159"/>
      <c r="AG67" s="159"/>
      <c r="AH67" s="159"/>
      <c r="AI67" s="159"/>
      <c r="AJ67" s="159"/>
      <c r="AK67" s="159"/>
      <c r="AL67" s="159"/>
      <c r="AM67" s="159"/>
      <c r="AN67" s="159"/>
    </row>
    <row r="68" spans="1:40">
      <c r="A68" s="159"/>
      <c r="B68" s="159"/>
      <c r="C68" s="159" t="s">
        <v>115</v>
      </c>
      <c r="D68" s="160" t="s">
        <v>753</v>
      </c>
      <c r="E68" s="157">
        <v>1</v>
      </c>
      <c r="F68" s="159" t="s">
        <v>116</v>
      </c>
      <c r="G68" s="159" t="s">
        <v>1838</v>
      </c>
      <c r="H68" s="159" t="s">
        <v>117</v>
      </c>
      <c r="I68" s="159"/>
      <c r="J68" s="159" t="s">
        <v>1904</v>
      </c>
      <c r="K68" s="159" t="s">
        <v>1398</v>
      </c>
      <c r="L68" s="159" t="s">
        <v>1974</v>
      </c>
      <c r="M68" s="159">
        <v>750</v>
      </c>
      <c r="N68" s="159"/>
      <c r="O68" s="159"/>
      <c r="P68" s="165"/>
      <c r="Q68" s="166"/>
      <c r="R68" s="165">
        <v>800</v>
      </c>
      <c r="S68" s="166"/>
      <c r="T68" s="165">
        <v>100</v>
      </c>
      <c r="U68" s="166">
        <v>20</v>
      </c>
      <c r="V68" s="165">
        <v>4</v>
      </c>
      <c r="W68" s="193" t="s">
        <v>2029</v>
      </c>
      <c r="X68" s="193" t="s">
        <v>2098</v>
      </c>
      <c r="Y68" s="193">
        <v>0</v>
      </c>
      <c r="Z68" s="193">
        <v>0</v>
      </c>
      <c r="AA68" s="193">
        <v>1.17</v>
      </c>
      <c r="AB68" s="193">
        <v>1</v>
      </c>
      <c r="AC68" s="193">
        <v>1</v>
      </c>
      <c r="AD68" s="159" t="s">
        <v>1319</v>
      </c>
      <c r="AE68" s="159" t="s">
        <v>2070</v>
      </c>
      <c r="AF68" s="159">
        <v>2</v>
      </c>
      <c r="AG68" s="159">
        <v>2</v>
      </c>
      <c r="AH68" s="159">
        <v>2</v>
      </c>
      <c r="AI68" s="159">
        <v>0</v>
      </c>
      <c r="AJ68" s="159" t="s">
        <v>2130</v>
      </c>
      <c r="AK68" s="159" t="s">
        <v>2171</v>
      </c>
      <c r="AL68" s="159" t="s">
        <v>2179</v>
      </c>
      <c r="AM68" s="159">
        <v>1</v>
      </c>
      <c r="AN68" s="159"/>
    </row>
    <row r="69" spans="1:40">
      <c r="A69" s="159"/>
      <c r="B69" s="159"/>
      <c r="C69" s="159"/>
      <c r="D69" s="160"/>
      <c r="E69" s="157">
        <v>2</v>
      </c>
      <c r="F69" s="143"/>
      <c r="G69" s="159"/>
      <c r="H69" s="159" t="s">
        <v>118</v>
      </c>
      <c r="I69" s="159"/>
      <c r="J69" s="159" t="s">
        <v>1904</v>
      </c>
      <c r="K69" s="159" t="s">
        <v>1399</v>
      </c>
      <c r="L69" s="159" t="s">
        <v>1974</v>
      </c>
      <c r="M69" s="159">
        <v>1500</v>
      </c>
      <c r="N69" s="159"/>
      <c r="O69" s="159"/>
      <c r="P69" s="165"/>
      <c r="Q69" s="166"/>
      <c r="R69" s="165">
        <v>800</v>
      </c>
      <c r="S69" s="166"/>
      <c r="T69" s="165">
        <v>125</v>
      </c>
      <c r="U69" s="166">
        <v>20</v>
      </c>
      <c r="V69" s="165">
        <v>4</v>
      </c>
      <c r="W69" s="193"/>
      <c r="X69" s="193"/>
      <c r="Y69" s="193"/>
      <c r="Z69" s="193"/>
      <c r="AA69" s="193"/>
      <c r="AB69" s="193"/>
      <c r="AC69" s="193"/>
      <c r="AD69" s="159"/>
      <c r="AE69" s="159"/>
      <c r="AF69" s="159"/>
      <c r="AG69" s="159"/>
      <c r="AH69" s="159"/>
      <c r="AI69" s="159"/>
      <c r="AJ69" s="159"/>
      <c r="AK69" s="159"/>
      <c r="AL69" s="159" t="s">
        <v>2179</v>
      </c>
      <c r="AM69" s="159"/>
      <c r="AN69" s="159"/>
    </row>
    <row r="70" spans="1:40">
      <c r="A70" s="159"/>
      <c r="B70" s="159"/>
      <c r="C70" s="159"/>
      <c r="D70" s="160"/>
      <c r="E70" s="157">
        <v>3</v>
      </c>
      <c r="F70" s="143"/>
      <c r="G70" s="159"/>
      <c r="H70" s="159" t="s">
        <v>119</v>
      </c>
      <c r="I70" s="159"/>
      <c r="J70" s="159" t="s">
        <v>1904</v>
      </c>
      <c r="K70" s="159" t="s">
        <v>1400</v>
      </c>
      <c r="L70" s="159" t="s">
        <v>1974</v>
      </c>
      <c r="M70" s="159">
        <v>2250</v>
      </c>
      <c r="N70" s="159"/>
      <c r="O70" s="159"/>
      <c r="P70" s="165"/>
      <c r="Q70" s="166"/>
      <c r="R70" s="165">
        <v>800</v>
      </c>
      <c r="S70" s="166"/>
      <c r="T70" s="165">
        <v>150</v>
      </c>
      <c r="U70" s="166">
        <v>20</v>
      </c>
      <c r="V70" s="165">
        <v>4</v>
      </c>
      <c r="W70" s="193"/>
      <c r="X70" s="193"/>
      <c r="Y70" s="193"/>
      <c r="Z70" s="193"/>
      <c r="AA70" s="193"/>
      <c r="AB70" s="193"/>
      <c r="AC70" s="193"/>
      <c r="AD70" s="159"/>
      <c r="AE70" s="159"/>
      <c r="AF70" s="159"/>
      <c r="AG70" s="159"/>
      <c r="AH70" s="159"/>
      <c r="AI70" s="159"/>
      <c r="AJ70" s="159"/>
      <c r="AK70" s="159"/>
      <c r="AL70" s="159" t="s">
        <v>2179</v>
      </c>
      <c r="AM70" s="159"/>
      <c r="AN70" s="159"/>
    </row>
    <row r="71" spans="1:40">
      <c r="A71" s="159"/>
      <c r="B71" s="159"/>
      <c r="C71" s="159" t="s">
        <v>120</v>
      </c>
      <c r="D71" s="160" t="s">
        <v>862</v>
      </c>
      <c r="E71" s="157">
        <v>1</v>
      </c>
      <c r="F71" s="159" t="s">
        <v>1401</v>
      </c>
      <c r="G71" s="159" t="s">
        <v>1839</v>
      </c>
      <c r="H71" s="159" t="s">
        <v>1402</v>
      </c>
      <c r="I71" s="159"/>
      <c r="J71" s="159" t="s">
        <v>1905</v>
      </c>
      <c r="K71" s="159" t="s">
        <v>1405</v>
      </c>
      <c r="L71" s="159" t="s">
        <v>1975</v>
      </c>
      <c r="M71" s="159">
        <v>1.5</v>
      </c>
      <c r="N71" s="159">
        <v>3</v>
      </c>
      <c r="O71" s="159"/>
      <c r="P71" s="165"/>
      <c r="Q71" s="166"/>
      <c r="R71" s="165">
        <v>800</v>
      </c>
      <c r="S71" s="166"/>
      <c r="T71" s="165">
        <v>75</v>
      </c>
      <c r="U71" s="166">
        <v>20</v>
      </c>
      <c r="V71" s="165">
        <v>9</v>
      </c>
      <c r="W71" s="193" t="s">
        <v>2030</v>
      </c>
      <c r="X71" s="193" t="s">
        <v>2098</v>
      </c>
      <c r="Y71" s="193">
        <v>0</v>
      </c>
      <c r="Z71" s="193">
        <v>0</v>
      </c>
      <c r="AA71" s="193">
        <v>1.17</v>
      </c>
      <c r="AB71" s="193">
        <v>1</v>
      </c>
      <c r="AC71" s="193">
        <v>1</v>
      </c>
      <c r="AD71" s="159" t="s">
        <v>1327</v>
      </c>
      <c r="AE71" s="159" t="s">
        <v>285</v>
      </c>
      <c r="AF71" s="159">
        <v>3</v>
      </c>
      <c r="AG71" s="159">
        <v>2</v>
      </c>
      <c r="AH71" s="159">
        <v>3</v>
      </c>
      <c r="AI71" s="159">
        <v>0</v>
      </c>
      <c r="AJ71" s="159" t="s">
        <v>2131</v>
      </c>
      <c r="AK71" s="159" t="s">
        <v>2171</v>
      </c>
      <c r="AL71" s="159" t="s">
        <v>2179</v>
      </c>
      <c r="AM71" s="159">
        <v>1</v>
      </c>
      <c r="AN71" s="159"/>
    </row>
    <row r="72" spans="1:40">
      <c r="A72" s="159"/>
      <c r="B72" s="159"/>
      <c r="C72" s="159"/>
      <c r="D72" s="160"/>
      <c r="E72" s="157">
        <v>2</v>
      </c>
      <c r="F72" s="143"/>
      <c r="G72" s="159"/>
      <c r="H72" s="159" t="s">
        <v>1403</v>
      </c>
      <c r="I72" s="159"/>
      <c r="J72" s="159" t="s">
        <v>1905</v>
      </c>
      <c r="K72" s="159" t="s">
        <v>1406</v>
      </c>
      <c r="L72" s="159" t="s">
        <v>1975</v>
      </c>
      <c r="M72" s="159">
        <v>2</v>
      </c>
      <c r="N72" s="159">
        <v>4</v>
      </c>
      <c r="O72" s="159"/>
      <c r="P72" s="165"/>
      <c r="Q72" s="166"/>
      <c r="R72" s="165">
        <v>800</v>
      </c>
      <c r="S72" s="166"/>
      <c r="T72" s="165">
        <v>85</v>
      </c>
      <c r="U72" s="166">
        <v>20</v>
      </c>
      <c r="V72" s="165">
        <v>7</v>
      </c>
      <c r="W72" s="193"/>
      <c r="X72" s="193"/>
      <c r="Y72" s="193"/>
      <c r="Z72" s="193"/>
      <c r="AA72" s="193"/>
      <c r="AB72" s="193"/>
      <c r="AC72" s="193"/>
      <c r="AD72" s="159"/>
      <c r="AE72" s="159"/>
      <c r="AF72" s="159"/>
      <c r="AG72" s="159"/>
      <c r="AH72" s="159"/>
      <c r="AI72" s="159"/>
      <c r="AJ72" s="159"/>
      <c r="AK72" s="159"/>
      <c r="AL72" s="159" t="s">
        <v>2179</v>
      </c>
      <c r="AM72" s="159"/>
      <c r="AN72" s="159"/>
    </row>
    <row r="73" spans="1:40">
      <c r="A73" s="159"/>
      <c r="B73" s="159"/>
      <c r="C73" s="159"/>
      <c r="D73" s="160"/>
      <c r="E73" s="157">
        <v>3</v>
      </c>
      <c r="F73" s="143"/>
      <c r="G73" s="159"/>
      <c r="H73" s="159" t="s">
        <v>1404</v>
      </c>
      <c r="I73" s="159"/>
      <c r="J73" s="159" t="s">
        <v>1906</v>
      </c>
      <c r="K73" s="159" t="s">
        <v>1407</v>
      </c>
      <c r="L73" s="159" t="s">
        <v>1976</v>
      </c>
      <c r="M73" s="159">
        <v>2.5</v>
      </c>
      <c r="N73" s="159">
        <v>5</v>
      </c>
      <c r="O73" s="159"/>
      <c r="P73" s="165"/>
      <c r="Q73" s="166"/>
      <c r="R73" s="165">
        <v>800</v>
      </c>
      <c r="S73" s="166"/>
      <c r="T73" s="165">
        <v>95</v>
      </c>
      <c r="U73" s="166">
        <v>20</v>
      </c>
      <c r="V73" s="165">
        <v>5</v>
      </c>
      <c r="W73" s="193"/>
      <c r="X73" s="193"/>
      <c r="Y73" s="193"/>
      <c r="Z73" s="193"/>
      <c r="AA73" s="193"/>
      <c r="AB73" s="193"/>
      <c r="AC73" s="193"/>
      <c r="AD73" s="159"/>
      <c r="AE73" s="159"/>
      <c r="AF73" s="159"/>
      <c r="AG73" s="159"/>
      <c r="AH73" s="159"/>
      <c r="AI73" s="159"/>
      <c r="AJ73" s="159"/>
      <c r="AK73" s="159"/>
      <c r="AL73" s="159" t="s">
        <v>2179</v>
      </c>
      <c r="AM73" s="159"/>
      <c r="AN73" s="159"/>
    </row>
    <row r="74" spans="1:40">
      <c r="A74" s="159"/>
      <c r="B74" s="159"/>
      <c r="C74" s="159" t="s">
        <v>122</v>
      </c>
      <c r="D74" s="160" t="s">
        <v>859</v>
      </c>
      <c r="E74" s="157">
        <v>1</v>
      </c>
      <c r="F74" s="159" t="s">
        <v>1408</v>
      </c>
      <c r="G74" s="159" t="s">
        <v>1840</v>
      </c>
      <c r="H74" s="159" t="s">
        <v>1409</v>
      </c>
      <c r="I74" s="159"/>
      <c r="J74" s="159" t="s">
        <v>1907</v>
      </c>
      <c r="K74" s="159" t="s">
        <v>1408</v>
      </c>
      <c r="L74" s="159" t="s">
        <v>1840</v>
      </c>
      <c r="M74" s="159">
        <v>0</v>
      </c>
      <c r="N74" s="159"/>
      <c r="O74" s="159"/>
      <c r="P74" s="165"/>
      <c r="Q74" s="166"/>
      <c r="R74" s="165">
        <v>800</v>
      </c>
      <c r="S74" s="166"/>
      <c r="T74" s="165">
        <v>45</v>
      </c>
      <c r="U74" s="166"/>
      <c r="V74" s="165">
        <v>3</v>
      </c>
      <c r="W74" s="193" t="s">
        <v>2031</v>
      </c>
      <c r="X74" s="193" t="s">
        <v>2098</v>
      </c>
      <c r="Y74" s="193">
        <v>0</v>
      </c>
      <c r="Z74" s="193">
        <v>0</v>
      </c>
      <c r="AA74" s="193">
        <v>1.17</v>
      </c>
      <c r="AB74" s="193">
        <v>1</v>
      </c>
      <c r="AC74" s="193">
        <v>5</v>
      </c>
      <c r="AD74" s="159" t="s">
        <v>2100</v>
      </c>
      <c r="AE74" s="159" t="s">
        <v>2076</v>
      </c>
      <c r="AF74" s="159">
        <v>1</v>
      </c>
      <c r="AG74" s="159">
        <v>1</v>
      </c>
      <c r="AH74" s="159">
        <v>0</v>
      </c>
      <c r="AI74" s="159">
        <v>1</v>
      </c>
      <c r="AJ74" s="159" t="s">
        <v>2132</v>
      </c>
      <c r="AK74" s="159" t="s">
        <v>2171</v>
      </c>
      <c r="AL74" s="143"/>
      <c r="AM74" s="159">
        <v>1</v>
      </c>
      <c r="AN74" s="159"/>
    </row>
    <row r="75" spans="1:40">
      <c r="A75" s="159"/>
      <c r="B75" s="159"/>
      <c r="C75" s="159"/>
      <c r="D75" s="160"/>
      <c r="E75" s="157">
        <v>2</v>
      </c>
      <c r="F75" s="143"/>
      <c r="G75" s="159"/>
      <c r="H75" s="159" t="s">
        <v>1410</v>
      </c>
      <c r="I75" s="159"/>
      <c r="J75" s="159" t="s">
        <v>1908</v>
      </c>
      <c r="K75" s="159" t="s">
        <v>1412</v>
      </c>
      <c r="L75" s="159" t="s">
        <v>1977</v>
      </c>
      <c r="M75" s="159">
        <v>0.15</v>
      </c>
      <c r="N75" s="159"/>
      <c r="O75" s="159"/>
      <c r="P75" s="165"/>
      <c r="Q75" s="166"/>
      <c r="R75" s="165">
        <v>800</v>
      </c>
      <c r="S75" s="166"/>
      <c r="T75" s="165">
        <v>60</v>
      </c>
      <c r="U75" s="166"/>
      <c r="V75" s="165">
        <v>3</v>
      </c>
      <c r="W75" s="193"/>
      <c r="X75" s="193"/>
      <c r="Y75" s="193"/>
      <c r="Z75" s="193"/>
      <c r="AA75" s="193"/>
      <c r="AB75" s="193"/>
      <c r="AC75" s="193"/>
      <c r="AD75" s="159"/>
      <c r="AE75" s="159"/>
      <c r="AF75" s="159"/>
      <c r="AG75" s="159"/>
      <c r="AH75" s="159"/>
      <c r="AI75" s="159"/>
      <c r="AJ75" s="159"/>
      <c r="AK75" s="159"/>
      <c r="AL75" s="143"/>
      <c r="AM75" s="143"/>
      <c r="AN75" s="143"/>
    </row>
    <row r="76" spans="1:40">
      <c r="A76" s="159"/>
      <c r="B76" s="159"/>
      <c r="C76" s="159"/>
      <c r="D76" s="160"/>
      <c r="E76" s="157">
        <v>3</v>
      </c>
      <c r="F76" s="143"/>
      <c r="G76" s="159"/>
      <c r="H76" s="159" t="s">
        <v>1411</v>
      </c>
      <c r="I76" s="159"/>
      <c r="J76" s="159" t="s">
        <v>1908</v>
      </c>
      <c r="K76" s="159" t="s">
        <v>1413</v>
      </c>
      <c r="L76" s="159" t="s">
        <v>1977</v>
      </c>
      <c r="M76" s="159">
        <v>0.3</v>
      </c>
      <c r="N76" s="159"/>
      <c r="O76" s="159"/>
      <c r="P76" s="165"/>
      <c r="Q76" s="166"/>
      <c r="R76" s="165">
        <v>800</v>
      </c>
      <c r="S76" s="166"/>
      <c r="T76" s="165">
        <v>75</v>
      </c>
      <c r="U76" s="166"/>
      <c r="V76" s="165">
        <v>3</v>
      </c>
      <c r="W76" s="193"/>
      <c r="X76" s="193"/>
      <c r="Y76" s="193"/>
      <c r="Z76" s="193"/>
      <c r="AA76" s="193"/>
      <c r="AB76" s="193"/>
      <c r="AC76" s="193"/>
      <c r="AD76" s="159"/>
      <c r="AE76" s="159"/>
      <c r="AF76" s="159"/>
      <c r="AG76" s="159"/>
      <c r="AH76" s="159"/>
      <c r="AI76" s="159"/>
      <c r="AJ76" s="159"/>
      <c r="AK76" s="159"/>
      <c r="AL76" s="143"/>
      <c r="AM76" s="143"/>
      <c r="AN76" s="143"/>
    </row>
    <row r="77" spans="1:40">
      <c r="A77" s="159" t="s">
        <v>126</v>
      </c>
      <c r="B77" s="159" t="s">
        <v>1802</v>
      </c>
      <c r="C77" s="159" t="s">
        <v>139</v>
      </c>
      <c r="D77" s="157" t="s">
        <v>1645</v>
      </c>
      <c r="E77" s="157">
        <v>1</v>
      </c>
      <c r="F77" s="159" t="s">
        <v>140</v>
      </c>
      <c r="G77" s="159" t="s">
        <v>1855</v>
      </c>
      <c r="H77" s="159" t="s">
        <v>1414</v>
      </c>
      <c r="I77" s="159"/>
      <c r="J77" s="159" t="s">
        <v>1909</v>
      </c>
      <c r="K77" s="159" t="s">
        <v>1417</v>
      </c>
      <c r="L77" s="159" t="s">
        <v>1978</v>
      </c>
      <c r="M77" s="159">
        <v>1.2</v>
      </c>
      <c r="N77" s="159">
        <v>0</v>
      </c>
      <c r="O77" s="159">
        <v>0</v>
      </c>
      <c r="P77" s="165"/>
      <c r="Q77" s="166"/>
      <c r="R77" s="165">
        <v>820</v>
      </c>
      <c r="S77" s="166"/>
      <c r="T77" s="165">
        <v>4</v>
      </c>
      <c r="U77" s="166"/>
      <c r="V77" s="165">
        <v>5</v>
      </c>
      <c r="W77" s="193" t="s">
        <v>2033</v>
      </c>
      <c r="X77" s="193" t="s">
        <v>2098</v>
      </c>
      <c r="Y77" s="193">
        <v>0</v>
      </c>
      <c r="Z77" s="193">
        <v>0</v>
      </c>
      <c r="AA77" s="193">
        <v>1.34</v>
      </c>
      <c r="AB77" s="193">
        <v>1</v>
      </c>
      <c r="AC77" s="193">
        <v>5</v>
      </c>
      <c r="AD77" s="159" t="s">
        <v>1049</v>
      </c>
      <c r="AE77" s="159" t="s">
        <v>2086</v>
      </c>
      <c r="AF77" s="159">
        <v>0</v>
      </c>
      <c r="AG77" s="159">
        <v>2</v>
      </c>
      <c r="AH77" s="159">
        <v>0</v>
      </c>
      <c r="AI77" s="159">
        <v>0</v>
      </c>
      <c r="AJ77" s="159" t="s">
        <v>2133</v>
      </c>
      <c r="AK77" s="159" t="s">
        <v>2170</v>
      </c>
      <c r="AL77" s="159" t="s">
        <v>2178</v>
      </c>
      <c r="AM77" s="159">
        <v>1</v>
      </c>
      <c r="AN77" s="159"/>
    </row>
    <row r="78" spans="1:40">
      <c r="A78" s="159"/>
      <c r="B78" s="159"/>
      <c r="C78" s="157"/>
      <c r="D78" s="157"/>
      <c r="E78" s="157">
        <v>2</v>
      </c>
      <c r="F78" s="143"/>
      <c r="G78" s="159"/>
      <c r="H78" s="159" t="s">
        <v>1415</v>
      </c>
      <c r="I78" s="159"/>
      <c r="J78" s="159" t="s">
        <v>1910</v>
      </c>
      <c r="K78" s="159" t="s">
        <v>1418</v>
      </c>
      <c r="L78" s="159" t="s">
        <v>1979</v>
      </c>
      <c r="M78" s="159">
        <v>1.6</v>
      </c>
      <c r="N78" s="159">
        <v>0.4</v>
      </c>
      <c r="O78" s="159">
        <v>0</v>
      </c>
      <c r="P78" s="165"/>
      <c r="Q78" s="166"/>
      <c r="R78" s="165">
        <v>820</v>
      </c>
      <c r="S78" s="166"/>
      <c r="T78" s="165">
        <v>5</v>
      </c>
      <c r="U78" s="166"/>
      <c r="V78" s="165">
        <v>5</v>
      </c>
      <c r="W78" s="193"/>
      <c r="X78" s="193"/>
      <c r="Y78" s="193"/>
      <c r="Z78" s="193"/>
      <c r="AA78" s="193"/>
      <c r="AB78" s="193"/>
      <c r="AC78" s="193"/>
      <c r="AD78" s="159"/>
      <c r="AE78" s="159"/>
      <c r="AF78" s="159"/>
      <c r="AG78" s="159"/>
      <c r="AH78" s="159"/>
      <c r="AI78" s="159"/>
      <c r="AJ78" s="159"/>
      <c r="AK78" s="159"/>
      <c r="AL78" s="159" t="s">
        <v>2178</v>
      </c>
      <c r="AM78" s="159"/>
      <c r="AN78" s="159"/>
    </row>
    <row r="79" spans="1:40">
      <c r="A79" s="159"/>
      <c r="B79" s="159"/>
      <c r="C79" s="157"/>
      <c r="D79" s="157"/>
      <c r="E79" s="157">
        <v>3</v>
      </c>
      <c r="F79" s="143"/>
      <c r="G79" s="159"/>
      <c r="H79" s="159" t="s">
        <v>1416</v>
      </c>
      <c r="I79" s="159"/>
      <c r="J79" s="159" t="s">
        <v>1911</v>
      </c>
      <c r="K79" s="159" t="s">
        <v>1419</v>
      </c>
      <c r="L79" s="159" t="s">
        <v>1980</v>
      </c>
      <c r="M79" s="159">
        <v>2</v>
      </c>
      <c r="N79" s="159">
        <v>0.8</v>
      </c>
      <c r="O79" s="159">
        <v>0.4</v>
      </c>
      <c r="P79" s="165"/>
      <c r="Q79" s="166"/>
      <c r="R79" s="165">
        <v>820</v>
      </c>
      <c r="S79" s="166"/>
      <c r="T79" s="165">
        <v>6</v>
      </c>
      <c r="U79" s="166"/>
      <c r="V79" s="165">
        <v>5</v>
      </c>
      <c r="W79" s="193"/>
      <c r="X79" s="193"/>
      <c r="Y79" s="193"/>
      <c r="Z79" s="193"/>
      <c r="AA79" s="193"/>
      <c r="AB79" s="193"/>
      <c r="AC79" s="193"/>
      <c r="AD79" s="159"/>
      <c r="AE79" s="159"/>
      <c r="AF79" s="159"/>
      <c r="AG79" s="159"/>
      <c r="AH79" s="159"/>
      <c r="AI79" s="159"/>
      <c r="AJ79" s="159"/>
      <c r="AK79" s="159"/>
      <c r="AL79" s="159" t="s">
        <v>2178</v>
      </c>
      <c r="AM79" s="159"/>
      <c r="AN79" s="159"/>
    </row>
    <row r="80" spans="1:40">
      <c r="A80" s="159"/>
      <c r="B80" s="159"/>
      <c r="C80" s="159" t="s">
        <v>141</v>
      </c>
      <c r="D80" s="160" t="s">
        <v>856</v>
      </c>
      <c r="E80" s="157">
        <v>1</v>
      </c>
      <c r="F80" s="159" t="s">
        <v>1420</v>
      </c>
      <c r="G80" s="159" t="s">
        <v>1841</v>
      </c>
      <c r="H80" s="159" t="s">
        <v>1421</v>
      </c>
      <c r="I80" s="159"/>
      <c r="J80" s="159" t="s">
        <v>1912</v>
      </c>
      <c r="K80" s="159" t="s">
        <v>1424</v>
      </c>
      <c r="L80" s="159" t="s">
        <v>1981</v>
      </c>
      <c r="M80" s="159">
        <v>2</v>
      </c>
      <c r="N80" s="159"/>
      <c r="O80" s="159"/>
      <c r="P80" s="165"/>
      <c r="Q80" s="166"/>
      <c r="R80" s="165"/>
      <c r="S80" s="166"/>
      <c r="T80" s="165"/>
      <c r="U80" s="166">
        <v>4</v>
      </c>
      <c r="V80" s="165">
        <v>13</v>
      </c>
      <c r="W80" s="193" t="s">
        <v>2032</v>
      </c>
      <c r="X80" s="193" t="s">
        <v>2098</v>
      </c>
      <c r="Y80" s="193">
        <v>0</v>
      </c>
      <c r="Z80" s="193">
        <v>0</v>
      </c>
      <c r="AA80" s="193">
        <v>1</v>
      </c>
      <c r="AB80" s="193">
        <v>0</v>
      </c>
      <c r="AC80" s="193">
        <v>5</v>
      </c>
      <c r="AD80" s="159" t="s">
        <v>1311</v>
      </c>
      <c r="AE80" s="159" t="s">
        <v>283</v>
      </c>
      <c r="AF80" s="159">
        <v>1</v>
      </c>
      <c r="AG80" s="159">
        <v>2</v>
      </c>
      <c r="AH80" s="159">
        <v>1</v>
      </c>
      <c r="AI80" s="159">
        <v>0</v>
      </c>
      <c r="AJ80" s="159" t="s">
        <v>2134</v>
      </c>
      <c r="AK80" s="159" t="s">
        <v>2171</v>
      </c>
      <c r="AL80" s="159"/>
      <c r="AM80" s="159">
        <v>1</v>
      </c>
      <c r="AN80" s="159"/>
    </row>
    <row r="81" spans="1:40">
      <c r="A81" s="159"/>
      <c r="B81" s="159"/>
      <c r="C81" s="159"/>
      <c r="D81" s="160"/>
      <c r="E81" s="157">
        <v>2</v>
      </c>
      <c r="F81" s="143"/>
      <c r="G81" s="159"/>
      <c r="H81" s="159" t="s">
        <v>1422</v>
      </c>
      <c r="I81" s="159"/>
      <c r="J81" s="159" t="s">
        <v>1912</v>
      </c>
      <c r="K81" s="159" t="s">
        <v>1425</v>
      </c>
      <c r="L81" s="159" t="s">
        <v>1981</v>
      </c>
      <c r="M81" s="159">
        <v>3</v>
      </c>
      <c r="N81" s="159"/>
      <c r="O81" s="159"/>
      <c r="P81" s="165"/>
      <c r="Q81" s="166"/>
      <c r="R81" s="165"/>
      <c r="S81" s="166"/>
      <c r="T81" s="165"/>
      <c r="U81" s="166">
        <v>8</v>
      </c>
      <c r="V81" s="165">
        <v>13</v>
      </c>
      <c r="W81" s="193"/>
      <c r="X81" s="193"/>
      <c r="Y81" s="193"/>
      <c r="Z81" s="193"/>
      <c r="AA81" s="193"/>
      <c r="AB81" s="193"/>
      <c r="AC81" s="193"/>
      <c r="AD81" s="159"/>
      <c r="AE81" s="159"/>
      <c r="AF81" s="159"/>
      <c r="AG81" s="159"/>
      <c r="AH81" s="159"/>
      <c r="AI81" s="159"/>
      <c r="AJ81" s="159"/>
      <c r="AK81" s="159"/>
      <c r="AL81" s="159"/>
      <c r="AM81" s="159"/>
      <c r="AN81" s="159"/>
    </row>
    <row r="82" spans="1:40">
      <c r="A82" s="159"/>
      <c r="B82" s="159"/>
      <c r="C82" s="159"/>
      <c r="D82" s="160"/>
      <c r="E82" s="157">
        <v>3</v>
      </c>
      <c r="F82" s="143"/>
      <c r="G82" s="159"/>
      <c r="H82" s="159" t="s">
        <v>1423</v>
      </c>
      <c r="I82" s="159"/>
      <c r="J82" s="159" t="s">
        <v>1912</v>
      </c>
      <c r="K82" s="159" t="s">
        <v>1426</v>
      </c>
      <c r="L82" s="159" t="s">
        <v>1981</v>
      </c>
      <c r="M82" s="159">
        <v>4</v>
      </c>
      <c r="N82" s="159"/>
      <c r="O82" s="159"/>
      <c r="P82" s="165"/>
      <c r="Q82" s="166"/>
      <c r="R82" s="165"/>
      <c r="S82" s="166"/>
      <c r="T82" s="165"/>
      <c r="U82" s="166">
        <v>12</v>
      </c>
      <c r="V82" s="165">
        <v>13</v>
      </c>
      <c r="W82" s="193"/>
      <c r="X82" s="193"/>
      <c r="Y82" s="193"/>
      <c r="Z82" s="193"/>
      <c r="AA82" s="193"/>
      <c r="AB82" s="193"/>
      <c r="AC82" s="193"/>
      <c r="AD82" s="159"/>
      <c r="AE82" s="159"/>
      <c r="AF82" s="159"/>
      <c r="AG82" s="159"/>
      <c r="AH82" s="159"/>
      <c r="AI82" s="159"/>
      <c r="AJ82" s="159"/>
      <c r="AK82" s="159"/>
      <c r="AL82" s="159"/>
      <c r="AM82" s="159"/>
      <c r="AN82" s="159"/>
    </row>
    <row r="83" spans="1:40">
      <c r="A83" s="159"/>
      <c r="B83" s="159"/>
      <c r="C83" s="159" t="s">
        <v>142</v>
      </c>
      <c r="D83" s="160" t="s">
        <v>751</v>
      </c>
      <c r="E83" s="157">
        <v>1</v>
      </c>
      <c r="F83" s="159" t="s">
        <v>1427</v>
      </c>
      <c r="G83" s="159" t="s">
        <v>1842</v>
      </c>
      <c r="H83" s="159" t="s">
        <v>1428</v>
      </c>
      <c r="I83" s="159"/>
      <c r="J83" s="159" t="s">
        <v>1913</v>
      </c>
      <c r="K83" s="159" t="s">
        <v>1431</v>
      </c>
      <c r="L83" s="159" t="s">
        <v>1982</v>
      </c>
      <c r="M83" s="159">
        <v>0.9</v>
      </c>
      <c r="N83" s="159">
        <v>0.4</v>
      </c>
      <c r="O83" s="159"/>
      <c r="P83" s="165"/>
      <c r="Q83" s="166"/>
      <c r="R83" s="165">
        <v>800</v>
      </c>
      <c r="S83" s="166">
        <v>300</v>
      </c>
      <c r="T83" s="165"/>
      <c r="U83" s="166">
        <v>30</v>
      </c>
      <c r="V83" s="165">
        <v>16</v>
      </c>
      <c r="W83" s="193" t="s">
        <v>2034</v>
      </c>
      <c r="X83" s="193" t="s">
        <v>2098</v>
      </c>
      <c r="Y83" s="193">
        <v>0</v>
      </c>
      <c r="Z83" s="193">
        <v>0</v>
      </c>
      <c r="AA83" s="193">
        <v>1</v>
      </c>
      <c r="AB83" s="193">
        <v>2</v>
      </c>
      <c r="AC83" s="193">
        <v>7</v>
      </c>
      <c r="AD83" s="159" t="s">
        <v>1319</v>
      </c>
      <c r="AE83" s="159" t="s">
        <v>1066</v>
      </c>
      <c r="AF83" s="159">
        <v>2</v>
      </c>
      <c r="AG83" s="159">
        <v>2</v>
      </c>
      <c r="AH83" s="159">
        <v>2</v>
      </c>
      <c r="AI83" s="159">
        <v>0</v>
      </c>
      <c r="AJ83" s="159" t="s">
        <v>2135</v>
      </c>
      <c r="AK83" s="159" t="s">
        <v>2171</v>
      </c>
      <c r="AL83" s="159"/>
      <c r="AM83" s="159">
        <v>1</v>
      </c>
      <c r="AN83" s="159"/>
    </row>
    <row r="84" spans="1:40">
      <c r="A84" s="159"/>
      <c r="B84" s="159"/>
      <c r="C84" s="159"/>
      <c r="D84" s="160"/>
      <c r="E84" s="157">
        <v>2</v>
      </c>
      <c r="F84" s="143"/>
      <c r="G84" s="159"/>
      <c r="H84" s="159" t="s">
        <v>1429</v>
      </c>
      <c r="I84" s="159"/>
      <c r="J84" s="159" t="s">
        <v>1913</v>
      </c>
      <c r="K84" s="159" t="s">
        <v>1432</v>
      </c>
      <c r="L84" s="159" t="s">
        <v>1982</v>
      </c>
      <c r="M84" s="159">
        <v>0.6</v>
      </c>
      <c r="N84" s="159">
        <v>0.55000000000000004</v>
      </c>
      <c r="O84" s="159"/>
      <c r="P84" s="165"/>
      <c r="Q84" s="166"/>
      <c r="R84" s="165">
        <v>800</v>
      </c>
      <c r="S84" s="166">
        <v>450</v>
      </c>
      <c r="T84" s="165"/>
      <c r="U84" s="166">
        <v>30</v>
      </c>
      <c r="V84" s="165">
        <v>13</v>
      </c>
      <c r="W84" s="193"/>
      <c r="X84" s="193"/>
      <c r="Y84" s="193"/>
      <c r="Z84" s="193"/>
      <c r="AA84" s="193"/>
      <c r="AB84" s="193"/>
      <c r="AC84" s="193"/>
      <c r="AD84" s="159"/>
      <c r="AE84" s="159"/>
      <c r="AF84" s="159"/>
      <c r="AG84" s="159"/>
      <c r="AH84" s="159"/>
      <c r="AI84" s="159"/>
      <c r="AJ84" s="159"/>
      <c r="AK84" s="159"/>
      <c r="AL84" s="159"/>
      <c r="AM84" s="159"/>
      <c r="AN84" s="159"/>
    </row>
    <row r="85" spans="1:40">
      <c r="A85" s="159"/>
      <c r="B85" s="159"/>
      <c r="C85" s="159"/>
      <c r="D85" s="160"/>
      <c r="E85" s="157">
        <v>3</v>
      </c>
      <c r="F85" s="143"/>
      <c r="G85" s="159"/>
      <c r="H85" s="159" t="s">
        <v>1430</v>
      </c>
      <c r="I85" s="159"/>
      <c r="J85" s="159" t="s">
        <v>1913</v>
      </c>
      <c r="K85" s="159" t="s">
        <v>1433</v>
      </c>
      <c r="L85" s="159" t="s">
        <v>1982</v>
      </c>
      <c r="M85" s="159">
        <v>0.3</v>
      </c>
      <c r="N85" s="159">
        <v>0.7</v>
      </c>
      <c r="O85" s="159"/>
      <c r="P85" s="165"/>
      <c r="Q85" s="166"/>
      <c r="R85" s="165">
        <v>800</v>
      </c>
      <c r="S85" s="166">
        <v>600</v>
      </c>
      <c r="T85" s="165"/>
      <c r="U85" s="166">
        <v>30</v>
      </c>
      <c r="V85" s="165">
        <v>10</v>
      </c>
      <c r="W85" s="193"/>
      <c r="X85" s="193"/>
      <c r="Y85" s="193"/>
      <c r="Z85" s="193"/>
      <c r="AA85" s="193"/>
      <c r="AB85" s="193"/>
      <c r="AC85" s="193"/>
      <c r="AD85" s="159"/>
      <c r="AE85" s="159"/>
      <c r="AF85" s="159"/>
      <c r="AG85" s="159"/>
      <c r="AH85" s="159"/>
      <c r="AI85" s="159"/>
      <c r="AJ85" s="159"/>
      <c r="AK85" s="159"/>
      <c r="AL85" s="159"/>
      <c r="AM85" s="159"/>
      <c r="AN85" s="159"/>
    </row>
    <row r="86" spans="1:40">
      <c r="A86" s="159"/>
      <c r="B86" s="159"/>
      <c r="C86" s="159" t="s">
        <v>1622</v>
      </c>
      <c r="D86" s="160" t="s">
        <v>1646</v>
      </c>
      <c r="E86" s="157">
        <v>1</v>
      </c>
      <c r="F86" s="159" t="s">
        <v>1623</v>
      </c>
      <c r="G86" s="159" t="s">
        <v>1915</v>
      </c>
      <c r="H86" s="159" t="s">
        <v>1624</v>
      </c>
      <c r="I86" s="159"/>
      <c r="J86" s="159" t="s">
        <v>1914</v>
      </c>
      <c r="K86" s="159" t="s">
        <v>1627</v>
      </c>
      <c r="L86" s="159" t="s">
        <v>1983</v>
      </c>
      <c r="M86" s="159">
        <v>3</v>
      </c>
      <c r="N86" s="159">
        <v>0.05</v>
      </c>
      <c r="O86" s="159">
        <v>20</v>
      </c>
      <c r="P86" s="165"/>
      <c r="Q86" s="166"/>
      <c r="R86" s="165"/>
      <c r="S86" s="166"/>
      <c r="T86" s="165"/>
      <c r="U86" s="166"/>
      <c r="V86" s="165">
        <v>1</v>
      </c>
      <c r="W86" s="193" t="s">
        <v>2035</v>
      </c>
      <c r="X86" s="193" t="s">
        <v>2098</v>
      </c>
      <c r="Y86" s="193">
        <v>0</v>
      </c>
      <c r="Z86" s="193">
        <v>0</v>
      </c>
      <c r="AA86" s="193">
        <v>1</v>
      </c>
      <c r="AB86" s="193">
        <v>0</v>
      </c>
      <c r="AC86" s="193">
        <v>5</v>
      </c>
      <c r="AD86" s="159" t="s">
        <v>1327</v>
      </c>
      <c r="AE86" s="159" t="s">
        <v>1601</v>
      </c>
      <c r="AF86" s="159">
        <v>3</v>
      </c>
      <c r="AG86" s="159">
        <v>2</v>
      </c>
      <c r="AH86" s="159">
        <v>3</v>
      </c>
      <c r="AI86" s="159">
        <v>0</v>
      </c>
      <c r="AJ86" s="159" t="s">
        <v>2136</v>
      </c>
      <c r="AK86" s="159" t="s">
        <v>2171</v>
      </c>
      <c r="AL86" s="159"/>
      <c r="AM86" s="159">
        <v>1</v>
      </c>
      <c r="AN86" s="159"/>
    </row>
    <row r="87" spans="1:40">
      <c r="A87" s="159"/>
      <c r="B87" s="159"/>
      <c r="C87" s="159"/>
      <c r="D87" s="160"/>
      <c r="E87" s="157">
        <v>2</v>
      </c>
      <c r="F87" s="143"/>
      <c r="G87" s="159"/>
      <c r="H87" s="159" t="s">
        <v>1625</v>
      </c>
      <c r="I87" s="159"/>
      <c r="J87" s="159" t="s">
        <v>1914</v>
      </c>
      <c r="K87" s="159" t="s">
        <v>1628</v>
      </c>
      <c r="L87" s="159" t="s">
        <v>1983</v>
      </c>
      <c r="M87" s="159">
        <v>5</v>
      </c>
      <c r="N87" s="159">
        <v>0.1</v>
      </c>
      <c r="O87" s="159">
        <v>100</v>
      </c>
      <c r="P87" s="165"/>
      <c r="Q87" s="166"/>
      <c r="R87" s="165"/>
      <c r="S87" s="166"/>
      <c r="T87" s="165"/>
      <c r="U87" s="166"/>
      <c r="V87" s="165">
        <v>1</v>
      </c>
      <c r="W87" s="193"/>
      <c r="X87" s="193"/>
      <c r="Y87" s="193"/>
      <c r="Z87" s="193"/>
      <c r="AA87" s="193"/>
      <c r="AB87" s="193"/>
      <c r="AC87" s="193"/>
      <c r="AD87" s="159"/>
      <c r="AE87" s="159"/>
      <c r="AF87" s="159"/>
      <c r="AG87" s="159"/>
      <c r="AH87" s="159"/>
      <c r="AI87" s="159"/>
      <c r="AJ87" s="159"/>
      <c r="AK87" s="159"/>
      <c r="AL87" s="159"/>
      <c r="AM87" s="159"/>
      <c r="AN87" s="159"/>
    </row>
    <row r="88" spans="1:40">
      <c r="A88" s="159"/>
      <c r="B88" s="159"/>
      <c r="C88" s="159"/>
      <c r="D88" s="160"/>
      <c r="E88" s="157">
        <v>3</v>
      </c>
      <c r="F88" s="143"/>
      <c r="G88" s="159"/>
      <c r="H88" s="159" t="s">
        <v>1626</v>
      </c>
      <c r="I88" s="159"/>
      <c r="J88" s="159" t="s">
        <v>1914</v>
      </c>
      <c r="K88" s="159" t="s">
        <v>1629</v>
      </c>
      <c r="L88" s="159" t="s">
        <v>1983</v>
      </c>
      <c r="M88" s="159">
        <v>8</v>
      </c>
      <c r="N88" s="159">
        <v>0.15</v>
      </c>
      <c r="O88" s="159">
        <v>200</v>
      </c>
      <c r="P88" s="165"/>
      <c r="Q88" s="166"/>
      <c r="R88" s="165"/>
      <c r="S88" s="166"/>
      <c r="T88" s="165"/>
      <c r="U88" s="166"/>
      <c r="V88" s="165">
        <v>1</v>
      </c>
      <c r="W88" s="193"/>
      <c r="X88" s="193"/>
      <c r="Y88" s="193"/>
      <c r="Z88" s="193"/>
      <c r="AA88" s="193"/>
      <c r="AB88" s="193"/>
      <c r="AC88" s="193"/>
      <c r="AD88" s="159"/>
      <c r="AE88" s="159"/>
      <c r="AF88" s="159"/>
      <c r="AG88" s="159"/>
      <c r="AH88" s="159"/>
      <c r="AI88" s="159"/>
      <c r="AJ88" s="159"/>
      <c r="AK88" s="159"/>
      <c r="AL88" s="159"/>
      <c r="AM88" s="159"/>
      <c r="AN88" s="159"/>
    </row>
    <row r="89" spans="1:40">
      <c r="A89" s="159"/>
      <c r="B89" s="159"/>
      <c r="C89" s="159" t="s">
        <v>146</v>
      </c>
      <c r="D89" s="160" t="s">
        <v>853</v>
      </c>
      <c r="E89" s="157">
        <v>1</v>
      </c>
      <c r="F89" s="159" t="s">
        <v>1434</v>
      </c>
      <c r="G89" s="159" t="s">
        <v>1843</v>
      </c>
      <c r="H89" s="159" t="s">
        <v>1435</v>
      </c>
      <c r="I89" s="159"/>
      <c r="J89" s="159" t="s">
        <v>1916</v>
      </c>
      <c r="K89" s="159" t="s">
        <v>1438</v>
      </c>
      <c r="L89" s="159" t="s">
        <v>1984</v>
      </c>
      <c r="M89" s="159">
        <v>0.5</v>
      </c>
      <c r="N89" s="159"/>
      <c r="O89" s="159"/>
      <c r="P89" s="165"/>
      <c r="Q89" s="166"/>
      <c r="R89" s="165"/>
      <c r="S89" s="166"/>
      <c r="T89" s="165"/>
      <c r="U89" s="166"/>
      <c r="V89" s="165">
        <v>5</v>
      </c>
      <c r="W89" s="193" t="s">
        <v>2036</v>
      </c>
      <c r="X89" s="193" t="s">
        <v>2098</v>
      </c>
      <c r="Y89" s="193">
        <v>0</v>
      </c>
      <c r="Z89" s="193">
        <v>0</v>
      </c>
      <c r="AA89" s="193">
        <v>1</v>
      </c>
      <c r="AB89" s="193">
        <v>0</v>
      </c>
      <c r="AC89" s="193">
        <v>5</v>
      </c>
      <c r="AD89" s="159" t="s">
        <v>2100</v>
      </c>
      <c r="AE89" s="159" t="s">
        <v>2087</v>
      </c>
      <c r="AF89" s="159">
        <v>1</v>
      </c>
      <c r="AG89" s="159">
        <v>1</v>
      </c>
      <c r="AH89" s="159">
        <v>0</v>
      </c>
      <c r="AI89" s="159">
        <v>1</v>
      </c>
      <c r="AJ89" s="159" t="s">
        <v>2137</v>
      </c>
      <c r="AK89" s="159" t="s">
        <v>2171</v>
      </c>
      <c r="AL89" s="159"/>
      <c r="AM89" s="159">
        <v>1</v>
      </c>
      <c r="AN89" s="159"/>
    </row>
    <row r="90" spans="1:40">
      <c r="A90" s="159"/>
      <c r="B90" s="159"/>
      <c r="C90" s="159"/>
      <c r="D90" s="160"/>
      <c r="E90" s="157">
        <v>2</v>
      </c>
      <c r="F90" s="143"/>
      <c r="G90" s="159"/>
      <c r="H90" s="159" t="s">
        <v>1436</v>
      </c>
      <c r="I90" s="159"/>
      <c r="J90" s="159" t="s">
        <v>1916</v>
      </c>
      <c r="K90" s="159" t="s">
        <v>1439</v>
      </c>
      <c r="L90" s="159" t="s">
        <v>1984</v>
      </c>
      <c r="M90" s="159">
        <v>1</v>
      </c>
      <c r="N90" s="159"/>
      <c r="O90" s="159"/>
      <c r="P90" s="165"/>
      <c r="Q90" s="166"/>
      <c r="R90" s="165"/>
      <c r="S90" s="166"/>
      <c r="T90" s="165"/>
      <c r="U90" s="166"/>
      <c r="V90" s="165">
        <v>5</v>
      </c>
      <c r="W90" s="193"/>
      <c r="X90" s="193"/>
      <c r="Y90" s="193"/>
      <c r="Z90" s="193"/>
      <c r="AA90" s="193"/>
      <c r="AB90" s="193"/>
      <c r="AC90" s="193"/>
      <c r="AD90" s="159"/>
      <c r="AE90" s="159"/>
      <c r="AF90" s="159"/>
      <c r="AG90" s="159"/>
      <c r="AH90" s="159"/>
      <c r="AI90" s="159"/>
      <c r="AJ90" s="159"/>
      <c r="AK90" s="159"/>
      <c r="AL90" s="159"/>
      <c r="AM90" s="159"/>
      <c r="AN90" s="159"/>
    </row>
    <row r="91" spans="1:40">
      <c r="A91" s="159"/>
      <c r="B91" s="159"/>
      <c r="C91" s="159"/>
      <c r="D91" s="160"/>
      <c r="E91" s="157">
        <v>3</v>
      </c>
      <c r="F91" s="143"/>
      <c r="G91" s="159"/>
      <c r="H91" s="159" t="s">
        <v>1437</v>
      </c>
      <c r="I91" s="159"/>
      <c r="J91" s="159" t="s">
        <v>1916</v>
      </c>
      <c r="K91" s="159" t="s">
        <v>1440</v>
      </c>
      <c r="L91" s="159" t="s">
        <v>1984</v>
      </c>
      <c r="M91" s="159">
        <v>1.5</v>
      </c>
      <c r="N91" s="159"/>
      <c r="O91" s="159"/>
      <c r="P91" s="165"/>
      <c r="Q91" s="166"/>
      <c r="R91" s="165"/>
      <c r="S91" s="166"/>
      <c r="T91" s="165"/>
      <c r="U91" s="166"/>
      <c r="V91" s="165">
        <v>5</v>
      </c>
      <c r="W91" s="193"/>
      <c r="X91" s="193"/>
      <c r="Y91" s="193"/>
      <c r="Z91" s="193"/>
      <c r="AA91" s="193"/>
      <c r="AB91" s="193"/>
      <c r="AC91" s="193"/>
      <c r="AD91" s="159"/>
      <c r="AE91" s="159"/>
      <c r="AF91" s="159"/>
      <c r="AG91" s="159"/>
      <c r="AH91" s="159"/>
      <c r="AI91" s="159"/>
      <c r="AJ91" s="159"/>
      <c r="AK91" s="159"/>
      <c r="AL91" s="159"/>
      <c r="AM91" s="159"/>
      <c r="AN91" s="159"/>
    </row>
    <row r="92" spans="1:40">
      <c r="A92" s="159"/>
      <c r="B92" s="159"/>
      <c r="C92" s="159" t="s">
        <v>147</v>
      </c>
      <c r="D92" s="160" t="s">
        <v>852</v>
      </c>
      <c r="E92" s="159">
        <v>1</v>
      </c>
      <c r="F92" s="159" t="s">
        <v>1441</v>
      </c>
      <c r="G92" s="159" t="s">
        <v>1844</v>
      </c>
      <c r="H92" s="159"/>
      <c r="I92" s="159"/>
      <c r="J92" s="159"/>
      <c r="K92" s="159"/>
      <c r="L92" s="159"/>
      <c r="M92" s="159"/>
      <c r="N92" s="159"/>
      <c r="O92" s="159"/>
      <c r="P92" s="165"/>
      <c r="Q92" s="166"/>
      <c r="R92" s="165"/>
      <c r="S92" s="166"/>
      <c r="T92" s="165">
        <v>50</v>
      </c>
      <c r="U92" s="166"/>
      <c r="V92" s="165">
        <v>60</v>
      </c>
      <c r="W92" s="193" t="s">
        <v>2037</v>
      </c>
      <c r="X92" s="193" t="s">
        <v>2098</v>
      </c>
      <c r="Y92" s="193">
        <v>0</v>
      </c>
      <c r="Z92" s="193">
        <v>0</v>
      </c>
      <c r="AA92" s="193">
        <v>1</v>
      </c>
      <c r="AB92" s="193">
        <v>0</v>
      </c>
      <c r="AC92" s="193">
        <v>5</v>
      </c>
      <c r="AD92" s="159" t="s">
        <v>2101</v>
      </c>
      <c r="AE92" s="159" t="s">
        <v>2088</v>
      </c>
      <c r="AF92" s="159">
        <v>2</v>
      </c>
      <c r="AG92" s="159">
        <v>1</v>
      </c>
      <c r="AH92" s="159">
        <v>0</v>
      </c>
      <c r="AI92" s="159">
        <v>1</v>
      </c>
      <c r="AJ92" s="159" t="s">
        <v>2161</v>
      </c>
      <c r="AK92" s="159" t="s">
        <v>2171</v>
      </c>
      <c r="AL92" s="159"/>
      <c r="AM92" s="159">
        <v>0</v>
      </c>
      <c r="AN92" s="159"/>
    </row>
    <row r="93" spans="1:40">
      <c r="A93" s="159"/>
      <c r="B93" s="159"/>
      <c r="C93" s="159"/>
      <c r="D93" s="160"/>
      <c r="E93" s="159">
        <v>2</v>
      </c>
      <c r="F93" s="159"/>
      <c r="G93" s="159"/>
      <c r="H93" s="159"/>
      <c r="I93" s="159"/>
      <c r="J93" s="159"/>
      <c r="K93" s="159"/>
      <c r="L93" s="159"/>
      <c r="M93" s="159"/>
      <c r="N93" s="159"/>
      <c r="O93" s="159"/>
      <c r="P93" s="165"/>
      <c r="Q93" s="166"/>
      <c r="R93" s="165"/>
      <c r="S93" s="166"/>
      <c r="T93" s="165">
        <v>50</v>
      </c>
      <c r="U93" s="166"/>
      <c r="V93" s="165">
        <v>45</v>
      </c>
      <c r="W93" s="193"/>
      <c r="X93" s="193"/>
      <c r="Y93" s="193"/>
      <c r="Z93" s="193"/>
      <c r="AA93" s="193"/>
      <c r="AB93" s="193"/>
      <c r="AC93" s="193"/>
      <c r="AD93" s="159"/>
      <c r="AE93" s="159"/>
      <c r="AF93" s="159"/>
      <c r="AG93" s="159"/>
      <c r="AH93" s="159"/>
      <c r="AI93" s="159"/>
      <c r="AJ93" s="159"/>
      <c r="AK93" s="159"/>
      <c r="AL93" s="159"/>
      <c r="AM93" s="159"/>
      <c r="AN93" s="159"/>
    </row>
    <row r="94" spans="1:40">
      <c r="A94" s="159"/>
      <c r="B94" s="159"/>
      <c r="C94" s="159"/>
      <c r="D94" s="160"/>
      <c r="E94" s="159">
        <v>3</v>
      </c>
      <c r="F94" s="159"/>
      <c r="G94" s="159"/>
      <c r="H94" s="159"/>
      <c r="I94" s="159"/>
      <c r="J94" s="159"/>
      <c r="K94" s="159"/>
      <c r="L94" s="159"/>
      <c r="M94" s="159"/>
      <c r="N94" s="159"/>
      <c r="O94" s="159"/>
      <c r="P94" s="165"/>
      <c r="Q94" s="166"/>
      <c r="R94" s="165"/>
      <c r="S94" s="166"/>
      <c r="T94" s="165">
        <v>50</v>
      </c>
      <c r="U94" s="166"/>
      <c r="V94" s="165">
        <v>30</v>
      </c>
      <c r="W94" s="193"/>
      <c r="X94" s="193"/>
      <c r="Y94" s="193"/>
      <c r="Z94" s="193"/>
      <c r="AA94" s="193"/>
      <c r="AB94" s="193"/>
      <c r="AC94" s="193"/>
      <c r="AD94" s="159"/>
      <c r="AE94" s="159"/>
      <c r="AF94" s="159"/>
      <c r="AG94" s="159"/>
      <c r="AH94" s="159"/>
      <c r="AI94" s="159"/>
      <c r="AJ94" s="159"/>
      <c r="AK94" s="159"/>
      <c r="AL94" s="159"/>
      <c r="AM94" s="159"/>
      <c r="AN94" s="159"/>
    </row>
    <row r="95" spans="1:40">
      <c r="A95" s="162"/>
      <c r="B95" s="162"/>
      <c r="C95" s="159" t="s">
        <v>154</v>
      </c>
      <c r="D95" s="160" t="s">
        <v>1809</v>
      </c>
      <c r="E95" s="159">
        <v>1</v>
      </c>
      <c r="F95" s="159" t="s">
        <v>168</v>
      </c>
      <c r="G95" s="159" t="s">
        <v>1845</v>
      </c>
      <c r="H95" s="159"/>
      <c r="I95" s="159"/>
      <c r="J95" s="159"/>
      <c r="K95" s="159"/>
      <c r="L95" s="159"/>
      <c r="M95" s="159"/>
      <c r="N95" s="159"/>
      <c r="O95" s="159"/>
      <c r="P95" s="165"/>
      <c r="Q95" s="166"/>
      <c r="R95" s="165"/>
      <c r="S95" s="166"/>
      <c r="T95" s="165"/>
      <c r="U95" s="166"/>
      <c r="V95" s="165"/>
      <c r="W95" s="193" t="s">
        <v>2039</v>
      </c>
      <c r="X95" s="193" t="s">
        <v>2040</v>
      </c>
      <c r="Y95" s="193"/>
      <c r="Z95" s="193"/>
      <c r="AA95" s="193"/>
      <c r="AB95" s="193"/>
      <c r="AC95" s="193"/>
      <c r="AD95" s="159"/>
      <c r="AE95" s="159"/>
      <c r="AF95" s="159"/>
      <c r="AG95" s="159"/>
      <c r="AH95" s="159"/>
      <c r="AI95" s="159"/>
      <c r="AJ95" s="159"/>
      <c r="AK95" s="159"/>
      <c r="AL95" s="159"/>
      <c r="AM95" s="159">
        <v>1</v>
      </c>
      <c r="AN95" s="159"/>
    </row>
    <row r="96" spans="1:40">
      <c r="A96" s="162"/>
      <c r="B96" s="162"/>
      <c r="C96" s="159" t="s">
        <v>169</v>
      </c>
      <c r="D96" s="160" t="s">
        <v>1810</v>
      </c>
      <c r="E96" s="159">
        <v>1</v>
      </c>
      <c r="F96" s="159" t="s">
        <v>587</v>
      </c>
      <c r="G96" s="159" t="s">
        <v>1870</v>
      </c>
      <c r="H96" s="159"/>
      <c r="I96" s="159"/>
      <c r="J96" s="159"/>
      <c r="K96" s="159"/>
      <c r="L96" s="159"/>
      <c r="M96" s="159"/>
      <c r="N96" s="159"/>
      <c r="O96" s="159"/>
      <c r="P96" s="165"/>
      <c r="Q96" s="166"/>
      <c r="R96" s="165"/>
      <c r="S96" s="166"/>
      <c r="T96" s="165"/>
      <c r="U96" s="166"/>
      <c r="V96" s="165"/>
      <c r="W96" s="193" t="s">
        <v>2041</v>
      </c>
      <c r="X96" s="193" t="s">
        <v>2040</v>
      </c>
      <c r="Y96" s="193"/>
      <c r="Z96" s="193"/>
      <c r="AA96" s="193"/>
      <c r="AB96" s="193"/>
      <c r="AC96" s="193"/>
      <c r="AD96" s="159"/>
      <c r="AE96" s="159"/>
      <c r="AF96" s="159"/>
      <c r="AG96" s="159"/>
      <c r="AH96" s="159"/>
      <c r="AI96" s="159"/>
      <c r="AJ96" s="159"/>
      <c r="AK96" s="159"/>
      <c r="AL96" s="159"/>
      <c r="AM96" s="159">
        <v>1</v>
      </c>
      <c r="AN96" s="159"/>
    </row>
    <row r="97" spans="1:40">
      <c r="A97" s="159" t="s">
        <v>170</v>
      </c>
      <c r="B97" s="159" t="s">
        <v>1803</v>
      </c>
      <c r="C97" s="159" t="s">
        <v>179</v>
      </c>
      <c r="D97" s="157" t="s">
        <v>849</v>
      </c>
      <c r="E97" s="157">
        <v>1</v>
      </c>
      <c r="F97" s="159" t="s">
        <v>1050</v>
      </c>
      <c r="G97" s="159" t="s">
        <v>1846</v>
      </c>
      <c r="H97" s="159" t="s">
        <v>181</v>
      </c>
      <c r="I97" s="159"/>
      <c r="J97" s="159" t="s">
        <v>1917</v>
      </c>
      <c r="K97" s="159" t="s">
        <v>1051</v>
      </c>
      <c r="L97" s="159" t="s">
        <v>1985</v>
      </c>
      <c r="M97" s="159">
        <v>50</v>
      </c>
      <c r="N97" s="159">
        <v>0.1</v>
      </c>
      <c r="O97" s="159"/>
      <c r="P97" s="165"/>
      <c r="Q97" s="166"/>
      <c r="R97" s="165"/>
      <c r="S97" s="166"/>
      <c r="T97" s="165"/>
      <c r="U97" s="166"/>
      <c r="V97" s="165">
        <v>1</v>
      </c>
      <c r="W97" s="193" t="s">
        <v>2044</v>
      </c>
      <c r="X97" s="193" t="s">
        <v>2098</v>
      </c>
      <c r="Y97" s="193">
        <v>0</v>
      </c>
      <c r="Z97" s="193">
        <v>0</v>
      </c>
      <c r="AA97" s="193">
        <v>1.4</v>
      </c>
      <c r="AB97" s="193">
        <v>0</v>
      </c>
      <c r="AC97" s="193">
        <v>5</v>
      </c>
      <c r="AD97" s="159" t="s">
        <v>1049</v>
      </c>
      <c r="AE97" s="159" t="s">
        <v>1600</v>
      </c>
      <c r="AF97" s="159">
        <v>0</v>
      </c>
      <c r="AG97" s="159">
        <v>2</v>
      </c>
      <c r="AH97" s="159">
        <v>0</v>
      </c>
      <c r="AI97" s="159">
        <v>0</v>
      </c>
      <c r="AJ97" s="159" t="s">
        <v>2138</v>
      </c>
      <c r="AK97" s="159" t="s">
        <v>2172</v>
      </c>
      <c r="AL97" s="159"/>
      <c r="AM97" s="159">
        <v>1</v>
      </c>
      <c r="AN97" s="159"/>
    </row>
    <row r="98" spans="1:40">
      <c r="A98" s="159"/>
      <c r="B98" s="159"/>
      <c r="C98" s="157"/>
      <c r="D98" s="157"/>
      <c r="E98" s="157">
        <v>2</v>
      </c>
      <c r="F98" s="143"/>
      <c r="G98" s="159"/>
      <c r="H98" s="159" t="s">
        <v>182</v>
      </c>
      <c r="I98" s="159"/>
      <c r="J98" s="159" t="s">
        <v>1917</v>
      </c>
      <c r="K98" s="159" t="s">
        <v>1052</v>
      </c>
      <c r="L98" s="159" t="s">
        <v>1985</v>
      </c>
      <c r="M98" s="159">
        <v>60</v>
      </c>
      <c r="N98" s="159">
        <v>0.13</v>
      </c>
      <c r="O98" s="159"/>
      <c r="P98" s="165"/>
      <c r="Q98" s="166"/>
      <c r="R98" s="165"/>
      <c r="S98" s="166"/>
      <c r="T98" s="165"/>
      <c r="U98" s="166"/>
      <c r="V98" s="165">
        <v>1</v>
      </c>
      <c r="W98" s="193"/>
      <c r="X98" s="193"/>
      <c r="Y98" s="193"/>
      <c r="Z98" s="193"/>
      <c r="AA98" s="193"/>
      <c r="AB98" s="193"/>
      <c r="AC98" s="193"/>
      <c r="AD98" s="159"/>
      <c r="AE98" s="159"/>
      <c r="AF98" s="159"/>
      <c r="AG98" s="159"/>
      <c r="AH98" s="159"/>
      <c r="AI98" s="159"/>
      <c r="AJ98" s="159"/>
      <c r="AK98" s="159"/>
      <c r="AL98" s="159"/>
      <c r="AM98" s="159"/>
      <c r="AN98" s="159"/>
    </row>
    <row r="99" spans="1:40">
      <c r="A99" s="159"/>
      <c r="B99" s="159"/>
      <c r="C99" s="157"/>
      <c r="D99" s="157"/>
      <c r="E99" s="157">
        <v>3</v>
      </c>
      <c r="F99" s="143"/>
      <c r="G99" s="159"/>
      <c r="H99" s="159" t="s">
        <v>183</v>
      </c>
      <c r="I99" s="159"/>
      <c r="J99" s="159" t="s">
        <v>1918</v>
      </c>
      <c r="K99" s="159" t="s">
        <v>1053</v>
      </c>
      <c r="L99" s="159" t="s">
        <v>1985</v>
      </c>
      <c r="M99" s="159">
        <v>70</v>
      </c>
      <c r="N99" s="159">
        <v>0.16</v>
      </c>
      <c r="O99" s="159"/>
      <c r="P99" s="165"/>
      <c r="Q99" s="166"/>
      <c r="R99" s="165"/>
      <c r="S99" s="166"/>
      <c r="T99" s="165"/>
      <c r="U99" s="166"/>
      <c r="V99" s="165">
        <v>1</v>
      </c>
      <c r="W99" s="193"/>
      <c r="X99" s="193"/>
      <c r="Y99" s="193"/>
      <c r="Z99" s="193"/>
      <c r="AA99" s="193"/>
      <c r="AB99" s="193"/>
      <c r="AC99" s="193"/>
      <c r="AD99" s="159"/>
      <c r="AE99" s="159"/>
      <c r="AF99" s="159"/>
      <c r="AG99" s="159"/>
      <c r="AH99" s="159"/>
      <c r="AI99" s="159"/>
      <c r="AJ99" s="159"/>
      <c r="AK99" s="159"/>
      <c r="AL99" s="159"/>
      <c r="AM99" s="159"/>
      <c r="AN99" s="159"/>
    </row>
    <row r="100" spans="1:40">
      <c r="A100" s="159"/>
      <c r="B100" s="159"/>
      <c r="C100" s="159" t="s">
        <v>174</v>
      </c>
      <c r="D100" s="160" t="s">
        <v>848</v>
      </c>
      <c r="E100" s="157">
        <v>1</v>
      </c>
      <c r="F100" s="159" t="s">
        <v>1454</v>
      </c>
      <c r="G100" s="159" t="s">
        <v>1783</v>
      </c>
      <c r="H100" s="159" t="s">
        <v>1455</v>
      </c>
      <c r="I100" s="159"/>
      <c r="J100" s="159" t="s">
        <v>1919</v>
      </c>
      <c r="K100" s="159" t="s">
        <v>1458</v>
      </c>
      <c r="L100" s="159" t="s">
        <v>1986</v>
      </c>
      <c r="M100" s="159">
        <v>80</v>
      </c>
      <c r="N100" s="159"/>
      <c r="O100" s="159"/>
      <c r="P100" s="165"/>
      <c r="Q100" s="166"/>
      <c r="R100" s="165">
        <v>128</v>
      </c>
      <c r="S100" s="166"/>
      <c r="T100" s="165"/>
      <c r="U100" s="166">
        <v>10</v>
      </c>
      <c r="V100" s="165">
        <v>6</v>
      </c>
      <c r="W100" s="193" t="s">
        <v>2045</v>
      </c>
      <c r="X100" s="193" t="s">
        <v>2098</v>
      </c>
      <c r="Y100" s="193">
        <v>0</v>
      </c>
      <c r="Z100" s="193">
        <v>0</v>
      </c>
      <c r="AA100" s="193">
        <v>1.1299999999999999</v>
      </c>
      <c r="AB100" s="193">
        <v>1</v>
      </c>
      <c r="AC100" s="193">
        <v>5</v>
      </c>
      <c r="AD100" s="159" t="s">
        <v>1311</v>
      </c>
      <c r="AE100" s="159" t="s">
        <v>1784</v>
      </c>
      <c r="AF100" s="159">
        <v>1</v>
      </c>
      <c r="AG100" s="159">
        <v>2</v>
      </c>
      <c r="AH100" s="159">
        <v>1</v>
      </c>
      <c r="AI100" s="159">
        <v>0</v>
      </c>
      <c r="AJ100" s="159" t="s">
        <v>2139</v>
      </c>
      <c r="AK100" s="159" t="s">
        <v>2169</v>
      </c>
      <c r="AL100" s="159" t="s">
        <v>2178</v>
      </c>
      <c r="AM100" s="159">
        <v>1</v>
      </c>
      <c r="AN100" s="159"/>
    </row>
    <row r="101" spans="1:40">
      <c r="A101" s="159"/>
      <c r="B101" s="159"/>
      <c r="C101" s="159"/>
      <c r="D101" s="160"/>
      <c r="E101" s="157">
        <v>2</v>
      </c>
      <c r="F101" s="143"/>
      <c r="G101" s="143"/>
      <c r="H101" s="159" t="s">
        <v>1456</v>
      </c>
      <c r="I101" s="159"/>
      <c r="J101" s="159" t="s">
        <v>1919</v>
      </c>
      <c r="K101" s="159" t="s">
        <v>1459</v>
      </c>
      <c r="L101" s="159" t="s">
        <v>1986</v>
      </c>
      <c r="M101" s="159">
        <v>140</v>
      </c>
      <c r="N101" s="159"/>
      <c r="O101" s="159"/>
      <c r="P101" s="165"/>
      <c r="Q101" s="166"/>
      <c r="R101" s="165">
        <v>128</v>
      </c>
      <c r="S101" s="166"/>
      <c r="T101" s="165"/>
      <c r="U101" s="166">
        <v>10</v>
      </c>
      <c r="V101" s="165">
        <v>6</v>
      </c>
      <c r="W101" s="193"/>
      <c r="X101" s="193"/>
      <c r="Y101" s="193"/>
      <c r="Z101" s="193"/>
      <c r="AA101" s="193"/>
      <c r="AB101" s="193"/>
      <c r="AC101" s="193"/>
      <c r="AD101" s="159"/>
      <c r="AE101" s="159"/>
      <c r="AF101" s="159"/>
      <c r="AG101" s="159"/>
      <c r="AH101" s="159"/>
      <c r="AI101" s="159"/>
      <c r="AJ101" s="159"/>
      <c r="AK101" s="159"/>
      <c r="AL101" s="159" t="s">
        <v>2178</v>
      </c>
      <c r="AM101" s="159"/>
      <c r="AN101" s="159"/>
    </row>
    <row r="102" spans="1:40">
      <c r="A102" s="159"/>
      <c r="B102" s="159"/>
      <c r="C102" s="159"/>
      <c r="D102" s="160"/>
      <c r="E102" s="157">
        <v>3</v>
      </c>
      <c r="F102" s="143"/>
      <c r="G102" s="143"/>
      <c r="H102" s="159" t="s">
        <v>1457</v>
      </c>
      <c r="I102" s="159"/>
      <c r="J102" s="159" t="s">
        <v>1919</v>
      </c>
      <c r="K102" s="159" t="s">
        <v>1460</v>
      </c>
      <c r="L102" s="159" t="s">
        <v>1986</v>
      </c>
      <c r="M102" s="159">
        <v>200</v>
      </c>
      <c r="N102" s="159"/>
      <c r="O102" s="159"/>
      <c r="P102" s="165"/>
      <c r="Q102" s="166"/>
      <c r="R102" s="165">
        <v>128</v>
      </c>
      <c r="S102" s="166"/>
      <c r="T102" s="165"/>
      <c r="U102" s="166">
        <v>10</v>
      </c>
      <c r="V102" s="165">
        <v>6</v>
      </c>
      <c r="W102" s="193"/>
      <c r="X102" s="193"/>
      <c r="Y102" s="193"/>
      <c r="Z102" s="193"/>
      <c r="AA102" s="193"/>
      <c r="AB102" s="193"/>
      <c r="AC102" s="193"/>
      <c r="AD102" s="159"/>
      <c r="AE102" s="159"/>
      <c r="AF102" s="159"/>
      <c r="AG102" s="159"/>
      <c r="AH102" s="159"/>
      <c r="AI102" s="159"/>
      <c r="AJ102" s="159"/>
      <c r="AK102" s="159"/>
      <c r="AL102" s="159" t="s">
        <v>2178</v>
      </c>
      <c r="AM102" s="159"/>
      <c r="AN102" s="159"/>
    </row>
    <row r="103" spans="1:40">
      <c r="A103" s="159"/>
      <c r="B103" s="159"/>
      <c r="C103" s="159" t="s">
        <v>187</v>
      </c>
      <c r="D103" s="160" t="s">
        <v>1811</v>
      </c>
      <c r="E103" s="157">
        <v>1</v>
      </c>
      <c r="F103" s="159" t="s">
        <v>1461</v>
      </c>
      <c r="G103" s="159" t="s">
        <v>1847</v>
      </c>
      <c r="H103" s="159" t="s">
        <v>1462</v>
      </c>
      <c r="I103" s="159"/>
      <c r="J103" s="159" t="s">
        <v>1920</v>
      </c>
      <c r="K103" s="159" t="s">
        <v>1465</v>
      </c>
      <c r="L103" s="159" t="s">
        <v>1987</v>
      </c>
      <c r="M103" s="159">
        <v>10</v>
      </c>
      <c r="N103" s="159">
        <v>0.25</v>
      </c>
      <c r="O103" s="159"/>
      <c r="P103" s="165"/>
      <c r="Q103" s="166"/>
      <c r="R103" s="165">
        <v>128</v>
      </c>
      <c r="S103" s="166"/>
      <c r="T103" s="165"/>
      <c r="U103" s="166"/>
      <c r="V103" s="165">
        <v>3.5</v>
      </c>
      <c r="W103" s="193" t="s">
        <v>2046</v>
      </c>
      <c r="X103" s="193" t="s">
        <v>2098</v>
      </c>
      <c r="Y103" s="193">
        <v>0</v>
      </c>
      <c r="Z103" s="193">
        <v>0</v>
      </c>
      <c r="AA103" s="193">
        <v>1.1299999999999999</v>
      </c>
      <c r="AB103" s="193">
        <v>1</v>
      </c>
      <c r="AC103" s="193">
        <v>5</v>
      </c>
      <c r="AD103" s="159" t="s">
        <v>1319</v>
      </c>
      <c r="AE103" s="159" t="s">
        <v>2089</v>
      </c>
      <c r="AF103" s="159">
        <v>2</v>
      </c>
      <c r="AG103" s="159">
        <v>2</v>
      </c>
      <c r="AH103" s="159">
        <v>2</v>
      </c>
      <c r="AI103" s="159">
        <v>0</v>
      </c>
      <c r="AJ103" s="159" t="s">
        <v>2140</v>
      </c>
      <c r="AK103" s="159" t="s">
        <v>2169</v>
      </c>
      <c r="AL103" s="159" t="s">
        <v>2178</v>
      </c>
      <c r="AM103" s="159">
        <v>1</v>
      </c>
      <c r="AN103" s="159" t="s">
        <v>2183</v>
      </c>
    </row>
    <row r="104" spans="1:40">
      <c r="A104" s="159"/>
      <c r="B104" s="159"/>
      <c r="C104" s="159"/>
      <c r="D104" s="160"/>
      <c r="E104" s="157">
        <v>2</v>
      </c>
      <c r="F104" s="143"/>
      <c r="G104" s="159"/>
      <c r="H104" s="159" t="s">
        <v>1463</v>
      </c>
      <c r="I104" s="159"/>
      <c r="J104" s="159" t="s">
        <v>1920</v>
      </c>
      <c r="K104" s="159" t="s">
        <v>1466</v>
      </c>
      <c r="L104" s="159" t="s">
        <v>1987</v>
      </c>
      <c r="M104" s="159">
        <v>15</v>
      </c>
      <c r="N104" s="159">
        <v>0.5</v>
      </c>
      <c r="O104" s="159"/>
      <c r="P104" s="165"/>
      <c r="Q104" s="166"/>
      <c r="R104" s="165">
        <v>128</v>
      </c>
      <c r="S104" s="166"/>
      <c r="T104" s="165"/>
      <c r="U104" s="166"/>
      <c r="V104" s="165">
        <v>3.5</v>
      </c>
      <c r="W104" s="193"/>
      <c r="X104" s="193"/>
      <c r="Y104" s="193"/>
      <c r="Z104" s="193"/>
      <c r="AA104" s="193"/>
      <c r="AB104" s="193"/>
      <c r="AC104" s="193"/>
      <c r="AD104" s="159"/>
      <c r="AE104" s="159"/>
      <c r="AF104" s="159"/>
      <c r="AG104" s="159"/>
      <c r="AH104" s="159"/>
      <c r="AI104" s="159"/>
      <c r="AJ104" s="159"/>
      <c r="AK104" s="159"/>
      <c r="AL104" s="159" t="s">
        <v>2178</v>
      </c>
      <c r="AM104" s="159"/>
      <c r="AN104" s="159"/>
    </row>
    <row r="105" spans="1:40">
      <c r="A105" s="159"/>
      <c r="B105" s="159"/>
      <c r="C105" s="159"/>
      <c r="D105" s="160"/>
      <c r="E105" s="157">
        <v>3</v>
      </c>
      <c r="F105" s="143"/>
      <c r="G105" s="159"/>
      <c r="H105" s="159" t="s">
        <v>1464</v>
      </c>
      <c r="I105" s="159"/>
      <c r="J105" s="159" t="s">
        <v>1920</v>
      </c>
      <c r="K105" s="159" t="s">
        <v>1467</v>
      </c>
      <c r="L105" s="159" t="s">
        <v>1987</v>
      </c>
      <c r="M105" s="159">
        <v>20</v>
      </c>
      <c r="N105" s="159">
        <v>0.75</v>
      </c>
      <c r="O105" s="159"/>
      <c r="P105" s="165"/>
      <c r="Q105" s="166"/>
      <c r="R105" s="165">
        <v>128</v>
      </c>
      <c r="S105" s="166"/>
      <c r="T105" s="165"/>
      <c r="U105" s="166"/>
      <c r="V105" s="165">
        <v>3.5</v>
      </c>
      <c r="W105" s="193"/>
      <c r="X105" s="193"/>
      <c r="Y105" s="193"/>
      <c r="Z105" s="193"/>
      <c r="AA105" s="193"/>
      <c r="AB105" s="193"/>
      <c r="AC105" s="193"/>
      <c r="AD105" s="159"/>
      <c r="AE105" s="159"/>
      <c r="AF105" s="159"/>
      <c r="AG105" s="159"/>
      <c r="AH105" s="159"/>
      <c r="AI105" s="159"/>
      <c r="AJ105" s="159"/>
      <c r="AK105" s="159"/>
      <c r="AL105" s="159" t="s">
        <v>2178</v>
      </c>
      <c r="AM105" s="159"/>
      <c r="AN105" s="159"/>
    </row>
    <row r="106" spans="1:40">
      <c r="A106" s="159"/>
      <c r="B106" s="159"/>
      <c r="C106" s="159" t="s">
        <v>189</v>
      </c>
      <c r="D106" s="160" t="s">
        <v>752</v>
      </c>
      <c r="E106" s="157">
        <v>1</v>
      </c>
      <c r="F106" s="159" t="s">
        <v>1468</v>
      </c>
      <c r="G106" s="159" t="s">
        <v>1848</v>
      </c>
      <c r="H106" s="159" t="s">
        <v>190</v>
      </c>
      <c r="I106" s="159"/>
      <c r="J106" s="159" t="s">
        <v>1909</v>
      </c>
      <c r="K106" s="159" t="s">
        <v>1469</v>
      </c>
      <c r="L106" s="159" t="s">
        <v>1988</v>
      </c>
      <c r="M106" s="159">
        <v>2</v>
      </c>
      <c r="N106" s="159">
        <v>0</v>
      </c>
      <c r="O106" s="159"/>
      <c r="P106" s="165"/>
      <c r="Q106" s="166"/>
      <c r="R106" s="165">
        <v>128</v>
      </c>
      <c r="S106" s="166"/>
      <c r="T106" s="165">
        <v>15</v>
      </c>
      <c r="U106" s="166">
        <v>15</v>
      </c>
      <c r="V106" s="165">
        <v>9</v>
      </c>
      <c r="W106" s="193" t="s">
        <v>2047</v>
      </c>
      <c r="X106" s="193" t="s">
        <v>2098</v>
      </c>
      <c r="Y106" s="193">
        <v>0</v>
      </c>
      <c r="Z106" s="193">
        <v>0</v>
      </c>
      <c r="AA106" s="193">
        <v>1.1299999999999999</v>
      </c>
      <c r="AB106" s="193">
        <v>1</v>
      </c>
      <c r="AC106" s="193">
        <v>5</v>
      </c>
      <c r="AD106" s="159" t="s">
        <v>1327</v>
      </c>
      <c r="AE106" s="159" t="s">
        <v>2090</v>
      </c>
      <c r="AF106" s="159">
        <v>3</v>
      </c>
      <c r="AG106" s="159">
        <v>2</v>
      </c>
      <c r="AH106" s="159">
        <v>3</v>
      </c>
      <c r="AI106" s="159">
        <v>0</v>
      </c>
      <c r="AJ106" s="159" t="s">
        <v>2141</v>
      </c>
      <c r="AK106" s="159" t="s">
        <v>2169</v>
      </c>
      <c r="AL106" s="159" t="s">
        <v>2178</v>
      </c>
      <c r="AM106" s="159">
        <v>1</v>
      </c>
      <c r="AN106" s="159"/>
    </row>
    <row r="107" spans="1:40">
      <c r="A107" s="159"/>
      <c r="B107" s="159"/>
      <c r="C107" s="159"/>
      <c r="D107" s="160"/>
      <c r="E107" s="157">
        <v>2</v>
      </c>
      <c r="F107" s="143"/>
      <c r="G107" s="159"/>
      <c r="H107" s="159" t="s">
        <v>191</v>
      </c>
      <c r="I107" s="159"/>
      <c r="J107" s="159" t="s">
        <v>1921</v>
      </c>
      <c r="K107" s="159" t="s">
        <v>1471</v>
      </c>
      <c r="L107" s="159" t="s">
        <v>1989</v>
      </c>
      <c r="M107" s="159">
        <v>3</v>
      </c>
      <c r="N107" s="159">
        <v>0.05</v>
      </c>
      <c r="O107" s="159"/>
      <c r="P107" s="165"/>
      <c r="Q107" s="166"/>
      <c r="R107" s="165">
        <v>128</v>
      </c>
      <c r="S107" s="166"/>
      <c r="T107" s="165">
        <v>25</v>
      </c>
      <c r="U107" s="166">
        <v>15</v>
      </c>
      <c r="V107" s="165">
        <v>8</v>
      </c>
      <c r="W107" s="193"/>
      <c r="X107" s="193"/>
      <c r="Y107" s="193"/>
      <c r="Z107" s="193"/>
      <c r="AA107" s="193"/>
      <c r="AB107" s="193"/>
      <c r="AC107" s="193"/>
      <c r="AD107" s="159"/>
      <c r="AE107" s="159"/>
      <c r="AF107" s="159"/>
      <c r="AG107" s="159"/>
      <c r="AH107" s="159"/>
      <c r="AI107" s="159"/>
      <c r="AJ107" s="159"/>
      <c r="AK107" s="159"/>
      <c r="AL107" s="159" t="s">
        <v>2178</v>
      </c>
      <c r="AM107" s="159"/>
      <c r="AN107" s="159"/>
    </row>
    <row r="108" spans="1:40">
      <c r="A108" s="159"/>
      <c r="B108" s="159"/>
      <c r="C108" s="159"/>
      <c r="D108" s="160"/>
      <c r="E108" s="157">
        <v>3</v>
      </c>
      <c r="F108" s="143"/>
      <c r="G108" s="159"/>
      <c r="H108" s="159" t="s">
        <v>192</v>
      </c>
      <c r="I108" s="159"/>
      <c r="J108" s="159" t="s">
        <v>1921</v>
      </c>
      <c r="K108" s="159" t="s">
        <v>1470</v>
      </c>
      <c r="L108" s="159" t="s">
        <v>1989</v>
      </c>
      <c r="M108" s="159">
        <v>4</v>
      </c>
      <c r="N108" s="159">
        <v>0.1</v>
      </c>
      <c r="O108" s="159"/>
      <c r="P108" s="165"/>
      <c r="Q108" s="166"/>
      <c r="R108" s="165">
        <v>128</v>
      </c>
      <c r="S108" s="166"/>
      <c r="T108" s="165">
        <v>35</v>
      </c>
      <c r="U108" s="166">
        <v>15</v>
      </c>
      <c r="V108" s="165">
        <v>7</v>
      </c>
      <c r="W108" s="193"/>
      <c r="X108" s="193"/>
      <c r="Y108" s="193"/>
      <c r="Z108" s="193"/>
      <c r="AA108" s="193"/>
      <c r="AB108" s="193"/>
      <c r="AC108" s="193"/>
      <c r="AD108" s="159"/>
      <c r="AE108" s="159"/>
      <c r="AF108" s="159"/>
      <c r="AG108" s="159"/>
      <c r="AH108" s="159"/>
      <c r="AI108" s="159"/>
      <c r="AJ108" s="159"/>
      <c r="AK108" s="159"/>
      <c r="AL108" s="159" t="s">
        <v>2178</v>
      </c>
      <c r="AM108" s="159"/>
      <c r="AN108" s="159"/>
    </row>
    <row r="109" spans="1:40">
      <c r="A109" s="159"/>
      <c r="B109" s="159"/>
      <c r="C109" s="159" t="s">
        <v>193</v>
      </c>
      <c r="D109" s="160" t="s">
        <v>841</v>
      </c>
      <c r="E109" s="157">
        <v>1</v>
      </c>
      <c r="F109" s="159" t="s">
        <v>1472</v>
      </c>
      <c r="G109" s="159" t="s">
        <v>1849</v>
      </c>
      <c r="H109" s="159" t="s">
        <v>1473</v>
      </c>
      <c r="I109" s="159"/>
      <c r="J109" s="159" t="s">
        <v>1922</v>
      </c>
      <c r="K109" s="159" t="s">
        <v>1476</v>
      </c>
      <c r="L109" s="159" t="s">
        <v>1990</v>
      </c>
      <c r="M109" s="159">
        <v>5</v>
      </c>
      <c r="N109" s="159"/>
      <c r="O109" s="159"/>
      <c r="P109" s="165"/>
      <c r="Q109" s="166"/>
      <c r="R109" s="165">
        <v>128</v>
      </c>
      <c r="S109" s="166"/>
      <c r="T109" s="165"/>
      <c r="U109" s="166"/>
      <c r="V109" s="165">
        <v>1</v>
      </c>
      <c r="W109" s="193" t="s">
        <v>2048</v>
      </c>
      <c r="X109" s="193" t="s">
        <v>2098</v>
      </c>
      <c r="Y109" s="193">
        <v>0</v>
      </c>
      <c r="Z109" s="193">
        <v>0</v>
      </c>
      <c r="AA109" s="193">
        <v>1.1299999999999999</v>
      </c>
      <c r="AB109" s="193">
        <v>1</v>
      </c>
      <c r="AC109" s="193">
        <v>5</v>
      </c>
      <c r="AD109" s="159" t="s">
        <v>2100</v>
      </c>
      <c r="AE109" s="159" t="s">
        <v>285</v>
      </c>
      <c r="AF109" s="159">
        <v>1</v>
      </c>
      <c r="AG109" s="159">
        <v>1</v>
      </c>
      <c r="AH109" s="159">
        <v>0</v>
      </c>
      <c r="AI109" s="159">
        <v>1</v>
      </c>
      <c r="AJ109" s="159" t="s">
        <v>2142</v>
      </c>
      <c r="AK109" s="159" t="s">
        <v>2169</v>
      </c>
      <c r="AL109" s="159" t="s">
        <v>2178</v>
      </c>
      <c r="AM109" s="159">
        <v>0</v>
      </c>
      <c r="AN109" s="159"/>
    </row>
    <row r="110" spans="1:40">
      <c r="A110" s="159"/>
      <c r="B110" s="159"/>
      <c r="C110" s="159"/>
      <c r="D110" s="160"/>
      <c r="E110" s="157">
        <v>2</v>
      </c>
      <c r="F110" s="143"/>
      <c r="G110" s="159"/>
      <c r="H110" s="159" t="s">
        <v>1474</v>
      </c>
      <c r="I110" s="159"/>
      <c r="J110" s="159" t="s">
        <v>1922</v>
      </c>
      <c r="K110" s="159" t="s">
        <v>1477</v>
      </c>
      <c r="L110" s="159" t="s">
        <v>1990</v>
      </c>
      <c r="M110" s="159">
        <v>4</v>
      </c>
      <c r="N110" s="159"/>
      <c r="O110" s="159"/>
      <c r="P110" s="165"/>
      <c r="Q110" s="166"/>
      <c r="R110" s="165">
        <v>128</v>
      </c>
      <c r="S110" s="166"/>
      <c r="T110" s="165"/>
      <c r="U110" s="166"/>
      <c r="V110" s="165">
        <v>1</v>
      </c>
      <c r="W110" s="193"/>
      <c r="X110" s="193"/>
      <c r="Y110" s="193"/>
      <c r="Z110" s="193"/>
      <c r="AA110" s="193"/>
      <c r="AB110" s="193"/>
      <c r="AC110" s="193"/>
      <c r="AD110" s="159"/>
      <c r="AE110" s="159"/>
      <c r="AF110" s="159"/>
      <c r="AG110" s="159"/>
      <c r="AH110" s="159"/>
      <c r="AI110" s="159"/>
      <c r="AJ110" s="159"/>
      <c r="AK110" s="159"/>
      <c r="AL110" s="159" t="s">
        <v>2178</v>
      </c>
      <c r="AM110" s="159"/>
      <c r="AN110" s="159"/>
    </row>
    <row r="111" spans="1:40">
      <c r="A111" s="159"/>
      <c r="B111" s="159"/>
      <c r="C111" s="159"/>
      <c r="D111" s="160"/>
      <c r="E111" s="157">
        <v>3</v>
      </c>
      <c r="F111" s="143"/>
      <c r="G111" s="159"/>
      <c r="H111" s="159" t="s">
        <v>1475</v>
      </c>
      <c r="I111" s="159"/>
      <c r="J111" s="159" t="s">
        <v>1922</v>
      </c>
      <c r="K111" s="159" t="s">
        <v>1478</v>
      </c>
      <c r="L111" s="159" t="s">
        <v>1990</v>
      </c>
      <c r="M111" s="159">
        <v>3</v>
      </c>
      <c r="N111" s="159"/>
      <c r="O111" s="159"/>
      <c r="P111" s="165"/>
      <c r="Q111" s="166"/>
      <c r="R111" s="165">
        <v>128</v>
      </c>
      <c r="S111" s="166"/>
      <c r="T111" s="165"/>
      <c r="U111" s="166"/>
      <c r="V111" s="165">
        <v>1</v>
      </c>
      <c r="W111" s="193"/>
      <c r="X111" s="193"/>
      <c r="Y111" s="193"/>
      <c r="Z111" s="193"/>
      <c r="AA111" s="193"/>
      <c r="AB111" s="193"/>
      <c r="AC111" s="193"/>
      <c r="AD111" s="159"/>
      <c r="AE111" s="159"/>
      <c r="AF111" s="159"/>
      <c r="AG111" s="159"/>
      <c r="AH111" s="159"/>
      <c r="AI111" s="159"/>
      <c r="AJ111" s="159"/>
      <c r="AK111" s="159"/>
      <c r="AL111" s="159" t="s">
        <v>2178</v>
      </c>
      <c r="AM111" s="159"/>
      <c r="AN111" s="159"/>
    </row>
    <row r="112" spans="1:40">
      <c r="A112" s="161" t="s">
        <v>195</v>
      </c>
      <c r="B112" s="161" t="s">
        <v>1804</v>
      </c>
      <c r="C112" s="159" t="s">
        <v>205</v>
      </c>
      <c r="D112" s="157" t="s">
        <v>750</v>
      </c>
      <c r="E112" s="157">
        <v>1</v>
      </c>
      <c r="F112" s="159" t="s">
        <v>1482</v>
      </c>
      <c r="G112" s="159" t="s">
        <v>1856</v>
      </c>
      <c r="H112" s="159" t="s">
        <v>1479</v>
      </c>
      <c r="I112" s="159"/>
      <c r="J112" s="159" t="s">
        <v>1882</v>
      </c>
      <c r="K112" s="159" t="s">
        <v>1483</v>
      </c>
      <c r="L112" s="159" t="s">
        <v>1991</v>
      </c>
      <c r="M112" s="159">
        <v>175</v>
      </c>
      <c r="N112" s="159"/>
      <c r="O112" s="159"/>
      <c r="P112" s="165">
        <v>2</v>
      </c>
      <c r="Q112" s="166"/>
      <c r="R112" s="165">
        <v>600</v>
      </c>
      <c r="S112" s="166"/>
      <c r="T112" s="165">
        <v>15</v>
      </c>
      <c r="U112" s="166">
        <v>5</v>
      </c>
      <c r="V112" s="165">
        <v>1</v>
      </c>
      <c r="W112" s="193" t="s">
        <v>2049</v>
      </c>
      <c r="X112" s="193" t="s">
        <v>2098</v>
      </c>
      <c r="Y112" s="193">
        <v>0</v>
      </c>
      <c r="Z112" s="193">
        <v>0</v>
      </c>
      <c r="AA112" s="193">
        <v>0</v>
      </c>
      <c r="AB112" s="193">
        <v>1</v>
      </c>
      <c r="AC112" s="193">
        <v>1</v>
      </c>
      <c r="AD112" s="159" t="s">
        <v>1049</v>
      </c>
      <c r="AE112" s="159" t="s">
        <v>265</v>
      </c>
      <c r="AF112" s="159">
        <v>0</v>
      </c>
      <c r="AG112" s="159">
        <v>2</v>
      </c>
      <c r="AH112" s="159">
        <v>0</v>
      </c>
      <c r="AI112" s="159">
        <v>0</v>
      </c>
      <c r="AJ112" s="159" t="s">
        <v>2143</v>
      </c>
      <c r="AK112" s="159" t="s">
        <v>2168</v>
      </c>
      <c r="AL112" s="159" t="s">
        <v>2178</v>
      </c>
      <c r="AM112" s="159">
        <v>1</v>
      </c>
      <c r="AN112" s="159"/>
    </row>
    <row r="113" spans="1:40">
      <c r="C113" s="157"/>
      <c r="D113" s="157"/>
      <c r="E113" s="157">
        <v>2</v>
      </c>
      <c r="F113" s="143"/>
      <c r="G113" s="159"/>
      <c r="H113" s="159" t="s">
        <v>1480</v>
      </c>
      <c r="I113" s="159"/>
      <c r="J113" s="159" t="s">
        <v>1882</v>
      </c>
      <c r="K113" s="159" t="s">
        <v>1484</v>
      </c>
      <c r="L113" s="159" t="s">
        <v>1991</v>
      </c>
      <c r="M113" s="159">
        <v>350</v>
      </c>
      <c r="N113" s="159"/>
      <c r="O113" s="159"/>
      <c r="P113" s="165">
        <v>2</v>
      </c>
      <c r="Q113" s="166"/>
      <c r="R113" s="165">
        <v>600</v>
      </c>
      <c r="S113" s="166"/>
      <c r="T113" s="165">
        <v>30</v>
      </c>
      <c r="U113" s="166">
        <v>5</v>
      </c>
      <c r="V113" s="165">
        <v>1</v>
      </c>
      <c r="W113" s="193"/>
      <c r="X113" s="193"/>
      <c r="Y113" s="193"/>
      <c r="Z113" s="193"/>
      <c r="AA113" s="193"/>
      <c r="AB113" s="193"/>
      <c r="AC113" s="193"/>
      <c r="AD113" s="159"/>
      <c r="AE113" s="159"/>
      <c r="AF113" s="159"/>
      <c r="AG113" s="159"/>
      <c r="AH113" s="159"/>
      <c r="AI113" s="159"/>
      <c r="AJ113" s="159"/>
      <c r="AK113" s="159"/>
      <c r="AL113" s="159" t="s">
        <v>2178</v>
      </c>
      <c r="AM113" s="159"/>
      <c r="AN113" s="159"/>
    </row>
    <row r="114" spans="1:40">
      <c r="C114" s="157"/>
      <c r="D114" s="157"/>
      <c r="E114" s="157">
        <v>3</v>
      </c>
      <c r="F114" s="143"/>
      <c r="G114" s="159"/>
      <c r="H114" s="159" t="s">
        <v>1481</v>
      </c>
      <c r="I114" s="159"/>
      <c r="J114" s="159" t="s">
        <v>1882</v>
      </c>
      <c r="K114" s="159" t="s">
        <v>1485</v>
      </c>
      <c r="L114" s="159" t="s">
        <v>1991</v>
      </c>
      <c r="M114" s="159">
        <v>525</v>
      </c>
      <c r="N114" s="159"/>
      <c r="O114" s="159"/>
      <c r="P114" s="165">
        <v>2</v>
      </c>
      <c r="Q114" s="166"/>
      <c r="R114" s="165">
        <v>600</v>
      </c>
      <c r="S114" s="166"/>
      <c r="T114" s="165">
        <v>45</v>
      </c>
      <c r="U114" s="166">
        <v>5</v>
      </c>
      <c r="V114" s="165">
        <v>1</v>
      </c>
      <c r="W114" s="193"/>
      <c r="X114" s="193"/>
      <c r="Y114" s="193"/>
      <c r="Z114" s="193"/>
      <c r="AA114" s="193"/>
      <c r="AB114" s="193"/>
      <c r="AC114" s="193"/>
      <c r="AD114" s="159"/>
      <c r="AE114" s="159"/>
      <c r="AF114" s="159"/>
      <c r="AG114" s="159"/>
      <c r="AH114" s="159"/>
      <c r="AI114" s="159"/>
      <c r="AJ114" s="159"/>
      <c r="AK114" s="159"/>
      <c r="AL114" s="159" t="s">
        <v>2178</v>
      </c>
      <c r="AM114" s="159"/>
      <c r="AN114" s="159"/>
    </row>
    <row r="115" spans="1:40">
      <c r="C115" s="159" t="s">
        <v>208</v>
      </c>
      <c r="D115" s="160" t="s">
        <v>839</v>
      </c>
      <c r="E115" s="157">
        <v>1</v>
      </c>
      <c r="F115" s="159" t="s">
        <v>1486</v>
      </c>
      <c r="G115" s="159" t="s">
        <v>1857</v>
      </c>
      <c r="H115" s="159" t="s">
        <v>1487</v>
      </c>
      <c r="I115" s="159"/>
      <c r="J115" s="159" t="s">
        <v>1882</v>
      </c>
      <c r="K115" s="159" t="s">
        <v>1489</v>
      </c>
      <c r="L115" s="159" t="s">
        <v>1992</v>
      </c>
      <c r="M115" s="159">
        <v>150</v>
      </c>
      <c r="N115" s="159"/>
      <c r="O115" s="159"/>
      <c r="P115" s="165"/>
      <c r="Q115" s="166"/>
      <c r="R115" s="165">
        <v>800</v>
      </c>
      <c r="S115" s="166">
        <v>250</v>
      </c>
      <c r="T115" s="165">
        <v>100</v>
      </c>
      <c r="U115" s="166">
        <v>5</v>
      </c>
      <c r="V115" s="165">
        <v>10</v>
      </c>
      <c r="W115" s="193" t="s">
        <v>2050</v>
      </c>
      <c r="X115" s="193" t="s">
        <v>2098</v>
      </c>
      <c r="Y115" s="193">
        <v>0</v>
      </c>
      <c r="Z115" s="193">
        <v>0</v>
      </c>
      <c r="AA115" s="193">
        <v>2.74</v>
      </c>
      <c r="AB115" s="193">
        <v>2</v>
      </c>
      <c r="AC115" s="193">
        <v>3</v>
      </c>
      <c r="AD115" s="159" t="s">
        <v>1311</v>
      </c>
      <c r="AE115" s="159" t="s">
        <v>1066</v>
      </c>
      <c r="AF115" s="159">
        <v>1</v>
      </c>
      <c r="AG115" s="159">
        <v>2</v>
      </c>
      <c r="AH115" s="159">
        <v>1</v>
      </c>
      <c r="AI115" s="159">
        <v>0</v>
      </c>
      <c r="AJ115" s="159" t="s">
        <v>2144</v>
      </c>
      <c r="AK115" s="159" t="s">
        <v>2168</v>
      </c>
      <c r="AL115" s="159"/>
      <c r="AM115" s="159">
        <v>1</v>
      </c>
      <c r="AN115" s="159"/>
    </row>
    <row r="116" spans="1:40">
      <c r="C116" s="159"/>
      <c r="D116" s="160"/>
      <c r="E116" s="157">
        <v>2</v>
      </c>
      <c r="F116" s="143"/>
      <c r="G116" s="159"/>
      <c r="H116" s="159" t="s">
        <v>1488</v>
      </c>
      <c r="I116" s="159"/>
      <c r="J116" s="159" t="s">
        <v>1882</v>
      </c>
      <c r="K116" s="159" t="s">
        <v>1490</v>
      </c>
      <c r="L116" s="159" t="s">
        <v>1992</v>
      </c>
      <c r="M116" s="159">
        <v>200</v>
      </c>
      <c r="N116" s="159"/>
      <c r="O116" s="159"/>
      <c r="P116" s="165"/>
      <c r="Q116" s="166"/>
      <c r="R116" s="165">
        <v>800</v>
      </c>
      <c r="S116" s="166">
        <v>350</v>
      </c>
      <c r="T116" s="165">
        <v>135</v>
      </c>
      <c r="U116" s="166">
        <v>5</v>
      </c>
      <c r="V116" s="165">
        <v>10</v>
      </c>
      <c r="W116" s="193"/>
      <c r="X116" s="193"/>
      <c r="Y116" s="193"/>
      <c r="Z116" s="193"/>
      <c r="AA116" s="193"/>
      <c r="AB116" s="193"/>
      <c r="AC116" s="193"/>
      <c r="AD116" s="159"/>
      <c r="AE116" s="159"/>
      <c r="AF116" s="159"/>
      <c r="AG116" s="159"/>
      <c r="AH116" s="159"/>
      <c r="AI116" s="159"/>
      <c r="AJ116" s="159"/>
      <c r="AK116" s="159"/>
      <c r="AL116" s="159"/>
      <c r="AM116" s="159"/>
      <c r="AN116" s="159"/>
    </row>
    <row r="117" spans="1:40">
      <c r="C117" s="159"/>
      <c r="D117" s="160"/>
      <c r="E117" s="157">
        <v>3</v>
      </c>
      <c r="F117" s="143"/>
      <c r="G117" s="159"/>
      <c r="H117" s="159" t="s">
        <v>1620</v>
      </c>
      <c r="I117" s="159"/>
      <c r="J117" s="159" t="s">
        <v>1882</v>
      </c>
      <c r="K117" s="159" t="s">
        <v>1621</v>
      </c>
      <c r="L117" s="159" t="s">
        <v>1992</v>
      </c>
      <c r="M117" s="159">
        <v>250</v>
      </c>
      <c r="N117" s="159"/>
      <c r="O117" s="159"/>
      <c r="P117" s="165"/>
      <c r="Q117" s="166"/>
      <c r="R117" s="165">
        <v>800</v>
      </c>
      <c r="S117" s="166">
        <v>450</v>
      </c>
      <c r="T117" s="165">
        <v>170</v>
      </c>
      <c r="U117" s="166">
        <v>5</v>
      </c>
      <c r="V117" s="165">
        <v>10</v>
      </c>
      <c r="W117" s="193"/>
      <c r="X117" s="193"/>
      <c r="Y117" s="193"/>
      <c r="Z117" s="193"/>
      <c r="AA117" s="193"/>
      <c r="AB117" s="193"/>
      <c r="AC117" s="193"/>
      <c r="AD117" s="159"/>
      <c r="AE117" s="159"/>
      <c r="AF117" s="159"/>
      <c r="AG117" s="159"/>
      <c r="AH117" s="159"/>
      <c r="AI117" s="159"/>
      <c r="AJ117" s="159"/>
      <c r="AK117" s="159"/>
      <c r="AL117" s="159"/>
      <c r="AM117" s="159"/>
      <c r="AN117" s="159"/>
    </row>
    <row r="118" spans="1:40">
      <c r="C118" s="159" t="s">
        <v>215</v>
      </c>
      <c r="D118" s="160" t="s">
        <v>838</v>
      </c>
      <c r="E118" s="157">
        <v>1</v>
      </c>
      <c r="F118" s="159" t="s">
        <v>1491</v>
      </c>
      <c r="G118" s="159" t="s">
        <v>1871</v>
      </c>
      <c r="H118" s="159" t="s">
        <v>1492</v>
      </c>
      <c r="I118" s="159"/>
      <c r="J118" s="159" t="s">
        <v>1923</v>
      </c>
      <c r="K118" s="159" t="s">
        <v>1495</v>
      </c>
      <c r="L118" s="159" t="s">
        <v>1993</v>
      </c>
      <c r="M118" s="159">
        <v>4</v>
      </c>
      <c r="N118" s="159">
        <v>0.03</v>
      </c>
      <c r="O118" s="159"/>
      <c r="P118" s="165"/>
      <c r="Q118" s="166"/>
      <c r="R118" s="165"/>
      <c r="S118" s="166">
        <v>300</v>
      </c>
      <c r="T118" s="165">
        <v>50</v>
      </c>
      <c r="U118" s="166">
        <v>4</v>
      </c>
      <c r="V118" s="165">
        <v>15</v>
      </c>
      <c r="W118" s="193" t="s">
        <v>2051</v>
      </c>
      <c r="X118" s="193" t="s">
        <v>2098</v>
      </c>
      <c r="Y118" s="193">
        <v>0</v>
      </c>
      <c r="Z118" s="193">
        <v>0</v>
      </c>
      <c r="AA118" s="193">
        <v>0</v>
      </c>
      <c r="AB118" s="193">
        <v>0</v>
      </c>
      <c r="AC118" s="193">
        <v>1</v>
      </c>
      <c r="AD118" s="159" t="s">
        <v>1319</v>
      </c>
      <c r="AE118" s="159" t="s">
        <v>2091</v>
      </c>
      <c r="AF118" s="159">
        <v>2</v>
      </c>
      <c r="AG118" s="159">
        <v>2</v>
      </c>
      <c r="AH118" s="159">
        <v>2</v>
      </c>
      <c r="AI118" s="159">
        <v>0</v>
      </c>
      <c r="AJ118" s="159" t="s">
        <v>2145</v>
      </c>
      <c r="AK118" s="159" t="s">
        <v>2093</v>
      </c>
      <c r="AL118" s="159"/>
      <c r="AM118" s="159">
        <v>1</v>
      </c>
      <c r="AN118" s="159"/>
    </row>
    <row r="119" spans="1:40">
      <c r="C119" s="159"/>
      <c r="D119" s="160"/>
      <c r="E119" s="157">
        <v>2</v>
      </c>
      <c r="F119" s="143"/>
      <c r="G119" s="143"/>
      <c r="H119" s="159" t="s">
        <v>1493</v>
      </c>
      <c r="I119" s="159"/>
      <c r="J119" s="159" t="s">
        <v>1923</v>
      </c>
      <c r="K119" s="159" t="s">
        <v>1496</v>
      </c>
      <c r="L119" s="159" t="s">
        <v>1993</v>
      </c>
      <c r="M119" s="159">
        <v>5</v>
      </c>
      <c r="N119" s="159">
        <v>0.06</v>
      </c>
      <c r="O119" s="159"/>
      <c r="P119" s="165"/>
      <c r="Q119" s="166"/>
      <c r="R119" s="165"/>
      <c r="S119" s="166">
        <v>400</v>
      </c>
      <c r="T119" s="165">
        <v>50</v>
      </c>
      <c r="U119" s="166">
        <v>5</v>
      </c>
      <c r="V119" s="165">
        <v>15</v>
      </c>
      <c r="W119" s="193"/>
      <c r="X119" s="193"/>
      <c r="Y119" s="193"/>
      <c r="Z119" s="193"/>
      <c r="AA119" s="193"/>
      <c r="AB119" s="193"/>
      <c r="AC119" s="193"/>
      <c r="AD119" s="159"/>
      <c r="AE119" s="159"/>
      <c r="AF119" s="159"/>
      <c r="AG119" s="159"/>
      <c r="AH119" s="159"/>
      <c r="AI119" s="159"/>
      <c r="AJ119" s="159"/>
      <c r="AK119" s="159"/>
      <c r="AL119" s="159"/>
      <c r="AM119" s="159"/>
      <c r="AN119" s="159"/>
    </row>
    <row r="120" spans="1:40">
      <c r="C120" s="159"/>
      <c r="D120" s="160"/>
      <c r="E120" s="157">
        <v>3</v>
      </c>
      <c r="F120" s="143"/>
      <c r="G120" s="143"/>
      <c r="H120" s="159" t="s">
        <v>1494</v>
      </c>
      <c r="I120" s="159"/>
      <c r="J120" s="159" t="s">
        <v>1923</v>
      </c>
      <c r="K120" s="159" t="s">
        <v>1497</v>
      </c>
      <c r="L120" s="159" t="s">
        <v>1993</v>
      </c>
      <c r="M120" s="159">
        <v>6</v>
      </c>
      <c r="N120" s="159">
        <v>0.09</v>
      </c>
      <c r="O120" s="159"/>
      <c r="P120" s="165"/>
      <c r="Q120" s="166"/>
      <c r="R120" s="165"/>
      <c r="S120" s="166">
        <v>500</v>
      </c>
      <c r="T120" s="165">
        <v>50</v>
      </c>
      <c r="U120" s="166">
        <v>6</v>
      </c>
      <c r="V120" s="165">
        <v>12</v>
      </c>
      <c r="W120" s="193"/>
      <c r="X120" s="193"/>
      <c r="Y120" s="193"/>
      <c r="Z120" s="193"/>
      <c r="AA120" s="193"/>
      <c r="AB120" s="193"/>
      <c r="AC120" s="193"/>
      <c r="AD120" s="159"/>
      <c r="AE120" s="159"/>
      <c r="AF120" s="159"/>
      <c r="AG120" s="159"/>
      <c r="AH120" s="159"/>
      <c r="AI120" s="159"/>
      <c r="AJ120" s="159"/>
      <c r="AK120" s="159"/>
      <c r="AL120" s="159"/>
      <c r="AM120" s="159"/>
      <c r="AN120" s="159"/>
    </row>
    <row r="121" spans="1:40">
      <c r="C121" s="159" t="s">
        <v>226</v>
      </c>
      <c r="D121" s="160" t="s">
        <v>749</v>
      </c>
      <c r="E121" s="157">
        <v>1</v>
      </c>
      <c r="F121" s="159" t="s">
        <v>227</v>
      </c>
      <c r="G121" s="159" t="s">
        <v>1850</v>
      </c>
      <c r="H121" s="159" t="s">
        <v>228</v>
      </c>
      <c r="I121" s="159"/>
      <c r="J121" s="159" t="s">
        <v>1850</v>
      </c>
      <c r="K121" s="159" t="s">
        <v>1498</v>
      </c>
      <c r="L121" s="159" t="s">
        <v>1850</v>
      </c>
      <c r="M121" s="159"/>
      <c r="N121" s="159"/>
      <c r="O121" s="159"/>
      <c r="P121" s="165"/>
      <c r="Q121" s="166"/>
      <c r="R121" s="165">
        <v>600</v>
      </c>
      <c r="S121" s="166"/>
      <c r="T121" s="165">
        <v>25</v>
      </c>
      <c r="U121" s="166">
        <v>10</v>
      </c>
      <c r="V121" s="165">
        <v>30</v>
      </c>
      <c r="W121" s="193" t="s">
        <v>2052</v>
      </c>
      <c r="X121" s="193" t="s">
        <v>2098</v>
      </c>
      <c r="Y121" s="193">
        <v>0</v>
      </c>
      <c r="Z121" s="193">
        <v>0</v>
      </c>
      <c r="AA121" s="193">
        <v>2.74</v>
      </c>
      <c r="AB121" s="193">
        <v>1</v>
      </c>
      <c r="AC121" s="193">
        <v>1</v>
      </c>
      <c r="AD121" s="159" t="s">
        <v>1327</v>
      </c>
      <c r="AE121" s="159" t="s">
        <v>2092</v>
      </c>
      <c r="AF121" s="159">
        <v>3</v>
      </c>
      <c r="AG121" s="159">
        <v>2</v>
      </c>
      <c r="AH121" s="159">
        <v>3</v>
      </c>
      <c r="AI121" s="159">
        <v>0</v>
      </c>
      <c r="AJ121" s="159" t="s">
        <v>2146</v>
      </c>
      <c r="AK121" s="159" t="s">
        <v>2168</v>
      </c>
      <c r="AL121" s="159" t="s">
        <v>2178</v>
      </c>
      <c r="AM121" s="159">
        <v>1</v>
      </c>
      <c r="AN121" s="159"/>
    </row>
    <row r="122" spans="1:40">
      <c r="C122" s="159"/>
      <c r="D122" s="160"/>
      <c r="E122" s="157">
        <v>2</v>
      </c>
      <c r="F122" s="143"/>
      <c r="G122" s="159"/>
      <c r="H122" s="159" t="s">
        <v>231</v>
      </c>
      <c r="I122" s="159"/>
      <c r="J122" s="159" t="s">
        <v>1850</v>
      </c>
      <c r="K122" s="159" t="s">
        <v>1499</v>
      </c>
      <c r="L122" s="159" t="s">
        <v>1850</v>
      </c>
      <c r="M122" s="159"/>
      <c r="N122" s="159"/>
      <c r="O122" s="159"/>
      <c r="P122" s="165"/>
      <c r="Q122" s="166"/>
      <c r="R122" s="165">
        <v>600</v>
      </c>
      <c r="S122" s="166"/>
      <c r="T122" s="165">
        <v>25</v>
      </c>
      <c r="U122" s="166">
        <v>10</v>
      </c>
      <c r="V122" s="165">
        <v>22</v>
      </c>
      <c r="W122" s="193"/>
      <c r="X122" s="193"/>
      <c r="Y122" s="193"/>
      <c r="Z122" s="193"/>
      <c r="AA122" s="193"/>
      <c r="AB122" s="193"/>
      <c r="AC122" s="193"/>
      <c r="AD122" s="159"/>
      <c r="AE122" s="159"/>
      <c r="AF122" s="159"/>
      <c r="AG122" s="159"/>
      <c r="AH122" s="159"/>
      <c r="AI122" s="159"/>
      <c r="AJ122" s="159"/>
      <c r="AK122" s="159"/>
      <c r="AL122" s="159" t="s">
        <v>2178</v>
      </c>
      <c r="AM122" s="159"/>
      <c r="AN122" s="159"/>
    </row>
    <row r="123" spans="1:40">
      <c r="C123" s="159"/>
      <c r="D123" s="160"/>
      <c r="E123" s="157">
        <v>3</v>
      </c>
      <c r="F123" s="143"/>
      <c r="G123" s="159"/>
      <c r="H123" s="159" t="s">
        <v>235</v>
      </c>
      <c r="I123" s="159"/>
      <c r="J123" s="159" t="s">
        <v>1850</v>
      </c>
      <c r="K123" s="159" t="s">
        <v>1500</v>
      </c>
      <c r="L123" s="159" t="s">
        <v>1850</v>
      </c>
      <c r="M123" s="159"/>
      <c r="N123" s="159"/>
      <c r="O123" s="159"/>
      <c r="P123" s="165"/>
      <c r="Q123" s="166"/>
      <c r="R123" s="165">
        <v>600</v>
      </c>
      <c r="S123" s="166"/>
      <c r="T123" s="165">
        <v>25</v>
      </c>
      <c r="U123" s="166">
        <v>10</v>
      </c>
      <c r="V123" s="165">
        <v>14</v>
      </c>
      <c r="W123" s="193"/>
      <c r="X123" s="193"/>
      <c r="Y123" s="193"/>
      <c r="Z123" s="193"/>
      <c r="AA123" s="193"/>
      <c r="AB123" s="193"/>
      <c r="AC123" s="193"/>
      <c r="AD123" s="159"/>
      <c r="AE123" s="159"/>
      <c r="AF123" s="159"/>
      <c r="AG123" s="159"/>
      <c r="AH123" s="159"/>
      <c r="AI123" s="159"/>
      <c r="AJ123" s="159"/>
      <c r="AK123" s="159"/>
      <c r="AL123" s="159" t="s">
        <v>2178</v>
      </c>
      <c r="AM123" s="159"/>
      <c r="AN123" s="159"/>
    </row>
    <row r="124" spans="1:40">
      <c r="C124" s="159" t="s">
        <v>239</v>
      </c>
      <c r="D124" s="160" t="s">
        <v>834</v>
      </c>
      <c r="E124" s="157">
        <v>1</v>
      </c>
      <c r="F124" s="159" t="s">
        <v>242</v>
      </c>
      <c r="G124" s="159" t="s">
        <v>1786</v>
      </c>
      <c r="H124" s="159" t="s">
        <v>243</v>
      </c>
      <c r="I124" s="159"/>
      <c r="J124" s="159" t="s">
        <v>1787</v>
      </c>
      <c r="K124" s="159" t="s">
        <v>1501</v>
      </c>
      <c r="L124" s="159" t="s">
        <v>1786</v>
      </c>
      <c r="M124" s="159"/>
      <c r="N124" s="159"/>
      <c r="O124" s="159"/>
      <c r="P124" s="165"/>
      <c r="Q124" s="166"/>
      <c r="R124" s="165">
        <v>600</v>
      </c>
      <c r="S124" s="166"/>
      <c r="T124" s="165">
        <v>25</v>
      </c>
      <c r="U124" s="166"/>
      <c r="V124" s="165">
        <v>6</v>
      </c>
      <c r="W124" s="193" t="s">
        <v>2053</v>
      </c>
      <c r="X124" s="193" t="s">
        <v>2098</v>
      </c>
      <c r="Y124" s="193">
        <v>0</v>
      </c>
      <c r="Z124" s="193">
        <v>0</v>
      </c>
      <c r="AA124" s="193">
        <v>2.74</v>
      </c>
      <c r="AB124" s="193">
        <v>1</v>
      </c>
      <c r="AC124" s="193">
        <v>1</v>
      </c>
      <c r="AD124" s="159" t="s">
        <v>2100</v>
      </c>
      <c r="AE124" s="159" t="s">
        <v>2076</v>
      </c>
      <c r="AF124" s="159">
        <v>1</v>
      </c>
      <c r="AG124" s="159">
        <v>1</v>
      </c>
      <c r="AH124" s="159">
        <v>0</v>
      </c>
      <c r="AI124" s="159">
        <v>1</v>
      </c>
      <c r="AJ124" s="159" t="s">
        <v>2147</v>
      </c>
      <c r="AK124" s="159" t="s">
        <v>2171</v>
      </c>
      <c r="AL124" s="159" t="s">
        <v>2178</v>
      </c>
      <c r="AM124" s="159">
        <v>1</v>
      </c>
      <c r="AN124" s="159"/>
    </row>
    <row r="125" spans="1:40">
      <c r="C125" s="159"/>
      <c r="D125" s="160"/>
      <c r="E125" s="157">
        <v>2</v>
      </c>
      <c r="F125" s="143"/>
      <c r="G125" s="159"/>
      <c r="H125" s="159" t="s">
        <v>244</v>
      </c>
      <c r="I125" s="159"/>
      <c r="J125" s="159" t="s">
        <v>1788</v>
      </c>
      <c r="K125" s="159" t="s">
        <v>1502</v>
      </c>
      <c r="L125" s="159" t="s">
        <v>1790</v>
      </c>
      <c r="M125" s="159"/>
      <c r="N125" s="159"/>
      <c r="O125" s="159"/>
      <c r="P125" s="165"/>
      <c r="Q125" s="166"/>
      <c r="R125" s="165">
        <v>600</v>
      </c>
      <c r="S125" s="166"/>
      <c r="T125" s="165">
        <v>25</v>
      </c>
      <c r="U125" s="166"/>
      <c r="V125" s="165">
        <v>3</v>
      </c>
      <c r="W125" s="193"/>
      <c r="X125" s="193"/>
      <c r="Y125" s="193"/>
      <c r="Z125" s="193"/>
      <c r="AA125" s="193"/>
      <c r="AB125" s="193"/>
      <c r="AC125" s="193"/>
      <c r="AD125" s="159"/>
      <c r="AE125" s="159"/>
      <c r="AF125" s="159"/>
      <c r="AG125" s="159"/>
      <c r="AH125" s="159"/>
      <c r="AI125" s="159"/>
      <c r="AJ125" s="159"/>
      <c r="AK125" s="159"/>
      <c r="AL125" s="159"/>
      <c r="AM125" s="159"/>
      <c r="AN125" s="159"/>
    </row>
    <row r="126" spans="1:40">
      <c r="C126" s="159"/>
      <c r="D126" s="160"/>
      <c r="E126" s="157">
        <v>3</v>
      </c>
      <c r="F126" s="143"/>
      <c r="G126" s="159"/>
      <c r="H126" s="159" t="s">
        <v>246</v>
      </c>
      <c r="I126" s="159"/>
      <c r="J126" s="159" t="s">
        <v>1789</v>
      </c>
      <c r="K126" s="159" t="s">
        <v>1503</v>
      </c>
      <c r="L126" s="159" t="s">
        <v>1791</v>
      </c>
      <c r="M126" s="159"/>
      <c r="N126" s="159"/>
      <c r="O126" s="159"/>
      <c r="P126" s="165"/>
      <c r="Q126" s="166"/>
      <c r="R126" s="165">
        <v>600</v>
      </c>
      <c r="S126" s="166"/>
      <c r="T126" s="165">
        <v>25</v>
      </c>
      <c r="U126" s="166"/>
      <c r="V126" s="165">
        <v>1</v>
      </c>
      <c r="W126" s="193"/>
      <c r="X126" s="193"/>
      <c r="Y126" s="193"/>
      <c r="Z126" s="193"/>
      <c r="AA126" s="193"/>
      <c r="AB126" s="193"/>
      <c r="AC126" s="193"/>
      <c r="AD126" s="159"/>
      <c r="AE126" s="159"/>
      <c r="AF126" s="159"/>
      <c r="AG126" s="159"/>
      <c r="AH126" s="159"/>
      <c r="AI126" s="159"/>
      <c r="AJ126" s="159"/>
      <c r="AK126" s="159"/>
      <c r="AL126" s="159"/>
      <c r="AM126" s="159"/>
      <c r="AN126" s="159"/>
    </row>
    <row r="127" spans="1:40">
      <c r="C127" s="159" t="s">
        <v>247</v>
      </c>
      <c r="D127" s="160" t="s">
        <v>1794</v>
      </c>
      <c r="E127" s="159">
        <v>1</v>
      </c>
      <c r="F127" s="159" t="s">
        <v>248</v>
      </c>
      <c r="G127" s="159" t="s">
        <v>1851</v>
      </c>
      <c r="H127" s="159"/>
      <c r="I127" s="159"/>
      <c r="J127" s="159"/>
      <c r="K127" s="159"/>
      <c r="L127" s="159" t="s">
        <v>1793</v>
      </c>
      <c r="M127" s="159"/>
      <c r="N127" s="159"/>
      <c r="O127" s="159"/>
      <c r="P127" s="165"/>
      <c r="Q127" s="166"/>
      <c r="R127" s="165">
        <v>600</v>
      </c>
      <c r="S127" s="166"/>
      <c r="T127" s="165">
        <v>15</v>
      </c>
      <c r="U127" s="166"/>
      <c r="V127" s="165">
        <v>2</v>
      </c>
      <c r="W127" s="193" t="s">
        <v>2054</v>
      </c>
      <c r="X127" s="193" t="s">
        <v>2098</v>
      </c>
      <c r="Y127" s="193">
        <v>0</v>
      </c>
      <c r="Z127" s="193">
        <v>0</v>
      </c>
      <c r="AA127" s="193">
        <v>0</v>
      </c>
      <c r="AB127" s="193">
        <v>1</v>
      </c>
      <c r="AC127" s="193">
        <v>1</v>
      </c>
      <c r="AD127" s="159" t="s">
        <v>2101</v>
      </c>
      <c r="AE127" s="159" t="s">
        <v>2093</v>
      </c>
      <c r="AF127" s="159">
        <v>2</v>
      </c>
      <c r="AG127" s="159">
        <v>1</v>
      </c>
      <c r="AH127" s="159">
        <v>0</v>
      </c>
      <c r="AI127" s="159">
        <v>0</v>
      </c>
      <c r="AJ127" s="159" t="s">
        <v>2148</v>
      </c>
      <c r="AK127" s="159" t="s">
        <v>2093</v>
      </c>
      <c r="AL127" s="159" t="s">
        <v>2180</v>
      </c>
      <c r="AM127" s="159">
        <v>0</v>
      </c>
      <c r="AN127" s="159"/>
    </row>
    <row r="128" spans="1:40">
      <c r="A128" s="159" t="s">
        <v>249</v>
      </c>
      <c r="B128" s="159" t="s">
        <v>1805</v>
      </c>
      <c r="C128" s="159" t="s">
        <v>352</v>
      </c>
      <c r="D128" s="157" t="s">
        <v>833</v>
      </c>
      <c r="E128" s="157">
        <v>1</v>
      </c>
      <c r="F128" s="159" t="s">
        <v>353</v>
      </c>
      <c r="G128" s="159" t="s">
        <v>1858</v>
      </c>
      <c r="H128" s="159" t="s">
        <v>354</v>
      </c>
      <c r="I128" s="159"/>
      <c r="J128" s="159" t="s">
        <v>1924</v>
      </c>
      <c r="K128" s="159" t="s">
        <v>1506</v>
      </c>
      <c r="L128" s="159" t="s">
        <v>1994</v>
      </c>
      <c r="M128" s="159">
        <v>1.1000000000000001</v>
      </c>
      <c r="N128" s="159">
        <v>0.2</v>
      </c>
      <c r="O128" s="159"/>
      <c r="P128" s="165">
        <v>2</v>
      </c>
      <c r="Q128" s="166"/>
      <c r="R128" s="165">
        <v>600</v>
      </c>
      <c r="S128" s="166"/>
      <c r="T128" s="165">
        <v>10</v>
      </c>
      <c r="U128" s="166"/>
      <c r="V128" s="165">
        <v>1</v>
      </c>
      <c r="W128" s="193" t="s">
        <v>2055</v>
      </c>
      <c r="X128" s="193" t="s">
        <v>2098</v>
      </c>
      <c r="Y128" s="193">
        <v>0</v>
      </c>
      <c r="Z128" s="193">
        <v>0</v>
      </c>
      <c r="AA128" s="193">
        <v>0</v>
      </c>
      <c r="AB128" s="193">
        <v>1</v>
      </c>
      <c r="AC128" s="193">
        <v>1</v>
      </c>
      <c r="AD128" s="159" t="s">
        <v>1049</v>
      </c>
      <c r="AE128" s="159" t="s">
        <v>2094</v>
      </c>
      <c r="AF128" s="159">
        <v>0</v>
      </c>
      <c r="AG128" s="159">
        <v>2</v>
      </c>
      <c r="AH128" s="159">
        <v>0</v>
      </c>
      <c r="AI128" s="159">
        <v>0</v>
      </c>
      <c r="AJ128" s="159" t="s">
        <v>2149</v>
      </c>
      <c r="AK128" s="159" t="s">
        <v>2173</v>
      </c>
      <c r="AL128" s="159" t="s">
        <v>2178</v>
      </c>
      <c r="AM128" s="159">
        <v>1</v>
      </c>
      <c r="AN128" s="159"/>
    </row>
    <row r="129" spans="1:40">
      <c r="A129" s="159"/>
      <c r="B129" s="159"/>
      <c r="C129" s="157"/>
      <c r="D129" s="157"/>
      <c r="E129" s="157">
        <v>2</v>
      </c>
      <c r="F129" s="143"/>
      <c r="G129" s="159"/>
      <c r="H129" s="159" t="s">
        <v>355</v>
      </c>
      <c r="I129" s="159"/>
      <c r="J129" s="159" t="s">
        <v>1924</v>
      </c>
      <c r="K129" s="159" t="s">
        <v>1507</v>
      </c>
      <c r="L129" s="159" t="s">
        <v>1994</v>
      </c>
      <c r="M129" s="159">
        <v>1.2</v>
      </c>
      <c r="N129" s="159">
        <v>0.4</v>
      </c>
      <c r="O129" s="159"/>
      <c r="P129" s="165">
        <v>2</v>
      </c>
      <c r="Q129" s="166"/>
      <c r="R129" s="165">
        <v>600</v>
      </c>
      <c r="S129" s="166"/>
      <c r="T129" s="165">
        <v>13</v>
      </c>
      <c r="U129" s="166"/>
      <c r="V129" s="165">
        <v>1</v>
      </c>
      <c r="W129" s="193"/>
      <c r="X129" s="193"/>
      <c r="Y129" s="193"/>
      <c r="Z129" s="193"/>
      <c r="AA129" s="193"/>
      <c r="AB129" s="193"/>
      <c r="AC129" s="193"/>
      <c r="AD129" s="159"/>
      <c r="AE129" s="159"/>
      <c r="AF129" s="159"/>
      <c r="AG129" s="159"/>
      <c r="AH129" s="159"/>
      <c r="AI129" s="159"/>
      <c r="AJ129" s="159"/>
      <c r="AK129" s="159"/>
      <c r="AL129" s="159" t="s">
        <v>2178</v>
      </c>
      <c r="AM129" s="159"/>
      <c r="AN129" s="159"/>
    </row>
    <row r="130" spans="1:40">
      <c r="A130" s="159"/>
      <c r="B130" s="159"/>
      <c r="C130" s="157"/>
      <c r="D130" s="157"/>
      <c r="E130" s="157">
        <v>3</v>
      </c>
      <c r="F130" s="143"/>
      <c r="G130" s="159"/>
      <c r="H130" s="159" t="s">
        <v>356</v>
      </c>
      <c r="I130" s="159"/>
      <c r="J130" s="159" t="s">
        <v>1924</v>
      </c>
      <c r="K130" s="159" t="s">
        <v>1508</v>
      </c>
      <c r="L130" s="159" t="s">
        <v>1994</v>
      </c>
      <c r="M130" s="159">
        <v>1.3</v>
      </c>
      <c r="N130" s="159">
        <v>0.6</v>
      </c>
      <c r="O130" s="159"/>
      <c r="P130" s="165">
        <v>2</v>
      </c>
      <c r="Q130" s="166"/>
      <c r="R130" s="165">
        <v>600</v>
      </c>
      <c r="S130" s="166"/>
      <c r="T130" s="165">
        <v>16</v>
      </c>
      <c r="U130" s="166"/>
      <c r="V130" s="165">
        <v>1</v>
      </c>
      <c r="W130" s="193"/>
      <c r="X130" s="193"/>
      <c r="Y130" s="193"/>
      <c r="Z130" s="193"/>
      <c r="AA130" s="193"/>
      <c r="AB130" s="193"/>
      <c r="AC130" s="193"/>
      <c r="AD130" s="159"/>
      <c r="AE130" s="159"/>
      <c r="AF130" s="159"/>
      <c r="AG130" s="159"/>
      <c r="AH130" s="159"/>
      <c r="AI130" s="159"/>
      <c r="AJ130" s="159"/>
      <c r="AK130" s="159"/>
      <c r="AL130" s="159" t="s">
        <v>2178</v>
      </c>
      <c r="AM130" s="159"/>
      <c r="AN130" s="159"/>
    </row>
    <row r="131" spans="1:40">
      <c r="A131" s="159"/>
      <c r="B131" s="159"/>
      <c r="C131" s="159" t="s">
        <v>135</v>
      </c>
      <c r="D131" s="160" t="s">
        <v>829</v>
      </c>
      <c r="E131" s="157">
        <v>1</v>
      </c>
      <c r="F131" s="159" t="s">
        <v>1509</v>
      </c>
      <c r="G131" s="159" t="s">
        <v>1859</v>
      </c>
      <c r="H131" s="159" t="s">
        <v>11</v>
      </c>
      <c r="I131" s="159"/>
      <c r="J131" s="159" t="s">
        <v>1882</v>
      </c>
      <c r="K131" s="159" t="s">
        <v>1512</v>
      </c>
      <c r="L131" s="159" t="s">
        <v>1995</v>
      </c>
      <c r="M131" s="159">
        <v>150</v>
      </c>
      <c r="N131" s="159"/>
      <c r="O131" s="159"/>
      <c r="P131" s="165"/>
      <c r="Q131" s="166"/>
      <c r="R131" s="165">
        <v>600</v>
      </c>
      <c r="S131" s="166"/>
      <c r="T131" s="165">
        <v>85</v>
      </c>
      <c r="U131" s="166"/>
      <c r="V131" s="165">
        <v>9</v>
      </c>
      <c r="W131" s="193" t="s">
        <v>2056</v>
      </c>
      <c r="X131" s="193" t="s">
        <v>2098</v>
      </c>
      <c r="Y131" s="193">
        <v>0</v>
      </c>
      <c r="Z131" s="193">
        <v>0</v>
      </c>
      <c r="AA131" s="193">
        <v>1.34</v>
      </c>
      <c r="AB131" s="193">
        <v>1</v>
      </c>
      <c r="AC131" s="193">
        <v>1</v>
      </c>
      <c r="AD131" s="159" t="s">
        <v>1311</v>
      </c>
      <c r="AE131" s="159" t="s">
        <v>2086</v>
      </c>
      <c r="AF131" s="159">
        <v>1</v>
      </c>
      <c r="AG131" s="159">
        <v>2</v>
      </c>
      <c r="AH131" s="159">
        <v>1</v>
      </c>
      <c r="AI131" s="159">
        <v>0</v>
      </c>
      <c r="AJ131" s="159" t="s">
        <v>2150</v>
      </c>
      <c r="AK131" s="159" t="s">
        <v>2170</v>
      </c>
      <c r="AL131" s="159" t="s">
        <v>2178</v>
      </c>
      <c r="AM131" s="159">
        <v>1</v>
      </c>
      <c r="AN131" s="159"/>
    </row>
    <row r="132" spans="1:40">
      <c r="A132" s="159"/>
      <c r="B132" s="159"/>
      <c r="C132" s="159"/>
      <c r="D132" s="160"/>
      <c r="E132" s="157">
        <v>2</v>
      </c>
      <c r="F132" s="143"/>
      <c r="G132" s="159"/>
      <c r="H132" s="159" t="s">
        <v>1510</v>
      </c>
      <c r="I132" s="159"/>
      <c r="J132" s="159" t="s">
        <v>1882</v>
      </c>
      <c r="K132" s="159" t="s">
        <v>1513</v>
      </c>
      <c r="L132" s="159" t="s">
        <v>1995</v>
      </c>
      <c r="M132" s="159">
        <v>250</v>
      </c>
      <c r="N132" s="159"/>
      <c r="O132" s="159"/>
      <c r="P132" s="165"/>
      <c r="Q132" s="166"/>
      <c r="R132" s="165">
        <v>600</v>
      </c>
      <c r="S132" s="166"/>
      <c r="T132" s="165">
        <v>95</v>
      </c>
      <c r="U132" s="166"/>
      <c r="V132" s="165">
        <v>9</v>
      </c>
      <c r="W132" s="193"/>
      <c r="X132" s="193"/>
      <c r="Y132" s="193"/>
      <c r="Z132" s="193"/>
      <c r="AA132" s="193"/>
      <c r="AB132" s="193"/>
      <c r="AC132" s="193"/>
      <c r="AD132" s="159"/>
      <c r="AE132" s="159"/>
      <c r="AF132" s="159"/>
      <c r="AG132" s="159"/>
      <c r="AH132" s="159"/>
      <c r="AI132" s="159"/>
      <c r="AJ132" s="159"/>
      <c r="AK132" s="159"/>
      <c r="AL132" s="159" t="s">
        <v>2178</v>
      </c>
      <c r="AM132" s="159"/>
      <c r="AN132" s="159"/>
    </row>
    <row r="133" spans="1:40">
      <c r="A133" s="159"/>
      <c r="B133" s="159"/>
      <c r="C133" s="159"/>
      <c r="D133" s="160"/>
      <c r="E133" s="157">
        <v>3</v>
      </c>
      <c r="F133" s="143"/>
      <c r="G133" s="159"/>
      <c r="H133" s="159" t="s">
        <v>1511</v>
      </c>
      <c r="I133" s="159"/>
      <c r="J133" s="159" t="s">
        <v>1882</v>
      </c>
      <c r="K133" s="159" t="s">
        <v>1514</v>
      </c>
      <c r="L133" s="159" t="s">
        <v>1995</v>
      </c>
      <c r="M133" s="159">
        <v>350</v>
      </c>
      <c r="N133" s="159"/>
      <c r="O133" s="159"/>
      <c r="P133" s="165"/>
      <c r="Q133" s="166"/>
      <c r="R133" s="165">
        <v>600</v>
      </c>
      <c r="S133" s="166"/>
      <c r="T133" s="165">
        <v>105</v>
      </c>
      <c r="U133" s="166"/>
      <c r="V133" s="165">
        <v>9</v>
      </c>
      <c r="W133" s="193"/>
      <c r="X133" s="193"/>
      <c r="Y133" s="193"/>
      <c r="Z133" s="193"/>
      <c r="AA133" s="193"/>
      <c r="AB133" s="193"/>
      <c r="AC133" s="193"/>
      <c r="AD133" s="159"/>
      <c r="AE133" s="159"/>
      <c r="AF133" s="159"/>
      <c r="AG133" s="159"/>
      <c r="AH133" s="159"/>
      <c r="AI133" s="159"/>
      <c r="AJ133" s="159"/>
      <c r="AK133" s="159"/>
      <c r="AL133" s="159" t="s">
        <v>2178</v>
      </c>
      <c r="AM133" s="159"/>
      <c r="AN133" s="159"/>
    </row>
    <row r="134" spans="1:40">
      <c r="A134" s="159"/>
      <c r="B134" s="159"/>
      <c r="C134" s="159" t="s">
        <v>136</v>
      </c>
      <c r="D134" s="160" t="s">
        <v>828</v>
      </c>
      <c r="E134" s="157">
        <v>1</v>
      </c>
      <c r="F134" s="159" t="s">
        <v>1515</v>
      </c>
      <c r="G134" s="159" t="s">
        <v>1860</v>
      </c>
      <c r="H134" s="159" t="s">
        <v>1516</v>
      </c>
      <c r="I134" s="159"/>
      <c r="J134" s="159" t="s">
        <v>1925</v>
      </c>
      <c r="K134" s="159" t="s">
        <v>1519</v>
      </c>
      <c r="L134" s="159" t="s">
        <v>1996</v>
      </c>
      <c r="M134" s="159">
        <v>0.1</v>
      </c>
      <c r="N134" s="159"/>
      <c r="O134" s="159"/>
      <c r="P134" s="165"/>
      <c r="Q134" s="166"/>
      <c r="R134" s="165">
        <v>800</v>
      </c>
      <c r="S134" s="166"/>
      <c r="T134" s="165">
        <v>15</v>
      </c>
      <c r="U134" s="166">
        <v>6</v>
      </c>
      <c r="V134" s="165">
        <v>4</v>
      </c>
      <c r="W134" s="193" t="s">
        <v>2057</v>
      </c>
      <c r="X134" s="193" t="s">
        <v>2098</v>
      </c>
      <c r="Y134" s="193">
        <v>0</v>
      </c>
      <c r="Z134" s="193">
        <v>0</v>
      </c>
      <c r="AA134" s="193">
        <v>1.27</v>
      </c>
      <c r="AB134" s="193">
        <v>1</v>
      </c>
      <c r="AC134" s="193">
        <v>1</v>
      </c>
      <c r="AD134" s="159" t="s">
        <v>1319</v>
      </c>
      <c r="AE134" s="159" t="s">
        <v>1766</v>
      </c>
      <c r="AF134" s="159">
        <v>2</v>
      </c>
      <c r="AG134" s="159">
        <v>2</v>
      </c>
      <c r="AH134" s="159">
        <v>2</v>
      </c>
      <c r="AI134" s="159">
        <v>0</v>
      </c>
      <c r="AJ134" s="159" t="s">
        <v>2151</v>
      </c>
      <c r="AK134" s="159" t="s">
        <v>2174</v>
      </c>
      <c r="AL134" s="159"/>
      <c r="AM134" s="159">
        <v>1</v>
      </c>
      <c r="AN134" s="159"/>
    </row>
    <row r="135" spans="1:40">
      <c r="A135" s="159"/>
      <c r="B135" s="159"/>
      <c r="C135" s="159"/>
      <c r="D135" s="160"/>
      <c r="E135" s="157">
        <v>2</v>
      </c>
      <c r="F135" s="143"/>
      <c r="G135" s="159"/>
      <c r="H135" s="159" t="s">
        <v>1517</v>
      </c>
      <c r="I135" s="159"/>
      <c r="J135" s="159" t="s">
        <v>1925</v>
      </c>
      <c r="K135" s="159" t="s">
        <v>1520</v>
      </c>
      <c r="L135" s="159" t="s">
        <v>1996</v>
      </c>
      <c r="M135" s="159">
        <v>0.2</v>
      </c>
      <c r="N135" s="159"/>
      <c r="O135" s="159"/>
      <c r="P135" s="165"/>
      <c r="Q135" s="166"/>
      <c r="R135" s="165">
        <v>800</v>
      </c>
      <c r="S135" s="166"/>
      <c r="T135" s="165">
        <v>15</v>
      </c>
      <c r="U135" s="166">
        <v>6</v>
      </c>
      <c r="V135" s="165">
        <v>4</v>
      </c>
      <c r="W135" s="193"/>
      <c r="X135" s="193"/>
      <c r="Y135" s="193"/>
      <c r="Z135" s="193"/>
      <c r="AA135" s="193"/>
      <c r="AB135" s="193"/>
      <c r="AC135" s="193"/>
      <c r="AD135" s="159"/>
      <c r="AE135" s="159"/>
      <c r="AF135" s="159"/>
      <c r="AG135" s="159"/>
      <c r="AH135" s="159"/>
      <c r="AI135" s="159"/>
      <c r="AJ135" s="159"/>
      <c r="AK135" s="159"/>
      <c r="AL135" s="159"/>
      <c r="AM135" s="159"/>
      <c r="AN135" s="159"/>
    </row>
    <row r="136" spans="1:40">
      <c r="A136" s="159"/>
      <c r="B136" s="159"/>
      <c r="C136" s="159"/>
      <c r="D136" s="160"/>
      <c r="E136" s="157">
        <v>3</v>
      </c>
      <c r="F136" s="143"/>
      <c r="G136" s="159"/>
      <c r="H136" s="159" t="s">
        <v>1518</v>
      </c>
      <c r="I136" s="159"/>
      <c r="J136" s="159" t="s">
        <v>1925</v>
      </c>
      <c r="K136" s="159" t="s">
        <v>1521</v>
      </c>
      <c r="L136" s="159" t="s">
        <v>1996</v>
      </c>
      <c r="M136" s="159">
        <v>0.3</v>
      </c>
      <c r="N136" s="159"/>
      <c r="O136" s="159"/>
      <c r="P136" s="165"/>
      <c r="Q136" s="166"/>
      <c r="R136" s="165">
        <v>800</v>
      </c>
      <c r="S136" s="166"/>
      <c r="T136" s="165">
        <v>15</v>
      </c>
      <c r="U136" s="166">
        <v>6</v>
      </c>
      <c r="V136" s="165">
        <v>4</v>
      </c>
      <c r="W136" s="193"/>
      <c r="X136" s="193"/>
      <c r="Y136" s="193"/>
      <c r="Z136" s="193"/>
      <c r="AA136" s="193"/>
      <c r="AB136" s="193"/>
      <c r="AC136" s="193"/>
      <c r="AD136" s="159"/>
      <c r="AE136" s="159"/>
      <c r="AF136" s="159"/>
      <c r="AG136" s="159"/>
      <c r="AH136" s="159"/>
      <c r="AI136" s="159"/>
      <c r="AJ136" s="159"/>
      <c r="AK136" s="159"/>
      <c r="AL136" s="159"/>
      <c r="AM136" s="159"/>
      <c r="AN136" s="159"/>
    </row>
    <row r="137" spans="1:40">
      <c r="A137" s="159"/>
      <c r="B137" s="159"/>
      <c r="C137" s="159" t="s">
        <v>357</v>
      </c>
      <c r="D137" s="160" t="s">
        <v>826</v>
      </c>
      <c r="E137" s="157">
        <v>1</v>
      </c>
      <c r="F137" s="159" t="s">
        <v>358</v>
      </c>
      <c r="G137" s="159" t="s">
        <v>1861</v>
      </c>
      <c r="H137" s="159" t="s">
        <v>359</v>
      </c>
      <c r="I137" s="159"/>
      <c r="J137" s="159" t="s">
        <v>1926</v>
      </c>
      <c r="K137" s="159"/>
      <c r="L137" s="159" t="s">
        <v>1997</v>
      </c>
      <c r="M137" s="159">
        <v>7.0000000000000007E-2</v>
      </c>
      <c r="N137" s="159">
        <v>0.5</v>
      </c>
      <c r="O137" s="159">
        <v>6</v>
      </c>
      <c r="P137" s="165"/>
      <c r="Q137" s="166"/>
      <c r="R137" s="165">
        <v>400</v>
      </c>
      <c r="S137" s="166"/>
      <c r="T137" s="165"/>
      <c r="U137" s="166"/>
      <c r="V137" s="165">
        <v>1</v>
      </c>
      <c r="W137" s="193" t="s">
        <v>2058</v>
      </c>
      <c r="X137" s="193" t="s">
        <v>2098</v>
      </c>
      <c r="Y137" s="193">
        <v>0</v>
      </c>
      <c r="Z137" s="193">
        <v>0</v>
      </c>
      <c r="AA137" s="193">
        <v>0</v>
      </c>
      <c r="AB137" s="193">
        <v>2</v>
      </c>
      <c r="AC137" s="193">
        <v>4</v>
      </c>
      <c r="AD137" s="159" t="s">
        <v>1327</v>
      </c>
      <c r="AE137" s="159" t="s">
        <v>272</v>
      </c>
      <c r="AF137" s="159">
        <v>3</v>
      </c>
      <c r="AG137" s="159">
        <v>2</v>
      </c>
      <c r="AH137" s="159">
        <v>3</v>
      </c>
      <c r="AI137" s="159">
        <v>0</v>
      </c>
      <c r="AJ137" s="159" t="s">
        <v>2152</v>
      </c>
      <c r="AK137" s="159" t="s">
        <v>2169</v>
      </c>
      <c r="AL137" s="159"/>
      <c r="AM137" s="159">
        <v>1</v>
      </c>
      <c r="AN137" s="159"/>
    </row>
    <row r="138" spans="1:40">
      <c r="A138" s="159"/>
      <c r="B138" s="159"/>
      <c r="C138" s="159"/>
      <c r="D138" s="160"/>
      <c r="E138" s="157">
        <v>2</v>
      </c>
      <c r="F138" s="143"/>
      <c r="G138" s="159"/>
      <c r="H138" s="159" t="s">
        <v>360</v>
      </c>
      <c r="I138" s="159"/>
      <c r="J138" s="159" t="s">
        <v>1926</v>
      </c>
      <c r="K138" s="159"/>
      <c r="L138" s="159" t="s">
        <v>1997</v>
      </c>
      <c r="M138" s="159">
        <v>0.09</v>
      </c>
      <c r="N138" s="159">
        <v>0.65</v>
      </c>
      <c r="O138" s="159">
        <v>9</v>
      </c>
      <c r="P138" s="165"/>
      <c r="Q138" s="166"/>
      <c r="R138" s="165">
        <v>400</v>
      </c>
      <c r="S138" s="166"/>
      <c r="T138" s="165"/>
      <c r="U138" s="166"/>
      <c r="V138" s="165">
        <v>1</v>
      </c>
      <c r="W138" s="193"/>
      <c r="X138" s="193"/>
      <c r="Y138" s="193"/>
      <c r="Z138" s="193"/>
      <c r="AA138" s="193"/>
      <c r="AB138" s="193"/>
      <c r="AC138" s="193"/>
      <c r="AD138" s="159"/>
      <c r="AE138" s="159"/>
      <c r="AF138" s="159"/>
      <c r="AG138" s="159"/>
      <c r="AH138" s="159"/>
      <c r="AI138" s="159"/>
      <c r="AJ138" s="159"/>
      <c r="AK138" s="159"/>
      <c r="AL138" s="159"/>
      <c r="AM138" s="159"/>
      <c r="AN138" s="159"/>
    </row>
    <row r="139" spans="1:40">
      <c r="A139" s="159"/>
      <c r="B139" s="159"/>
      <c r="C139" s="159"/>
      <c r="D139" s="160"/>
      <c r="E139" s="157">
        <v>3</v>
      </c>
      <c r="F139" s="143"/>
      <c r="G139" s="159"/>
      <c r="H139" s="159" t="s">
        <v>361</v>
      </c>
      <c r="I139" s="159"/>
      <c r="J139" s="159" t="s">
        <v>1926</v>
      </c>
      <c r="K139" s="159"/>
      <c r="L139" s="159" t="s">
        <v>1997</v>
      </c>
      <c r="M139" s="159">
        <v>0.11</v>
      </c>
      <c r="N139" s="159">
        <v>0.8</v>
      </c>
      <c r="O139" s="159">
        <v>12</v>
      </c>
      <c r="P139" s="165"/>
      <c r="Q139" s="166"/>
      <c r="R139" s="165">
        <v>400</v>
      </c>
      <c r="S139" s="166"/>
      <c r="T139" s="165"/>
      <c r="U139" s="166"/>
      <c r="V139" s="165">
        <v>1</v>
      </c>
      <c r="W139" s="193"/>
      <c r="X139" s="193"/>
      <c r="Y139" s="193"/>
      <c r="Z139" s="193"/>
      <c r="AA139" s="193"/>
      <c r="AB139" s="193"/>
      <c r="AC139" s="193"/>
      <c r="AD139" s="159"/>
      <c r="AE139" s="159"/>
      <c r="AF139" s="159"/>
      <c r="AG139" s="159"/>
      <c r="AH139" s="159"/>
      <c r="AI139" s="159"/>
      <c r="AJ139" s="159"/>
      <c r="AK139" s="159"/>
      <c r="AL139" s="159"/>
      <c r="AM139" s="159"/>
      <c r="AN139" s="159"/>
    </row>
    <row r="140" spans="1:40">
      <c r="A140" s="159"/>
      <c r="B140" s="159"/>
      <c r="C140" s="159" t="s">
        <v>137</v>
      </c>
      <c r="D140" s="160" t="s">
        <v>820</v>
      </c>
      <c r="E140" s="157">
        <v>1</v>
      </c>
      <c r="F140" s="159" t="s">
        <v>1522</v>
      </c>
      <c r="G140" s="159" t="s">
        <v>1862</v>
      </c>
      <c r="H140" s="159" t="s">
        <v>1523</v>
      </c>
      <c r="I140" s="159"/>
      <c r="J140" s="159" t="s">
        <v>1927</v>
      </c>
      <c r="K140" s="159" t="s">
        <v>1522</v>
      </c>
      <c r="L140" s="159" t="s">
        <v>1862</v>
      </c>
      <c r="M140" s="159"/>
      <c r="N140" s="159"/>
      <c r="O140" s="159"/>
      <c r="P140" s="165"/>
      <c r="Q140" s="166"/>
      <c r="R140" s="165"/>
      <c r="S140" s="166"/>
      <c r="T140" s="165">
        <v>25</v>
      </c>
      <c r="U140" s="166">
        <v>12</v>
      </c>
      <c r="V140" s="165">
        <v>40</v>
      </c>
      <c r="W140" s="193" t="s">
        <v>2059</v>
      </c>
      <c r="X140" s="193" t="s">
        <v>2099</v>
      </c>
      <c r="Y140" s="193"/>
      <c r="Z140" s="193"/>
      <c r="AA140" s="193"/>
      <c r="AB140" s="193"/>
      <c r="AC140" s="193"/>
      <c r="AD140" s="159" t="s">
        <v>2100</v>
      </c>
      <c r="AE140" s="159" t="s">
        <v>2095</v>
      </c>
      <c r="AF140" s="159"/>
      <c r="AG140" s="159"/>
      <c r="AH140" s="159"/>
      <c r="AI140" s="159"/>
      <c r="AJ140" s="159"/>
      <c r="AK140" s="159"/>
      <c r="AL140" s="159"/>
      <c r="AM140" s="159">
        <v>1</v>
      </c>
      <c r="AN140" s="159"/>
    </row>
    <row r="141" spans="1:40">
      <c r="A141" s="159"/>
      <c r="B141" s="159"/>
      <c r="C141" s="159"/>
      <c r="D141" s="160"/>
      <c r="E141" s="157">
        <v>2</v>
      </c>
      <c r="F141" s="143"/>
      <c r="G141" s="159"/>
      <c r="H141" s="159" t="s">
        <v>1524</v>
      </c>
      <c r="I141" s="159"/>
      <c r="J141" s="159" t="s">
        <v>1927</v>
      </c>
      <c r="K141" s="159" t="s">
        <v>1522</v>
      </c>
      <c r="L141" s="159" t="s">
        <v>1862</v>
      </c>
      <c r="M141" s="159"/>
      <c r="N141" s="159"/>
      <c r="O141" s="159"/>
      <c r="P141" s="165"/>
      <c r="Q141" s="166"/>
      <c r="R141" s="165"/>
      <c r="S141" s="166"/>
      <c r="T141" s="165">
        <v>25</v>
      </c>
      <c r="U141" s="166">
        <v>16</v>
      </c>
      <c r="V141" s="165">
        <v>40</v>
      </c>
      <c r="W141" s="193"/>
      <c r="X141" s="193"/>
      <c r="Y141" s="193"/>
      <c r="Z141" s="193"/>
      <c r="AA141" s="193"/>
      <c r="AB141" s="193"/>
      <c r="AC141" s="193"/>
      <c r="AD141" s="159"/>
      <c r="AE141" s="159"/>
      <c r="AF141" s="159"/>
      <c r="AG141" s="159"/>
      <c r="AH141" s="159"/>
      <c r="AI141" s="159"/>
      <c r="AJ141" s="159"/>
      <c r="AK141" s="159"/>
      <c r="AL141" s="159"/>
      <c r="AM141" s="159"/>
      <c r="AN141" s="159"/>
    </row>
    <row r="142" spans="1:40">
      <c r="A142" s="159"/>
      <c r="B142" s="159"/>
      <c r="C142" s="159"/>
      <c r="D142" s="160"/>
      <c r="E142" s="157">
        <v>3</v>
      </c>
      <c r="F142" s="143"/>
      <c r="G142" s="159"/>
      <c r="H142" s="159" t="s">
        <v>1525</v>
      </c>
      <c r="I142" s="159"/>
      <c r="J142" s="159" t="s">
        <v>1927</v>
      </c>
      <c r="K142" s="159" t="s">
        <v>1522</v>
      </c>
      <c r="L142" s="159" t="s">
        <v>1862</v>
      </c>
      <c r="M142" s="159"/>
      <c r="N142" s="159"/>
      <c r="O142" s="159"/>
      <c r="P142" s="165"/>
      <c r="Q142" s="166"/>
      <c r="R142" s="165"/>
      <c r="S142" s="166"/>
      <c r="T142" s="165">
        <v>25</v>
      </c>
      <c r="U142" s="166">
        <v>20</v>
      </c>
      <c r="V142" s="165">
        <v>40</v>
      </c>
      <c r="W142" s="193"/>
      <c r="X142" s="193"/>
      <c r="Y142" s="193"/>
      <c r="Z142" s="193"/>
      <c r="AA142" s="193"/>
      <c r="AB142" s="193"/>
      <c r="AC142" s="193"/>
      <c r="AD142" s="159"/>
      <c r="AE142" s="159"/>
      <c r="AF142" s="159"/>
      <c r="AG142" s="159"/>
      <c r="AH142" s="159"/>
      <c r="AI142" s="159"/>
      <c r="AJ142" s="159"/>
      <c r="AK142" s="159"/>
      <c r="AL142" s="159"/>
      <c r="AM142" s="159"/>
      <c r="AN142" s="159"/>
    </row>
    <row r="143" spans="1:40">
      <c r="A143" s="161" t="s">
        <v>1046</v>
      </c>
      <c r="B143" s="161" t="s">
        <v>1806</v>
      </c>
      <c r="C143" s="159" t="s">
        <v>458</v>
      </c>
      <c r="D143" s="157" t="s">
        <v>818</v>
      </c>
      <c r="E143" s="157">
        <v>1</v>
      </c>
      <c r="F143" s="159" t="s">
        <v>1526</v>
      </c>
      <c r="G143" s="159" t="s">
        <v>1863</v>
      </c>
      <c r="H143" s="159" t="s">
        <v>459</v>
      </c>
      <c r="I143" s="159"/>
      <c r="J143" s="159" t="s">
        <v>1928</v>
      </c>
      <c r="K143" s="159" t="s">
        <v>1527</v>
      </c>
      <c r="L143" s="159" t="s">
        <v>1998</v>
      </c>
      <c r="M143" s="159">
        <v>100</v>
      </c>
      <c r="N143" s="159"/>
      <c r="O143" s="159"/>
      <c r="P143" s="165"/>
      <c r="Q143" s="166"/>
      <c r="R143" s="165">
        <v>128</v>
      </c>
      <c r="S143" s="166"/>
      <c r="T143" s="165">
        <v>0.4</v>
      </c>
      <c r="U143" s="166"/>
      <c r="V143" s="165">
        <v>1</v>
      </c>
      <c r="W143" s="193" t="s">
        <v>2060</v>
      </c>
      <c r="X143" s="193" t="s">
        <v>2098</v>
      </c>
      <c r="Y143" s="193">
        <v>0</v>
      </c>
      <c r="Z143" s="193">
        <v>0</v>
      </c>
      <c r="AA143" s="193">
        <v>0.9</v>
      </c>
      <c r="AB143" s="193">
        <v>1</v>
      </c>
      <c r="AC143" s="193">
        <v>5</v>
      </c>
      <c r="AD143" s="159" t="s">
        <v>1049</v>
      </c>
      <c r="AE143" s="159" t="s">
        <v>285</v>
      </c>
      <c r="AF143" s="159">
        <v>0</v>
      </c>
      <c r="AG143" s="159">
        <v>2</v>
      </c>
      <c r="AH143" s="159">
        <v>0</v>
      </c>
      <c r="AI143" s="159">
        <v>0</v>
      </c>
      <c r="AJ143" s="159" t="s">
        <v>2153</v>
      </c>
      <c r="AK143" s="159" t="s">
        <v>2175</v>
      </c>
      <c r="AL143" s="159" t="s">
        <v>2178</v>
      </c>
      <c r="AM143" s="159">
        <v>1</v>
      </c>
      <c r="AN143" s="159"/>
    </row>
    <row r="144" spans="1:40">
      <c r="C144" s="157"/>
      <c r="D144" s="157"/>
      <c r="E144" s="157">
        <v>2</v>
      </c>
      <c r="F144" s="143"/>
      <c r="G144" s="159"/>
      <c r="H144" s="159" t="s">
        <v>463</v>
      </c>
      <c r="I144" s="159"/>
      <c r="J144" s="159" t="s">
        <v>1928</v>
      </c>
      <c r="K144" s="159" t="s">
        <v>1528</v>
      </c>
      <c r="L144" s="159" t="s">
        <v>1998</v>
      </c>
      <c r="M144" s="159">
        <v>200</v>
      </c>
      <c r="N144" s="159"/>
      <c r="O144" s="159"/>
      <c r="P144" s="165"/>
      <c r="Q144" s="166"/>
      <c r="R144" s="165">
        <v>128</v>
      </c>
      <c r="S144" s="166"/>
      <c r="T144" s="165">
        <v>0.4</v>
      </c>
      <c r="U144" s="166"/>
      <c r="V144" s="165">
        <v>1</v>
      </c>
      <c r="W144" s="193"/>
      <c r="X144" s="193"/>
      <c r="Y144" s="193"/>
      <c r="Z144" s="193"/>
      <c r="AA144" s="193"/>
      <c r="AB144" s="193"/>
      <c r="AC144" s="193"/>
      <c r="AD144" s="159"/>
      <c r="AE144" s="159"/>
      <c r="AF144" s="159"/>
      <c r="AG144" s="159"/>
      <c r="AH144" s="159"/>
      <c r="AI144" s="159"/>
      <c r="AJ144" s="159"/>
      <c r="AK144" s="159"/>
      <c r="AL144" s="159" t="s">
        <v>2178</v>
      </c>
      <c r="AM144" s="159"/>
      <c r="AN144" s="159"/>
    </row>
    <row r="145" spans="1:40">
      <c r="C145" s="157"/>
      <c r="D145" s="157"/>
      <c r="E145" s="157">
        <v>3</v>
      </c>
      <c r="F145" s="143"/>
      <c r="G145" s="159"/>
      <c r="H145" s="159" t="s">
        <v>464</v>
      </c>
      <c r="I145" s="159"/>
      <c r="J145" s="159" t="s">
        <v>1928</v>
      </c>
      <c r="K145" s="159" t="s">
        <v>1529</v>
      </c>
      <c r="L145" s="159" t="s">
        <v>1998</v>
      </c>
      <c r="M145" s="159">
        <v>300</v>
      </c>
      <c r="N145" s="159"/>
      <c r="O145" s="159"/>
      <c r="P145" s="165"/>
      <c r="Q145" s="166"/>
      <c r="R145" s="165">
        <v>128</v>
      </c>
      <c r="S145" s="166"/>
      <c r="T145" s="165">
        <v>0.4</v>
      </c>
      <c r="U145" s="166"/>
      <c r="V145" s="165">
        <v>1</v>
      </c>
      <c r="W145" s="193"/>
      <c r="X145" s="193"/>
      <c r="Y145" s="193"/>
      <c r="Z145" s="193"/>
      <c r="AA145" s="193"/>
      <c r="AB145" s="193"/>
      <c r="AC145" s="193"/>
      <c r="AD145" s="159"/>
      <c r="AE145" s="159"/>
      <c r="AF145" s="159"/>
      <c r="AG145" s="159"/>
      <c r="AH145" s="159"/>
      <c r="AI145" s="159"/>
      <c r="AJ145" s="159"/>
      <c r="AK145" s="159"/>
      <c r="AL145" s="159" t="s">
        <v>2178</v>
      </c>
      <c r="AM145" s="159"/>
      <c r="AN145" s="159"/>
    </row>
    <row r="146" spans="1:40">
      <c r="C146" s="159" t="s">
        <v>467</v>
      </c>
      <c r="D146" s="160" t="s">
        <v>1812</v>
      </c>
      <c r="E146" s="157">
        <v>1</v>
      </c>
      <c r="F146" s="159" t="s">
        <v>1530</v>
      </c>
      <c r="G146" s="159" t="s">
        <v>1864</v>
      </c>
      <c r="H146" s="159" t="s">
        <v>1531</v>
      </c>
      <c r="I146" s="159"/>
      <c r="J146" s="159" t="s">
        <v>1929</v>
      </c>
      <c r="K146" s="159" t="s">
        <v>1534</v>
      </c>
      <c r="L146" s="159" t="s">
        <v>1999</v>
      </c>
      <c r="M146" s="159">
        <v>0.4</v>
      </c>
      <c r="N146" s="159">
        <v>15</v>
      </c>
      <c r="O146" s="159"/>
      <c r="P146" s="165"/>
      <c r="Q146" s="166"/>
      <c r="R146" s="165">
        <v>128</v>
      </c>
      <c r="S146" s="166"/>
      <c r="T146" s="165">
        <v>0.25</v>
      </c>
      <c r="U146" s="166">
        <v>18</v>
      </c>
      <c r="V146" s="165">
        <v>1</v>
      </c>
      <c r="W146" s="193" t="s">
        <v>2061</v>
      </c>
      <c r="X146" s="193" t="s">
        <v>2098</v>
      </c>
      <c r="Y146" s="193">
        <v>0</v>
      </c>
      <c r="Z146" s="193">
        <v>0</v>
      </c>
      <c r="AA146" s="193">
        <v>0.9</v>
      </c>
      <c r="AB146" s="193">
        <v>1</v>
      </c>
      <c r="AC146" s="193">
        <v>5</v>
      </c>
      <c r="AD146" s="159" t="s">
        <v>1311</v>
      </c>
      <c r="AE146" s="159" t="s">
        <v>207</v>
      </c>
      <c r="AF146" s="159">
        <v>1</v>
      </c>
      <c r="AG146" s="159">
        <v>2</v>
      </c>
      <c r="AH146" s="159">
        <v>1</v>
      </c>
      <c r="AI146" s="159">
        <v>0</v>
      </c>
      <c r="AJ146" s="159" t="s">
        <v>2154</v>
      </c>
      <c r="AK146" s="159" t="s">
        <v>2175</v>
      </c>
      <c r="AL146" s="159" t="s">
        <v>2178</v>
      </c>
      <c r="AM146" s="159">
        <v>1</v>
      </c>
      <c r="AN146" s="159"/>
    </row>
    <row r="147" spans="1:40">
      <c r="C147" s="159"/>
      <c r="D147" s="160"/>
      <c r="E147" s="157">
        <v>2</v>
      </c>
      <c r="F147" s="143"/>
      <c r="G147" s="159"/>
      <c r="H147" s="159" t="s">
        <v>1532</v>
      </c>
      <c r="I147" s="159"/>
      <c r="J147" s="159" t="s">
        <v>1929</v>
      </c>
      <c r="K147" s="159" t="s">
        <v>1535</v>
      </c>
      <c r="L147" s="159" t="s">
        <v>1999</v>
      </c>
      <c r="M147" s="159">
        <v>0.8</v>
      </c>
      <c r="N147" s="159">
        <v>20</v>
      </c>
      <c r="O147" s="159"/>
      <c r="P147" s="165"/>
      <c r="Q147" s="166"/>
      <c r="R147" s="165">
        <v>128</v>
      </c>
      <c r="S147" s="166"/>
      <c r="T147" s="165">
        <v>0.25</v>
      </c>
      <c r="U147" s="166">
        <v>18</v>
      </c>
      <c r="V147" s="165">
        <v>1</v>
      </c>
      <c r="W147" s="193"/>
      <c r="X147" s="193"/>
      <c r="Y147" s="193"/>
      <c r="Z147" s="193"/>
      <c r="AA147" s="193"/>
      <c r="AB147" s="193"/>
      <c r="AC147" s="193"/>
      <c r="AD147" s="159"/>
      <c r="AE147" s="159"/>
      <c r="AF147" s="159"/>
      <c r="AG147" s="159"/>
      <c r="AH147" s="159"/>
      <c r="AI147" s="159"/>
      <c r="AJ147" s="159"/>
      <c r="AK147" s="159"/>
      <c r="AL147" s="159" t="s">
        <v>2178</v>
      </c>
      <c r="AM147" s="159"/>
      <c r="AN147" s="159"/>
    </row>
    <row r="148" spans="1:40">
      <c r="C148" s="159"/>
      <c r="D148" s="160"/>
      <c r="E148" s="157">
        <v>3</v>
      </c>
      <c r="F148" s="143"/>
      <c r="G148" s="159"/>
      <c r="H148" s="159" t="s">
        <v>1533</v>
      </c>
      <c r="I148" s="159"/>
      <c r="J148" s="159" t="s">
        <v>1929</v>
      </c>
      <c r="K148" s="159" t="s">
        <v>1536</v>
      </c>
      <c r="L148" s="159" t="s">
        <v>1999</v>
      </c>
      <c r="M148" s="159">
        <v>1.2</v>
      </c>
      <c r="N148" s="159">
        <v>30</v>
      </c>
      <c r="O148" s="159"/>
      <c r="P148" s="165"/>
      <c r="Q148" s="166"/>
      <c r="R148" s="165">
        <v>128</v>
      </c>
      <c r="S148" s="166"/>
      <c r="T148" s="165">
        <v>0.25</v>
      </c>
      <c r="U148" s="166">
        <v>18</v>
      </c>
      <c r="V148" s="165">
        <v>1</v>
      </c>
      <c r="W148" s="193"/>
      <c r="X148" s="193"/>
      <c r="Y148" s="193"/>
      <c r="Z148" s="193"/>
      <c r="AA148" s="193"/>
      <c r="AB148" s="193"/>
      <c r="AC148" s="193"/>
      <c r="AD148" s="159"/>
      <c r="AE148" s="159"/>
      <c r="AF148" s="159"/>
      <c r="AG148" s="159"/>
      <c r="AH148" s="159"/>
      <c r="AI148" s="159"/>
      <c r="AJ148" s="159"/>
      <c r="AK148" s="159"/>
      <c r="AL148" s="159" t="s">
        <v>2178</v>
      </c>
      <c r="AM148" s="159"/>
      <c r="AN148" s="159"/>
    </row>
    <row r="149" spans="1:40">
      <c r="C149" s="159" t="s">
        <v>473</v>
      </c>
      <c r="D149" s="160" t="s">
        <v>816</v>
      </c>
      <c r="E149" s="157">
        <v>1</v>
      </c>
      <c r="F149" s="159" t="s">
        <v>1537</v>
      </c>
      <c r="G149" s="159" t="s">
        <v>1865</v>
      </c>
      <c r="H149" s="159" t="s">
        <v>1538</v>
      </c>
      <c r="I149" s="159"/>
      <c r="J149" s="159" t="s">
        <v>1930</v>
      </c>
      <c r="K149" s="159" t="s">
        <v>1541</v>
      </c>
      <c r="L149" s="159" t="s">
        <v>2000</v>
      </c>
      <c r="M149" s="159">
        <v>1</v>
      </c>
      <c r="N149" s="159">
        <v>1</v>
      </c>
      <c r="O149" s="159"/>
      <c r="P149" s="165"/>
      <c r="Q149" s="166"/>
      <c r="R149" s="165">
        <v>128</v>
      </c>
      <c r="S149" s="166"/>
      <c r="T149" s="165"/>
      <c r="U149" s="166"/>
      <c r="V149" s="165">
        <v>16</v>
      </c>
      <c r="W149" s="193" t="s">
        <v>2062</v>
      </c>
      <c r="X149" s="193" t="s">
        <v>2098</v>
      </c>
      <c r="Y149" s="193">
        <v>0</v>
      </c>
      <c r="Z149" s="193">
        <v>0</v>
      </c>
      <c r="AA149" s="193">
        <v>0.9</v>
      </c>
      <c r="AB149" s="193">
        <v>1</v>
      </c>
      <c r="AC149" s="193">
        <v>5</v>
      </c>
      <c r="AD149" s="159" t="s">
        <v>1319</v>
      </c>
      <c r="AE149" s="159" t="s">
        <v>2075</v>
      </c>
      <c r="AF149" s="159">
        <v>2</v>
      </c>
      <c r="AG149" s="159">
        <v>2</v>
      </c>
      <c r="AH149" s="159">
        <v>2</v>
      </c>
      <c r="AI149" s="159">
        <v>0</v>
      </c>
      <c r="AJ149" s="159" t="s">
        <v>2155</v>
      </c>
      <c r="AK149" s="159" t="s">
        <v>2170</v>
      </c>
      <c r="AL149" s="159" t="s">
        <v>2178</v>
      </c>
      <c r="AM149" s="159">
        <v>1</v>
      </c>
      <c r="AN149" s="159"/>
    </row>
    <row r="150" spans="1:40">
      <c r="C150" s="159"/>
      <c r="D150" s="160"/>
      <c r="E150" s="157">
        <v>2</v>
      </c>
      <c r="F150" s="143"/>
      <c r="G150" s="159"/>
      <c r="H150" s="159" t="s">
        <v>1539</v>
      </c>
      <c r="I150" s="159"/>
      <c r="J150" s="159" t="s">
        <v>1930</v>
      </c>
      <c r="K150" s="159" t="s">
        <v>1542</v>
      </c>
      <c r="L150" s="159" t="s">
        <v>2000</v>
      </c>
      <c r="M150" s="159">
        <v>2</v>
      </c>
      <c r="N150" s="159">
        <v>2</v>
      </c>
      <c r="O150" s="159"/>
      <c r="P150" s="165"/>
      <c r="Q150" s="166"/>
      <c r="R150" s="165">
        <v>128</v>
      </c>
      <c r="S150" s="166"/>
      <c r="T150" s="165"/>
      <c r="U150" s="166"/>
      <c r="V150" s="165">
        <v>13</v>
      </c>
      <c r="W150" s="193"/>
      <c r="X150" s="193"/>
      <c r="Y150" s="193"/>
      <c r="Z150" s="193"/>
      <c r="AA150" s="193"/>
      <c r="AB150" s="193"/>
      <c r="AC150" s="193"/>
      <c r="AD150" s="159"/>
      <c r="AE150" s="159"/>
      <c r="AF150" s="159"/>
      <c r="AG150" s="159"/>
      <c r="AH150" s="159"/>
      <c r="AI150" s="159"/>
      <c r="AJ150" s="159"/>
      <c r="AK150" s="159"/>
      <c r="AL150" s="159" t="s">
        <v>2178</v>
      </c>
      <c r="AM150" s="159"/>
      <c r="AN150" s="159"/>
    </row>
    <row r="151" spans="1:40">
      <c r="C151" s="159"/>
      <c r="D151" s="160"/>
      <c r="E151" s="157">
        <v>3</v>
      </c>
      <c r="F151" s="143"/>
      <c r="G151" s="159"/>
      <c r="H151" s="159" t="s">
        <v>1540</v>
      </c>
      <c r="I151" s="159"/>
      <c r="J151" s="159" t="s">
        <v>1930</v>
      </c>
      <c r="K151" s="159" t="s">
        <v>1543</v>
      </c>
      <c r="L151" s="159" t="s">
        <v>2000</v>
      </c>
      <c r="M151" s="159">
        <v>3</v>
      </c>
      <c r="N151" s="159">
        <v>4</v>
      </c>
      <c r="O151" s="159"/>
      <c r="P151" s="165"/>
      <c r="Q151" s="166"/>
      <c r="R151" s="165">
        <v>128</v>
      </c>
      <c r="S151" s="166"/>
      <c r="T151" s="165"/>
      <c r="U151" s="166"/>
      <c r="V151" s="165">
        <v>10</v>
      </c>
      <c r="W151" s="193"/>
      <c r="X151" s="193"/>
      <c r="Y151" s="193"/>
      <c r="Z151" s="193"/>
      <c r="AA151" s="193"/>
      <c r="AB151" s="193"/>
      <c r="AC151" s="193"/>
      <c r="AD151" s="159"/>
      <c r="AE151" s="159"/>
      <c r="AF151" s="159"/>
      <c r="AG151" s="159"/>
      <c r="AH151" s="159"/>
      <c r="AI151" s="159"/>
      <c r="AJ151" s="159"/>
      <c r="AK151" s="159"/>
      <c r="AL151" s="159" t="s">
        <v>2178</v>
      </c>
      <c r="AM151" s="159"/>
      <c r="AN151" s="159"/>
    </row>
    <row r="152" spans="1:40">
      <c r="C152" s="159" t="s">
        <v>446</v>
      </c>
      <c r="D152" s="160" t="s">
        <v>1813</v>
      </c>
      <c r="E152" s="157">
        <v>1</v>
      </c>
      <c r="F152" s="159" t="s">
        <v>478</v>
      </c>
      <c r="G152" s="159" t="s">
        <v>1866</v>
      </c>
      <c r="H152" s="159"/>
      <c r="I152" s="159"/>
      <c r="J152" s="159" t="s">
        <v>1927</v>
      </c>
      <c r="K152" s="159"/>
      <c r="L152" s="159" t="s">
        <v>1866</v>
      </c>
      <c r="M152" s="159"/>
      <c r="N152" s="159"/>
      <c r="O152" s="159"/>
      <c r="P152" s="165"/>
      <c r="Q152" s="166"/>
      <c r="R152" s="165"/>
      <c r="S152" s="166"/>
      <c r="T152" s="165"/>
      <c r="U152" s="166"/>
      <c r="V152" s="165">
        <v>30</v>
      </c>
      <c r="W152" s="193" t="s">
        <v>2063</v>
      </c>
      <c r="X152" s="193" t="s">
        <v>2098</v>
      </c>
      <c r="Y152" s="193">
        <v>0</v>
      </c>
      <c r="Z152" s="193">
        <v>0</v>
      </c>
      <c r="AA152" s="193">
        <v>0.77</v>
      </c>
      <c r="AB152" s="193">
        <v>0</v>
      </c>
      <c r="AC152" s="193">
        <v>5</v>
      </c>
      <c r="AD152" s="159" t="s">
        <v>1327</v>
      </c>
      <c r="AE152" s="159" t="s">
        <v>2096</v>
      </c>
      <c r="AF152" s="159">
        <v>3</v>
      </c>
      <c r="AG152" s="159">
        <v>2</v>
      </c>
      <c r="AH152" s="159">
        <v>3</v>
      </c>
      <c r="AI152" s="159">
        <v>0</v>
      </c>
      <c r="AJ152" s="159" t="s">
        <v>2138</v>
      </c>
      <c r="AK152" s="159" t="s">
        <v>2171</v>
      </c>
      <c r="AL152" s="159"/>
      <c r="AM152" s="159">
        <v>1</v>
      </c>
      <c r="AN152" s="159"/>
    </row>
    <row r="153" spans="1:40">
      <c r="C153" s="159"/>
      <c r="D153" s="160"/>
      <c r="E153" s="157">
        <v>2</v>
      </c>
      <c r="F153" s="143"/>
      <c r="G153" s="159"/>
      <c r="H153" s="159" t="s">
        <v>479</v>
      </c>
      <c r="I153" s="159"/>
      <c r="J153" s="159" t="s">
        <v>1927</v>
      </c>
      <c r="K153" s="159"/>
      <c r="L153" s="159" t="s">
        <v>1866</v>
      </c>
      <c r="M153" s="159"/>
      <c r="N153" s="159"/>
      <c r="O153" s="159"/>
      <c r="P153" s="165"/>
      <c r="Q153" s="166"/>
      <c r="R153" s="165"/>
      <c r="S153" s="166"/>
      <c r="T153" s="165"/>
      <c r="U153" s="166"/>
      <c r="V153" s="165">
        <v>26</v>
      </c>
      <c r="W153" s="193"/>
      <c r="X153" s="193"/>
      <c r="Y153" s="193"/>
      <c r="Z153" s="193"/>
      <c r="AA153" s="193"/>
      <c r="AB153" s="193"/>
      <c r="AC153" s="193"/>
      <c r="AD153" s="159"/>
      <c r="AE153" s="159"/>
      <c r="AF153" s="159"/>
      <c r="AG153" s="159"/>
      <c r="AH153" s="159"/>
      <c r="AI153" s="159"/>
      <c r="AJ153" s="159"/>
      <c r="AK153" s="159"/>
      <c r="AL153" s="159"/>
      <c r="AM153" s="159"/>
      <c r="AN153" s="159"/>
    </row>
    <row r="154" spans="1:40">
      <c r="C154" s="159"/>
      <c r="D154" s="160"/>
      <c r="E154" s="157">
        <v>3</v>
      </c>
      <c r="F154" s="143"/>
      <c r="G154" s="159"/>
      <c r="H154" s="159" t="s">
        <v>479</v>
      </c>
      <c r="I154" s="159"/>
      <c r="J154" s="159" t="s">
        <v>1927</v>
      </c>
      <c r="K154" s="159"/>
      <c r="L154" s="159" t="s">
        <v>1866</v>
      </c>
      <c r="M154" s="159"/>
      <c r="N154" s="159"/>
      <c r="O154" s="159"/>
      <c r="P154" s="165"/>
      <c r="Q154" s="166"/>
      <c r="R154" s="165"/>
      <c r="S154" s="166"/>
      <c r="T154" s="165"/>
      <c r="U154" s="166"/>
      <c r="V154" s="165">
        <v>22</v>
      </c>
      <c r="W154" s="193"/>
      <c r="X154" s="193"/>
      <c r="Y154" s="193"/>
      <c r="Z154" s="193"/>
      <c r="AA154" s="193"/>
      <c r="AB154" s="193"/>
      <c r="AC154" s="193"/>
      <c r="AD154" s="159"/>
      <c r="AE154" s="159"/>
      <c r="AF154" s="159"/>
      <c r="AG154" s="159"/>
      <c r="AH154" s="159"/>
      <c r="AI154" s="159"/>
      <c r="AJ154" s="159"/>
      <c r="AK154" s="159"/>
      <c r="AL154" s="159"/>
      <c r="AM154" s="159"/>
      <c r="AN154" s="159"/>
    </row>
    <row r="155" spans="1:40">
      <c r="C155" s="159" t="s">
        <v>442</v>
      </c>
      <c r="D155" s="160" t="s">
        <v>747</v>
      </c>
      <c r="E155" s="157">
        <v>1</v>
      </c>
      <c r="F155" s="159" t="s">
        <v>481</v>
      </c>
      <c r="G155" s="159" t="s">
        <v>1868</v>
      </c>
      <c r="H155" s="159"/>
      <c r="I155" s="159"/>
      <c r="J155" s="159" t="s">
        <v>1931</v>
      </c>
      <c r="K155" s="159"/>
      <c r="L155" s="159" t="s">
        <v>1868</v>
      </c>
      <c r="M155" s="159"/>
      <c r="N155" s="159"/>
      <c r="O155" s="159"/>
      <c r="P155" s="165"/>
      <c r="Q155" s="166"/>
      <c r="R155" s="165"/>
      <c r="S155" s="166"/>
      <c r="T155" s="165"/>
      <c r="U155" s="166"/>
      <c r="V155" s="165">
        <v>45</v>
      </c>
      <c r="W155" s="193" t="s">
        <v>2064</v>
      </c>
      <c r="X155" s="193" t="s">
        <v>2098</v>
      </c>
      <c r="Y155" s="193">
        <v>0</v>
      </c>
      <c r="Z155" s="193">
        <v>0</v>
      </c>
      <c r="AA155" s="193">
        <v>0</v>
      </c>
      <c r="AB155" s="193">
        <v>0</v>
      </c>
      <c r="AC155" s="193">
        <v>5</v>
      </c>
      <c r="AD155" s="159" t="s">
        <v>2100</v>
      </c>
      <c r="AE155" s="159" t="s">
        <v>2097</v>
      </c>
      <c r="AF155" s="159">
        <v>1</v>
      </c>
      <c r="AG155" s="159">
        <v>1</v>
      </c>
      <c r="AH155" s="159">
        <v>0</v>
      </c>
      <c r="AI155" s="159">
        <v>1</v>
      </c>
      <c r="AJ155" s="159" t="s">
        <v>2156</v>
      </c>
      <c r="AK155" s="159" t="s">
        <v>2175</v>
      </c>
      <c r="AL155" s="159"/>
      <c r="AM155" s="159">
        <v>1</v>
      </c>
      <c r="AN155" s="159" t="s">
        <v>2184</v>
      </c>
    </row>
    <row r="156" spans="1:40">
      <c r="C156" s="159"/>
      <c r="D156" s="160"/>
      <c r="E156" s="157">
        <v>2</v>
      </c>
      <c r="F156" s="143"/>
      <c r="G156" s="159"/>
      <c r="H156" s="159" t="s">
        <v>482</v>
      </c>
      <c r="I156" s="159"/>
      <c r="J156" s="159" t="s">
        <v>1931</v>
      </c>
      <c r="K156" s="159"/>
      <c r="L156" s="159" t="s">
        <v>1868</v>
      </c>
      <c r="M156" s="159"/>
      <c r="N156" s="159"/>
      <c r="O156" s="159"/>
      <c r="P156" s="165"/>
      <c r="Q156" s="166"/>
      <c r="R156" s="165"/>
      <c r="S156" s="166"/>
      <c r="T156" s="165"/>
      <c r="U156" s="166"/>
      <c r="V156" s="165">
        <v>35</v>
      </c>
      <c r="W156" s="193"/>
      <c r="X156" s="193"/>
      <c r="Y156" s="193"/>
      <c r="Z156" s="193"/>
      <c r="AA156" s="193"/>
      <c r="AB156" s="193"/>
      <c r="AC156" s="193"/>
      <c r="AD156" s="159"/>
      <c r="AE156" s="159"/>
      <c r="AF156" s="159"/>
      <c r="AG156" s="159"/>
      <c r="AH156" s="159"/>
      <c r="AI156" s="159"/>
      <c r="AJ156" s="159"/>
      <c r="AK156" s="159"/>
      <c r="AL156" s="159"/>
      <c r="AM156" s="159"/>
      <c r="AN156" s="159"/>
    </row>
    <row r="157" spans="1:40">
      <c r="C157" s="159"/>
      <c r="D157" s="160"/>
      <c r="E157" s="157">
        <v>3</v>
      </c>
      <c r="F157" s="143"/>
      <c r="G157" s="159"/>
      <c r="H157" s="159" t="s">
        <v>482</v>
      </c>
      <c r="I157" s="159"/>
      <c r="J157" s="159" t="s">
        <v>1931</v>
      </c>
      <c r="K157" s="159"/>
      <c r="L157" s="159" t="s">
        <v>1868</v>
      </c>
      <c r="M157" s="159"/>
      <c r="N157" s="159"/>
      <c r="O157" s="159"/>
      <c r="P157" s="165"/>
      <c r="Q157" s="166"/>
      <c r="R157" s="165"/>
      <c r="S157" s="166"/>
      <c r="T157" s="165"/>
      <c r="U157" s="166"/>
      <c r="V157" s="165">
        <v>25</v>
      </c>
      <c r="W157" s="193"/>
      <c r="X157" s="193"/>
      <c r="Y157" s="193"/>
      <c r="Z157" s="193"/>
      <c r="AA157" s="193"/>
      <c r="AB157" s="193"/>
      <c r="AC157" s="193"/>
      <c r="AD157" s="159"/>
      <c r="AE157" s="159"/>
      <c r="AF157" s="159"/>
      <c r="AG157" s="159"/>
      <c r="AH157" s="159"/>
      <c r="AI157" s="159"/>
      <c r="AJ157" s="159"/>
      <c r="AK157" s="159"/>
      <c r="AL157" s="159"/>
      <c r="AM157" s="159"/>
      <c r="AN157" s="159"/>
    </row>
    <row r="158" spans="1:40">
      <c r="A158" s="159" t="s">
        <v>1047</v>
      </c>
      <c r="B158" s="159" t="s">
        <v>1807</v>
      </c>
      <c r="C158" s="159" t="s">
        <v>494</v>
      </c>
      <c r="D158" s="157" t="s">
        <v>1682</v>
      </c>
      <c r="E158" s="157">
        <v>1</v>
      </c>
      <c r="F158" s="159" t="s">
        <v>495</v>
      </c>
      <c r="G158" s="159" t="s">
        <v>1867</v>
      </c>
      <c r="H158" s="159" t="s">
        <v>588</v>
      </c>
      <c r="I158" s="159"/>
      <c r="J158" s="159" t="s">
        <v>1932</v>
      </c>
      <c r="K158" s="159"/>
      <c r="L158" s="159" t="s">
        <v>2001</v>
      </c>
      <c r="M158" s="159">
        <v>100</v>
      </c>
      <c r="N158" s="159">
        <v>0.03</v>
      </c>
      <c r="O158" s="159"/>
      <c r="P158" s="165"/>
      <c r="Q158" s="166"/>
      <c r="R158" s="165">
        <v>600</v>
      </c>
      <c r="S158" s="166"/>
      <c r="T158" s="165">
        <v>100</v>
      </c>
      <c r="U158" s="166"/>
      <c r="V158" s="165">
        <v>1</v>
      </c>
      <c r="W158" s="193" t="s">
        <v>2065</v>
      </c>
      <c r="X158" s="193" t="s">
        <v>2098</v>
      </c>
      <c r="Y158" s="193">
        <v>0</v>
      </c>
      <c r="Z158" s="193">
        <v>0</v>
      </c>
      <c r="AA158" s="193">
        <v>1</v>
      </c>
      <c r="AB158" s="193">
        <v>1</v>
      </c>
      <c r="AC158" s="193">
        <v>1</v>
      </c>
      <c r="AD158" s="159" t="s">
        <v>1049</v>
      </c>
      <c r="AE158" s="159" t="s">
        <v>285</v>
      </c>
      <c r="AF158" s="159">
        <v>0</v>
      </c>
      <c r="AG158" s="159">
        <v>2</v>
      </c>
      <c r="AH158" s="159">
        <v>0</v>
      </c>
      <c r="AI158" s="159">
        <v>0</v>
      </c>
      <c r="AJ158" s="159" t="s">
        <v>2157</v>
      </c>
      <c r="AK158" s="159" t="s">
        <v>2176</v>
      </c>
      <c r="AL158" s="159" t="s">
        <v>2178</v>
      </c>
      <c r="AM158" s="159">
        <v>1</v>
      </c>
      <c r="AN158" s="159"/>
    </row>
    <row r="159" spans="1:40">
      <c r="A159" s="159"/>
      <c r="B159" s="159"/>
      <c r="C159" s="157"/>
      <c r="D159" s="157"/>
      <c r="E159" s="157">
        <v>2</v>
      </c>
      <c r="F159" s="143"/>
      <c r="G159" s="159"/>
      <c r="H159" s="159" t="s">
        <v>598</v>
      </c>
      <c r="I159" s="159"/>
      <c r="J159" s="159" t="s">
        <v>1932</v>
      </c>
      <c r="K159" s="159"/>
      <c r="L159" s="159" t="s">
        <v>2001</v>
      </c>
      <c r="M159" s="159">
        <v>200</v>
      </c>
      <c r="N159" s="159">
        <v>0.06</v>
      </c>
      <c r="O159" s="159"/>
      <c r="P159" s="165"/>
      <c r="Q159" s="166"/>
      <c r="R159" s="165">
        <v>600</v>
      </c>
      <c r="S159" s="166"/>
      <c r="T159" s="165">
        <v>115</v>
      </c>
      <c r="U159" s="166"/>
      <c r="V159" s="165">
        <v>1</v>
      </c>
      <c r="W159" s="193"/>
      <c r="X159" s="193"/>
      <c r="Y159" s="193"/>
      <c r="Z159" s="193"/>
      <c r="AA159" s="193"/>
      <c r="AB159" s="193"/>
      <c r="AC159" s="193"/>
      <c r="AD159" s="159"/>
      <c r="AE159" s="159"/>
      <c r="AF159" s="159"/>
      <c r="AG159" s="159"/>
      <c r="AH159" s="159"/>
      <c r="AI159" s="159"/>
      <c r="AJ159" s="159"/>
      <c r="AK159" s="159"/>
      <c r="AL159" s="159" t="s">
        <v>2178</v>
      </c>
      <c r="AM159" s="159"/>
      <c r="AN159" s="159"/>
    </row>
    <row r="160" spans="1:40">
      <c r="A160" s="159"/>
      <c r="B160" s="159"/>
      <c r="C160" s="157"/>
      <c r="D160" s="157"/>
      <c r="E160" s="157">
        <v>3</v>
      </c>
      <c r="F160" s="143"/>
      <c r="G160" s="159"/>
      <c r="H160" s="159" t="s">
        <v>589</v>
      </c>
      <c r="I160" s="159"/>
      <c r="J160" s="159" t="s">
        <v>1932</v>
      </c>
      <c r="K160" s="159"/>
      <c r="L160" s="159" t="s">
        <v>2001</v>
      </c>
      <c r="M160" s="159">
        <v>300</v>
      </c>
      <c r="N160" s="159">
        <v>0.09</v>
      </c>
      <c r="O160" s="159"/>
      <c r="P160" s="165"/>
      <c r="Q160" s="166"/>
      <c r="R160" s="165">
        <v>600</v>
      </c>
      <c r="S160" s="166"/>
      <c r="T160" s="165">
        <v>130</v>
      </c>
      <c r="U160" s="166"/>
      <c r="V160" s="165">
        <v>1</v>
      </c>
      <c r="W160" s="193"/>
      <c r="X160" s="193"/>
      <c r="Y160" s="193"/>
      <c r="Z160" s="193"/>
      <c r="AA160" s="193"/>
      <c r="AB160" s="193"/>
      <c r="AC160" s="193"/>
      <c r="AD160" s="159"/>
      <c r="AE160" s="159"/>
      <c r="AF160" s="159"/>
      <c r="AG160" s="159"/>
      <c r="AH160" s="159"/>
      <c r="AI160" s="159"/>
      <c r="AJ160" s="159"/>
      <c r="AK160" s="159"/>
      <c r="AL160" s="159" t="s">
        <v>2178</v>
      </c>
      <c r="AM160" s="159"/>
      <c r="AN160" s="159"/>
    </row>
    <row r="161" spans="1:40">
      <c r="A161" s="159"/>
      <c r="B161" s="159"/>
      <c r="C161" s="159" t="s">
        <v>499</v>
      </c>
      <c r="D161" s="160" t="s">
        <v>805</v>
      </c>
      <c r="E161" s="157">
        <v>1</v>
      </c>
      <c r="F161" s="159" t="s">
        <v>599</v>
      </c>
      <c r="G161" s="159" t="s">
        <v>1872</v>
      </c>
      <c r="H161" s="159" t="s">
        <v>590</v>
      </c>
      <c r="I161" s="159"/>
      <c r="J161" s="159" t="s">
        <v>1933</v>
      </c>
      <c r="K161" s="159"/>
      <c r="L161" s="159" t="s">
        <v>2002</v>
      </c>
      <c r="M161" s="159">
        <v>150</v>
      </c>
      <c r="N161" s="159">
        <v>0.5</v>
      </c>
      <c r="O161" s="159"/>
      <c r="P161" s="165">
        <v>2.2999999999999998</v>
      </c>
      <c r="Q161" s="166"/>
      <c r="R161" s="165">
        <v>600</v>
      </c>
      <c r="S161" s="166"/>
      <c r="T161" s="165">
        <v>70</v>
      </c>
      <c r="U161" s="166"/>
      <c r="V161" s="165">
        <v>1</v>
      </c>
      <c r="W161" s="193" t="s">
        <v>2066</v>
      </c>
      <c r="X161" s="193" t="s">
        <v>2098</v>
      </c>
      <c r="Y161" s="193">
        <v>0</v>
      </c>
      <c r="Z161" s="193">
        <v>0</v>
      </c>
      <c r="AA161" s="193">
        <v>0</v>
      </c>
      <c r="AB161" s="193">
        <v>1</v>
      </c>
      <c r="AC161" s="193">
        <v>1</v>
      </c>
      <c r="AD161" s="159" t="s">
        <v>1311</v>
      </c>
      <c r="AE161" s="159" t="s">
        <v>2076</v>
      </c>
      <c r="AF161" s="159">
        <v>1</v>
      </c>
      <c r="AG161" s="159">
        <v>2</v>
      </c>
      <c r="AH161" s="159">
        <v>1</v>
      </c>
      <c r="AI161" s="159">
        <v>0</v>
      </c>
      <c r="AJ161" s="159" t="s">
        <v>2158</v>
      </c>
      <c r="AK161" s="159" t="s">
        <v>2173</v>
      </c>
      <c r="AL161" s="159" t="s">
        <v>2178</v>
      </c>
      <c r="AM161" s="159">
        <v>1</v>
      </c>
      <c r="AN161" s="159"/>
    </row>
    <row r="162" spans="1:40">
      <c r="A162" s="159"/>
      <c r="B162" s="159"/>
      <c r="C162" s="159"/>
      <c r="D162" s="160"/>
      <c r="E162" s="157">
        <v>2</v>
      </c>
      <c r="F162" s="143"/>
      <c r="G162" s="159"/>
      <c r="H162" s="159" t="s">
        <v>591</v>
      </c>
      <c r="I162" s="159"/>
      <c r="J162" s="159" t="s">
        <v>1933</v>
      </c>
      <c r="K162" s="159"/>
      <c r="L162" s="159" t="s">
        <v>2002</v>
      </c>
      <c r="M162" s="159">
        <v>300</v>
      </c>
      <c r="N162" s="159">
        <v>0.75</v>
      </c>
      <c r="O162" s="159"/>
      <c r="P162" s="165">
        <v>2</v>
      </c>
      <c r="Q162" s="166"/>
      <c r="R162" s="165">
        <v>600</v>
      </c>
      <c r="S162" s="166"/>
      <c r="T162" s="165">
        <v>130</v>
      </c>
      <c r="U162" s="166"/>
      <c r="V162" s="165">
        <v>1</v>
      </c>
      <c r="W162" s="193"/>
      <c r="X162" s="193"/>
      <c r="Y162" s="193"/>
      <c r="Z162" s="193"/>
      <c r="AA162" s="193"/>
      <c r="AB162" s="193"/>
      <c r="AC162" s="193"/>
      <c r="AD162" s="159"/>
      <c r="AE162" s="159"/>
      <c r="AF162" s="159"/>
      <c r="AG162" s="159"/>
      <c r="AH162" s="159"/>
      <c r="AI162" s="159"/>
      <c r="AJ162" s="159"/>
      <c r="AK162" s="159"/>
      <c r="AL162" s="159" t="s">
        <v>2178</v>
      </c>
      <c r="AM162" s="159"/>
      <c r="AN162" s="159"/>
    </row>
    <row r="163" spans="1:40">
      <c r="A163" s="159"/>
      <c r="B163" s="159"/>
      <c r="C163" s="159"/>
      <c r="D163" s="160"/>
      <c r="E163" s="157">
        <v>3</v>
      </c>
      <c r="F163" s="143"/>
      <c r="G163" s="159"/>
      <c r="H163" s="159" t="s">
        <v>592</v>
      </c>
      <c r="I163" s="159"/>
      <c r="J163" s="159" t="s">
        <v>1933</v>
      </c>
      <c r="K163" s="159"/>
      <c r="L163" s="159" t="s">
        <v>2002</v>
      </c>
      <c r="M163" s="159">
        <v>450</v>
      </c>
      <c r="N163" s="159">
        <v>1</v>
      </c>
      <c r="O163" s="159"/>
      <c r="P163" s="165">
        <v>1.7</v>
      </c>
      <c r="Q163" s="166"/>
      <c r="R163" s="165">
        <v>600</v>
      </c>
      <c r="S163" s="166"/>
      <c r="T163" s="165">
        <v>190</v>
      </c>
      <c r="U163" s="166"/>
      <c r="V163" s="165">
        <v>1</v>
      </c>
      <c r="W163" s="193"/>
      <c r="X163" s="193"/>
      <c r="Y163" s="193"/>
      <c r="Z163" s="193"/>
      <c r="AA163" s="193"/>
      <c r="AB163" s="193"/>
      <c r="AC163" s="193"/>
      <c r="AD163" s="159"/>
      <c r="AE163" s="159"/>
      <c r="AF163" s="159"/>
      <c r="AG163" s="159"/>
      <c r="AH163" s="159"/>
      <c r="AI163" s="159"/>
      <c r="AJ163" s="159"/>
      <c r="AK163" s="159"/>
      <c r="AL163" s="159" t="s">
        <v>2178</v>
      </c>
      <c r="AM163" s="159"/>
      <c r="AN163" s="159"/>
    </row>
    <row r="164" spans="1:40">
      <c r="A164" s="159"/>
      <c r="B164" s="159"/>
      <c r="C164" s="159" t="s">
        <v>500</v>
      </c>
      <c r="D164" s="160" t="s">
        <v>802</v>
      </c>
      <c r="E164" s="157">
        <v>1</v>
      </c>
      <c r="F164" s="159" t="s">
        <v>600</v>
      </c>
      <c r="G164" s="159" t="s">
        <v>1873</v>
      </c>
      <c r="H164" s="159" t="s">
        <v>501</v>
      </c>
      <c r="I164" s="159"/>
      <c r="J164" s="159" t="s">
        <v>1882</v>
      </c>
      <c r="K164" s="159"/>
      <c r="L164" s="159" t="s">
        <v>2003</v>
      </c>
      <c r="M164" s="159">
        <v>75</v>
      </c>
      <c r="N164" s="159"/>
      <c r="O164" s="159"/>
      <c r="P164" s="165"/>
      <c r="Q164" s="166">
        <v>3</v>
      </c>
      <c r="R164" s="165">
        <v>600</v>
      </c>
      <c r="S164" s="166"/>
      <c r="T164" s="165">
        <v>50</v>
      </c>
      <c r="U164" s="166"/>
      <c r="V164" s="165">
        <v>1</v>
      </c>
      <c r="W164" s="193" t="s">
        <v>2067</v>
      </c>
      <c r="X164" s="193" t="s">
        <v>2098</v>
      </c>
      <c r="Y164" s="193">
        <v>0</v>
      </c>
      <c r="Z164" s="193">
        <v>0</v>
      </c>
      <c r="AA164" s="193">
        <v>0</v>
      </c>
      <c r="AB164" s="193">
        <v>1</v>
      </c>
      <c r="AC164" s="193">
        <v>1</v>
      </c>
      <c r="AD164" s="159" t="s">
        <v>1319</v>
      </c>
      <c r="AE164" s="159" t="s">
        <v>265</v>
      </c>
      <c r="AF164" s="159">
        <v>2</v>
      </c>
      <c r="AG164" s="159">
        <v>2</v>
      </c>
      <c r="AH164" s="159">
        <v>2</v>
      </c>
      <c r="AI164" s="159">
        <v>0</v>
      </c>
      <c r="AJ164" s="159" t="s">
        <v>2159</v>
      </c>
      <c r="AK164" s="159" t="s">
        <v>2173</v>
      </c>
      <c r="AL164" s="159" t="s">
        <v>2178</v>
      </c>
      <c r="AM164" s="159">
        <v>1</v>
      </c>
      <c r="AN164" s="159"/>
    </row>
    <row r="165" spans="1:40">
      <c r="A165" s="159"/>
      <c r="B165" s="159"/>
      <c r="C165" s="159"/>
      <c r="D165" s="160"/>
      <c r="E165" s="157">
        <v>2</v>
      </c>
      <c r="F165" s="143"/>
      <c r="G165" s="159"/>
      <c r="H165" s="159" t="s">
        <v>593</v>
      </c>
      <c r="I165" s="159"/>
      <c r="J165" s="159" t="s">
        <v>1934</v>
      </c>
      <c r="K165" s="159"/>
      <c r="L165" s="159" t="s">
        <v>2004</v>
      </c>
      <c r="M165" s="159">
        <v>95</v>
      </c>
      <c r="N165" s="159"/>
      <c r="O165" s="159"/>
      <c r="P165" s="165"/>
      <c r="Q165" s="166">
        <v>3</v>
      </c>
      <c r="R165" s="165">
        <v>600</v>
      </c>
      <c r="S165" s="166"/>
      <c r="T165" s="165">
        <v>50</v>
      </c>
      <c r="U165" s="166"/>
      <c r="V165" s="165">
        <v>1</v>
      </c>
      <c r="W165" s="193"/>
      <c r="X165" s="193"/>
      <c r="Y165" s="193"/>
      <c r="Z165" s="193"/>
      <c r="AA165" s="193"/>
      <c r="AB165" s="193"/>
      <c r="AC165" s="193"/>
      <c r="AD165" s="159"/>
      <c r="AE165" s="159"/>
      <c r="AF165" s="159"/>
      <c r="AG165" s="159"/>
      <c r="AH165" s="159"/>
      <c r="AI165" s="159"/>
      <c r="AJ165" s="159"/>
      <c r="AK165" s="159"/>
      <c r="AL165" s="159" t="s">
        <v>2178</v>
      </c>
      <c r="AM165" s="159"/>
      <c r="AN165" s="159"/>
    </row>
    <row r="166" spans="1:40">
      <c r="A166" s="159"/>
      <c r="B166" s="159"/>
      <c r="C166" s="159"/>
      <c r="D166" s="160"/>
      <c r="E166" s="157">
        <v>3</v>
      </c>
      <c r="F166" s="143"/>
      <c r="G166" s="159"/>
      <c r="H166" s="159" t="s">
        <v>594</v>
      </c>
      <c r="I166" s="159"/>
      <c r="J166" s="159" t="s">
        <v>1934</v>
      </c>
      <c r="K166" s="159"/>
      <c r="L166" s="159" t="s">
        <v>2004</v>
      </c>
      <c r="M166" s="159">
        <v>115</v>
      </c>
      <c r="N166" s="159"/>
      <c r="O166" s="159"/>
      <c r="P166" s="165"/>
      <c r="Q166" s="166">
        <v>3</v>
      </c>
      <c r="R166" s="165">
        <v>600</v>
      </c>
      <c r="S166" s="166"/>
      <c r="T166" s="165">
        <v>50</v>
      </c>
      <c r="U166" s="166"/>
      <c r="V166" s="165">
        <v>1</v>
      </c>
      <c r="W166" s="193"/>
      <c r="X166" s="193"/>
      <c r="Y166" s="193"/>
      <c r="Z166" s="193"/>
      <c r="AA166" s="193"/>
      <c r="AB166" s="193"/>
      <c r="AC166" s="193"/>
      <c r="AD166" s="159"/>
      <c r="AE166" s="159"/>
      <c r="AF166" s="159"/>
      <c r="AG166" s="159"/>
      <c r="AH166" s="159"/>
      <c r="AI166" s="159"/>
      <c r="AJ166" s="159"/>
      <c r="AK166" s="159"/>
      <c r="AL166" s="159" t="s">
        <v>2178</v>
      </c>
      <c r="AM166" s="159"/>
      <c r="AN166" s="159"/>
    </row>
    <row r="167" spans="1:40">
      <c r="A167" s="159"/>
      <c r="B167" s="159"/>
      <c r="C167" s="159" t="s">
        <v>502</v>
      </c>
      <c r="D167" s="160" t="s">
        <v>1681</v>
      </c>
      <c r="E167" s="157">
        <v>1</v>
      </c>
      <c r="F167" s="159" t="s">
        <v>503</v>
      </c>
      <c r="G167" s="159" t="s">
        <v>1874</v>
      </c>
      <c r="H167" s="159" t="s">
        <v>504</v>
      </c>
      <c r="I167" s="159"/>
      <c r="J167" s="159" t="s">
        <v>1935</v>
      </c>
      <c r="K167" s="159"/>
      <c r="L167" s="159" t="s">
        <v>2005</v>
      </c>
      <c r="M167" s="159">
        <v>1</v>
      </c>
      <c r="N167" s="159"/>
      <c r="O167" s="159"/>
      <c r="P167" s="165"/>
      <c r="Q167" s="166"/>
      <c r="R167" s="165">
        <v>600</v>
      </c>
      <c r="S167" s="166"/>
      <c r="T167" s="165"/>
      <c r="U167" s="166"/>
      <c r="V167" s="165">
        <v>7</v>
      </c>
      <c r="W167" s="193" t="s">
        <v>2068</v>
      </c>
      <c r="X167" s="193" t="s">
        <v>2098</v>
      </c>
      <c r="Y167" s="193">
        <v>0</v>
      </c>
      <c r="Z167" s="193">
        <v>0</v>
      </c>
      <c r="AA167" s="193">
        <v>1</v>
      </c>
      <c r="AB167" s="193">
        <v>1</v>
      </c>
      <c r="AC167" s="193">
        <v>1</v>
      </c>
      <c r="AD167" s="159" t="s">
        <v>1327</v>
      </c>
      <c r="AE167" s="159" t="s">
        <v>2081</v>
      </c>
      <c r="AF167" s="159">
        <v>3</v>
      </c>
      <c r="AG167" s="159">
        <v>2</v>
      </c>
      <c r="AH167" s="159">
        <v>3</v>
      </c>
      <c r="AI167" s="159">
        <v>0</v>
      </c>
      <c r="AJ167" s="159" t="s">
        <v>2160</v>
      </c>
      <c r="AK167" s="159" t="s">
        <v>2176</v>
      </c>
      <c r="AL167" s="159" t="s">
        <v>2178</v>
      </c>
      <c r="AM167" s="159">
        <v>1</v>
      </c>
      <c r="AN167" s="159"/>
    </row>
    <row r="168" spans="1:40">
      <c r="A168" s="159"/>
      <c r="B168" s="159"/>
      <c r="C168" s="159"/>
      <c r="D168" s="160"/>
      <c r="E168" s="157">
        <v>2</v>
      </c>
      <c r="F168" s="143"/>
      <c r="G168" s="159"/>
      <c r="H168" s="159" t="s">
        <v>505</v>
      </c>
      <c r="I168" s="159"/>
      <c r="J168" s="159" t="s">
        <v>1935</v>
      </c>
      <c r="K168" s="159"/>
      <c r="L168" s="159" t="s">
        <v>2005</v>
      </c>
      <c r="M168" s="159">
        <v>2</v>
      </c>
      <c r="N168" s="159"/>
      <c r="O168" s="159"/>
      <c r="P168" s="165"/>
      <c r="Q168" s="166"/>
      <c r="R168" s="165">
        <v>600</v>
      </c>
      <c r="S168" s="166"/>
      <c r="T168" s="165"/>
      <c r="U168" s="166"/>
      <c r="V168" s="165">
        <v>7</v>
      </c>
      <c r="W168" s="193"/>
      <c r="X168" s="193"/>
      <c r="Y168" s="193"/>
      <c r="Z168" s="193"/>
      <c r="AA168" s="193"/>
      <c r="AB168" s="193"/>
      <c r="AC168" s="193"/>
      <c r="AD168" s="159"/>
      <c r="AE168" s="159"/>
      <c r="AF168" s="159"/>
      <c r="AG168" s="159"/>
      <c r="AH168" s="159"/>
      <c r="AI168" s="159"/>
      <c r="AJ168" s="159"/>
      <c r="AK168" s="159"/>
      <c r="AL168" s="159" t="s">
        <v>2178</v>
      </c>
      <c r="AM168" s="159"/>
      <c r="AN168" s="159"/>
    </row>
    <row r="169" spans="1:40">
      <c r="A169" s="159"/>
      <c r="B169" s="159"/>
      <c r="C169" s="159"/>
      <c r="D169" s="160"/>
      <c r="E169" s="157">
        <v>3</v>
      </c>
      <c r="F169" s="143"/>
      <c r="G169" s="159"/>
      <c r="H169" s="159" t="s">
        <v>506</v>
      </c>
      <c r="I169" s="159"/>
      <c r="J169" s="159" t="s">
        <v>1935</v>
      </c>
      <c r="K169" s="159"/>
      <c r="L169" s="159" t="s">
        <v>2005</v>
      </c>
      <c r="M169" s="159">
        <v>3</v>
      </c>
      <c r="N169" s="159"/>
      <c r="O169" s="159"/>
      <c r="P169" s="165"/>
      <c r="Q169" s="166"/>
      <c r="R169" s="165">
        <v>600</v>
      </c>
      <c r="S169" s="166"/>
      <c r="T169" s="165"/>
      <c r="U169" s="166"/>
      <c r="V169" s="165">
        <v>7</v>
      </c>
      <c r="W169" s="193"/>
      <c r="X169" s="193"/>
      <c r="Y169" s="193"/>
      <c r="Z169" s="193"/>
      <c r="AA169" s="193"/>
      <c r="AB169" s="193"/>
      <c r="AC169" s="193"/>
      <c r="AD169" s="159"/>
      <c r="AE169" s="159"/>
      <c r="AF169" s="159"/>
      <c r="AG169" s="159"/>
      <c r="AH169" s="159"/>
      <c r="AI169" s="159"/>
      <c r="AJ169" s="159"/>
      <c r="AK169" s="159"/>
      <c r="AL169" s="159" t="s">
        <v>2178</v>
      </c>
      <c r="AM169" s="159"/>
      <c r="AN169" s="159"/>
    </row>
    <row r="170" spans="1:40">
      <c r="A170" s="159"/>
      <c r="B170" s="159"/>
      <c r="C170" s="159" t="s">
        <v>507</v>
      </c>
      <c r="D170" s="160" t="s">
        <v>1683</v>
      </c>
      <c r="E170" s="157">
        <v>1</v>
      </c>
      <c r="F170" s="159" t="s">
        <v>601</v>
      </c>
      <c r="G170" s="159" t="s">
        <v>1875</v>
      </c>
      <c r="H170" s="159" t="s">
        <v>595</v>
      </c>
      <c r="I170" s="159"/>
      <c r="J170" s="159" t="s">
        <v>1936</v>
      </c>
      <c r="K170" s="159"/>
      <c r="L170" s="159" t="s">
        <v>2006</v>
      </c>
      <c r="M170" s="159">
        <v>2</v>
      </c>
      <c r="N170" s="159"/>
      <c r="O170" s="159"/>
      <c r="P170" s="165"/>
      <c r="Q170" s="166"/>
      <c r="R170" s="165"/>
      <c r="S170" s="166"/>
      <c r="T170" s="165">
        <v>75</v>
      </c>
      <c r="U170" s="166">
        <v>2</v>
      </c>
      <c r="V170" s="165">
        <v>12</v>
      </c>
      <c r="W170" s="193" t="s">
        <v>2069</v>
      </c>
      <c r="X170" s="193" t="s">
        <v>2098</v>
      </c>
      <c r="Y170" s="193">
        <v>0</v>
      </c>
      <c r="Z170" s="193">
        <v>0</v>
      </c>
      <c r="AA170" s="193">
        <v>0</v>
      </c>
      <c r="AB170" s="193">
        <v>0</v>
      </c>
      <c r="AC170" s="193">
        <v>1</v>
      </c>
      <c r="AD170" s="159" t="s">
        <v>2100</v>
      </c>
      <c r="AE170" s="159" t="s">
        <v>277</v>
      </c>
      <c r="AF170" s="159">
        <v>1</v>
      </c>
      <c r="AG170" s="159">
        <v>1</v>
      </c>
      <c r="AH170" s="159">
        <v>0</v>
      </c>
      <c r="AI170" s="159">
        <v>1</v>
      </c>
      <c r="AJ170" s="159" t="s">
        <v>2136</v>
      </c>
      <c r="AK170" s="159" t="s">
        <v>2093</v>
      </c>
      <c r="AL170" s="159"/>
      <c r="AM170" s="159">
        <v>1</v>
      </c>
      <c r="AN170" s="159"/>
    </row>
    <row r="171" spans="1:40">
      <c r="A171" s="159"/>
      <c r="B171" s="159"/>
      <c r="C171" s="159"/>
      <c r="D171" s="160"/>
      <c r="E171" s="157">
        <v>2</v>
      </c>
      <c r="F171" s="143"/>
      <c r="G171" s="159"/>
      <c r="H171" s="159" t="s">
        <v>596</v>
      </c>
      <c r="I171" s="159"/>
      <c r="J171" s="159" t="s">
        <v>1936</v>
      </c>
      <c r="K171" s="159"/>
      <c r="L171" s="159" t="s">
        <v>2006</v>
      </c>
      <c r="M171" s="159">
        <v>3</v>
      </c>
      <c r="N171" s="159"/>
      <c r="O171" s="159"/>
      <c r="P171" s="165"/>
      <c r="Q171" s="166"/>
      <c r="R171" s="165"/>
      <c r="S171" s="166"/>
      <c r="T171" s="165">
        <v>75</v>
      </c>
      <c r="U171" s="166">
        <v>3</v>
      </c>
      <c r="V171" s="165">
        <v>12</v>
      </c>
      <c r="W171" s="193"/>
      <c r="X171" s="193"/>
      <c r="Y171" s="193"/>
      <c r="Z171" s="193"/>
      <c r="AA171" s="193"/>
      <c r="AB171" s="193"/>
      <c r="AC171" s="193"/>
      <c r="AD171" s="159"/>
      <c r="AE171" s="159"/>
      <c r="AF171" s="159"/>
      <c r="AG171" s="159"/>
      <c r="AH171" s="159"/>
      <c r="AI171" s="159"/>
      <c r="AJ171" s="159"/>
      <c r="AK171" s="159"/>
      <c r="AL171" s="159"/>
      <c r="AM171" s="159"/>
      <c r="AN171" s="159"/>
    </row>
    <row r="172" spans="1:40">
      <c r="A172" s="159"/>
      <c r="B172" s="159"/>
      <c r="C172" s="159"/>
      <c r="D172" s="160"/>
      <c r="E172" s="157">
        <v>3</v>
      </c>
      <c r="F172" s="143"/>
      <c r="G172" s="159"/>
      <c r="H172" s="159" t="s">
        <v>597</v>
      </c>
      <c r="I172" s="159"/>
      <c r="J172" s="159" t="s">
        <v>1936</v>
      </c>
      <c r="K172" s="159"/>
      <c r="L172" s="159" t="s">
        <v>2006</v>
      </c>
      <c r="M172" s="159">
        <v>5</v>
      </c>
      <c r="N172" s="159"/>
      <c r="O172" s="159"/>
      <c r="P172" s="165"/>
      <c r="Q172" s="166"/>
      <c r="R172" s="165"/>
      <c r="S172" s="166"/>
      <c r="T172" s="165">
        <v>75</v>
      </c>
      <c r="U172" s="166">
        <v>5</v>
      </c>
      <c r="V172" s="165">
        <v>12</v>
      </c>
      <c r="W172" s="193"/>
      <c r="X172" s="193"/>
      <c r="Y172" s="193"/>
      <c r="Z172" s="193"/>
      <c r="AA172" s="193"/>
      <c r="AB172" s="193"/>
      <c r="AC172" s="193"/>
      <c r="AD172" s="159"/>
      <c r="AE172" s="159"/>
      <c r="AF172" s="159"/>
      <c r="AG172" s="159"/>
      <c r="AH172" s="159"/>
      <c r="AI172" s="159"/>
      <c r="AJ172" s="159"/>
      <c r="AK172" s="159"/>
      <c r="AL172" s="159"/>
      <c r="AM172" s="159"/>
      <c r="AN172" s="159"/>
    </row>
    <row r="173" spans="1:40">
      <c r="A173" s="159" t="s">
        <v>508</v>
      </c>
      <c r="B173" s="159" t="s">
        <v>1808</v>
      </c>
      <c r="C173" s="160" t="s">
        <v>510</v>
      </c>
      <c r="D173" s="160" t="s">
        <v>1814</v>
      </c>
      <c r="E173" s="157">
        <v>1</v>
      </c>
      <c r="F173" s="159" t="s">
        <v>511</v>
      </c>
      <c r="G173" s="159" t="s">
        <v>1876</v>
      </c>
      <c r="H173" s="159"/>
      <c r="I173" s="159"/>
      <c r="J173" s="159"/>
      <c r="K173" s="159"/>
      <c r="L173" s="159"/>
      <c r="M173" s="159"/>
      <c r="N173" s="159"/>
      <c r="O173" s="159"/>
      <c r="P173" s="165"/>
      <c r="Q173" s="166"/>
      <c r="R173" s="165"/>
      <c r="S173" s="166"/>
      <c r="T173" s="165"/>
      <c r="U173" s="166"/>
      <c r="V173" s="165"/>
      <c r="W173" s="193"/>
      <c r="X173" s="193"/>
      <c r="Y173" s="193"/>
      <c r="Z173" s="193"/>
      <c r="AA173" s="193"/>
      <c r="AB173" s="193"/>
      <c r="AC173" s="193"/>
      <c r="AD173" s="159"/>
      <c r="AE173" s="159" t="s">
        <v>285</v>
      </c>
      <c r="AF173" s="159"/>
      <c r="AG173" s="159"/>
      <c r="AH173" s="159"/>
      <c r="AI173" s="159"/>
      <c r="AJ173" s="159"/>
      <c r="AK173" s="159"/>
      <c r="AL173" s="159"/>
      <c r="AM173" s="159"/>
      <c r="AN173" s="159"/>
    </row>
    <row r="174" spans="1:40">
      <c r="A174" s="159"/>
      <c r="B174" s="159"/>
      <c r="C174" s="160"/>
      <c r="D174" s="160"/>
      <c r="E174" s="157">
        <v>2</v>
      </c>
      <c r="F174" s="159"/>
      <c r="G174" s="159"/>
      <c r="H174" s="159"/>
      <c r="I174" s="159"/>
      <c r="J174" s="159"/>
      <c r="K174" s="159"/>
      <c r="L174" s="159"/>
      <c r="M174" s="159"/>
      <c r="N174" s="159"/>
      <c r="O174" s="159"/>
      <c r="P174" s="165"/>
      <c r="Q174" s="166"/>
      <c r="R174" s="165"/>
      <c r="S174" s="166"/>
      <c r="T174" s="165"/>
      <c r="U174" s="166"/>
      <c r="V174" s="165"/>
      <c r="W174" s="193"/>
      <c r="X174" s="193"/>
      <c r="Y174" s="193"/>
      <c r="Z174" s="193"/>
      <c r="AA174" s="193"/>
      <c r="AB174" s="193"/>
      <c r="AC174" s="193"/>
      <c r="AD174" s="159"/>
      <c r="AE174" s="159"/>
      <c r="AF174" s="159"/>
      <c r="AG174" s="159"/>
      <c r="AH174" s="159"/>
      <c r="AI174" s="159"/>
      <c r="AJ174" s="159"/>
      <c r="AK174" s="159"/>
      <c r="AL174" s="159"/>
      <c r="AM174" s="159"/>
      <c r="AN174" s="159"/>
    </row>
    <row r="175" spans="1:40">
      <c r="A175" s="159"/>
      <c r="B175" s="159"/>
      <c r="C175" s="160"/>
      <c r="D175" s="160"/>
      <c r="E175" s="157">
        <v>3</v>
      </c>
      <c r="F175" s="159"/>
      <c r="G175" s="159"/>
      <c r="H175" s="159"/>
      <c r="I175" s="159"/>
      <c r="J175" s="159"/>
      <c r="K175" s="159"/>
      <c r="L175" s="159"/>
      <c r="M175" s="159"/>
      <c r="N175" s="159"/>
      <c r="O175" s="159"/>
      <c r="P175" s="165"/>
      <c r="Q175" s="166"/>
      <c r="R175" s="165"/>
      <c r="S175" s="166"/>
      <c r="T175" s="165"/>
      <c r="U175" s="166"/>
      <c r="V175" s="165"/>
      <c r="W175" s="193"/>
      <c r="X175" s="193"/>
      <c r="Y175" s="193"/>
      <c r="Z175" s="193"/>
      <c r="AA175" s="193"/>
      <c r="AB175" s="193"/>
      <c r="AC175" s="193"/>
      <c r="AD175" s="159"/>
      <c r="AE175" s="159"/>
      <c r="AF175" s="159"/>
      <c r="AG175" s="159"/>
      <c r="AH175" s="159"/>
      <c r="AI175" s="159"/>
      <c r="AJ175" s="159"/>
      <c r="AK175" s="159"/>
      <c r="AL175" s="159"/>
      <c r="AM175" s="159"/>
      <c r="AN175" s="159"/>
    </row>
    <row r="176" spans="1:40">
      <c r="A176" s="159"/>
      <c r="B176" s="159"/>
      <c r="C176" s="160" t="s">
        <v>518</v>
      </c>
      <c r="D176" s="160" t="s">
        <v>1815</v>
      </c>
      <c r="E176" s="157">
        <v>1</v>
      </c>
      <c r="F176" s="159" t="s">
        <v>519</v>
      </c>
      <c r="G176" s="159" t="s">
        <v>1877</v>
      </c>
      <c r="H176" s="159"/>
      <c r="I176" s="159"/>
      <c r="J176" s="159"/>
      <c r="K176" s="159"/>
      <c r="L176" s="159"/>
      <c r="M176" s="159"/>
      <c r="N176" s="159"/>
      <c r="O176" s="159"/>
      <c r="P176" s="165"/>
      <c r="Q176" s="166"/>
      <c r="R176" s="165"/>
      <c r="S176" s="166"/>
      <c r="T176" s="165"/>
      <c r="U176" s="166"/>
      <c r="V176" s="165"/>
      <c r="W176" s="193"/>
      <c r="X176" s="193"/>
      <c r="Y176" s="193"/>
      <c r="Z176" s="193"/>
      <c r="AA176" s="193"/>
      <c r="AB176" s="193"/>
      <c r="AC176" s="193"/>
      <c r="AD176" s="159"/>
      <c r="AE176" s="159" t="s">
        <v>1819</v>
      </c>
      <c r="AF176" s="159"/>
      <c r="AG176" s="159"/>
      <c r="AH176" s="159"/>
      <c r="AI176" s="159"/>
      <c r="AJ176" s="159"/>
      <c r="AK176" s="159"/>
      <c r="AL176" s="159"/>
      <c r="AM176" s="159"/>
      <c r="AN176" s="159"/>
    </row>
    <row r="177" spans="1:40">
      <c r="A177" s="159"/>
      <c r="B177" s="159"/>
      <c r="C177" s="160"/>
      <c r="D177" s="160"/>
      <c r="E177" s="157">
        <v>2</v>
      </c>
      <c r="F177" s="159"/>
      <c r="G177" s="159"/>
      <c r="H177" s="159"/>
      <c r="I177" s="159"/>
      <c r="J177" s="159"/>
      <c r="K177" s="159"/>
      <c r="L177" s="159"/>
      <c r="M177" s="159"/>
      <c r="N177" s="159"/>
      <c r="O177" s="159"/>
      <c r="P177" s="165"/>
      <c r="Q177" s="166"/>
      <c r="R177" s="165"/>
      <c r="S177" s="166"/>
      <c r="T177" s="165"/>
      <c r="U177" s="166"/>
      <c r="V177" s="165"/>
      <c r="W177" s="193"/>
      <c r="X177" s="193"/>
      <c r="Y177" s="193"/>
      <c r="Z177" s="193"/>
      <c r="AA177" s="193"/>
      <c r="AB177" s="193"/>
      <c r="AC177" s="193"/>
      <c r="AD177" s="159"/>
      <c r="AE177" s="159"/>
      <c r="AF177" s="159"/>
      <c r="AG177" s="159"/>
      <c r="AH177" s="159"/>
      <c r="AI177" s="159"/>
      <c r="AJ177" s="159"/>
      <c r="AK177" s="159"/>
      <c r="AL177" s="159"/>
      <c r="AM177" s="159"/>
      <c r="AN177" s="159"/>
    </row>
    <row r="178" spans="1:40">
      <c r="A178" s="159"/>
      <c r="B178" s="159"/>
      <c r="C178" s="160"/>
      <c r="D178" s="160"/>
      <c r="E178" s="157">
        <v>3</v>
      </c>
      <c r="F178" s="159"/>
      <c r="G178" s="159"/>
      <c r="H178" s="159"/>
      <c r="I178" s="159"/>
      <c r="J178" s="159"/>
      <c r="K178" s="159"/>
      <c r="L178" s="159"/>
      <c r="M178" s="159"/>
      <c r="N178" s="159"/>
      <c r="O178" s="159"/>
      <c r="P178" s="165"/>
      <c r="Q178" s="166"/>
      <c r="R178" s="165"/>
      <c r="S178" s="166"/>
      <c r="T178" s="165"/>
      <c r="U178" s="166"/>
      <c r="V178" s="165"/>
      <c r="W178" s="193"/>
      <c r="X178" s="193"/>
      <c r="Y178" s="193"/>
      <c r="Z178" s="193"/>
      <c r="AA178" s="193"/>
      <c r="AB178" s="193"/>
      <c r="AC178" s="193"/>
      <c r="AD178" s="159"/>
      <c r="AE178" s="159"/>
      <c r="AF178" s="159"/>
      <c r="AG178" s="159"/>
      <c r="AH178" s="159"/>
      <c r="AI178" s="159"/>
      <c r="AJ178" s="159"/>
      <c r="AK178" s="159"/>
      <c r="AL178" s="159"/>
      <c r="AM178" s="159"/>
      <c r="AN178" s="159"/>
    </row>
    <row r="179" spans="1:40">
      <c r="A179" s="159"/>
      <c r="B179" s="159"/>
      <c r="C179" s="160" t="s">
        <v>145</v>
      </c>
      <c r="D179" s="160" t="s">
        <v>1816</v>
      </c>
      <c r="E179" s="157">
        <v>1</v>
      </c>
      <c r="F179" s="159" t="s">
        <v>520</v>
      </c>
      <c r="G179" s="159" t="s">
        <v>1878</v>
      </c>
      <c r="H179" s="159"/>
      <c r="I179" s="159"/>
      <c r="J179" s="159"/>
      <c r="K179" s="159"/>
      <c r="L179" s="159"/>
      <c r="M179" s="159"/>
      <c r="N179" s="159"/>
      <c r="O179" s="159"/>
      <c r="P179" s="165"/>
      <c r="Q179" s="166"/>
      <c r="R179" s="165"/>
      <c r="S179" s="166"/>
      <c r="T179" s="165"/>
      <c r="U179" s="166"/>
      <c r="V179" s="165"/>
      <c r="W179" s="193"/>
      <c r="X179" s="193"/>
      <c r="Y179" s="193"/>
      <c r="Z179" s="193"/>
      <c r="AA179" s="193"/>
      <c r="AB179" s="193"/>
      <c r="AC179" s="193"/>
      <c r="AD179" s="159"/>
      <c r="AE179" s="159" t="s">
        <v>1600</v>
      </c>
      <c r="AF179" s="159"/>
      <c r="AG179" s="159"/>
      <c r="AH179" s="159"/>
      <c r="AI179" s="159"/>
      <c r="AJ179" s="159"/>
      <c r="AK179" s="159"/>
      <c r="AL179" s="159"/>
      <c r="AM179" s="159"/>
      <c r="AN179" s="159"/>
    </row>
    <row r="180" spans="1:40">
      <c r="A180" s="159"/>
      <c r="B180" s="159"/>
      <c r="C180" s="160"/>
      <c r="D180" s="160"/>
      <c r="E180" s="157">
        <v>2</v>
      </c>
      <c r="F180" s="159"/>
      <c r="G180" s="159"/>
      <c r="H180" s="159"/>
      <c r="I180" s="159"/>
      <c r="J180" s="159"/>
      <c r="K180" s="159"/>
      <c r="L180" s="159"/>
      <c r="M180" s="159"/>
      <c r="N180" s="159"/>
      <c r="O180" s="159"/>
      <c r="P180" s="165"/>
      <c r="Q180" s="166"/>
      <c r="R180" s="165"/>
      <c r="S180" s="166"/>
      <c r="T180" s="165"/>
      <c r="U180" s="166"/>
      <c r="V180" s="165"/>
      <c r="W180" s="193"/>
      <c r="X180" s="193"/>
      <c r="Y180" s="193"/>
      <c r="Z180" s="193"/>
      <c r="AA180" s="193"/>
      <c r="AB180" s="193"/>
      <c r="AC180" s="193"/>
      <c r="AD180" s="159"/>
      <c r="AE180" s="159"/>
      <c r="AF180" s="159"/>
      <c r="AG180" s="159"/>
      <c r="AH180" s="159"/>
      <c r="AI180" s="159"/>
      <c r="AJ180" s="159"/>
      <c r="AK180" s="159"/>
      <c r="AL180" s="159"/>
      <c r="AM180" s="159"/>
      <c r="AN180" s="159"/>
    </row>
    <row r="181" spans="1:40">
      <c r="A181" s="159"/>
      <c r="B181" s="159"/>
      <c r="C181" s="160"/>
      <c r="D181" s="160"/>
      <c r="E181" s="157">
        <v>3</v>
      </c>
      <c r="F181" s="159"/>
      <c r="G181" s="159"/>
      <c r="H181" s="159"/>
      <c r="I181" s="159"/>
      <c r="J181" s="159"/>
      <c r="K181" s="159"/>
      <c r="L181" s="159"/>
      <c r="M181" s="159"/>
      <c r="N181" s="159"/>
      <c r="O181" s="159"/>
      <c r="P181" s="165"/>
      <c r="Q181" s="166"/>
      <c r="R181" s="165"/>
      <c r="S181" s="166"/>
      <c r="T181" s="165"/>
      <c r="U181" s="166"/>
      <c r="V181" s="165"/>
      <c r="W181" s="193"/>
      <c r="X181" s="193"/>
      <c r="Y181" s="193"/>
      <c r="Z181" s="193"/>
      <c r="AA181" s="193"/>
      <c r="AB181" s="193"/>
      <c r="AC181" s="193"/>
      <c r="AD181" s="159"/>
      <c r="AE181" s="159"/>
      <c r="AF181" s="159"/>
      <c r="AG181" s="159"/>
      <c r="AH181" s="159"/>
      <c r="AI181" s="159"/>
      <c r="AJ181" s="159"/>
      <c r="AK181" s="159"/>
      <c r="AL181" s="159"/>
      <c r="AM181" s="159"/>
      <c r="AN181" s="159"/>
    </row>
    <row r="182" spans="1:40">
      <c r="A182" s="159"/>
      <c r="B182" s="159"/>
      <c r="C182" s="160" t="s">
        <v>521</v>
      </c>
      <c r="D182" s="160" t="s">
        <v>1817</v>
      </c>
      <c r="E182" s="157">
        <v>1</v>
      </c>
      <c r="F182" s="159" t="s">
        <v>1054</v>
      </c>
      <c r="G182" s="159" t="s">
        <v>1879</v>
      </c>
      <c r="H182" s="159"/>
      <c r="I182" s="159"/>
      <c r="J182" s="159"/>
      <c r="K182" s="159"/>
      <c r="L182" s="159"/>
      <c r="M182" s="159"/>
      <c r="N182" s="159"/>
      <c r="O182" s="159"/>
      <c r="P182" s="165"/>
      <c r="Q182" s="166"/>
      <c r="R182" s="165"/>
      <c r="S182" s="166"/>
      <c r="T182" s="165"/>
      <c r="U182" s="166"/>
      <c r="V182" s="165"/>
      <c r="W182" s="193"/>
      <c r="X182" s="193"/>
      <c r="Y182" s="193"/>
      <c r="Z182" s="193"/>
      <c r="AA182" s="193"/>
      <c r="AB182" s="193"/>
      <c r="AC182" s="193"/>
      <c r="AD182" s="159"/>
      <c r="AE182" s="159" t="s">
        <v>279</v>
      </c>
      <c r="AF182" s="159"/>
      <c r="AG182" s="159"/>
      <c r="AH182" s="159"/>
      <c r="AI182" s="159"/>
      <c r="AJ182" s="159"/>
      <c r="AK182" s="159"/>
      <c r="AL182" s="159"/>
      <c r="AM182" s="159"/>
      <c r="AN182" s="159"/>
    </row>
    <row r="183" spans="1:40">
      <c r="A183" s="159"/>
      <c r="B183" s="159"/>
      <c r="C183" s="160"/>
      <c r="D183" s="160"/>
      <c r="E183" s="157">
        <v>2</v>
      </c>
      <c r="F183" s="159"/>
      <c r="G183" s="159"/>
      <c r="H183" s="159"/>
      <c r="I183" s="159"/>
      <c r="J183" s="159"/>
      <c r="K183" s="159"/>
      <c r="L183" s="159"/>
      <c r="M183" s="159"/>
      <c r="N183" s="159"/>
      <c r="O183" s="159"/>
      <c r="P183" s="165"/>
      <c r="Q183" s="166"/>
      <c r="R183" s="165"/>
      <c r="S183" s="166"/>
      <c r="T183" s="165"/>
      <c r="U183" s="166"/>
      <c r="V183" s="165"/>
      <c r="W183" s="193"/>
      <c r="X183" s="193"/>
      <c r="Y183" s="193"/>
      <c r="Z183" s="193"/>
      <c r="AA183" s="193"/>
      <c r="AB183" s="193"/>
      <c r="AC183" s="193"/>
      <c r="AD183" s="159"/>
      <c r="AE183" s="159"/>
      <c r="AF183" s="159"/>
      <c r="AG183" s="159"/>
      <c r="AH183" s="159"/>
      <c r="AI183" s="159"/>
      <c r="AJ183" s="159"/>
      <c r="AK183" s="159"/>
      <c r="AL183" s="159"/>
      <c r="AM183" s="159"/>
      <c r="AN183" s="159"/>
    </row>
    <row r="184" spans="1:40">
      <c r="A184" s="159"/>
      <c r="B184" s="159"/>
      <c r="C184" s="160"/>
      <c r="D184" s="160"/>
      <c r="E184" s="157">
        <v>3</v>
      </c>
      <c r="F184" s="159"/>
      <c r="G184" s="159"/>
      <c r="H184" s="159"/>
      <c r="I184" s="159"/>
      <c r="J184" s="159"/>
      <c r="K184" s="159"/>
      <c r="L184" s="159"/>
      <c r="M184" s="159"/>
      <c r="N184" s="159"/>
      <c r="O184" s="159"/>
      <c r="P184" s="165"/>
      <c r="Q184" s="166"/>
      <c r="R184" s="165"/>
      <c r="S184" s="166"/>
      <c r="T184" s="165"/>
      <c r="U184" s="166"/>
      <c r="V184" s="165"/>
      <c r="W184" s="193"/>
      <c r="X184" s="193"/>
      <c r="Y184" s="193"/>
      <c r="Z184" s="193"/>
      <c r="AA184" s="193"/>
      <c r="AB184" s="193"/>
      <c r="AC184" s="193"/>
      <c r="AD184" s="159"/>
      <c r="AE184" s="159"/>
      <c r="AF184" s="159"/>
      <c r="AG184" s="159"/>
      <c r="AH184" s="159"/>
      <c r="AI184" s="159"/>
      <c r="AJ184" s="159"/>
      <c r="AK184" s="159"/>
      <c r="AL184" s="159"/>
      <c r="AM184" s="159"/>
      <c r="AN184" s="159"/>
    </row>
    <row r="185" spans="1:40">
      <c r="A185" s="159"/>
      <c r="B185" s="159"/>
      <c r="C185" s="160" t="s">
        <v>522</v>
      </c>
      <c r="D185" s="160" t="s">
        <v>1818</v>
      </c>
      <c r="E185" s="157">
        <v>1</v>
      </c>
      <c r="F185" s="159" t="s">
        <v>523</v>
      </c>
      <c r="G185" s="159" t="s">
        <v>1880</v>
      </c>
      <c r="H185" s="159"/>
      <c r="I185" s="159"/>
      <c r="J185" s="159"/>
      <c r="K185" s="159"/>
      <c r="L185" s="159"/>
      <c r="M185" s="159"/>
      <c r="N185" s="159"/>
      <c r="O185" s="159"/>
      <c r="P185" s="165"/>
      <c r="Q185" s="166"/>
      <c r="R185" s="165"/>
      <c r="S185" s="166"/>
      <c r="T185" s="165"/>
      <c r="U185" s="166"/>
      <c r="V185" s="165"/>
      <c r="W185" s="193"/>
      <c r="X185" s="193"/>
      <c r="Y185" s="193"/>
      <c r="Z185" s="193"/>
      <c r="AA185" s="193"/>
      <c r="AB185" s="193"/>
      <c r="AC185" s="193"/>
      <c r="AD185" s="159"/>
      <c r="AE185" s="159" t="s">
        <v>1601</v>
      </c>
      <c r="AF185" s="159"/>
      <c r="AG185" s="159"/>
      <c r="AH185" s="159"/>
      <c r="AI185" s="159"/>
      <c r="AJ185" s="159"/>
      <c r="AK185" s="159"/>
      <c r="AL185" s="159"/>
      <c r="AM185" s="159"/>
      <c r="AN185" s="159"/>
    </row>
    <row r="186" spans="1:40">
      <c r="A186" s="159"/>
      <c r="B186" s="159"/>
      <c r="C186" s="160"/>
      <c r="D186" s="160"/>
      <c r="E186" s="157">
        <v>2</v>
      </c>
      <c r="F186" s="159"/>
      <c r="G186" s="159"/>
      <c r="H186" s="159"/>
      <c r="I186" s="159"/>
      <c r="J186" s="159"/>
      <c r="K186" s="159"/>
      <c r="L186" s="159"/>
      <c r="M186" s="159"/>
      <c r="N186" s="159"/>
      <c r="O186" s="159"/>
      <c r="P186" s="165"/>
      <c r="Q186" s="166"/>
      <c r="R186" s="165"/>
      <c r="S186" s="166"/>
      <c r="T186" s="165"/>
      <c r="U186" s="166"/>
      <c r="V186" s="165"/>
      <c r="W186" s="193"/>
      <c r="X186" s="193"/>
      <c r="Y186" s="193"/>
      <c r="Z186" s="193"/>
      <c r="AA186" s="193"/>
      <c r="AB186" s="193"/>
      <c r="AC186" s="193"/>
      <c r="AD186" s="159"/>
      <c r="AE186" s="159"/>
      <c r="AF186" s="159"/>
      <c r="AG186" s="159"/>
      <c r="AH186" s="159"/>
      <c r="AI186" s="159"/>
      <c r="AJ186" s="159"/>
      <c r="AK186" s="159"/>
      <c r="AL186" s="159"/>
      <c r="AM186" s="159"/>
      <c r="AN186" s="159"/>
    </row>
    <row r="187" spans="1:40">
      <c r="A187" s="159"/>
      <c r="B187" s="159"/>
      <c r="C187" s="160"/>
      <c r="D187" s="160"/>
      <c r="E187" s="157">
        <v>3</v>
      </c>
      <c r="F187" s="159"/>
      <c r="G187" s="159"/>
      <c r="H187" s="159"/>
      <c r="I187" s="159"/>
      <c r="J187" s="159"/>
      <c r="K187" s="159"/>
      <c r="L187" s="159"/>
      <c r="M187" s="159"/>
      <c r="N187" s="159"/>
      <c r="O187" s="159"/>
      <c r="P187" s="165"/>
      <c r="Q187" s="166"/>
      <c r="R187" s="165"/>
      <c r="S187" s="166"/>
      <c r="T187" s="165"/>
      <c r="U187" s="166"/>
      <c r="V187" s="165"/>
      <c r="W187" s="193"/>
      <c r="X187" s="193"/>
      <c r="Y187" s="193"/>
      <c r="Z187" s="193"/>
      <c r="AA187" s="193"/>
      <c r="AB187" s="193"/>
      <c r="AC187" s="193"/>
      <c r="AD187" s="159"/>
      <c r="AE187" s="159"/>
      <c r="AF187" s="159"/>
      <c r="AG187" s="159"/>
      <c r="AH187" s="159"/>
      <c r="AI187" s="159"/>
      <c r="AJ187" s="159"/>
      <c r="AK187" s="159"/>
      <c r="AL187" s="159"/>
      <c r="AM187" s="159"/>
      <c r="AN187" s="159"/>
    </row>
    <row r="188" spans="1:40">
      <c r="A188" s="159"/>
      <c r="B188" s="159"/>
      <c r="C188" s="160"/>
      <c r="D188" s="160"/>
      <c r="E188" s="159"/>
      <c r="F188" s="159"/>
      <c r="G188" s="159"/>
      <c r="H188" s="159"/>
      <c r="I188" s="159"/>
      <c r="J188" s="159"/>
      <c r="K188" s="159"/>
      <c r="L188" s="159"/>
      <c r="M188" s="159"/>
      <c r="N188" s="159"/>
      <c r="O188" s="159"/>
      <c r="P188" s="165"/>
      <c r="Q188" s="166"/>
      <c r="R188" s="165"/>
      <c r="S188" s="166"/>
      <c r="T188" s="165"/>
      <c r="U188" s="166"/>
      <c r="V188" s="165"/>
      <c r="W188" s="193"/>
      <c r="X188" s="193"/>
      <c r="Y188" s="193"/>
      <c r="Z188" s="193"/>
      <c r="AA188" s="193"/>
      <c r="AB188" s="193"/>
      <c r="AC188" s="193"/>
      <c r="AD188" s="159"/>
      <c r="AE188" s="159"/>
      <c r="AF188" s="159"/>
      <c r="AG188" s="159"/>
      <c r="AH188" s="159"/>
      <c r="AI188" s="159"/>
      <c r="AJ188" s="159"/>
      <c r="AK188" s="159"/>
      <c r="AL188" s="159"/>
      <c r="AM188" s="159"/>
      <c r="AN188" s="159"/>
    </row>
  </sheetData>
  <phoneticPr fontId="7" type="noConversion"/>
  <conditionalFormatting sqref="W1:W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1767</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1765</v>
      </c>
      <c r="E38" s="25"/>
      <c r="F38" s="25"/>
      <c r="G38" s="25">
        <v>12</v>
      </c>
      <c r="H38" s="155" t="s">
        <v>1766</v>
      </c>
      <c r="I38" s="25"/>
      <c r="J38" s="25" t="s">
        <v>1764</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1781</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1697</v>
      </c>
      <c r="Q1" s="66" t="s">
        <v>1698</v>
      </c>
      <c r="R1" s="64" t="s">
        <v>1700</v>
      </c>
      <c r="S1" s="64" t="s">
        <v>1008</v>
      </c>
      <c r="T1" s="66" t="s">
        <v>1701</v>
      </c>
      <c r="U1" s="66" t="s">
        <v>1007</v>
      </c>
      <c r="V1" s="67" t="s">
        <v>1067</v>
      </c>
      <c r="W1" s="68" t="s">
        <v>1004</v>
      </c>
      <c r="X1" s="69" t="s">
        <v>1704</v>
      </c>
      <c r="Y1" s="69" t="s">
        <v>1703</v>
      </c>
      <c r="Z1" s="69" t="s">
        <v>1706</v>
      </c>
      <c r="AA1" s="69" t="s">
        <v>1705</v>
      </c>
      <c r="AB1" s="68" t="s">
        <v>1707</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1707</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1707</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1707</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1707</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1707</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1707</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1707</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1707</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1707</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1707</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1707</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1707</v>
      </c>
    </row>
    <row r="14" spans="1:28" ht="57">
      <c r="A14" s="90"/>
      <c r="B14" s="137" t="s">
        <v>288</v>
      </c>
      <c r="C14" s="137" t="s">
        <v>1693</v>
      </c>
      <c r="D14" s="137" t="s">
        <v>1694</v>
      </c>
      <c r="E14" s="137" t="s">
        <v>1695</v>
      </c>
      <c r="F14" s="137" t="s">
        <v>1696</v>
      </c>
      <c r="G14" s="72"/>
      <c r="H14" s="72"/>
      <c r="I14" s="72"/>
      <c r="J14" s="72"/>
      <c r="K14" s="72"/>
      <c r="L14" s="72">
        <v>10</v>
      </c>
      <c r="M14" s="72">
        <v>20</v>
      </c>
      <c r="N14" s="140" t="s">
        <v>607</v>
      </c>
      <c r="O14" s="140" t="s">
        <v>607</v>
      </c>
      <c r="P14" s="74"/>
      <c r="Q14" s="22" t="s">
        <v>1699</v>
      </c>
      <c r="R14" s="76" t="str">
        <f t="shared" si="0"/>
        <v>沸血</v>
      </c>
      <c r="S14" s="141" t="s">
        <v>1696</v>
      </c>
      <c r="T14" s="75"/>
      <c r="U14" s="142" t="s">
        <v>1702</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1707</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1707</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1707</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1707</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1707</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1707</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1707</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1707</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1707</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1707</v>
      </c>
    </row>
    <row r="24" spans="1:28">
      <c r="A24" s="99"/>
      <c r="B24" s="100"/>
      <c r="C24" s="100"/>
      <c r="D24" s="100"/>
      <c r="E24" s="144" t="s">
        <v>1710</v>
      </c>
      <c r="F24" s="144" t="s">
        <v>1711</v>
      </c>
      <c r="G24" s="101"/>
      <c r="H24" s="101"/>
      <c r="I24" s="101"/>
      <c r="J24" s="101"/>
      <c r="K24" s="101"/>
      <c r="L24" s="101"/>
      <c r="M24" s="101">
        <v>15</v>
      </c>
      <c r="N24" s="102"/>
      <c r="O24" s="102"/>
      <c r="P24" s="103"/>
      <c r="Q24" s="145" t="s">
        <v>1712</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1707</v>
      </c>
    </row>
    <row r="26" spans="1:28" ht="57">
      <c r="A26" s="99">
        <v>4</v>
      </c>
      <c r="B26" s="137" t="s">
        <v>1544</v>
      </c>
      <c r="C26" s="137" t="s">
        <v>1708</v>
      </c>
      <c r="D26" s="137" t="s">
        <v>1709</v>
      </c>
      <c r="E26" s="137" t="s">
        <v>1713</v>
      </c>
      <c r="F26" s="137" t="s">
        <v>1714</v>
      </c>
      <c r="G26" s="72"/>
      <c r="H26" s="72"/>
      <c r="I26" s="72">
        <v>900</v>
      </c>
      <c r="J26" s="72"/>
      <c r="K26" s="72"/>
      <c r="L26" s="72">
        <v>5</v>
      </c>
      <c r="M26" s="72">
        <v>15</v>
      </c>
      <c r="N26" s="140" t="s">
        <v>608</v>
      </c>
      <c r="O26" s="140" t="s">
        <v>606</v>
      </c>
      <c r="P26" s="74"/>
      <c r="Q26" s="22" t="s">
        <v>1715</v>
      </c>
      <c r="R26" s="76"/>
      <c r="S26" s="141" t="s">
        <v>1714</v>
      </c>
      <c r="T26" s="75"/>
      <c r="U26" s="142" t="s">
        <v>1716</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1707</v>
      </c>
    </row>
    <row r="27" spans="1:28" ht="42.75">
      <c r="A27" s="99"/>
      <c r="B27" s="137"/>
      <c r="C27" s="137"/>
      <c r="D27" s="137"/>
      <c r="E27" s="137" t="s">
        <v>1717</v>
      </c>
      <c r="F27" s="137" t="s">
        <v>1718</v>
      </c>
      <c r="G27" s="72">
        <v>3</v>
      </c>
      <c r="H27" s="72"/>
      <c r="I27" s="72">
        <v>750</v>
      </c>
      <c r="J27" s="72"/>
      <c r="K27" s="72"/>
      <c r="L27" s="72"/>
      <c r="M27" s="72"/>
      <c r="N27" s="140"/>
      <c r="O27" s="140"/>
      <c r="P27" s="74"/>
      <c r="Q27" s="22" t="s">
        <v>1719</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1707</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1707</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1707</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1707</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1707</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1707</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1707</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1707</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1707</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1707</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1707</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1707</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1707</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1707</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1707</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1707</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1707</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1707</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1707</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1707</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1707</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1707</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1707</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1707</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1707</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1707</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1707</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1707</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1707</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1707</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1707</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1707</v>
      </c>
    </row>
    <row r="2" spans="1:214">
      <c r="A2" s="149" t="s">
        <v>1728</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1707</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1707</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1707</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1707</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1707</v>
      </c>
    </row>
    <row r="7" spans="1:214">
      <c r="A7" s="42" t="s">
        <v>1729</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1707</v>
      </c>
    </row>
    <row r="8" spans="1:214">
      <c r="A8" s="42" t="s">
        <v>1730</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1707</v>
      </c>
    </row>
    <row r="9" spans="1:214">
      <c r="A9" s="42" t="s">
        <v>1731</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1707</v>
      </c>
    </row>
    <row r="10" spans="1:214">
      <c r="A10" s="42" t="s">
        <v>1732</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1707</v>
      </c>
    </row>
    <row r="11" spans="1:214">
      <c r="A11" s="42" t="s">
        <v>1733</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1707</v>
      </c>
    </row>
    <row r="12" spans="1:214">
      <c r="A12" s="42" t="s">
        <v>1734</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1707</v>
      </c>
    </row>
    <row r="13" spans="1:214">
      <c r="A13" s="42" t="s">
        <v>1735</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1707</v>
      </c>
    </row>
    <row r="14" spans="1:214" s="46" customFormat="1">
      <c r="A14" s="44" t="s">
        <v>1736</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1707</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1737</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1707</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1738</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1707</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1707</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1739</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1707</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1707</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1707</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1740</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1707</v>
      </c>
    </row>
    <row r="22" spans="1:214">
      <c r="A22" s="151" t="s">
        <v>1741</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1707</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1707</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1707</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1707</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1707</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1707</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1707</v>
      </c>
    </row>
    <row r="29" spans="1:214">
      <c r="A29" s="152" t="s">
        <v>1742</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1707</v>
      </c>
    </row>
    <row r="30" spans="1:214">
      <c r="A30" s="152" t="s">
        <v>1743</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1707</v>
      </c>
    </row>
    <row r="31" spans="1:214">
      <c r="A31" s="153" t="s">
        <v>1744</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1707</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1707</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1707</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1707</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1707</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1707</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1707</v>
      </c>
    </row>
    <row r="38" spans="1:24">
      <c r="A38" s="153" t="s">
        <v>1768</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1769</v>
      </c>
      <c r="V38" s="49"/>
      <c r="W38" s="41" t="str">
        <f t="shared" ca="1" si="12"/>
        <v>ModelInfo.rg(UTID_FEL_GUARD,ATT_STR,399899,1190,500,20,0.05,0,0,1,0.03,CAREER_TYPE_BOSS,"ReplaceableTextures\\CommandButtons\\BTNFelGuard.blp");</v>
      </c>
      <c r="X38" s="146" t="s">
        <v>1707</v>
      </c>
    </row>
    <row r="39" spans="1:24">
      <c r="A39" s="153" t="s">
        <v>1780</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1769</v>
      </c>
      <c r="V39" s="49"/>
      <c r="W39" s="41" t="str">
        <f t="shared" ca="1" si="12"/>
        <v>ModelInfo.rg(UTID_FEL_DEFENDER,ATT_STR,399899,990,400,0,0,0,0,0.8,0.03,CAREER_TYPE_BOSS,"ReplaceableTextures\\CommandButtons\\BTNFelGuard.blp");</v>
      </c>
      <c r="X39" s="146" t="s">
        <v>1707</v>
      </c>
    </row>
    <row r="40" spans="1:24">
      <c r="A40" s="47" t="s">
        <v>1745</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1707</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1707</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1707</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1707</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1707</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1707</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1707</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1707</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1707</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1707</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1707</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1707</v>
      </c>
    </row>
    <row r="52" spans="1:24">
      <c r="A52" s="139" t="s">
        <v>1720</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1721</v>
      </c>
      <c r="V52" s="51"/>
      <c r="W52" s="41" t="str">
        <f t="shared" ca="1" si="12"/>
        <v>ModelInfo.rg(UTID_FEL_PEON,ATT_NON,34999,420,180,5,0.05,0.05,0,1,0.01,CAREER_TYPE_CREEP,"ReplaceableTextures\\CommandButtons\\BTNChaosPeon.blp");</v>
      </c>
      <c r="X52" s="146" t="s">
        <v>1707</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1707</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1707</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1707</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1707</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1707</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1707</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1707</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1707</v>
      </c>
    </row>
    <row r="61" spans="1:24">
      <c r="A61" s="147" t="s">
        <v>1722</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1723</v>
      </c>
      <c r="V61" s="51"/>
      <c r="W61" s="41" t="str">
        <f t="shared" ca="1" si="12"/>
        <v>ModelInfo.rg(UTID_SKELETAL_MAGE,ATT_NON,79999,300,300,25,0.25,0,0,0.8,0.01,CAREER_TYPE_CREEP,"ReplaceableTextures\\CommandButtons\\BTNSkeletonMage.blp");</v>
      </c>
      <c r="X61" s="146" t="s">
        <v>1707</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1707</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1707</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1707</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1707</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1707</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1707</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1707</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1707</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1707</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1707</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1707</v>
      </c>
    </row>
    <row r="73" spans="1:24">
      <c r="A73" s="62" t="s">
        <v>1746</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1707</v>
      </c>
    </row>
    <row r="74" spans="1:24">
      <c r="A74" s="62" t="s">
        <v>1747</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1748</v>
      </c>
      <c r="V74" s="51"/>
      <c r="W74" s="41" t="str">
        <f t="shared" ca="1" si="21"/>
        <v>ModelInfo.rg(UTID_VOMIT_MAGGOT,ATT_NON,1999,100,100,0,0,0,0,1,0,CAREER_TYPE_CREEP,"ReplaceableTextures\\CommandButtons\\BTNDuneWorm.blp");</v>
      </c>
      <c r="X74" s="146" t="s">
        <v>1707</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1707</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1707</v>
      </c>
    </row>
    <row r="77" spans="1:24">
      <c r="A77" s="58" t="s">
        <v>1749</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1750</v>
      </c>
      <c r="V77" s="51"/>
      <c r="W77" s="41" t="str">
        <f t="shared" ca="1" si="21"/>
        <v>ModelInfo.rg(UTID_FACELESS_ONE,ATT_NON,219999,1300,300,5,0,0,0,1,0.05,CAREER_TYPE_CREEP,"ReplaceableTextures\\CommandButtons\\BTNFacelessOne.blp");</v>
      </c>
      <c r="X77" s="146" t="s">
        <v>1707</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59" activePane="bottomLeft" state="frozen"/>
      <selection pane="bottomLeft" activeCell="B73" sqref="B73"/>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1707</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7" si="0">IF(C2="N/A","//",CONCATENATE("SpellData.create(",B2,",",CHAR(34),C2,CHAR(34),",",E2,",",D2,",",F2,",",G2,",",H2,",",I2,")",J2,";"))</f>
        <v>SpellData.create(0,"马甲",0,0,0,0,1,ORDER_TYPE_IMMEDIATE);</v>
      </c>
      <c r="L2" s="173" t="str">
        <f>IF(A2="N/A","//",CONCATENATE("SpellData.create(",B2,",",CHAR(34),A2,CHAR(34),",",E2,",",D2,",",F2,",",G2,",",H2,",",I2,")",J2,";"))</f>
        <v>SpellData.create(0,"Dummy",0,0,0,0,1,ORDER_TYPE_IMMEDIATE);</v>
      </c>
      <c r="M2" s="172" t="s">
        <v>1707</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8" si="1">IF(A3="N/A","//",CONCATENATE("SpellData.create(",B3,",",CHAR(34),A3,CHAR(34),",",E3,",",D3,",",F3,",",G3,",",H3,",",I3,")",J3,";"))</f>
        <v>SpellData.create(SID_ATTACK_LL,"Attack LL",0,0,1,0,1,ORDER_TYPE_IMMEDIATE);</v>
      </c>
      <c r="M3" s="172" t="s">
        <v>1707</v>
      </c>
      <c r="N3" s="172"/>
      <c r="O3" s="172"/>
      <c r="P3" s="172"/>
      <c r="Q3" s="172"/>
      <c r="R3" s="172"/>
      <c r="S3" s="172"/>
      <c r="T3" s="172"/>
      <c r="U3" s="172"/>
      <c r="V3" s="172"/>
      <c r="W3" s="172"/>
      <c r="X3" s="172"/>
    </row>
    <row r="4" spans="1:24">
      <c r="A4" s="172" t="s">
        <v>1751</v>
      </c>
      <c r="B4" s="174" t="str">
        <f>"SID_"&amp;UPPER(SUBSTITUTE(A4," ","_"))</f>
        <v>SID_EXTRA_MAGIC_DAMAGE</v>
      </c>
      <c r="C4" s="172" t="s">
        <v>1752</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1707</v>
      </c>
      <c r="N4" s="172"/>
      <c r="O4" s="172"/>
      <c r="P4" s="172"/>
      <c r="Q4" s="172"/>
      <c r="R4" s="172"/>
      <c r="S4" s="172"/>
      <c r="T4" s="172"/>
      <c r="U4" s="172"/>
      <c r="V4" s="172"/>
      <c r="W4" s="172"/>
      <c r="X4" s="172"/>
    </row>
    <row r="5" spans="1:24">
      <c r="A5" s="172" t="s">
        <v>1639</v>
      </c>
      <c r="B5" s="174" t="str">
        <f t="shared" ref="B5:B61"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1707</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1707</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1707</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1707</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1707</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1707</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1707</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1707</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1707</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1707</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1707</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1707</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1707</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1707</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1707</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1707</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1707</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1707</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1707</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1707</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1707</v>
      </c>
      <c r="N25" s="178"/>
      <c r="O25" s="178"/>
      <c r="P25" s="178"/>
      <c r="Q25" s="178"/>
      <c r="R25" s="178"/>
      <c r="S25" s="178"/>
      <c r="T25" s="178"/>
      <c r="U25" s="178"/>
      <c r="V25" s="178"/>
      <c r="W25" s="178"/>
      <c r="X25" s="178"/>
    </row>
    <row r="26" spans="1:24">
      <c r="A26" s="178" t="s">
        <v>1690</v>
      </c>
      <c r="B26" s="178" t="s">
        <v>1692</v>
      </c>
      <c r="C26" s="178" t="s">
        <v>1691</v>
      </c>
      <c r="D26" s="178">
        <v>0</v>
      </c>
      <c r="E26" s="178">
        <v>0</v>
      </c>
      <c r="F26" s="178">
        <v>0</v>
      </c>
      <c r="G26" s="178">
        <v>0</v>
      </c>
      <c r="H26" s="178">
        <v>1</v>
      </c>
      <c r="I26" s="178" t="s">
        <v>609</v>
      </c>
      <c r="J26" s="178"/>
      <c r="K26" s="173" t="str">
        <f t="shared" ref="K26" si="5">IF(C26="N/A","//",CONCATENATE("SpellData.create(",B26,",",CHAR(34),C26,CHAR(34),",",E26,",",D26,",",F26,",",G26,",",H26,",",I26,")",J26,";"))</f>
        <v>SpellData.create(BID_HOLY_LIGHT_SHIELD,"圣光术-护盾",0,0,0,0,1,ORDER_TYPE_IMMEDIATE);</v>
      </c>
      <c r="L26" s="173" t="str">
        <f t="shared" ref="L26" si="6">IF(A26="N/A","//",CONCATENATE("SpellData.create(",B26,",",CHAR(34),A26,CHAR(34),",",E26,",",D26,",",F26,",",G26,",",H26,",",I26,")",J26,";"))</f>
        <v>SpellData.create(BID_HOLY_LIGHT_SHIELD,"Holy Light Shield",0,0,0,0,1,ORDER_TYPE_IMMEDIATE);</v>
      </c>
      <c r="M26" s="178" t="s">
        <v>1707</v>
      </c>
      <c r="N26" s="178"/>
      <c r="O26" s="178"/>
      <c r="P26" s="178"/>
      <c r="Q26" s="178"/>
      <c r="R26" s="178"/>
      <c r="S26" s="178"/>
      <c r="T26" s="178"/>
      <c r="U26" s="178"/>
      <c r="V26" s="178"/>
      <c r="W26" s="178"/>
      <c r="X26" s="178"/>
    </row>
    <row r="27" spans="1:24">
      <c r="A27" s="178" t="s">
        <v>755</v>
      </c>
      <c r="B27" s="174" t="str">
        <f t="shared" si="4"/>
        <v>SID_HOLY_SHOCK</v>
      </c>
      <c r="C27" s="178" t="s">
        <v>91</v>
      </c>
      <c r="D27" s="178">
        <v>0</v>
      </c>
      <c r="E27" s="178">
        <v>100</v>
      </c>
      <c r="F27" s="178">
        <v>15</v>
      </c>
      <c r="G27" s="178" t="s">
        <v>873</v>
      </c>
      <c r="H27" s="178">
        <v>1</v>
      </c>
      <c r="I27" s="178" t="s">
        <v>735</v>
      </c>
      <c r="J27" s="178" t="s">
        <v>872</v>
      </c>
      <c r="K27" s="173" t="str">
        <f t="shared" si="0"/>
        <v>SpellData.create(SID_HOLY_SHOCK,"神圣震击",100,0,15,OrderId("resurrection"),1,ORDER_TYPE_TARGET).setCCC2(150,0,15).setCCC3(200,0,15);</v>
      </c>
      <c r="L27" s="173" t="str">
        <f t="shared" si="1"/>
        <v>SpellData.create(SID_HOLY_SHOCK,"Holy Shock",100,0,15,OrderId("resurrection"),1,ORDER_TYPE_TARGET).setCCC2(150,0,15).setCCC3(200,0,15);</v>
      </c>
      <c r="M27" s="178" t="s">
        <v>1707</v>
      </c>
      <c r="N27" s="178"/>
      <c r="O27" s="178"/>
      <c r="P27" s="178"/>
      <c r="Q27" s="178"/>
      <c r="R27" s="178"/>
      <c r="S27" s="178"/>
      <c r="T27" s="178"/>
      <c r="U27" s="178"/>
      <c r="V27" s="178"/>
      <c r="W27" s="178"/>
      <c r="X27" s="178"/>
    </row>
    <row r="28" spans="1:24">
      <c r="A28" s="178" t="s">
        <v>871</v>
      </c>
      <c r="B28" s="174" t="str">
        <f>"SID_"&amp;UPPER(SUBSTITUTE(A28," ","_"))</f>
        <v>SID_DIVINE_FAVOR</v>
      </c>
      <c r="C28" s="178" t="s">
        <v>96</v>
      </c>
      <c r="D28" s="178">
        <v>0</v>
      </c>
      <c r="E28" s="178">
        <v>50</v>
      </c>
      <c r="F28" s="178">
        <v>40</v>
      </c>
      <c r="G28" s="178" t="s">
        <v>843</v>
      </c>
      <c r="H28" s="178">
        <v>1</v>
      </c>
      <c r="I28" s="178" t="s">
        <v>609</v>
      </c>
      <c r="J28" s="178" t="s">
        <v>1644</v>
      </c>
      <c r="K28" s="173" t="str">
        <f t="shared" si="0"/>
        <v>SpellData.create(SID_DIVINE_FAVOR,"神恩",50,0,40,OrderId("massteleport"),1,ORDER_TYPE_IMMEDIATE).setCCC2(50,0,40).setCCC3(50,0,40);</v>
      </c>
      <c r="L28" s="173" t="str">
        <f t="shared" si="1"/>
        <v>SpellData.create(SID_DIVINE_FAVOR,"Divine Favor",50,0,40,OrderId("massteleport"),1,ORDER_TYPE_IMMEDIATE).setCCC2(50,0,40).setCCC3(50,0,40);</v>
      </c>
      <c r="M28" s="178" t="s">
        <v>1707</v>
      </c>
      <c r="N28" s="178"/>
      <c r="O28" s="178"/>
      <c r="P28" s="178"/>
      <c r="Q28" s="178"/>
      <c r="R28" s="178"/>
      <c r="S28" s="178"/>
      <c r="T28" s="178"/>
      <c r="U28" s="178"/>
      <c r="V28" s="178"/>
      <c r="W28" s="178"/>
      <c r="X28" s="178"/>
    </row>
    <row r="29" spans="1:24">
      <c r="A29" s="178" t="s">
        <v>870</v>
      </c>
      <c r="B29" s="174" t="str">
        <f t="shared" si="4"/>
        <v>SID_BEACON_OF_LIGHT</v>
      </c>
      <c r="C29" s="178" t="s">
        <v>98</v>
      </c>
      <c r="D29" s="178">
        <v>0</v>
      </c>
      <c r="E29" s="178">
        <v>10</v>
      </c>
      <c r="F29" s="178">
        <v>10</v>
      </c>
      <c r="G29" s="178" t="s">
        <v>869</v>
      </c>
      <c r="H29" s="178">
        <v>1</v>
      </c>
      <c r="I29" s="178" t="s">
        <v>735</v>
      </c>
      <c r="J29" s="178"/>
      <c r="K29" s="173" t="str">
        <f t="shared" si="0"/>
        <v>SpellData.create(SID_BEACON_OF_LIGHT,"圣光印记",10,0,10,OrderId("summonphoenix"),1,ORDER_TYPE_TARGET);</v>
      </c>
      <c r="L29" s="173" t="str">
        <f t="shared" si="1"/>
        <v>SpellData.create(SID_BEACON_OF_LIGHT,"Beacon of Light",10,0,10,OrderId("summonphoenix"),1,ORDER_TYPE_TARGET);</v>
      </c>
      <c r="M29" s="178" t="s">
        <v>1707</v>
      </c>
      <c r="N29" s="178"/>
      <c r="O29" s="178"/>
      <c r="P29" s="178"/>
      <c r="Q29" s="178"/>
      <c r="R29" s="178"/>
      <c r="S29" s="178"/>
      <c r="T29" s="178"/>
      <c r="U29" s="178"/>
      <c r="V29" s="178"/>
      <c r="W29" s="178"/>
      <c r="X29" s="178"/>
    </row>
    <row r="30" spans="1:24">
      <c r="A30" s="179" t="s">
        <v>754</v>
      </c>
      <c r="B30" s="174" t="str">
        <f t="shared" si="4"/>
        <v>SID_HEAL</v>
      </c>
      <c r="C30" s="179" t="s">
        <v>868</v>
      </c>
      <c r="D30" s="179">
        <v>0</v>
      </c>
      <c r="E30" s="179">
        <v>75</v>
      </c>
      <c r="F30" s="179">
        <v>1</v>
      </c>
      <c r="G30" s="179">
        <v>852063</v>
      </c>
      <c r="H30" s="179">
        <v>1</v>
      </c>
      <c r="I30" s="179" t="s">
        <v>735</v>
      </c>
      <c r="J30" s="179" t="s">
        <v>867</v>
      </c>
      <c r="K30" s="173" t="str">
        <f t="shared" si="0"/>
        <v>SpellData.create(SID_HEAL,"治疗术",75,0,1,852063,1,ORDER_TYPE_TARGET).setCCC2(100,0,1).setCCC3(125,0,1);</v>
      </c>
      <c r="L30" s="173" t="str">
        <f t="shared" si="1"/>
        <v>SpellData.create(SID_HEAL,"Heal",75,0,1,852063,1,ORDER_TYPE_TARGET).setCCC2(100,0,1).setCCC3(125,0,1);</v>
      </c>
      <c r="M30" s="179" t="s">
        <v>1707</v>
      </c>
      <c r="N30" s="179"/>
      <c r="O30" s="179"/>
      <c r="P30" s="179"/>
      <c r="Q30" s="179"/>
      <c r="R30" s="179"/>
      <c r="S30" s="179"/>
      <c r="T30" s="179"/>
      <c r="U30" s="179"/>
      <c r="V30" s="179"/>
      <c r="W30" s="179"/>
      <c r="X30" s="179"/>
    </row>
    <row r="31" spans="1:24">
      <c r="A31" s="179" t="s">
        <v>866</v>
      </c>
      <c r="B31" s="174" t="str">
        <f t="shared" si="4"/>
        <v>SID_PRAYER_OF_HEALING</v>
      </c>
      <c r="C31" s="179" t="s">
        <v>110</v>
      </c>
      <c r="D31" s="179">
        <v>2.4</v>
      </c>
      <c r="E31" s="179">
        <v>100</v>
      </c>
      <c r="F31" s="179">
        <v>0</v>
      </c>
      <c r="G31" s="179" t="s">
        <v>825</v>
      </c>
      <c r="H31" s="179">
        <v>1</v>
      </c>
      <c r="I31" s="179" t="s">
        <v>781</v>
      </c>
      <c r="J31" s="179" t="s">
        <v>865</v>
      </c>
      <c r="K31" s="173" t="str">
        <f t="shared" si="0"/>
        <v>SpellData.create(SID_PRAYER_OF_HEALING,"治疗祷言",100,2.4,0,OrderId("blizzard"),1,ORDER_TYPE_POINT).setCCC2(100,2.1,0).setCCC3(100,1.8,0);</v>
      </c>
      <c r="L31" s="173" t="str">
        <f t="shared" si="1"/>
        <v>SpellData.create(SID_PRAYER_OF_HEALING,"Prayer of Healing",100,2.4,0,OrderId("blizzard"),1,ORDER_TYPE_POINT).setCCC2(100,2.1,0).setCCC3(100,1.8,0);</v>
      </c>
      <c r="M31" s="179" t="s">
        <v>1707</v>
      </c>
      <c r="N31" s="179"/>
      <c r="O31" s="179"/>
      <c r="P31" s="179"/>
      <c r="Q31" s="179"/>
      <c r="R31" s="179"/>
      <c r="S31" s="179"/>
      <c r="T31" s="179"/>
      <c r="U31" s="179"/>
      <c r="V31" s="179"/>
      <c r="W31" s="179"/>
      <c r="X31" s="179"/>
    </row>
    <row r="32" spans="1:24">
      <c r="A32" s="179" t="s">
        <v>753</v>
      </c>
      <c r="B32" s="174" t="str">
        <f t="shared" si="4"/>
        <v>SID_SHIELD</v>
      </c>
      <c r="C32" s="179" t="s">
        <v>115</v>
      </c>
      <c r="D32" s="179">
        <v>0</v>
      </c>
      <c r="E32" s="179">
        <v>100</v>
      </c>
      <c r="F32" s="179">
        <v>4</v>
      </c>
      <c r="G32" s="179">
        <v>852055</v>
      </c>
      <c r="H32" s="179">
        <v>1</v>
      </c>
      <c r="I32" s="179" t="s">
        <v>735</v>
      </c>
      <c r="J32" s="179" t="s">
        <v>864</v>
      </c>
      <c r="K32" s="173" t="str">
        <f t="shared" si="0"/>
        <v>SpellData.create(SID_SHIELD,"护盾术",100,0,4,852055,1,ORDER_TYPE_TARGET).setCCC2(125,0,4).setCCC3(150,0,4);</v>
      </c>
      <c r="L32" s="173" t="str">
        <f t="shared" si="1"/>
        <v>SpellData.create(SID_SHIELD,"Shield",100,0,4,852055,1,ORDER_TYPE_TARGET).setCCC2(125,0,4).setCCC3(150,0,4);</v>
      </c>
      <c r="M32" s="179" t="s">
        <v>1707</v>
      </c>
      <c r="N32" s="179"/>
      <c r="O32" s="179"/>
      <c r="P32" s="179"/>
      <c r="Q32" s="179"/>
      <c r="R32" s="179"/>
      <c r="S32" s="179"/>
      <c r="T32" s="179"/>
      <c r="U32" s="179"/>
      <c r="V32" s="179"/>
      <c r="W32" s="179"/>
      <c r="X32" s="179"/>
    </row>
    <row r="33" spans="1:24">
      <c r="A33" s="179" t="s">
        <v>753</v>
      </c>
      <c r="B33" s="179" t="s">
        <v>863</v>
      </c>
      <c r="C33" s="179" t="s">
        <v>115</v>
      </c>
      <c r="D33" s="179">
        <v>0</v>
      </c>
      <c r="E33" s="179">
        <v>0</v>
      </c>
      <c r="F33" s="179">
        <v>0</v>
      </c>
      <c r="G33" s="179">
        <v>1</v>
      </c>
      <c r="H33" s="179">
        <v>1</v>
      </c>
      <c r="I33" s="179" t="s">
        <v>735</v>
      </c>
      <c r="J33" s="179"/>
      <c r="K33" s="173" t="str">
        <f t="shared" si="0"/>
        <v>SpellData.create(BID_SHIELD,"护盾术",0,0,0,1,1,ORDER_TYPE_TARGET);</v>
      </c>
      <c r="L33" s="173" t="str">
        <f t="shared" si="1"/>
        <v>SpellData.create(BID_SHIELD,"Shield",0,0,0,1,1,ORDER_TYPE_TARGET);</v>
      </c>
      <c r="M33" s="179" t="s">
        <v>1707</v>
      </c>
      <c r="N33" s="179"/>
      <c r="O33" s="179"/>
      <c r="P33" s="179"/>
      <c r="Q33" s="179"/>
      <c r="R33" s="179"/>
      <c r="S33" s="179"/>
      <c r="T33" s="179"/>
      <c r="U33" s="179"/>
      <c r="V33" s="179"/>
      <c r="W33" s="179"/>
      <c r="X33" s="179"/>
    </row>
    <row r="34" spans="1:24">
      <c r="A34" s="179" t="s">
        <v>862</v>
      </c>
      <c r="B34" s="174" t="str">
        <f t="shared" si="4"/>
        <v>SID_PRAYER_OF_MENDING</v>
      </c>
      <c r="C34" s="179" t="s">
        <v>120</v>
      </c>
      <c r="D34" s="179">
        <v>0</v>
      </c>
      <c r="E34" s="179">
        <v>75</v>
      </c>
      <c r="F34" s="179">
        <v>9</v>
      </c>
      <c r="G34" s="179">
        <v>852075</v>
      </c>
      <c r="H34" s="179">
        <v>1</v>
      </c>
      <c r="I34" s="179" t="s">
        <v>735</v>
      </c>
      <c r="J34" s="179" t="s">
        <v>861</v>
      </c>
      <c r="K34" s="173" t="str">
        <f t="shared" si="0"/>
        <v>SpellData.create(SID_PRAYER_OF_MENDING,"愈合祷言",75,0,9,852075,1,ORDER_TYPE_TARGET).setCCC2(85,0,7).setCCC3(95,0,5);</v>
      </c>
      <c r="L34" s="173" t="str">
        <f t="shared" si="1"/>
        <v>SpellData.create(SID_PRAYER_OF_MENDING,"Prayer of Mending",75,0,9,852075,1,ORDER_TYPE_TARGET).setCCC2(85,0,7).setCCC3(95,0,5);</v>
      </c>
      <c r="M34" s="179" t="s">
        <v>1707</v>
      </c>
      <c r="N34" s="179"/>
      <c r="O34" s="179"/>
      <c r="P34" s="179"/>
      <c r="Q34" s="179"/>
      <c r="R34" s="179"/>
      <c r="S34" s="179"/>
      <c r="T34" s="179"/>
      <c r="U34" s="179"/>
      <c r="V34" s="179"/>
      <c r="W34" s="179"/>
      <c r="X34" s="179"/>
    </row>
    <row r="35" spans="1:24">
      <c r="A35" s="179" t="s">
        <v>859</v>
      </c>
      <c r="B35" s="174" t="str">
        <f t="shared" si="4"/>
        <v>SID_DISPEL</v>
      </c>
      <c r="C35" s="179" t="s">
        <v>860</v>
      </c>
      <c r="D35" s="179">
        <v>0</v>
      </c>
      <c r="E35" s="179">
        <v>45</v>
      </c>
      <c r="F35" s="179">
        <v>3</v>
      </c>
      <c r="G35" s="179">
        <v>852057</v>
      </c>
      <c r="H35" s="179">
        <v>1</v>
      </c>
      <c r="I35" s="179" t="s">
        <v>735</v>
      </c>
      <c r="J35" s="179" t="s">
        <v>858</v>
      </c>
      <c r="K35" s="173" t="str">
        <f t="shared" si="0"/>
        <v>SpellData.create(SID_DISPEL,"驱散魔法",45,0,3,852057,1,ORDER_TYPE_TARGET).setCCC2(60,0,3).setCCC3(75,0,3);</v>
      </c>
      <c r="L35" s="173" t="str">
        <f t="shared" si="1"/>
        <v>SpellData.create(SID_DISPEL,"Dispel",45,0,3,852057,1,ORDER_TYPE_TARGET).setCCC2(60,0,3).setCCC3(75,0,3);</v>
      </c>
      <c r="M35" s="179" t="s">
        <v>1707</v>
      </c>
      <c r="N35" s="179"/>
      <c r="O35" s="179"/>
      <c r="P35" s="179"/>
      <c r="Q35" s="179"/>
      <c r="R35" s="179"/>
      <c r="S35" s="179"/>
      <c r="T35" s="179"/>
      <c r="U35" s="179"/>
      <c r="V35" s="179"/>
      <c r="W35" s="179"/>
      <c r="X35" s="179"/>
    </row>
    <row r="36" spans="1:24">
      <c r="A36" s="180" t="s">
        <v>1645</v>
      </c>
      <c r="B36" s="174" t="str">
        <f t="shared" si="4"/>
        <v>SID_DARK_ARROW</v>
      </c>
      <c r="C36" s="180" t="s">
        <v>139</v>
      </c>
      <c r="D36" s="180">
        <v>0</v>
      </c>
      <c r="E36" s="180">
        <v>4</v>
      </c>
      <c r="F36" s="180">
        <v>5</v>
      </c>
      <c r="G36" s="180" t="s">
        <v>807</v>
      </c>
      <c r="H36" s="180">
        <v>1</v>
      </c>
      <c r="I36" s="180" t="s">
        <v>735</v>
      </c>
      <c r="J36" s="180" t="s">
        <v>857</v>
      </c>
      <c r="K36" s="173" t="str">
        <f t="shared" si="0"/>
        <v>SpellData.create(SID_DARK_ARROW,"黑箭",4,0,5,OrderId("thunderbolt"),1,ORDER_TYPE_TARGET).setCCC2(5,0,5).setCCC2(6,0,5);</v>
      </c>
      <c r="L36" s="173" t="str">
        <f t="shared" si="1"/>
        <v>SpellData.create(SID_DARK_ARROW,"Dark Arrow",4,0,5,OrderId("thunderbolt"),1,ORDER_TYPE_TARGET).setCCC2(5,0,5).setCCC2(6,0,5);</v>
      </c>
      <c r="M36" s="180" t="s">
        <v>1707</v>
      </c>
      <c r="N36" s="180"/>
      <c r="O36" s="180"/>
      <c r="P36" s="180"/>
      <c r="Q36" s="180"/>
      <c r="R36" s="180"/>
      <c r="S36" s="180"/>
      <c r="T36" s="180"/>
      <c r="U36" s="180"/>
      <c r="V36" s="180"/>
      <c r="W36" s="180"/>
      <c r="X36" s="180"/>
    </row>
    <row r="37" spans="1:24">
      <c r="A37" s="180" t="s">
        <v>856</v>
      </c>
      <c r="B37" s="174" t="str">
        <f t="shared" si="4"/>
        <v>SID_CONCERNTRATION</v>
      </c>
      <c r="C37" s="180" t="s">
        <v>141</v>
      </c>
      <c r="D37" s="180">
        <v>0</v>
      </c>
      <c r="E37" s="180">
        <v>0</v>
      </c>
      <c r="F37" s="180">
        <v>13</v>
      </c>
      <c r="G37" s="180" t="s">
        <v>739</v>
      </c>
      <c r="H37" s="180">
        <v>1</v>
      </c>
      <c r="I37" s="180" t="s">
        <v>609</v>
      </c>
      <c r="J37" s="180"/>
      <c r="K37" s="173" t="str">
        <f t="shared" si="0"/>
        <v>SpellData.create(SID_CONCERNTRATION,"专注",0,0,13,OrderId("thunderclap"),1,ORDER_TYPE_IMMEDIATE);</v>
      </c>
      <c r="L37" s="173" t="str">
        <f t="shared" si="1"/>
        <v>SpellData.create(SID_CONCERNTRATION,"Concerntration",0,0,13,OrderId("thunderclap"),1,ORDER_TYPE_IMMEDIATE);</v>
      </c>
      <c r="M37" s="180" t="s">
        <v>1707</v>
      </c>
      <c r="N37" s="180"/>
      <c r="O37" s="180"/>
      <c r="P37" s="180"/>
      <c r="Q37" s="180"/>
      <c r="R37" s="180"/>
      <c r="S37" s="180"/>
      <c r="T37" s="180"/>
      <c r="U37" s="180"/>
      <c r="V37" s="180"/>
      <c r="W37" s="180"/>
      <c r="X37" s="180"/>
    </row>
    <row r="38" spans="1:24">
      <c r="A38" s="180" t="s">
        <v>751</v>
      </c>
      <c r="B38" s="174" t="str">
        <f t="shared" si="4"/>
        <v>SID_FREEZING_TRAP</v>
      </c>
      <c r="C38" s="180" t="s">
        <v>142</v>
      </c>
      <c r="D38" s="180">
        <v>0</v>
      </c>
      <c r="E38" s="180">
        <v>0</v>
      </c>
      <c r="F38" s="180">
        <v>16</v>
      </c>
      <c r="G38" s="180" t="s">
        <v>825</v>
      </c>
      <c r="H38" s="180">
        <v>1</v>
      </c>
      <c r="I38" s="180" t="s">
        <v>781</v>
      </c>
      <c r="J38" s="180" t="s">
        <v>855</v>
      </c>
      <c r="K38" s="173" t="str">
        <f t="shared" si="0"/>
        <v>SpellData.create(SID_FREEZING_TRAP,"冰冻陷阱",0,0,16,OrderId("blizzard"),1,ORDER_TYPE_POINT).setCCC2(0,0,13).setCCC3(0,0,10);</v>
      </c>
      <c r="L38" s="173" t="str">
        <f t="shared" si="1"/>
        <v>SpellData.create(SID_FREEZING_TRAP,"Freezing Trap",0,0,16,OrderId("blizzard"),1,ORDER_TYPE_POINT).setCCC2(0,0,13).setCCC3(0,0,10);</v>
      </c>
      <c r="M38" s="180" t="s">
        <v>1707</v>
      </c>
      <c r="N38" s="180"/>
      <c r="O38" s="180"/>
      <c r="P38" s="180"/>
      <c r="Q38" s="180"/>
      <c r="R38" s="180"/>
      <c r="S38" s="180"/>
      <c r="T38" s="180"/>
      <c r="U38" s="180"/>
      <c r="V38" s="180"/>
      <c r="W38" s="180"/>
      <c r="X38" s="180"/>
    </row>
    <row r="39" spans="1:24">
      <c r="A39" s="180" t="s">
        <v>1646</v>
      </c>
      <c r="B39" s="174" t="str">
        <f t="shared" si="4"/>
        <v>SID_POWER_OF_BANSHEE</v>
      </c>
      <c r="C39" s="180" t="s">
        <v>854</v>
      </c>
      <c r="D39" s="180">
        <v>0</v>
      </c>
      <c r="E39" s="180">
        <v>0</v>
      </c>
      <c r="F39" s="180">
        <v>1</v>
      </c>
      <c r="G39" s="180" t="s">
        <v>1647</v>
      </c>
      <c r="H39" s="180">
        <v>1</v>
      </c>
      <c r="I39" s="180" t="s">
        <v>609</v>
      </c>
      <c r="J39" s="180"/>
      <c r="K39" s="173" t="str">
        <f t="shared" si="0"/>
        <v>SpellData.create(SID_POWER_OF_BANSHEE,"憎恶之力",0,0,1,OrderId("howlofterror"),1,ORDER_TYPE_IMMEDIATE);</v>
      </c>
      <c r="L39" s="173" t="str">
        <f t="shared" si="1"/>
        <v>SpellData.create(SID_POWER_OF_BANSHEE,"Power of Banshee",0,0,1,OrderId("howlofterror"),1,ORDER_TYPE_IMMEDIATE);</v>
      </c>
      <c r="M39" s="180" t="s">
        <v>1707</v>
      </c>
      <c r="N39" s="180"/>
      <c r="O39" s="180"/>
      <c r="P39" s="180"/>
      <c r="Q39" s="180"/>
      <c r="R39" s="180"/>
      <c r="S39" s="180"/>
      <c r="T39" s="180"/>
      <c r="U39" s="180"/>
      <c r="V39" s="180"/>
      <c r="W39" s="180"/>
      <c r="X39" s="180"/>
    </row>
    <row r="40" spans="1:24">
      <c r="A40" s="180" t="s">
        <v>853</v>
      </c>
      <c r="B40" s="174" t="str">
        <f t="shared" si="4"/>
        <v>SID_DEATH_PACT</v>
      </c>
      <c r="C40" s="180" t="s">
        <v>146</v>
      </c>
      <c r="D40" s="180">
        <v>0</v>
      </c>
      <c r="E40" s="180">
        <v>0</v>
      </c>
      <c r="F40" s="180">
        <v>5</v>
      </c>
      <c r="G40" s="180" t="s">
        <v>744</v>
      </c>
      <c r="H40" s="180">
        <v>1</v>
      </c>
      <c r="I40" s="180" t="s">
        <v>609</v>
      </c>
      <c r="J40" s="180"/>
      <c r="K40" s="173" t="str">
        <f t="shared" si="0"/>
        <v>SpellData.create(SID_DEATH_PACT,"死亡契约",0,0,5,OrderId("stomp"),1,ORDER_TYPE_IMMEDIATE);</v>
      </c>
      <c r="L40" s="173" t="str">
        <f t="shared" si="1"/>
        <v>SpellData.create(SID_DEATH_PACT,"Death Pact",0,0,5,OrderId("stomp"),1,ORDER_TYPE_IMMEDIATE);</v>
      </c>
      <c r="M40" s="180" t="s">
        <v>1707</v>
      </c>
      <c r="N40" s="180"/>
      <c r="O40" s="180"/>
      <c r="P40" s="180"/>
      <c r="Q40" s="180"/>
      <c r="R40" s="180"/>
      <c r="S40" s="180"/>
      <c r="T40" s="180"/>
      <c r="U40" s="180"/>
      <c r="V40" s="180"/>
      <c r="W40" s="180"/>
      <c r="X40" s="180"/>
    </row>
    <row r="41" spans="1:24">
      <c r="A41" s="180" t="s">
        <v>852</v>
      </c>
      <c r="B41" s="174" t="str">
        <f t="shared" si="4"/>
        <v>SID_SUMMON_GHOUL</v>
      </c>
      <c r="C41" s="180" t="s">
        <v>147</v>
      </c>
      <c r="D41" s="180">
        <v>0</v>
      </c>
      <c r="E41" s="180">
        <v>50</v>
      </c>
      <c r="F41" s="180">
        <v>60</v>
      </c>
      <c r="G41" s="180" t="s">
        <v>842</v>
      </c>
      <c r="H41" s="180">
        <v>1</v>
      </c>
      <c r="I41" s="180" t="s">
        <v>609</v>
      </c>
      <c r="J41" s="180" t="s">
        <v>851</v>
      </c>
      <c r="K41" s="173" t="str">
        <f t="shared" si="0"/>
        <v>SpellData.create(SID_SUMMON_GHOUL,"食尸鬼仆从",50,0,60,OrderId("voodoo"),1,ORDER_TYPE_IMMEDIATE).setCCC2(0,0,45).setCCC3(0,0,30);</v>
      </c>
      <c r="L41" s="173" t="str">
        <f t="shared" si="1"/>
        <v>SpellData.create(SID_SUMMON_GHOUL,"Summon Ghoul",50,0,60,OrderId("voodoo"),1,ORDER_TYPE_IMMEDIATE).setCCC2(0,0,45).setCCC3(0,0,30);</v>
      </c>
      <c r="M41" s="180" t="s">
        <v>1707</v>
      </c>
      <c r="N41" s="180"/>
      <c r="O41" s="180"/>
      <c r="P41" s="180"/>
      <c r="Q41" s="180"/>
      <c r="R41" s="180"/>
      <c r="S41" s="180"/>
      <c r="T41" s="180"/>
      <c r="U41" s="180"/>
      <c r="V41" s="180"/>
      <c r="W41" s="180"/>
      <c r="X41" s="180"/>
    </row>
    <row r="42" spans="1:24">
      <c r="A42" s="180" t="s">
        <v>850</v>
      </c>
      <c r="B42" s="174" t="str">
        <f t="shared" si="4"/>
        <v>SID_LIFE_LEECH</v>
      </c>
      <c r="C42" s="180" t="s">
        <v>154</v>
      </c>
      <c r="D42" s="180">
        <v>0</v>
      </c>
      <c r="E42" s="180">
        <v>0</v>
      </c>
      <c r="F42" s="180">
        <v>1</v>
      </c>
      <c r="G42" s="180">
        <v>0</v>
      </c>
      <c r="H42" s="180">
        <v>1</v>
      </c>
      <c r="I42" s="180" t="s">
        <v>609</v>
      </c>
      <c r="J42" s="180"/>
      <c r="K42" s="173" t="str">
        <f t="shared" si="0"/>
        <v>SpellData.create(SID_LIFE_LEECH,"生命偷取",0,0,1,0,1,ORDER_TYPE_IMMEDIATE);</v>
      </c>
      <c r="L42" s="173" t="str">
        <f t="shared" si="1"/>
        <v>SpellData.create(SID_LIFE_LEECH,"Life Leech",0,0,1,0,1,ORDER_TYPE_IMMEDIATE);</v>
      </c>
      <c r="M42" s="180" t="s">
        <v>1707</v>
      </c>
      <c r="N42" s="180"/>
      <c r="O42" s="180"/>
      <c r="P42" s="180"/>
      <c r="Q42" s="180"/>
      <c r="R42" s="180"/>
      <c r="S42" s="180"/>
      <c r="T42" s="180"/>
      <c r="U42" s="180"/>
      <c r="V42" s="180"/>
      <c r="W42" s="180"/>
      <c r="X42" s="180"/>
    </row>
    <row r="43" spans="1:24">
      <c r="A43" s="181" t="s">
        <v>849</v>
      </c>
      <c r="B43" s="174" t="str">
        <f t="shared" si="4"/>
        <v>SID_HEROIC_STRIKE</v>
      </c>
      <c r="C43" s="181" t="s">
        <v>179</v>
      </c>
      <c r="D43" s="181">
        <v>0</v>
      </c>
      <c r="E43" s="181">
        <v>0</v>
      </c>
      <c r="F43" s="181">
        <v>1</v>
      </c>
      <c r="G43" s="181" t="s">
        <v>1588</v>
      </c>
      <c r="H43" s="181">
        <v>1</v>
      </c>
      <c r="I43" s="181" t="s">
        <v>609</v>
      </c>
      <c r="J43" s="181"/>
      <c r="K43" s="173" t="str">
        <f t="shared" si="0"/>
        <v>SpellData.create(SID_HEROIC_STRIKE,"英勇打击",0,0,1,OrderId("roar"),1,ORDER_TYPE_IMMEDIATE);</v>
      </c>
      <c r="L43" s="173" t="str">
        <f t="shared" si="1"/>
        <v>SpellData.create(SID_HEROIC_STRIKE,"Heroic Strike",0,0,1,OrderId("roar"),1,ORDER_TYPE_IMMEDIATE);</v>
      </c>
      <c r="M43" s="181" t="s">
        <v>1707</v>
      </c>
      <c r="N43" s="181"/>
      <c r="O43" s="181"/>
      <c r="P43" s="181"/>
      <c r="Q43" s="181"/>
      <c r="R43" s="181"/>
      <c r="S43" s="181"/>
      <c r="T43" s="181"/>
      <c r="U43" s="181"/>
      <c r="V43" s="181"/>
      <c r="W43" s="181"/>
      <c r="X43" s="181"/>
    </row>
    <row r="44" spans="1:24">
      <c r="A44" s="181" t="s">
        <v>848</v>
      </c>
      <c r="B44" s="174" t="str">
        <f t="shared" si="4"/>
        <v>SID_REND</v>
      </c>
      <c r="C44" s="181" t="s">
        <v>174</v>
      </c>
      <c r="D44" s="174">
        <f ca="1">OFFSET(PlayerAbilities!$A$1, MATCH($A44,PlayerAbilities!$D$1:$D$187,0)-1, MATCH("Cast",PlayerAbilities!$A$1:$AE$1,0)-1)</f>
        <v>0</v>
      </c>
      <c r="E44" s="174">
        <f ca="1">OFFSET(PlayerAbilities!$A$1, MATCH($A44,PlayerAbilities!$D$1:$D$187,0)-1, MATCH("Cost",PlayerAbilities!$A$1:$AE$1,0)-1)</f>
        <v>0</v>
      </c>
      <c r="F44" s="174">
        <f ca="1">OFFSET(PlayerAbilities!$A$1, MATCH($A44,PlayerAbilities!$D$1:$D$187,0)-1, MATCH("CD",PlayerAbilities!$A$1:$AE$1,0)-1)</f>
        <v>6</v>
      </c>
      <c r="G44" s="181" t="s">
        <v>847</v>
      </c>
      <c r="H44" s="181">
        <v>1</v>
      </c>
      <c r="I44" s="181" t="s">
        <v>735</v>
      </c>
      <c r="J44" s="181"/>
      <c r="K44" s="173" t="str">
        <f t="shared" ca="1" si="0"/>
        <v>SpellData.create(SID_REND,"撕裂",0,0,6,OrderId("whirlwind"),1,ORDER_TYPE_TARGET);</v>
      </c>
      <c r="L44" s="173" t="str">
        <f t="shared" ca="1" si="1"/>
        <v>SpellData.create(SID_REND,"Rend",0,0,6,OrderId("whirlwind"),1,ORDER_TYPE_TARGET);</v>
      </c>
      <c r="M44" s="181" t="s">
        <v>1707</v>
      </c>
      <c r="N44" s="181"/>
      <c r="O44" s="181"/>
      <c r="P44" s="181"/>
      <c r="Q44" s="181"/>
      <c r="R44" s="181"/>
      <c r="S44" s="181"/>
      <c r="T44" s="181"/>
      <c r="U44" s="181"/>
      <c r="V44" s="181"/>
      <c r="W44" s="181"/>
      <c r="X44" s="181"/>
    </row>
    <row r="45" spans="1:24">
      <c r="A45" s="181" t="s">
        <v>1648</v>
      </c>
      <c r="B45" s="174" t="str">
        <f t="shared" si="4"/>
        <v>SID_OVER_POWER</v>
      </c>
      <c r="C45" s="181" t="s">
        <v>187</v>
      </c>
      <c r="D45" s="181">
        <v>0</v>
      </c>
      <c r="E45" s="181">
        <v>0</v>
      </c>
      <c r="F45" s="181">
        <v>3.5</v>
      </c>
      <c r="G45" s="181" t="s">
        <v>846</v>
      </c>
      <c r="H45" s="181">
        <v>1</v>
      </c>
      <c r="I45" s="181" t="s">
        <v>735</v>
      </c>
      <c r="J45" s="181"/>
      <c r="K45" s="173" t="str">
        <f t="shared" si="0"/>
        <v>SpellData.create(SID_OVER_POWER,"压制",0,0,3.5,OrderId("windwalk"),1,ORDER_TYPE_TARGET);</v>
      </c>
      <c r="L45" s="173" t="str">
        <f t="shared" si="1"/>
        <v>SpellData.create(SID_OVER_POWER,"Over Power",0,0,3.5,OrderId("windwalk"),1,ORDER_TYPE_TARGET);</v>
      </c>
      <c r="M45" s="181" t="s">
        <v>1707</v>
      </c>
      <c r="N45" s="181"/>
      <c r="O45" s="181"/>
      <c r="P45" s="181"/>
      <c r="Q45" s="181"/>
      <c r="R45" s="181"/>
      <c r="S45" s="181"/>
      <c r="T45" s="181"/>
      <c r="U45" s="181"/>
      <c r="V45" s="181"/>
      <c r="W45" s="181"/>
      <c r="X45" s="181"/>
    </row>
    <row r="46" spans="1:24">
      <c r="A46" s="181" t="s">
        <v>752</v>
      </c>
      <c r="B46" s="174" t="str">
        <f t="shared" si="4"/>
        <v>SID_MORTAL_STRIKE</v>
      </c>
      <c r="C46" s="181" t="s">
        <v>189</v>
      </c>
      <c r="D46" s="181">
        <v>0</v>
      </c>
      <c r="E46" s="181">
        <v>15</v>
      </c>
      <c r="F46" s="181">
        <v>9</v>
      </c>
      <c r="G46" s="181" t="s">
        <v>845</v>
      </c>
      <c r="H46" s="181">
        <v>1</v>
      </c>
      <c r="I46" s="181" t="s">
        <v>735</v>
      </c>
      <c r="J46" s="181" t="s">
        <v>844</v>
      </c>
      <c r="K46" s="173" t="str">
        <f t="shared" si="0"/>
        <v>SpellData.create(SID_MORTAL_STRIKE,"致死打击",15,0,9,OrderId("drunkenhaze"),1,ORDER_TYPE_TARGET).setCCC2(25,0,8).setCCC3(35,0,7);</v>
      </c>
      <c r="L46" s="173" t="str">
        <f t="shared" si="1"/>
        <v>SpellData.create(SID_MORTAL_STRIKE,"Mortal Strike",15,0,9,OrderId("drunkenhaze"),1,ORDER_TYPE_TARGET).setCCC2(25,0,8).setCCC3(35,0,7);</v>
      </c>
      <c r="M46" s="181" t="s">
        <v>1707</v>
      </c>
      <c r="N46" s="181"/>
      <c r="O46" s="181"/>
      <c r="P46" s="181"/>
      <c r="Q46" s="181"/>
      <c r="R46" s="181"/>
      <c r="S46" s="181"/>
      <c r="T46" s="181"/>
      <c r="U46" s="181"/>
      <c r="V46" s="181"/>
      <c r="W46" s="181"/>
      <c r="X46" s="181"/>
    </row>
    <row r="47" spans="1:24">
      <c r="A47" s="181" t="s">
        <v>1649</v>
      </c>
      <c r="B47" s="174" t="str">
        <f t="shared" si="4"/>
        <v>SID_EXECUTE_LEARN</v>
      </c>
      <c r="C47" s="181" t="s">
        <v>193</v>
      </c>
      <c r="D47" s="181">
        <v>0</v>
      </c>
      <c r="E47" s="181">
        <v>0</v>
      </c>
      <c r="F47" s="181">
        <v>1</v>
      </c>
      <c r="G47" s="181" t="s">
        <v>843</v>
      </c>
      <c r="H47" s="181">
        <v>1</v>
      </c>
      <c r="I47" s="181" t="s">
        <v>735</v>
      </c>
      <c r="J47" s="181"/>
      <c r="K47" s="173" t="str">
        <f t="shared" si="0"/>
        <v>SpellData.create(SID_EXECUTE_LEARN,"斩杀",0,0,1,OrderId("massteleport"),1,ORDER_TYPE_TARGET);</v>
      </c>
      <c r="L47" s="173" t="str">
        <f t="shared" si="1"/>
        <v>SpellData.create(SID_EXECUTE_LEARN,"Execute Learn",0,0,1,OrderId("massteleport"),1,ORDER_TYPE_TARGET);</v>
      </c>
      <c r="M47" s="181" t="s">
        <v>1707</v>
      </c>
      <c r="N47" s="181"/>
      <c r="O47" s="181"/>
      <c r="P47" s="181"/>
      <c r="Q47" s="181"/>
      <c r="R47" s="181"/>
      <c r="S47" s="181"/>
      <c r="T47" s="181"/>
      <c r="U47" s="181"/>
      <c r="V47" s="181"/>
      <c r="W47" s="181"/>
      <c r="X47" s="181"/>
    </row>
    <row r="48" spans="1:24">
      <c r="A48" s="181" t="s">
        <v>841</v>
      </c>
      <c r="B48" s="174" t="str">
        <f>"SID_"&amp;UPPER(SUBSTITUTE(A48," ","_"))</f>
        <v>SID_EXECUTE</v>
      </c>
      <c r="C48" s="181" t="s">
        <v>193</v>
      </c>
      <c r="D48" s="181">
        <v>0</v>
      </c>
      <c r="E48" s="181">
        <v>0</v>
      </c>
      <c r="F48" s="181">
        <v>1</v>
      </c>
      <c r="G48" s="181" t="s">
        <v>738</v>
      </c>
      <c r="H48" s="181">
        <v>1</v>
      </c>
      <c r="I48" s="181" t="s">
        <v>735</v>
      </c>
      <c r="J48" s="181"/>
      <c r="K48" s="173" t="str">
        <f t="shared" si="0"/>
        <v>SpellData.create(SID_EXECUTE,"斩杀",0,0,1,OrderId("slow"),1,ORDER_TYPE_TARGET);</v>
      </c>
      <c r="L48" s="173" t="str">
        <f t="shared" si="1"/>
        <v>SpellData.create(SID_EXECUTE,"Execute",0,0,1,OrderId("slow"),1,ORDER_TYPE_TARGET);</v>
      </c>
      <c r="M48" s="181" t="s">
        <v>1707</v>
      </c>
      <c r="N48" s="181"/>
      <c r="O48" s="181"/>
      <c r="P48" s="181"/>
      <c r="Q48" s="181"/>
      <c r="R48" s="181"/>
      <c r="S48" s="181"/>
      <c r="T48" s="181"/>
      <c r="U48" s="181"/>
      <c r="V48" s="181"/>
      <c r="W48" s="181"/>
      <c r="X48" s="181"/>
    </row>
    <row r="49" spans="1:24">
      <c r="A49" s="182" t="s">
        <v>750</v>
      </c>
      <c r="B49" s="174" t="str">
        <f t="shared" si="4"/>
        <v>SID_FROST_BOLT</v>
      </c>
      <c r="C49" s="182" t="s">
        <v>205</v>
      </c>
      <c r="D49" s="182">
        <v>2</v>
      </c>
      <c r="E49" s="182">
        <v>15</v>
      </c>
      <c r="F49" s="182">
        <v>0</v>
      </c>
      <c r="G49" s="182" t="s">
        <v>737</v>
      </c>
      <c r="H49" s="182">
        <v>1</v>
      </c>
      <c r="I49" s="182" t="s">
        <v>735</v>
      </c>
      <c r="J49" s="182" t="s">
        <v>840</v>
      </c>
      <c r="K49" s="173" t="str">
        <f t="shared" si="0"/>
        <v>SpellData.create(SID_FROST_BOLT,"寒冰箭",15,2,0,OrderId("heal"),1,ORDER_TYPE_TARGET).setCCC2(30,2,0).setCCC3(45,2,0);</v>
      </c>
      <c r="L49" s="173" t="str">
        <f t="shared" si="1"/>
        <v>SpellData.create(SID_FROST_BOLT,"Frost Bolt",15,2,0,OrderId("heal"),1,ORDER_TYPE_TARGET).setCCC2(30,2,0).setCCC3(45,2,0);</v>
      </c>
      <c r="M49" s="182" t="s">
        <v>1707</v>
      </c>
      <c r="N49" s="182"/>
      <c r="O49" s="182"/>
      <c r="P49" s="182"/>
      <c r="Q49" s="182"/>
      <c r="R49" s="182"/>
      <c r="S49" s="182"/>
      <c r="T49" s="182"/>
      <c r="U49" s="182"/>
      <c r="V49" s="182"/>
      <c r="W49" s="182"/>
      <c r="X49" s="182"/>
    </row>
    <row r="50" spans="1:24">
      <c r="A50" s="182" t="s">
        <v>839</v>
      </c>
      <c r="B50" s="174" t="str">
        <f t="shared" si="4"/>
        <v>SID_BLIZZARD</v>
      </c>
      <c r="C50" s="182" t="s">
        <v>208</v>
      </c>
      <c r="D50" s="182">
        <v>0</v>
      </c>
      <c r="E50" s="182">
        <v>100</v>
      </c>
      <c r="F50" s="182">
        <v>10</v>
      </c>
      <c r="G50" s="182" t="s">
        <v>825</v>
      </c>
      <c r="H50" s="182">
        <v>1</v>
      </c>
      <c r="I50" s="182" t="s">
        <v>781</v>
      </c>
      <c r="J50" s="182" t="s">
        <v>1650</v>
      </c>
      <c r="K50" s="173" t="str">
        <f t="shared" si="0"/>
        <v>SpellData.create(SID_BLIZZARD,"暴风雪",100,0,10,OrderId("blizzard"),1,ORDER_TYPE_POINT).setCCC2(135,0,10).setCCC3(170,0,10);</v>
      </c>
      <c r="L50" s="173" t="str">
        <f t="shared" si="1"/>
        <v>SpellData.create(SID_BLIZZARD,"Blizzard",100,0,10,OrderId("blizzard"),1,ORDER_TYPE_POINT).setCCC2(135,0,10).setCCC3(170,0,10);</v>
      </c>
      <c r="M50" s="182" t="s">
        <v>1707</v>
      </c>
      <c r="N50" s="182"/>
      <c r="O50" s="182"/>
      <c r="P50" s="182"/>
      <c r="Q50" s="182"/>
      <c r="R50" s="182"/>
      <c r="S50" s="182"/>
      <c r="T50" s="182"/>
      <c r="U50" s="182"/>
      <c r="V50" s="182"/>
      <c r="W50" s="182"/>
      <c r="X50" s="182"/>
    </row>
    <row r="51" spans="1:24">
      <c r="A51" s="182" t="s">
        <v>838</v>
      </c>
      <c r="B51" s="174" t="str">
        <f t="shared" si="4"/>
        <v>SID_FROST_NOVA</v>
      </c>
      <c r="C51" s="182" t="s">
        <v>215</v>
      </c>
      <c r="D51" s="174">
        <f ca="1">OFFSET(PlayerAbilities!$A$1, MATCH($A51,PlayerAbilities!$D$1:$D$187,0)-1, MATCH("Cast",PlayerAbilities!$A$1:$AE$1,0)-1)</f>
        <v>0</v>
      </c>
      <c r="E51" s="174">
        <f ca="1">OFFSET(PlayerAbilities!$A$1, MATCH($A51,PlayerAbilities!$D$1:$D$187,0)-1, MATCH("Cost",PlayerAbilities!$A$1:$AE$1,0)-1)</f>
        <v>50</v>
      </c>
      <c r="F51" s="174">
        <f ca="1">OFFSET(PlayerAbilities!$A$1, MATCH($A51,PlayerAbilities!$D$1:$D$187,0)-1, MATCH("CD",PlayerAbilities!$A$1:$AE$1,0)-1)</f>
        <v>15</v>
      </c>
      <c r="G51" s="182" t="s">
        <v>837</v>
      </c>
      <c r="H51" s="182">
        <v>1</v>
      </c>
      <c r="I51" s="182" t="s">
        <v>609</v>
      </c>
      <c r="J51" s="182" t="s">
        <v>1785</v>
      </c>
      <c r="K51" s="173" t="str">
        <f t="shared" ca="1" si="0"/>
        <v>SpellData.create(SID_FROST_NOVA,"冰冻新星",50,0,15,OrderId("frostnova"),1,ORDER_TYPE_IMMEDIATE).setCCC2(50,0,15).setCCC3(50,0,12);</v>
      </c>
      <c r="L51" s="173" t="str">
        <f t="shared" ca="1" si="1"/>
        <v>SpellData.create(SID_FROST_NOVA,"Frost Nova",50,0,15,OrderId("frostnova"),1,ORDER_TYPE_IMMEDIATE).setCCC2(50,0,15).setCCC3(50,0,12);</v>
      </c>
      <c r="M51" s="182" t="s">
        <v>1707</v>
      </c>
      <c r="N51" s="182"/>
      <c r="O51" s="182"/>
      <c r="P51" s="182"/>
      <c r="Q51" s="182"/>
      <c r="R51" s="182"/>
      <c r="S51" s="182"/>
      <c r="T51" s="182"/>
      <c r="U51" s="182"/>
      <c r="V51" s="182"/>
      <c r="W51" s="182"/>
      <c r="X51" s="182"/>
    </row>
    <row r="52" spans="1:24">
      <c r="A52" s="182" t="s">
        <v>749</v>
      </c>
      <c r="B52" s="174" t="str">
        <f t="shared" si="4"/>
        <v>SID_POLYMORPH</v>
      </c>
      <c r="C52" s="182" t="s">
        <v>226</v>
      </c>
      <c r="D52" s="174">
        <f ca="1">OFFSET(PlayerAbilities!$A$1, MATCH($A52,PlayerAbilities!$D$1:$D$187,0)-1, MATCH("Cast",PlayerAbilities!$A$1:$AE$1,0)-1)</f>
        <v>0</v>
      </c>
      <c r="E52" s="174">
        <f ca="1">OFFSET(PlayerAbilities!$A$1, MATCH($A52,PlayerAbilities!$D$1:$D$187,0)-1, MATCH("Cost",PlayerAbilities!$A$1:$AE$1,0)-1)</f>
        <v>25</v>
      </c>
      <c r="F52" s="174">
        <f ca="1">OFFSET(PlayerAbilities!$A$1, MATCH($A52,PlayerAbilities!$D$1:$D$187,0)-1, MATCH("CD",PlayerAbilities!$A$1:$AE$1,0)-1)</f>
        <v>30</v>
      </c>
      <c r="G52" s="182" t="s">
        <v>836</v>
      </c>
      <c r="H52" s="182">
        <v>1</v>
      </c>
      <c r="I52" s="182" t="s">
        <v>735</v>
      </c>
      <c r="J52" s="182" t="s">
        <v>835</v>
      </c>
      <c r="K52" s="173" t="str">
        <f t="shared" ca="1" si="0"/>
        <v>SpellData.create(SID_POLYMORPH,"变形术",25,0,30,OrderId("polymorph"),1,ORDER_TYPE_TARGET).setCCC2(25,0,22).setCCC3(25,0,14);</v>
      </c>
      <c r="L52" s="173" t="str">
        <f t="shared" ca="1" si="1"/>
        <v>SpellData.create(SID_POLYMORPH,"Polymorph",25,0,30,OrderId("polymorph"),1,ORDER_TYPE_TARGET).setCCC2(25,0,22).setCCC3(25,0,14);</v>
      </c>
      <c r="M52" s="182" t="s">
        <v>1707</v>
      </c>
      <c r="N52" s="182"/>
      <c r="O52" s="182"/>
      <c r="P52" s="182"/>
      <c r="Q52" s="182"/>
      <c r="R52" s="182"/>
      <c r="S52" s="182"/>
      <c r="T52" s="182"/>
      <c r="U52" s="182"/>
      <c r="V52" s="182"/>
      <c r="W52" s="182"/>
      <c r="X52" s="182"/>
    </row>
    <row r="53" spans="1:24">
      <c r="A53" s="182" t="s">
        <v>1651</v>
      </c>
      <c r="B53" s="174" t="str">
        <f t="shared" si="4"/>
        <v>SID_POLYMORPH_DUMMY</v>
      </c>
      <c r="C53" s="182" t="s">
        <v>226</v>
      </c>
      <c r="D53" s="182">
        <v>0</v>
      </c>
      <c r="E53" s="182">
        <v>25</v>
      </c>
      <c r="F53" s="182">
        <v>5</v>
      </c>
      <c r="G53" s="182" t="s">
        <v>761</v>
      </c>
      <c r="H53" s="182">
        <v>1</v>
      </c>
      <c r="I53" s="182" t="s">
        <v>735</v>
      </c>
      <c r="J53" s="182"/>
      <c r="K53" s="173" t="str">
        <f t="shared" si="0"/>
        <v>SpellData.create(SID_POLYMORPH_DUMMY,"变形术",25,0,5,OrderId("hex"),1,ORDER_TYPE_TARGET);</v>
      </c>
      <c r="L53" s="173" t="str">
        <f t="shared" si="1"/>
        <v>SpellData.create(SID_POLYMORPH_DUMMY,"Polymorph dummy",25,0,5,OrderId("hex"),1,ORDER_TYPE_TARGET);</v>
      </c>
      <c r="M53" s="182" t="s">
        <v>1707</v>
      </c>
      <c r="N53" s="182"/>
      <c r="O53" s="182"/>
      <c r="P53" s="182"/>
      <c r="Q53" s="182"/>
      <c r="R53" s="182"/>
      <c r="S53" s="182"/>
      <c r="T53" s="182"/>
      <c r="U53" s="182"/>
      <c r="V53" s="182"/>
      <c r="W53" s="182"/>
      <c r="X53" s="182"/>
    </row>
    <row r="54" spans="1:24">
      <c r="A54" s="182" t="s">
        <v>834</v>
      </c>
      <c r="B54" s="174" t="str">
        <f t="shared" si="4"/>
        <v>SID_SPELL_TRANSFER</v>
      </c>
      <c r="C54" s="182" t="s">
        <v>239</v>
      </c>
      <c r="D54" s="174">
        <f ca="1">OFFSET(PlayerAbilities!$A$1, MATCH($A54,PlayerAbilities!$D$1:$D$187,0)-1, MATCH("Cast",PlayerAbilities!$A$1:$AE$1,0)-1)</f>
        <v>0</v>
      </c>
      <c r="E54" s="174">
        <f ca="1">OFFSET(PlayerAbilities!$A$1, MATCH($A54,PlayerAbilities!$D$1:$D$187,0)-1, MATCH("Cost",PlayerAbilities!$A$1:$AE$1,0)-1)</f>
        <v>25</v>
      </c>
      <c r="F54" s="174">
        <f ca="1">OFFSET(PlayerAbilities!$A$1, MATCH($A54,PlayerAbilities!$D$1:$D$187,0)-1, MATCH("CD",PlayerAbilities!$A$1:$AE$1,0)-1)</f>
        <v>6</v>
      </c>
      <c r="G54" s="182" t="s">
        <v>804</v>
      </c>
      <c r="H54" s="182">
        <v>1</v>
      </c>
      <c r="I54" s="182" t="s">
        <v>735</v>
      </c>
      <c r="J54" s="182" t="s">
        <v>1792</v>
      </c>
      <c r="K54" s="173" t="str">
        <f t="shared" ca="1" si="0"/>
        <v>SpellData.create(SID_SPELL_TRANSFER,"法术转移",25,0,6,OrderId("dispel"),1,ORDER_TYPE_TARGET).setCCC2(25,0,3).setCCC3(25,0,1);</v>
      </c>
      <c r="L54" s="173" t="str">
        <f t="shared" ca="1" si="1"/>
        <v>SpellData.create(SID_SPELL_TRANSFER,"Spell Transfer",25,0,6,OrderId("dispel"),1,ORDER_TYPE_TARGET).setCCC2(25,0,3).setCCC3(25,0,1);</v>
      </c>
      <c r="M54" s="182" t="s">
        <v>1707</v>
      </c>
      <c r="N54" s="182"/>
      <c r="O54" s="182"/>
      <c r="P54" s="182"/>
      <c r="Q54" s="182"/>
      <c r="R54" s="182"/>
      <c r="S54" s="182"/>
      <c r="T54" s="182"/>
      <c r="U54" s="182"/>
      <c r="V54" s="182"/>
      <c r="W54" s="182"/>
      <c r="X54" s="182"/>
    </row>
    <row r="55" spans="1:24">
      <c r="A55" s="182" t="s">
        <v>1794</v>
      </c>
      <c r="B55" s="174" t="str">
        <f t="shared" si="4"/>
        <v>SID_SPELL_CHANNEL</v>
      </c>
      <c r="C55" s="182" t="s">
        <v>247</v>
      </c>
      <c r="D55" s="174">
        <f ca="1">OFFSET(PlayerAbilities!$A$1, MATCH($A55,PlayerAbilities!$D$1:$D$187,0)-1, MATCH("Cast",PlayerAbilities!$A$1:$AE$1,0)-1)</f>
        <v>0</v>
      </c>
      <c r="E55" s="174">
        <f ca="1">OFFSET(PlayerAbilities!$A$1, MATCH($A55,PlayerAbilities!$D$1:$D$187,0)-1, MATCH("Cost",PlayerAbilities!$A$1:$AE$1,0)-1)</f>
        <v>15</v>
      </c>
      <c r="F55" s="174">
        <f ca="1">OFFSET(PlayerAbilities!$A$1, MATCH($A55,PlayerAbilities!$D$1:$D$187,0)-1, MATCH("CD",PlayerAbilities!$A$1:$AE$1,0)-1)</f>
        <v>2</v>
      </c>
      <c r="G55" s="182" t="s">
        <v>610</v>
      </c>
      <c r="H55" s="182">
        <v>1</v>
      </c>
      <c r="I55" s="182" t="s">
        <v>735</v>
      </c>
      <c r="J55" s="182"/>
      <c r="K55" s="173" t="str">
        <f t="shared" ca="1" si="0"/>
        <v>SpellData.create(SID_SPELL_CHANNEL,"智慧导能",15,0,2,OrderId("channel"),1,ORDER_TYPE_TARGET);</v>
      </c>
      <c r="L55" s="173" t="str">
        <f t="shared" ca="1" si="1"/>
        <v>SpellData.create(SID_SPELL_CHANNEL,"Spell Channel",15,0,2,OrderId("channel"),1,ORDER_TYPE_TARGET);</v>
      </c>
      <c r="M55" s="182" t="s">
        <v>1707</v>
      </c>
      <c r="N55" s="182"/>
      <c r="O55" s="182"/>
      <c r="P55" s="182"/>
      <c r="Q55" s="182"/>
      <c r="R55" s="182"/>
      <c r="S55" s="182"/>
      <c r="T55" s="182"/>
      <c r="U55" s="182"/>
      <c r="V55" s="182"/>
      <c r="W55" s="182"/>
      <c r="X55" s="182"/>
    </row>
    <row r="56" spans="1:24">
      <c r="A56" s="180" t="s">
        <v>833</v>
      </c>
      <c r="B56" s="174" t="str">
        <f t="shared" si="4"/>
        <v>SID_STORM_LASH</v>
      </c>
      <c r="C56" s="180" t="s">
        <v>352</v>
      </c>
      <c r="D56" s="180">
        <v>2</v>
      </c>
      <c r="E56" s="180">
        <v>10</v>
      </c>
      <c r="F56" s="180">
        <v>0</v>
      </c>
      <c r="G56" s="180" t="s">
        <v>831</v>
      </c>
      <c r="H56" s="180">
        <v>1</v>
      </c>
      <c r="I56" s="180" t="s">
        <v>735</v>
      </c>
      <c r="J56" s="180" t="s">
        <v>832</v>
      </c>
      <c r="K56" s="173" t="str">
        <f t="shared" si="0"/>
        <v>SpellData.create(SID_STORM_LASH,"风暴鞭笞",10,2,0,OrderId("forkedlightning"),1,ORDER_TYPE_TARGET).setCCC2(13,2,0).setCCC3(16,2,0);</v>
      </c>
      <c r="L56" s="173" t="str">
        <f t="shared" si="1"/>
        <v>SpellData.create(SID_STORM_LASH,"Storm Lash",10,2,0,OrderId("forkedlightning"),1,ORDER_TYPE_TARGET).setCCC2(13,2,0).setCCC3(16,2,0);</v>
      </c>
      <c r="M56" s="180" t="s">
        <v>1707</v>
      </c>
      <c r="N56" s="180"/>
      <c r="O56" s="180"/>
      <c r="P56" s="180"/>
      <c r="Q56" s="180"/>
      <c r="R56" s="180"/>
      <c r="S56" s="180"/>
      <c r="T56" s="180"/>
      <c r="U56" s="180"/>
      <c r="V56" s="180"/>
      <c r="W56" s="180"/>
      <c r="X56" s="180"/>
    </row>
    <row r="57" spans="1:24">
      <c r="A57" s="180" t="s">
        <v>829</v>
      </c>
      <c r="B57" s="174" t="str">
        <f t="shared" si="4"/>
        <v>SID_EARTH_SHOCK</v>
      </c>
      <c r="C57" s="180" t="s">
        <v>135</v>
      </c>
      <c r="D57" s="180">
        <v>0</v>
      </c>
      <c r="E57" s="180">
        <v>85</v>
      </c>
      <c r="F57" s="180">
        <v>9</v>
      </c>
      <c r="G57" s="180" t="s">
        <v>807</v>
      </c>
      <c r="H57" s="180">
        <v>1</v>
      </c>
      <c r="I57" s="180" t="s">
        <v>735</v>
      </c>
      <c r="J57" s="180" t="s">
        <v>830</v>
      </c>
      <c r="K57" s="173" t="str">
        <f t="shared" si="0"/>
        <v>SpellData.create(SID_EARTH_SHOCK,"大地震击",85,0,9,OrderId("thunderbolt"),1,ORDER_TYPE_TARGET).setCCC2(95,0,9).setCCC3(105,0,9);</v>
      </c>
      <c r="L57" s="173" t="str">
        <f t="shared" si="1"/>
        <v>SpellData.create(SID_EARTH_SHOCK,"Earth Shock",85,0,9,OrderId("thunderbolt"),1,ORDER_TYPE_TARGET).setCCC2(95,0,9).setCCC3(105,0,9);</v>
      </c>
      <c r="M57" s="180" t="s">
        <v>1707</v>
      </c>
      <c r="N57" s="180"/>
      <c r="O57" s="180"/>
      <c r="P57" s="180"/>
      <c r="Q57" s="180"/>
      <c r="R57" s="180"/>
      <c r="S57" s="180"/>
      <c r="T57" s="180"/>
      <c r="U57" s="180"/>
      <c r="V57" s="180"/>
      <c r="W57" s="180"/>
      <c r="X57" s="180"/>
    </row>
    <row r="58" spans="1:24">
      <c r="A58" s="180" t="s">
        <v>828</v>
      </c>
      <c r="B58" s="174" t="str">
        <f t="shared" si="4"/>
        <v>SID_PURGE</v>
      </c>
      <c r="C58" s="180" t="s">
        <v>136</v>
      </c>
      <c r="D58" s="180">
        <v>0</v>
      </c>
      <c r="E58" s="180">
        <v>15</v>
      </c>
      <c r="F58" s="180">
        <v>15</v>
      </c>
      <c r="G58" s="180" t="s">
        <v>827</v>
      </c>
      <c r="H58" s="180">
        <v>1</v>
      </c>
      <c r="I58" s="180" t="s">
        <v>735</v>
      </c>
      <c r="J58" s="180"/>
      <c r="K58" s="173" t="str">
        <f t="shared" si="0"/>
        <v>SpellData.create(SID_PURGE,"净化术",15,0,15,OrderId("purge"),1,ORDER_TYPE_TARGET);</v>
      </c>
      <c r="L58" s="173" t="str">
        <f t="shared" si="1"/>
        <v>SpellData.create(SID_PURGE,"Purge",15,0,15,OrderId("purge"),1,ORDER_TYPE_TARGET);</v>
      </c>
      <c r="M58" s="180" t="s">
        <v>1707</v>
      </c>
      <c r="N58" s="180"/>
      <c r="O58" s="180"/>
      <c r="P58" s="180"/>
      <c r="Q58" s="180"/>
      <c r="R58" s="180"/>
      <c r="S58" s="180"/>
      <c r="T58" s="180"/>
      <c r="U58" s="180"/>
      <c r="V58" s="180"/>
      <c r="W58" s="180"/>
      <c r="X58" s="180"/>
    </row>
    <row r="59" spans="1:24">
      <c r="A59" s="180" t="s">
        <v>826</v>
      </c>
      <c r="B59" s="174" t="str">
        <f t="shared" si="4"/>
        <v>SID_ENCHANTED_TOTEM</v>
      </c>
      <c r="C59" s="180" t="s">
        <v>357</v>
      </c>
      <c r="D59" s="180">
        <v>0</v>
      </c>
      <c r="E59" s="180">
        <v>0</v>
      </c>
      <c r="F59" s="180">
        <v>1</v>
      </c>
      <c r="G59" s="180" t="s">
        <v>742</v>
      </c>
      <c r="H59" s="180">
        <v>1</v>
      </c>
      <c r="I59" s="180" t="s">
        <v>609</v>
      </c>
      <c r="J59" s="180"/>
      <c r="K59" s="173" t="str">
        <f t="shared" si="0"/>
        <v>SpellData.create(SID_ENCHANTED_TOTEM,"附魔图腾",0,0,1,OrderId("healingward"),1,ORDER_TYPE_IMMEDIATE);</v>
      </c>
      <c r="L59" s="173" t="str">
        <f t="shared" ref="L59:L128" si="7">IF(A59="N/A","//",CONCATENATE("SpellData.create(",B59,",",CHAR(34),A59,CHAR(34),",",E59,",",D59,",",F59,",",G59,",",H59,",",I59,")",J59,";"))</f>
        <v>SpellData.create(SID_ENCHANTED_TOTEM,"Enchanted Totem",0,0,1,OrderId("healingward"),1,ORDER_TYPE_IMMEDIATE);</v>
      </c>
      <c r="M59" s="180" t="s">
        <v>1707</v>
      </c>
      <c r="N59" s="180"/>
      <c r="O59" s="180"/>
      <c r="P59" s="180"/>
      <c r="Q59" s="180"/>
      <c r="R59" s="180"/>
      <c r="S59" s="180"/>
      <c r="T59" s="180"/>
      <c r="U59" s="180"/>
      <c r="V59" s="180"/>
      <c r="W59" s="180"/>
      <c r="X59" s="180"/>
    </row>
    <row r="60" spans="1:24">
      <c r="A60" s="180" t="s">
        <v>748</v>
      </c>
      <c r="B60" s="174" t="str">
        <f>"SID_"&amp;UPPER(SUBSTITUTE(A60," ","_"))</f>
        <v>SID_LIGHTNING_TOTEM</v>
      </c>
      <c r="C60" s="180" t="s">
        <v>431</v>
      </c>
      <c r="D60" s="180">
        <v>0</v>
      </c>
      <c r="E60" s="180">
        <v>0</v>
      </c>
      <c r="F60" s="180">
        <v>10</v>
      </c>
      <c r="G60" s="180" t="s">
        <v>825</v>
      </c>
      <c r="H60" s="180">
        <v>1</v>
      </c>
      <c r="I60" s="180" t="s">
        <v>781</v>
      </c>
      <c r="J60" s="180"/>
      <c r="K60" s="173" t="str">
        <f t="shared" si="0"/>
        <v>SpellData.create(SID_LIGHTNING_TOTEM,"闪电图腾",0,0,10,OrderId("blizzard"),1,ORDER_TYPE_POINT);</v>
      </c>
      <c r="L60" s="173" t="str">
        <f t="shared" si="7"/>
        <v>SpellData.create(SID_LIGHTNING_TOTEM,"Lightning Totem",0,0,10,OrderId("blizzard"),1,ORDER_TYPE_POINT);</v>
      </c>
      <c r="M60" s="180" t="s">
        <v>1707</v>
      </c>
      <c r="N60" s="180"/>
      <c r="O60" s="180"/>
      <c r="P60" s="180"/>
      <c r="Q60" s="180"/>
      <c r="R60" s="180"/>
      <c r="S60" s="180"/>
      <c r="T60" s="180"/>
      <c r="U60" s="180"/>
      <c r="V60" s="180"/>
      <c r="W60" s="180"/>
      <c r="X60" s="180"/>
    </row>
    <row r="61" spans="1:24">
      <c r="A61" s="180" t="s">
        <v>823</v>
      </c>
      <c r="B61" s="174" t="str">
        <f t="shared" si="4"/>
        <v>SID_TORRENT_TOTEM</v>
      </c>
      <c r="C61" s="180" t="s">
        <v>824</v>
      </c>
      <c r="D61" s="180">
        <v>0</v>
      </c>
      <c r="E61" s="180">
        <v>0</v>
      </c>
      <c r="F61" s="180">
        <v>10</v>
      </c>
      <c r="G61" s="180" t="s">
        <v>822</v>
      </c>
      <c r="H61" s="180">
        <v>1</v>
      </c>
      <c r="I61" s="180" t="s">
        <v>781</v>
      </c>
      <c r="J61" s="180"/>
      <c r="K61" s="173" t="str">
        <f t="shared" si="0"/>
        <v>SpellData.create(SID_TORRENT_TOTEM,"激流图腾",0,0,10,OrderId("flamestrike"),1,ORDER_TYPE_POINT);</v>
      </c>
      <c r="L61" s="173" t="str">
        <f t="shared" si="7"/>
        <v>SpellData.create(SID_TORRENT_TOTEM,"Torrent Totem",0,0,10,OrderId("flamestrike"),1,ORDER_TYPE_POINT);</v>
      </c>
      <c r="M61" s="180" t="s">
        <v>1707</v>
      </c>
      <c r="N61" s="180"/>
      <c r="O61" s="180"/>
      <c r="P61" s="180"/>
      <c r="Q61" s="180"/>
      <c r="R61" s="180"/>
      <c r="S61" s="180"/>
      <c r="T61" s="180"/>
      <c r="U61" s="180"/>
      <c r="V61" s="180"/>
      <c r="W61" s="180"/>
      <c r="X61" s="180"/>
    </row>
    <row r="62" spans="1:24">
      <c r="A62" s="180" t="s">
        <v>1652</v>
      </c>
      <c r="B62" s="174" t="str">
        <f t="shared" ref="B62:B91" si="8">"SID_"&amp;UPPER(SUBSTITUTE(A62," ","_"))</f>
        <v>SID_EARTH_BIND_TOTEM</v>
      </c>
      <c r="C62" s="180" t="s">
        <v>821</v>
      </c>
      <c r="D62" s="180">
        <v>0</v>
      </c>
      <c r="E62" s="180">
        <v>0</v>
      </c>
      <c r="F62" s="180">
        <v>10</v>
      </c>
      <c r="G62" s="180" t="s">
        <v>804</v>
      </c>
      <c r="H62" s="180">
        <v>1</v>
      </c>
      <c r="I62" s="180" t="s">
        <v>781</v>
      </c>
      <c r="J62" s="180"/>
      <c r="K62" s="173" t="str">
        <f t="shared" si="0"/>
        <v>SpellData.create(SID_EARTH_BIND_TOTEM,"地缚图腾",0,0,10,OrderId("dispel"),1,ORDER_TYPE_POINT);</v>
      </c>
      <c r="L62" s="173" t="str">
        <f t="shared" si="7"/>
        <v>SpellData.create(SID_EARTH_BIND_TOTEM,"Earth Bind Totem",0,0,10,OrderId("dispel"),1,ORDER_TYPE_POINT);</v>
      </c>
      <c r="M62" s="180" t="s">
        <v>1707</v>
      </c>
      <c r="N62" s="180"/>
      <c r="O62" s="180"/>
      <c r="P62" s="180"/>
      <c r="Q62" s="180"/>
      <c r="R62" s="180"/>
      <c r="S62" s="180"/>
      <c r="T62" s="180"/>
      <c r="U62" s="180"/>
      <c r="V62" s="180"/>
      <c r="W62" s="180"/>
      <c r="X62" s="180"/>
    </row>
    <row r="63" spans="1:24">
      <c r="A63" s="180" t="s">
        <v>820</v>
      </c>
      <c r="B63" s="174" t="str">
        <f t="shared" si="8"/>
        <v>SID_ASCENDANCE</v>
      </c>
      <c r="C63" s="180" t="s">
        <v>137</v>
      </c>
      <c r="D63" s="180">
        <v>0</v>
      </c>
      <c r="E63" s="180">
        <v>25</v>
      </c>
      <c r="F63" s="180">
        <v>40</v>
      </c>
      <c r="G63" s="180" t="s">
        <v>819</v>
      </c>
      <c r="H63" s="180">
        <v>1</v>
      </c>
      <c r="I63" s="180" t="s">
        <v>609</v>
      </c>
      <c r="J63" s="180"/>
      <c r="K63" s="173" t="str">
        <f t="shared" si="0"/>
        <v>SpellData.create(SID_ASCENDANCE,"升腾",25,0,40,OrderId("metamorphosis"),1,ORDER_TYPE_IMMEDIATE);</v>
      </c>
      <c r="L63" s="173" t="str">
        <f t="shared" si="7"/>
        <v>SpellData.create(SID_ASCENDANCE,"Ascendance",25,0,40,OrderId("metamorphosis"),1,ORDER_TYPE_IMMEDIATE);</v>
      </c>
      <c r="M63" s="180" t="s">
        <v>1707</v>
      </c>
      <c r="N63" s="180"/>
      <c r="O63" s="180"/>
      <c r="P63" s="180"/>
      <c r="Q63" s="180"/>
      <c r="R63" s="180"/>
      <c r="S63" s="180"/>
      <c r="T63" s="180"/>
      <c r="U63" s="180"/>
      <c r="V63" s="180"/>
      <c r="W63" s="180"/>
      <c r="X63" s="180"/>
    </row>
    <row r="64" spans="1:24">
      <c r="A64" s="177" t="s">
        <v>818</v>
      </c>
      <c r="B64" s="174" t="str">
        <f t="shared" si="8"/>
        <v>SID_SINISTER_STRIKE</v>
      </c>
      <c r="C64" s="177" t="s">
        <v>458</v>
      </c>
      <c r="D64" s="177">
        <v>0</v>
      </c>
      <c r="E64" s="177">
        <v>0</v>
      </c>
      <c r="F64" s="177">
        <v>2</v>
      </c>
      <c r="G64" s="177" t="s">
        <v>738</v>
      </c>
      <c r="H64" s="177">
        <v>1</v>
      </c>
      <c r="I64" s="177" t="s">
        <v>735</v>
      </c>
      <c r="J64" s="177"/>
      <c r="K64" s="173" t="str">
        <f t="shared" si="0"/>
        <v>SpellData.create(SID_SINISTER_STRIKE,"邪恶攻击",0,0,2,OrderId("slow"),1,ORDER_TYPE_TARGET);</v>
      </c>
      <c r="L64" s="173" t="str">
        <f t="shared" si="7"/>
        <v>SpellData.create(SID_SINISTER_STRIKE,"Sinister Strike",0,0,2,OrderId("slow"),1,ORDER_TYPE_TARGET);</v>
      </c>
      <c r="M64" s="177" t="s">
        <v>1707</v>
      </c>
      <c r="N64" s="177"/>
      <c r="O64" s="177"/>
      <c r="P64" s="177"/>
      <c r="Q64" s="177"/>
      <c r="R64" s="177"/>
      <c r="S64" s="177"/>
      <c r="T64" s="177"/>
      <c r="U64" s="177"/>
      <c r="V64" s="177"/>
      <c r="W64" s="177"/>
      <c r="X64" s="177"/>
    </row>
    <row r="65" spans="1:24">
      <c r="A65" s="177" t="s">
        <v>817</v>
      </c>
      <c r="B65" s="174" t="str">
        <f t="shared" si="8"/>
        <v>SID_EVISCERATE</v>
      </c>
      <c r="C65" s="177" t="s">
        <v>467</v>
      </c>
      <c r="D65" s="177">
        <v>0</v>
      </c>
      <c r="E65" s="177">
        <v>0</v>
      </c>
      <c r="F65" s="177">
        <v>2</v>
      </c>
      <c r="G65" s="177" t="s">
        <v>774</v>
      </c>
      <c r="H65" s="177">
        <v>1</v>
      </c>
      <c r="I65" s="177" t="s">
        <v>735</v>
      </c>
      <c r="J65" s="177"/>
      <c r="K65" s="173" t="str">
        <f t="shared" si="0"/>
        <v>SpellData.create(SID_EVISCERATE,"剔骨",0,0,2,OrderId("impale"),1,ORDER_TYPE_TARGET);</v>
      </c>
      <c r="L65" s="173" t="str">
        <f t="shared" si="7"/>
        <v>SpellData.create(SID_EVISCERATE,"Eviscerate",0,0,2,OrderId("impale"),1,ORDER_TYPE_TARGET);</v>
      </c>
      <c r="M65" s="177" t="s">
        <v>1707</v>
      </c>
      <c r="N65" s="177"/>
      <c r="O65" s="177"/>
      <c r="P65" s="177"/>
      <c r="Q65" s="177"/>
      <c r="R65" s="177"/>
      <c r="S65" s="177"/>
      <c r="T65" s="177"/>
      <c r="U65" s="177"/>
      <c r="V65" s="177"/>
      <c r="W65" s="177"/>
      <c r="X65" s="177"/>
    </row>
    <row r="66" spans="1:24">
      <c r="A66" s="177" t="s">
        <v>816</v>
      </c>
      <c r="B66" s="174" t="str">
        <f t="shared" si="8"/>
        <v>SID_ASSAULT</v>
      </c>
      <c r="C66" s="177" t="s">
        <v>473</v>
      </c>
      <c r="D66" s="177">
        <v>0</v>
      </c>
      <c r="E66" s="177">
        <v>0</v>
      </c>
      <c r="F66" s="177">
        <v>16</v>
      </c>
      <c r="G66" s="177" t="s">
        <v>815</v>
      </c>
      <c r="H66" s="177">
        <v>1</v>
      </c>
      <c r="I66" s="177" t="s">
        <v>735</v>
      </c>
      <c r="J66" s="177"/>
      <c r="K66" s="173" t="str">
        <f t="shared" si="0"/>
        <v>SpellData.create(SID_ASSAULT,"突袭",0,0,16,OrderId("deathcoil"),1,ORDER_TYPE_TARGET);</v>
      </c>
      <c r="L66" s="173" t="str">
        <f t="shared" si="7"/>
        <v>SpellData.create(SID_ASSAULT,"Assault",0,0,16,OrderId("deathcoil"),1,ORDER_TYPE_TARGET);</v>
      </c>
      <c r="M66" s="177" t="s">
        <v>1707</v>
      </c>
      <c r="N66" s="177"/>
      <c r="O66" s="177"/>
      <c r="P66" s="177"/>
      <c r="Q66" s="177"/>
      <c r="R66" s="177"/>
      <c r="S66" s="177"/>
      <c r="T66" s="177"/>
      <c r="U66" s="177"/>
      <c r="V66" s="177"/>
      <c r="W66" s="177"/>
      <c r="X66" s="177"/>
    </row>
    <row r="67" spans="1:24">
      <c r="A67" s="177" t="s">
        <v>743</v>
      </c>
      <c r="B67" s="174" t="str">
        <f t="shared" si="8"/>
        <v>SID_BLADE_FLURRY</v>
      </c>
      <c r="C67" s="177" t="s">
        <v>446</v>
      </c>
      <c r="D67" s="177">
        <v>0</v>
      </c>
      <c r="E67" s="177">
        <v>0</v>
      </c>
      <c r="F67" s="177">
        <v>30</v>
      </c>
      <c r="G67" s="177" t="s">
        <v>814</v>
      </c>
      <c r="H67" s="177">
        <v>1</v>
      </c>
      <c r="I67" s="177" t="s">
        <v>609</v>
      </c>
      <c r="J67" s="177" t="s">
        <v>813</v>
      </c>
      <c r="K67" s="173" t="str">
        <f t="shared" si="0"/>
        <v>SpellData.create(SID_BLADE_FLURRY,"剑舞",0,0,30,OrderId("starfall"),1,ORDER_TYPE_IMMEDIATE).setCCC2(0,0,26).setCCC2(0,0,22);</v>
      </c>
      <c r="L67" s="173" t="str">
        <f t="shared" si="7"/>
        <v>SpellData.create(SID_BLADE_FLURRY,"Blade Flurry",0,0,30,OrderId("starfall"),1,ORDER_TYPE_IMMEDIATE).setCCC2(0,0,26).setCCC2(0,0,22);</v>
      </c>
      <c r="M67" s="177" t="s">
        <v>1707</v>
      </c>
      <c r="N67" s="177"/>
      <c r="O67" s="177"/>
      <c r="P67" s="177"/>
      <c r="Q67" s="177"/>
      <c r="R67" s="177"/>
      <c r="S67" s="177"/>
      <c r="T67" s="177"/>
      <c r="U67" s="177"/>
      <c r="V67" s="177"/>
      <c r="W67" s="177"/>
      <c r="X67" s="177"/>
    </row>
    <row r="68" spans="1:24">
      <c r="A68" s="177" t="s">
        <v>747</v>
      </c>
      <c r="B68" s="174" t="str">
        <f t="shared" si="8"/>
        <v>SID_STEALTH</v>
      </c>
      <c r="C68" s="177" t="s">
        <v>442</v>
      </c>
      <c r="D68" s="177">
        <v>0</v>
      </c>
      <c r="E68" s="177">
        <v>0</v>
      </c>
      <c r="F68" s="177">
        <v>45</v>
      </c>
      <c r="G68" s="177" t="s">
        <v>812</v>
      </c>
      <c r="H68" s="177">
        <v>1</v>
      </c>
      <c r="I68" s="177" t="s">
        <v>609</v>
      </c>
      <c r="J68" s="177" t="s">
        <v>811</v>
      </c>
      <c r="K68" s="173" t="str">
        <f t="shared" ref="K68:K137" si="9">IF(C68="N/A","//",CONCATENATE("SpellData.create(",B68,",",CHAR(34),C68,CHAR(34),",",E68,",",D68,",",F68,",",G68,",",H68,",",I68,")",J68,";"))</f>
        <v>SpellData.create(SID_STEALTH,"潜行",0,0,45,OrderId("cyclone"),1,ORDER_TYPE_IMMEDIATE).setCCC2(0,0,35).setCCC2(0,0,25);</v>
      </c>
      <c r="L68" s="173" t="str">
        <f t="shared" si="7"/>
        <v>SpellData.create(SID_STEALTH,"Stealth",0,0,45,OrderId("cyclone"),1,ORDER_TYPE_IMMEDIATE).setCCC2(0,0,35).setCCC2(0,0,25);</v>
      </c>
      <c r="M68" s="177" t="s">
        <v>1707</v>
      </c>
      <c r="N68" s="177"/>
      <c r="O68" s="177"/>
      <c r="P68" s="177"/>
      <c r="Q68" s="177"/>
      <c r="R68" s="177"/>
      <c r="S68" s="177"/>
      <c r="T68" s="177"/>
      <c r="U68" s="177"/>
      <c r="V68" s="177"/>
      <c r="W68" s="177"/>
      <c r="X68" s="177"/>
    </row>
    <row r="69" spans="1:24">
      <c r="A69" s="177" t="s">
        <v>809</v>
      </c>
      <c r="B69" s="174" t="str">
        <f t="shared" si="8"/>
        <v>SID_GARROTE</v>
      </c>
      <c r="C69" s="177" t="s">
        <v>810</v>
      </c>
      <c r="D69" s="177">
        <v>0</v>
      </c>
      <c r="E69" s="177">
        <v>0</v>
      </c>
      <c r="F69" s="177">
        <v>1</v>
      </c>
      <c r="G69" s="177" t="s">
        <v>808</v>
      </c>
      <c r="H69" s="177">
        <v>1</v>
      </c>
      <c r="I69" s="177" t="s">
        <v>735</v>
      </c>
      <c r="J69" s="177"/>
      <c r="K69" s="173" t="str">
        <f t="shared" si="9"/>
        <v>SpellData.create(SID_GARROTE,"绞喉",0,0,1,OrderId("shadowstrike"),1,ORDER_TYPE_TARGET);</v>
      </c>
      <c r="L69" s="173" t="str">
        <f t="shared" si="7"/>
        <v>SpellData.create(SID_GARROTE,"Garrote",0,0,1,OrderId("shadowstrike"),1,ORDER_TYPE_TARGET);</v>
      </c>
      <c r="M69" s="177" t="s">
        <v>1707</v>
      </c>
      <c r="N69" s="177"/>
      <c r="O69" s="177"/>
      <c r="P69" s="177"/>
      <c r="Q69" s="177"/>
      <c r="R69" s="177"/>
      <c r="S69" s="177"/>
      <c r="T69" s="177"/>
      <c r="U69" s="177"/>
      <c r="V69" s="177"/>
      <c r="W69" s="177"/>
      <c r="X69" s="177"/>
    </row>
    <row r="70" spans="1:24">
      <c r="A70" s="177" t="s">
        <v>745</v>
      </c>
      <c r="B70" s="174" t="str">
        <f t="shared" si="8"/>
        <v>SID_AMBUSH</v>
      </c>
      <c r="C70" s="177" t="s">
        <v>746</v>
      </c>
      <c r="D70" s="177">
        <v>0</v>
      </c>
      <c r="E70" s="177">
        <v>0</v>
      </c>
      <c r="F70" s="177">
        <v>1</v>
      </c>
      <c r="G70" s="177" t="s">
        <v>807</v>
      </c>
      <c r="H70" s="177">
        <v>1</v>
      </c>
      <c r="I70" s="177" t="s">
        <v>735</v>
      </c>
      <c r="J70" s="177"/>
      <c r="K70" s="173" t="str">
        <f t="shared" si="9"/>
        <v>SpellData.create(SID_AMBUSH,"伏击",0,0,1,OrderId("thunderbolt"),1,ORDER_TYPE_TARGET);</v>
      </c>
      <c r="L70" s="173" t="str">
        <f t="shared" si="7"/>
        <v>SpellData.create(SID_AMBUSH,"Ambush",0,0,1,OrderId("thunderbolt"),1,ORDER_TYPE_TARGET);</v>
      </c>
      <c r="M70" s="177" t="s">
        <v>1707</v>
      </c>
      <c r="N70" s="177"/>
      <c r="O70" s="177"/>
      <c r="P70" s="177"/>
      <c r="Q70" s="177"/>
      <c r="R70" s="177"/>
      <c r="S70" s="177"/>
      <c r="T70" s="177"/>
      <c r="U70" s="177"/>
      <c r="V70" s="177"/>
      <c r="W70" s="177"/>
      <c r="X70" s="177"/>
    </row>
    <row r="71" spans="1:24">
      <c r="A71" s="179" t="s">
        <v>1682</v>
      </c>
      <c r="B71" s="174" t="str">
        <f t="shared" si="8"/>
        <v>SID_PAIN</v>
      </c>
      <c r="C71" s="179" t="s">
        <v>494</v>
      </c>
      <c r="D71" s="179">
        <v>0</v>
      </c>
      <c r="E71" s="179">
        <v>100</v>
      </c>
      <c r="F71" s="179">
        <v>2</v>
      </c>
      <c r="G71" s="179" t="s">
        <v>738</v>
      </c>
      <c r="H71" s="179">
        <v>1</v>
      </c>
      <c r="I71" s="179" t="s">
        <v>735</v>
      </c>
      <c r="J71" s="179" t="s">
        <v>806</v>
      </c>
      <c r="K71" s="173" t="str">
        <f t="shared" si="9"/>
        <v>SpellData.create(SID_PAIN,"暗言字：痛",100,0,2,OrderId("slow"),1,ORDER_TYPE_TARGET).setCCC2(115,0,2).setCCC3(130,0,2);</v>
      </c>
      <c r="L71" s="173" t="str">
        <f t="shared" si="7"/>
        <v>SpellData.create(SID_PAIN,"Pain",100,0,2,OrderId("slow"),1,ORDER_TYPE_TARGET).setCCC2(115,0,2).setCCC3(130,0,2);</v>
      </c>
      <c r="M71" s="179" t="s">
        <v>1707</v>
      </c>
      <c r="N71" s="179"/>
      <c r="O71" s="179"/>
      <c r="P71" s="179"/>
      <c r="Q71" s="179"/>
      <c r="R71" s="179"/>
      <c r="S71" s="179"/>
      <c r="T71" s="179"/>
      <c r="U71" s="179"/>
      <c r="V71" s="179"/>
      <c r="W71" s="179"/>
      <c r="X71" s="179"/>
    </row>
    <row r="72" spans="1:24">
      <c r="A72" s="179" t="s">
        <v>805</v>
      </c>
      <c r="B72" s="174" t="str">
        <f t="shared" si="8"/>
        <v>SID_MARROW_SQUEEZE</v>
      </c>
      <c r="C72" s="179" t="s">
        <v>499</v>
      </c>
      <c r="D72" s="179">
        <v>2.2999999999999998</v>
      </c>
      <c r="E72" s="179">
        <v>70</v>
      </c>
      <c r="F72" s="179">
        <v>0</v>
      </c>
      <c r="G72" s="179" t="s">
        <v>804</v>
      </c>
      <c r="H72" s="179">
        <v>1</v>
      </c>
      <c r="I72" s="179" t="s">
        <v>735</v>
      </c>
      <c r="J72" s="179" t="s">
        <v>803</v>
      </c>
      <c r="K72" s="173" t="str">
        <f t="shared" si="9"/>
        <v>SpellData.create(SID_MARROW_SQUEEZE,"精髓榨取",70,2.3,0,OrderId("dispel"),1,ORDER_TYPE_TARGET).setCCC2(130,2.0,0).setCCC3(190,1.7,0);</v>
      </c>
      <c r="L72" s="173" t="str">
        <f t="shared" si="7"/>
        <v>SpellData.create(SID_MARROW_SQUEEZE,"Marrow Squeeze",70,2.3,0,OrderId("dispel"),1,ORDER_TYPE_TARGET).setCCC2(130,2.0,0).setCCC3(190,1.7,0);</v>
      </c>
      <c r="M72" s="179" t="s">
        <v>1707</v>
      </c>
      <c r="N72" s="179"/>
      <c r="O72" s="179"/>
      <c r="P72" s="179"/>
      <c r="Q72" s="179"/>
      <c r="R72" s="179"/>
      <c r="S72" s="179"/>
      <c r="T72" s="179"/>
      <c r="U72" s="179"/>
      <c r="V72" s="179"/>
      <c r="W72" s="179"/>
      <c r="X72" s="179"/>
    </row>
    <row r="73" spans="1:24">
      <c r="A73" s="179" t="s">
        <v>802</v>
      </c>
      <c r="B73" s="174" t="str">
        <f t="shared" si="8"/>
        <v>SID_MIND_FLAY</v>
      </c>
      <c r="C73" s="179" t="s">
        <v>500</v>
      </c>
      <c r="D73" s="179">
        <v>3</v>
      </c>
      <c r="E73" s="179">
        <v>50</v>
      </c>
      <c r="F73" s="179">
        <v>0</v>
      </c>
      <c r="G73" s="179" t="s">
        <v>737</v>
      </c>
      <c r="H73" s="179">
        <v>1</v>
      </c>
      <c r="I73" s="179" t="s">
        <v>735</v>
      </c>
      <c r="J73" s="179"/>
      <c r="K73" s="173" t="str">
        <f t="shared" si="9"/>
        <v>SpellData.create(SID_MIND_FLAY,"精神鞭笞",50,3,0,OrderId("heal"),1,ORDER_TYPE_TARGET);</v>
      </c>
      <c r="L73" s="173" t="str">
        <f t="shared" si="7"/>
        <v>SpellData.create(SID_MIND_FLAY,"Mind Flay",50,3,0,OrderId("heal"),1,ORDER_TYPE_TARGET);</v>
      </c>
      <c r="M73" s="179" t="s">
        <v>1707</v>
      </c>
      <c r="N73" s="179"/>
      <c r="O73" s="179"/>
      <c r="P73" s="179"/>
      <c r="Q73" s="179"/>
      <c r="R73" s="179"/>
      <c r="S73" s="179"/>
      <c r="T73" s="179"/>
      <c r="U73" s="179"/>
      <c r="V73" s="179"/>
      <c r="W73" s="179"/>
      <c r="X73" s="179"/>
    </row>
    <row r="74" spans="1:24">
      <c r="A74" s="179" t="s">
        <v>1681</v>
      </c>
      <c r="B74" s="174" t="str">
        <f t="shared" si="8"/>
        <v>SID_DEATH</v>
      </c>
      <c r="C74" s="179" t="s">
        <v>502</v>
      </c>
      <c r="D74" s="179">
        <v>0</v>
      </c>
      <c r="E74" s="179">
        <v>0</v>
      </c>
      <c r="F74" s="179">
        <v>7</v>
      </c>
      <c r="G74" s="179" t="s">
        <v>801</v>
      </c>
      <c r="H74" s="179">
        <v>1</v>
      </c>
      <c r="I74" s="179" t="s">
        <v>735</v>
      </c>
      <c r="J74" s="179"/>
      <c r="K74" s="173" t="str">
        <f t="shared" si="9"/>
        <v>SpellData.create(SID_DEATH,"暗言字：死",0,0,7,OrderId("innerfire"),1,ORDER_TYPE_TARGET);</v>
      </c>
      <c r="L74" s="173" t="str">
        <f t="shared" si="7"/>
        <v>SpellData.create(SID_DEATH,"Death",0,0,7,OrderId("innerfire"),1,ORDER_TYPE_TARGET);</v>
      </c>
      <c r="M74" s="179" t="s">
        <v>1707</v>
      </c>
      <c r="N74" s="179"/>
      <c r="O74" s="179"/>
      <c r="P74" s="179"/>
      <c r="Q74" s="179"/>
      <c r="R74" s="179"/>
      <c r="S74" s="179"/>
      <c r="T74" s="179"/>
      <c r="U74" s="179"/>
      <c r="V74" s="179"/>
      <c r="W74" s="179"/>
      <c r="X74" s="179"/>
    </row>
    <row r="75" spans="1:24">
      <c r="A75" s="179" t="s">
        <v>1683</v>
      </c>
      <c r="B75" s="174" t="str">
        <f t="shared" si="8"/>
        <v>SID_TERROR</v>
      </c>
      <c r="C75" s="179" t="s">
        <v>507</v>
      </c>
      <c r="D75" s="179">
        <v>0</v>
      </c>
      <c r="E75" s="179">
        <v>75</v>
      </c>
      <c r="F75" s="179">
        <v>12</v>
      </c>
      <c r="G75" s="179" t="s">
        <v>741</v>
      </c>
      <c r="H75" s="179">
        <v>1</v>
      </c>
      <c r="I75" s="179" t="s">
        <v>609</v>
      </c>
      <c r="J75" s="179"/>
      <c r="K75" s="173" t="str">
        <f t="shared" si="9"/>
        <v>SpellData.create(SID_TERROR,"暗言字：惧",75,0,12,OrderId("unholyfrenzy"),1,ORDER_TYPE_IMMEDIATE);</v>
      </c>
      <c r="L75" s="173" t="str">
        <f t="shared" si="7"/>
        <v>SpellData.create(SID_TERROR,"Terror",75,0,12,OrderId("unholyfrenzy"),1,ORDER_TYPE_IMMEDIATE);</v>
      </c>
      <c r="M75" s="179" t="s">
        <v>1707</v>
      </c>
      <c r="N75" s="179"/>
      <c r="O75" s="179"/>
      <c r="P75" s="179"/>
      <c r="Q75" s="179"/>
      <c r="R75" s="179"/>
      <c r="S75" s="179"/>
      <c r="T75" s="179"/>
      <c r="U75" s="179"/>
      <c r="V75" s="179"/>
      <c r="W75" s="179"/>
      <c r="X75" s="179"/>
    </row>
    <row r="76" spans="1:24">
      <c r="A76" s="177" t="s">
        <v>1653</v>
      </c>
      <c r="B76" s="174" t="str">
        <f t="shared" si="8"/>
        <v>SID_FRENZY_CREEP</v>
      </c>
      <c r="C76" s="177" t="s">
        <v>162</v>
      </c>
      <c r="D76" s="177">
        <v>0</v>
      </c>
      <c r="E76" s="177">
        <v>0</v>
      </c>
      <c r="F76" s="177">
        <v>200</v>
      </c>
      <c r="G76" s="177" t="s">
        <v>610</v>
      </c>
      <c r="H76" s="177">
        <v>1</v>
      </c>
      <c r="I76" s="177" t="s">
        <v>609</v>
      </c>
      <c r="J76" s="177"/>
      <c r="K76" s="173" t="str">
        <f t="shared" si="9"/>
        <v>SpellData.create(SID_FRENZY_CREEP,"激怒",0,0,200,OrderId("channel"),1,ORDER_TYPE_IMMEDIATE);</v>
      </c>
      <c r="L76" s="173" t="str">
        <f t="shared" si="7"/>
        <v>SpellData.create(SID_FRENZY_CREEP,"Frenzy Creep",0,0,200,OrderId("channel"),1,ORDER_TYPE_IMMEDIATE);</v>
      </c>
      <c r="M76" s="177" t="s">
        <v>1707</v>
      </c>
      <c r="N76" s="177"/>
      <c r="O76" s="177"/>
      <c r="P76" s="177"/>
      <c r="Q76" s="177"/>
      <c r="R76" s="177"/>
      <c r="S76" s="177"/>
      <c r="T76" s="177"/>
      <c r="U76" s="177"/>
      <c r="V76" s="177"/>
      <c r="W76" s="177"/>
      <c r="X76" s="177"/>
    </row>
    <row r="77" spans="1:24">
      <c r="A77" s="177" t="s">
        <v>1654</v>
      </c>
      <c r="B77" s="174" t="str">
        <f t="shared" si="8"/>
        <v>SID_RAGE_CREEP</v>
      </c>
      <c r="C77" s="177" t="s">
        <v>165</v>
      </c>
      <c r="D77" s="177">
        <v>0</v>
      </c>
      <c r="E77" s="177">
        <v>0</v>
      </c>
      <c r="F77" s="177">
        <v>200</v>
      </c>
      <c r="G77" s="177" t="s">
        <v>769</v>
      </c>
      <c r="H77" s="177">
        <v>1</v>
      </c>
      <c r="I77" s="177" t="s">
        <v>609</v>
      </c>
      <c r="J77" s="177"/>
      <c r="K77" s="173" t="str">
        <f t="shared" si="9"/>
        <v>SpellData.create(SID_RAGE_CREEP,"狂暴",0,0,200,OrderId("charm"),1,ORDER_TYPE_IMMEDIATE);</v>
      </c>
      <c r="L77" s="173" t="str">
        <f t="shared" si="7"/>
        <v>SpellData.create(SID_RAGE_CREEP,"Rage Creep",0,0,200,OrderId("charm"),1,ORDER_TYPE_IMMEDIATE);</v>
      </c>
      <c r="M77" s="177" t="s">
        <v>1707</v>
      </c>
      <c r="N77" s="177"/>
      <c r="O77" s="177"/>
      <c r="P77" s="177"/>
      <c r="Q77" s="177"/>
      <c r="R77" s="177"/>
      <c r="S77" s="177"/>
      <c r="T77" s="177"/>
      <c r="U77" s="177"/>
      <c r="V77" s="177"/>
      <c r="W77" s="177"/>
      <c r="X77" s="177"/>
    </row>
    <row r="78" spans="1:24">
      <c r="A78" s="179" t="s">
        <v>800</v>
      </c>
      <c r="B78" s="174" t="str">
        <f t="shared" si="8"/>
        <v>SID_GRIP_OF_STATIC_ELECTRICITY</v>
      </c>
      <c r="C78" s="179" t="s">
        <v>59</v>
      </c>
      <c r="D78" s="179">
        <v>0</v>
      </c>
      <c r="E78" s="179">
        <v>0</v>
      </c>
      <c r="F78" s="179">
        <v>1</v>
      </c>
      <c r="G78" s="179" t="s">
        <v>736</v>
      </c>
      <c r="H78" s="179">
        <v>1</v>
      </c>
      <c r="I78" s="179" t="s">
        <v>735</v>
      </c>
      <c r="J78" s="179"/>
      <c r="K78" s="173" t="str">
        <f t="shared" si="9"/>
        <v>SpellData.create(SID_GRIP_OF_STATIC_ELECTRICITY,"静电之握",0,0,1,OrderId("healingwave"),1,ORDER_TYPE_TARGET);</v>
      </c>
      <c r="L78" s="173" t="str">
        <f t="shared" si="7"/>
        <v>SpellData.create(SID_GRIP_OF_STATIC_ELECTRICITY,"Grip of Static Electricity",0,0,1,OrderId("healingwave"),1,ORDER_TYPE_TARGET);</v>
      </c>
      <c r="M78" s="179" t="s">
        <v>1707</v>
      </c>
      <c r="N78" s="179"/>
      <c r="O78" s="179"/>
      <c r="P78" s="179"/>
      <c r="Q78" s="179"/>
      <c r="R78" s="179"/>
      <c r="S78" s="179"/>
      <c r="T78" s="179"/>
      <c r="U78" s="179"/>
      <c r="V78" s="179"/>
      <c r="W78" s="179"/>
      <c r="X78" s="179"/>
    </row>
    <row r="79" spans="1:24">
      <c r="A79" s="179" t="s">
        <v>799</v>
      </c>
      <c r="B79" s="174" t="str">
        <f t="shared" si="8"/>
        <v>SID_PULSE_BOMB</v>
      </c>
      <c r="C79" s="179" t="s">
        <v>64</v>
      </c>
      <c r="D79" s="179">
        <v>0</v>
      </c>
      <c r="E79" s="179">
        <v>0</v>
      </c>
      <c r="F79" s="179">
        <v>10</v>
      </c>
      <c r="G79" s="179" t="s">
        <v>769</v>
      </c>
      <c r="H79" s="179">
        <v>1</v>
      </c>
      <c r="I79" s="179" t="s">
        <v>735</v>
      </c>
      <c r="J79" s="179"/>
      <c r="K79" s="173" t="str">
        <f t="shared" si="9"/>
        <v>SpellData.create(SID_PULSE_BOMB,"脉冲爆弹",0,0,10,OrderId("charm"),1,ORDER_TYPE_TARGET);</v>
      </c>
      <c r="L79" s="173" t="str">
        <f t="shared" si="7"/>
        <v>SpellData.create(SID_PULSE_BOMB,"Pulse Bomb",0,0,10,OrderId("charm"),1,ORDER_TYPE_TARGET);</v>
      </c>
      <c r="M79" s="179" t="s">
        <v>1707</v>
      </c>
      <c r="N79" s="179"/>
      <c r="O79" s="179"/>
      <c r="P79" s="179"/>
      <c r="Q79" s="179"/>
      <c r="R79" s="179"/>
      <c r="S79" s="179"/>
      <c r="T79" s="179"/>
      <c r="U79" s="179"/>
      <c r="V79" s="179"/>
      <c r="W79" s="179"/>
      <c r="X79" s="179"/>
    </row>
    <row r="80" spans="1:24">
      <c r="A80" s="179" t="s">
        <v>798</v>
      </c>
      <c r="B80" s="174" t="str">
        <f t="shared" si="8"/>
        <v>SID_LASER_BEAM</v>
      </c>
      <c r="C80" s="179" t="s">
        <v>67</v>
      </c>
      <c r="D80" s="179">
        <v>10</v>
      </c>
      <c r="E80" s="179">
        <v>0</v>
      </c>
      <c r="F80" s="179">
        <v>25</v>
      </c>
      <c r="G80" s="179" t="s">
        <v>737</v>
      </c>
      <c r="H80" s="179">
        <v>2</v>
      </c>
      <c r="I80" s="179" t="s">
        <v>735</v>
      </c>
      <c r="J80" s="179"/>
      <c r="K80" s="173" t="str">
        <f t="shared" si="9"/>
        <v>SpellData.create(SID_LASER_BEAM,"激光射线",0,10,25,OrderId("heal"),2,ORDER_TYPE_TARGET);</v>
      </c>
      <c r="L80" s="173" t="str">
        <f t="shared" si="7"/>
        <v>SpellData.create(SID_LASER_BEAM,"Laser Beam",0,10,25,OrderId("heal"),2,ORDER_TYPE_TARGET);</v>
      </c>
      <c r="M80" s="179" t="s">
        <v>1707</v>
      </c>
      <c r="N80" s="179"/>
      <c r="O80" s="179"/>
      <c r="P80" s="179"/>
      <c r="Q80" s="179"/>
      <c r="R80" s="179"/>
      <c r="S80" s="179"/>
      <c r="T80" s="179"/>
      <c r="U80" s="179"/>
      <c r="V80" s="179"/>
      <c r="W80" s="179"/>
      <c r="X80" s="179"/>
    </row>
    <row r="81" spans="1:24">
      <c r="A81" s="179" t="s">
        <v>1655</v>
      </c>
      <c r="B81" s="174" t="str">
        <f t="shared" si="8"/>
        <v>SID_TINKER_MORPH</v>
      </c>
      <c r="C81" s="179" t="s">
        <v>71</v>
      </c>
      <c r="D81" s="179">
        <v>0</v>
      </c>
      <c r="E81" s="179">
        <v>0</v>
      </c>
      <c r="F81" s="179">
        <v>0</v>
      </c>
      <c r="G81" s="179" t="s">
        <v>784</v>
      </c>
      <c r="H81" s="179">
        <v>1</v>
      </c>
      <c r="I81" s="179" t="s">
        <v>609</v>
      </c>
      <c r="J81" s="179"/>
      <c r="K81" s="173" t="str">
        <f t="shared" si="9"/>
        <v>SpellData.create(SID_TINKER_MORPH,"坦克形态",0,0,0,OID_BEARFORM,1,ORDER_TYPE_IMMEDIATE);</v>
      </c>
      <c r="L81" s="173" t="str">
        <f t="shared" si="7"/>
        <v>SpellData.create(SID_TINKER_MORPH,"Tinker Morph",0,0,0,OID_BEARFORM,1,ORDER_TYPE_IMMEDIATE);</v>
      </c>
      <c r="M81" s="179" t="s">
        <v>1707</v>
      </c>
      <c r="N81" s="179"/>
      <c r="O81" s="179"/>
      <c r="P81" s="179"/>
      <c r="Q81" s="179"/>
      <c r="R81" s="179"/>
      <c r="S81" s="179"/>
      <c r="T81" s="179"/>
      <c r="U81" s="179"/>
      <c r="V81" s="179"/>
      <c r="W81" s="179"/>
      <c r="X81" s="179"/>
    </row>
    <row r="82" spans="1:24">
      <c r="A82" s="179" t="s">
        <v>797</v>
      </c>
      <c r="B82" s="174" t="str">
        <f t="shared" si="8"/>
        <v>SID_LIGHTNING_SHIELD</v>
      </c>
      <c r="C82" s="179" t="s">
        <v>73</v>
      </c>
      <c r="D82" s="179">
        <v>0</v>
      </c>
      <c r="E82" s="179">
        <v>0</v>
      </c>
      <c r="F82" s="179">
        <v>1</v>
      </c>
      <c r="G82" s="179" t="s">
        <v>796</v>
      </c>
      <c r="H82" s="179">
        <v>1</v>
      </c>
      <c r="I82" s="179" t="s">
        <v>609</v>
      </c>
      <c r="J82" s="179"/>
      <c r="K82" s="173" t="str">
        <f t="shared" si="9"/>
        <v>SpellData.create(SID_LIGHTNING_SHIELD,"闪电护盾",0,0,1,OrderId("lightningshield"),1,ORDER_TYPE_IMMEDIATE);</v>
      </c>
      <c r="L82" s="173" t="str">
        <f t="shared" si="7"/>
        <v>SpellData.create(SID_LIGHTNING_SHIELD,"Lightning Shield",0,0,1,OrderId("lightningshield"),1,ORDER_TYPE_IMMEDIATE);</v>
      </c>
      <c r="M82" s="179" t="s">
        <v>1707</v>
      </c>
      <c r="N82" s="179"/>
      <c r="O82" s="179"/>
      <c r="P82" s="179"/>
      <c r="Q82" s="179"/>
      <c r="R82" s="179"/>
      <c r="S82" s="179"/>
      <c r="T82" s="179"/>
      <c r="U82" s="179"/>
      <c r="V82" s="179"/>
      <c r="W82" s="179"/>
      <c r="X82" s="179"/>
    </row>
    <row r="83" spans="1:24">
      <c r="A83" s="179" t="s">
        <v>795</v>
      </c>
      <c r="B83" s="174" t="str">
        <f t="shared" si="8"/>
        <v>SID_POCKET_FACTORY</v>
      </c>
      <c r="C83" s="179" t="s">
        <v>76</v>
      </c>
      <c r="D83" s="179">
        <v>0</v>
      </c>
      <c r="E83" s="179">
        <v>0</v>
      </c>
      <c r="F83" s="179">
        <v>10</v>
      </c>
      <c r="G83" s="179" t="s">
        <v>792</v>
      </c>
      <c r="H83" s="179">
        <v>1</v>
      </c>
      <c r="I83" s="179" t="s">
        <v>609</v>
      </c>
      <c r="J83" s="179"/>
      <c r="K83" s="173" t="str">
        <f t="shared" si="9"/>
        <v>SpellData.create(SID_POCKET_FACTORY,"口袋工厂",0,0,10,OrderId("summonfactory"),1,ORDER_TYPE_IMMEDIATE);</v>
      </c>
      <c r="L83" s="173" t="str">
        <f t="shared" si="7"/>
        <v>SpellData.create(SID_POCKET_FACTORY,"Pocket Factory",0,0,10,OrderId("summonfactory"),1,ORDER_TYPE_IMMEDIATE);</v>
      </c>
      <c r="M83" s="179" t="s">
        <v>1707</v>
      </c>
      <c r="N83" s="179"/>
      <c r="O83" s="179"/>
      <c r="P83" s="179"/>
      <c r="Q83" s="179"/>
      <c r="R83" s="179"/>
      <c r="S83" s="179"/>
      <c r="T83" s="179"/>
      <c r="U83" s="179"/>
      <c r="V83" s="179"/>
      <c r="W83" s="179"/>
      <c r="X83" s="179"/>
    </row>
    <row r="84" spans="1:24">
      <c r="A84" s="179" t="s">
        <v>793</v>
      </c>
      <c r="B84" s="174" t="str">
        <f t="shared" si="8"/>
        <v>SID_SUMMON_CLOCKWORK_GOBLIN</v>
      </c>
      <c r="C84" s="179" t="s">
        <v>794</v>
      </c>
      <c r="D84" s="179">
        <v>4</v>
      </c>
      <c r="E84" s="179">
        <v>0</v>
      </c>
      <c r="F84" s="179">
        <v>1</v>
      </c>
      <c r="G84" s="179" t="s">
        <v>792</v>
      </c>
      <c r="H84" s="179">
        <v>2</v>
      </c>
      <c r="I84" s="179" t="s">
        <v>609</v>
      </c>
      <c r="J84" s="179"/>
      <c r="K84" s="173" t="str">
        <f t="shared" si="9"/>
        <v>SpellData.create(SID_SUMMON_CLOCKWORK_GOBLIN,"生产人工地精",0,4,1,OrderId("summonfactory"),2,ORDER_TYPE_IMMEDIATE);</v>
      </c>
      <c r="L84" s="173" t="str">
        <f t="shared" si="7"/>
        <v>SpellData.create(SID_SUMMON_CLOCKWORK_GOBLIN,"Summon Clockwork Goblin",0,4,1,OrderId("summonfactory"),2,ORDER_TYPE_IMMEDIATE);</v>
      </c>
      <c r="M84" s="179" t="s">
        <v>1707</v>
      </c>
      <c r="N84" s="179"/>
      <c r="O84" s="179"/>
      <c r="P84" s="179"/>
      <c r="Q84" s="179"/>
      <c r="R84" s="179"/>
      <c r="S84" s="179"/>
      <c r="T84" s="179"/>
      <c r="U84" s="179"/>
      <c r="V84" s="179"/>
      <c r="W84" s="179"/>
      <c r="X84" s="179"/>
    </row>
    <row r="85" spans="1:24">
      <c r="A85" s="179" t="s">
        <v>790</v>
      </c>
      <c r="B85" s="174" t="str">
        <f>"SID_"&amp;UPPER(SUBSTITUTE(A85," ","_"))</f>
        <v>SID_SELF_DESTRUCT</v>
      </c>
      <c r="C85" s="179" t="s">
        <v>791</v>
      </c>
      <c r="D85" s="179">
        <v>3</v>
      </c>
      <c r="E85" s="179">
        <v>0</v>
      </c>
      <c r="F85" s="179">
        <v>1</v>
      </c>
      <c r="G85" s="179" t="s">
        <v>789</v>
      </c>
      <c r="H85" s="179">
        <v>2</v>
      </c>
      <c r="I85" s="179" t="s">
        <v>735</v>
      </c>
      <c r="J85" s="179"/>
      <c r="K85" s="173" t="str">
        <f t="shared" si="9"/>
        <v>SpellData.create(SID_SELF_DESTRUCT,"自爆",0,3,1,OrderId("selfdestruct"),2,ORDER_TYPE_TARGET);</v>
      </c>
      <c r="L85" s="173" t="str">
        <f t="shared" si="7"/>
        <v>SpellData.create(SID_SELF_DESTRUCT,"Self Destruct",0,3,1,OrderId("selfdestruct"),2,ORDER_TYPE_TARGET);</v>
      </c>
      <c r="M85" s="179" t="s">
        <v>1707</v>
      </c>
      <c r="N85" s="179"/>
      <c r="O85" s="179"/>
      <c r="P85" s="179"/>
      <c r="Q85" s="179"/>
      <c r="R85" s="179"/>
      <c r="S85" s="179"/>
      <c r="T85" s="179"/>
      <c r="U85" s="179"/>
      <c r="V85" s="179"/>
      <c r="W85" s="179"/>
      <c r="X85" s="179"/>
    </row>
    <row r="86" spans="1:24">
      <c r="A86" s="179" t="s">
        <v>788</v>
      </c>
      <c r="B86" s="174" t="str">
        <f t="shared" si="8"/>
        <v>SID_CLUSTER_ROCKETS</v>
      </c>
      <c r="C86" s="179" t="s">
        <v>123</v>
      </c>
      <c r="D86" s="179">
        <v>1</v>
      </c>
      <c r="E86" s="179">
        <v>0</v>
      </c>
      <c r="F86" s="179">
        <v>1</v>
      </c>
      <c r="G86" s="179" t="s">
        <v>787</v>
      </c>
      <c r="H86" s="179">
        <v>2</v>
      </c>
      <c r="I86" s="179" t="s">
        <v>609</v>
      </c>
      <c r="J86" s="179"/>
      <c r="K86" s="173" t="str">
        <f t="shared" si="9"/>
        <v>SpellData.create(SID_CLUSTER_ROCKETS,"火箭群",0,1,1,OrderId("clusterrockets"),2,ORDER_TYPE_IMMEDIATE);</v>
      </c>
      <c r="L86" s="173" t="str">
        <f t="shared" si="7"/>
        <v>SpellData.create(SID_CLUSTER_ROCKETS,"Cluster Rockets",0,1,1,OrderId("clusterrockets"),2,ORDER_TYPE_IMMEDIATE);</v>
      </c>
      <c r="M86" s="179" t="s">
        <v>1707</v>
      </c>
      <c r="N86" s="179"/>
      <c r="O86" s="179"/>
      <c r="P86" s="179"/>
      <c r="Q86" s="179"/>
      <c r="R86" s="179"/>
      <c r="S86" s="179"/>
      <c r="T86" s="179"/>
      <c r="U86" s="179"/>
      <c r="V86" s="179"/>
      <c r="W86" s="179"/>
      <c r="X86" s="179"/>
    </row>
    <row r="87" spans="1:24">
      <c r="A87" s="180" t="s">
        <v>1656</v>
      </c>
      <c r="B87" s="174" t="str">
        <f t="shared" si="8"/>
        <v>SID_FUCKED_LIGHTNING</v>
      </c>
      <c r="C87" s="180" t="s">
        <v>148</v>
      </c>
      <c r="D87" s="180">
        <v>0</v>
      </c>
      <c r="E87" s="180">
        <v>100</v>
      </c>
      <c r="F87" s="180">
        <v>7</v>
      </c>
      <c r="G87" s="180">
        <v>852063</v>
      </c>
      <c r="H87" s="180">
        <v>1</v>
      </c>
      <c r="I87" s="180" t="s">
        <v>735</v>
      </c>
      <c r="J87" s="180"/>
      <c r="K87" s="173" t="str">
        <f t="shared" si="9"/>
        <v>SpellData.create(SID_FUCKED_LIGHTNING,"叉状闪电",100,0,7,852063,1,ORDER_TYPE_TARGET);</v>
      </c>
      <c r="L87" s="173" t="str">
        <f t="shared" si="7"/>
        <v>SpellData.create(SID_FUCKED_LIGHTNING,"Fucked Lightning",100,0,7,852063,1,ORDER_TYPE_TARGET);</v>
      </c>
      <c r="M87" s="180" t="s">
        <v>1707</v>
      </c>
      <c r="N87" s="180"/>
      <c r="O87" s="180"/>
      <c r="P87" s="180"/>
      <c r="Q87" s="180"/>
      <c r="R87" s="180"/>
      <c r="S87" s="180"/>
      <c r="T87" s="180"/>
      <c r="U87" s="180"/>
      <c r="V87" s="180"/>
      <c r="W87" s="180"/>
      <c r="X87" s="180"/>
    </row>
    <row r="88" spans="1:24">
      <c r="A88" s="180" t="s">
        <v>152</v>
      </c>
      <c r="B88" s="174" t="str">
        <f t="shared" si="8"/>
        <v>SID_STRONG_BREEZE</v>
      </c>
      <c r="C88" s="180" t="s">
        <v>151</v>
      </c>
      <c r="D88" s="180">
        <v>0</v>
      </c>
      <c r="E88" s="180">
        <v>100</v>
      </c>
      <c r="F88" s="180">
        <v>14</v>
      </c>
      <c r="G88" s="180">
        <v>852555</v>
      </c>
      <c r="H88" s="180">
        <v>1</v>
      </c>
      <c r="I88" s="180" t="s">
        <v>735</v>
      </c>
      <c r="J88" s="180"/>
      <c r="K88" s="173" t="str">
        <f t="shared" si="9"/>
        <v>SpellData.create(SID_STRONG_BREEZE,"强风",100,0,14,852555,1,ORDER_TYPE_TARGET);</v>
      </c>
      <c r="L88" s="173" t="str">
        <f t="shared" si="7"/>
        <v>SpellData.create(SID_STRONG_BREEZE,"Strong Breeze",100,0,14,852555,1,ORDER_TYPE_TARGET);</v>
      </c>
      <c r="M88" s="180" t="s">
        <v>1707</v>
      </c>
      <c r="N88" s="180"/>
      <c r="O88" s="180"/>
      <c r="P88" s="180"/>
      <c r="Q88" s="180"/>
      <c r="R88" s="180"/>
      <c r="S88" s="180"/>
      <c r="T88" s="180"/>
      <c r="U88" s="180"/>
      <c r="V88" s="180"/>
      <c r="W88" s="180"/>
      <c r="X88" s="180"/>
    </row>
    <row r="89" spans="1:24">
      <c r="A89" s="180" t="s">
        <v>156</v>
      </c>
      <c r="B89" s="174" t="str">
        <f t="shared" si="8"/>
        <v>SID_SUMMON_SERPENTS</v>
      </c>
      <c r="C89" s="180" t="s">
        <v>155</v>
      </c>
      <c r="D89" s="180">
        <v>0</v>
      </c>
      <c r="E89" s="180">
        <v>100</v>
      </c>
      <c r="F89" s="180">
        <v>30</v>
      </c>
      <c r="G89" s="180">
        <v>852066</v>
      </c>
      <c r="H89" s="180">
        <v>1</v>
      </c>
      <c r="I89" s="180" t="s">
        <v>609</v>
      </c>
      <c r="J89" s="180"/>
      <c r="K89" s="173" t="str">
        <f t="shared" si="9"/>
        <v>SpellData.create(SID_SUMMON_SERPENTS,"召唤飞蛇",100,0,30,852066,1,ORDER_TYPE_IMMEDIATE);</v>
      </c>
      <c r="L89" s="173" t="str">
        <f t="shared" si="7"/>
        <v>SpellData.create(SID_SUMMON_SERPENTS,"Summon Serpents",100,0,30,852066,1,ORDER_TYPE_IMMEDIATE);</v>
      </c>
      <c r="M89" s="180" t="s">
        <v>1707</v>
      </c>
      <c r="N89" s="180"/>
      <c r="O89" s="180"/>
      <c r="P89" s="180"/>
      <c r="Q89" s="180"/>
      <c r="R89" s="180"/>
      <c r="S89" s="180"/>
      <c r="T89" s="180"/>
      <c r="U89" s="180"/>
      <c r="V89" s="180"/>
      <c r="W89" s="180"/>
      <c r="X89" s="180"/>
    </row>
    <row r="90" spans="1:24">
      <c r="A90" s="180" t="s">
        <v>159</v>
      </c>
      <c r="B90" s="174" t="str">
        <f t="shared" si="8"/>
        <v>SID_THUNDER_STORM</v>
      </c>
      <c r="C90" s="180" t="s">
        <v>158</v>
      </c>
      <c r="D90" s="180">
        <v>10</v>
      </c>
      <c r="E90" s="180">
        <v>0</v>
      </c>
      <c r="F90" s="180">
        <v>40</v>
      </c>
      <c r="G90" s="180">
        <v>852069</v>
      </c>
      <c r="H90" s="180">
        <v>2</v>
      </c>
      <c r="I90" s="180" t="s">
        <v>735</v>
      </c>
      <c r="J90" s="180"/>
      <c r="K90" s="173" t="str">
        <f t="shared" si="9"/>
        <v>SpellData.create(SID_THUNDER_STORM,"雷电风暴",0,10,40,852069,2,ORDER_TYPE_TARGET);</v>
      </c>
      <c r="L90" s="173" t="str">
        <f t="shared" si="7"/>
        <v>SpellData.create(SID_THUNDER_STORM,"Thunder Storm",0,10,40,852069,2,ORDER_TYPE_TARGET);</v>
      </c>
      <c r="M90" s="180" t="s">
        <v>1707</v>
      </c>
      <c r="N90" s="180"/>
      <c r="O90" s="180"/>
      <c r="P90" s="180"/>
      <c r="Q90" s="180"/>
      <c r="R90" s="180"/>
      <c r="S90" s="180"/>
      <c r="T90" s="180"/>
      <c r="U90" s="180"/>
      <c r="V90" s="180"/>
      <c r="W90" s="180"/>
      <c r="X90" s="180"/>
    </row>
    <row r="91" spans="1:24">
      <c r="A91" s="178" t="s">
        <v>786</v>
      </c>
      <c r="B91" s="174" t="str">
        <f t="shared" si="8"/>
        <v>SID_ALKALINE_WATER</v>
      </c>
      <c r="C91" s="178" t="s">
        <v>171</v>
      </c>
      <c r="D91" s="178">
        <v>3.5</v>
      </c>
      <c r="E91" s="178">
        <v>0</v>
      </c>
      <c r="F91" s="178">
        <v>5</v>
      </c>
      <c r="G91" s="178" t="s">
        <v>737</v>
      </c>
      <c r="H91" s="178">
        <v>1</v>
      </c>
      <c r="I91" s="178" t="s">
        <v>735</v>
      </c>
      <c r="J91" s="178"/>
      <c r="K91" s="173" t="str">
        <f t="shared" si="9"/>
        <v>SpellData.create(SID_ALKALINE_WATER,"盐碱之水",0,3.5,5,OrderId("heal"),1,ORDER_TYPE_TARGET);</v>
      </c>
      <c r="L91" s="173" t="str">
        <f t="shared" si="7"/>
        <v>SpellData.create(SID_ALKALINE_WATER,"Alkaline Water",0,3.5,5,OrderId("heal"),1,ORDER_TYPE_TARGET);</v>
      </c>
      <c r="M91" s="178" t="s">
        <v>1707</v>
      </c>
      <c r="N91" s="178"/>
      <c r="O91" s="178"/>
      <c r="P91" s="178"/>
      <c r="Q91" s="178"/>
      <c r="R91" s="178"/>
      <c r="S91" s="178"/>
      <c r="T91" s="178"/>
      <c r="U91" s="178"/>
      <c r="V91" s="178"/>
      <c r="W91" s="178"/>
      <c r="X91" s="178"/>
    </row>
    <row r="92" spans="1:24">
      <c r="A92" s="178" t="s">
        <v>173</v>
      </c>
      <c r="B92" s="174" t="str">
        <f>"SID_"&amp;UPPER(SUBSTITUTE(A92," ","_"))</f>
        <v>SID_TIDE</v>
      </c>
      <c r="C92" s="178" t="s">
        <v>172</v>
      </c>
      <c r="D92" s="178">
        <v>0</v>
      </c>
      <c r="E92" s="178">
        <v>0</v>
      </c>
      <c r="F92" s="178">
        <v>12</v>
      </c>
      <c r="G92" s="178" t="s">
        <v>738</v>
      </c>
      <c r="H92" s="178">
        <v>1</v>
      </c>
      <c r="I92" s="178" t="s">
        <v>735</v>
      </c>
      <c r="J92" s="178"/>
      <c r="K92" s="173" t="str">
        <f t="shared" si="9"/>
        <v>SpellData.create(SID_TIDE,"潮汐",0,0,12,OrderId("slow"),1,ORDER_TYPE_TARGET);</v>
      </c>
      <c r="L92" s="173" t="str">
        <f t="shared" si="7"/>
        <v>SpellData.create(SID_TIDE,"Tide",0,0,12,OrderId("slow"),1,ORDER_TYPE_TARGET);</v>
      </c>
      <c r="M92" s="178" t="s">
        <v>1707</v>
      </c>
      <c r="N92" s="178"/>
      <c r="O92" s="178"/>
      <c r="P92" s="178"/>
      <c r="Q92" s="178"/>
      <c r="R92" s="178"/>
      <c r="S92" s="178"/>
      <c r="T92" s="178"/>
      <c r="U92" s="178"/>
      <c r="V92" s="178"/>
      <c r="W92" s="178"/>
      <c r="X92" s="178"/>
    </row>
    <row r="93" spans="1:24">
      <c r="A93" s="178" t="s">
        <v>1657</v>
      </c>
      <c r="B93" s="174" t="str">
        <f t="shared" ref="B93:B125" si="10">"SID_"&amp;UPPER(SUBSTITUTE(A93," ","_"))</f>
        <v>SID_TIDE_BARON_MORPH</v>
      </c>
      <c r="C93" s="178" t="s">
        <v>785</v>
      </c>
      <c r="D93" s="178">
        <v>0</v>
      </c>
      <c r="E93" s="178">
        <v>0</v>
      </c>
      <c r="F93" s="178">
        <v>35</v>
      </c>
      <c r="G93" s="178" t="s">
        <v>784</v>
      </c>
      <c r="H93" s="178">
        <v>1</v>
      </c>
      <c r="I93" s="178" t="s">
        <v>609</v>
      </c>
      <c r="J93" s="178"/>
      <c r="K93" s="173" t="str">
        <f t="shared" si="9"/>
        <v>SpellData.create(SID_TIDE_BARON_MORPH,"潮汐形态",0,0,35,OID_BEARFORM,1,ORDER_TYPE_IMMEDIATE);</v>
      </c>
      <c r="L93" s="173" t="str">
        <f t="shared" si="7"/>
        <v>SpellData.create(SID_TIDE_BARON_MORPH,"Tide Baron Morph",0,0,35,OID_BEARFORM,1,ORDER_TYPE_IMMEDIATE);</v>
      </c>
      <c r="M93" s="178" t="s">
        <v>1707</v>
      </c>
      <c r="N93" s="178"/>
      <c r="O93" s="178"/>
      <c r="P93" s="178"/>
      <c r="Q93" s="178"/>
      <c r="R93" s="178"/>
      <c r="S93" s="178"/>
      <c r="T93" s="178"/>
      <c r="U93" s="178"/>
      <c r="V93" s="178"/>
      <c r="W93" s="178"/>
      <c r="X93" s="178"/>
    </row>
    <row r="94" spans="1:24">
      <c r="A94" s="178" t="s">
        <v>783</v>
      </c>
      <c r="B94" s="174" t="str">
        <f t="shared" si="10"/>
        <v>SID_TEAR_UP</v>
      </c>
      <c r="C94" s="178" t="s">
        <v>174</v>
      </c>
      <c r="D94" s="178">
        <v>0</v>
      </c>
      <c r="E94" s="178">
        <v>0</v>
      </c>
      <c r="F94" s="178">
        <v>12</v>
      </c>
      <c r="G94" s="178" t="s">
        <v>738</v>
      </c>
      <c r="H94" s="178">
        <v>1</v>
      </c>
      <c r="I94" s="178" t="s">
        <v>735</v>
      </c>
      <c r="J94" s="178"/>
      <c r="K94" s="173" t="str">
        <f t="shared" si="9"/>
        <v>SpellData.create(SID_TEAR_UP,"撕裂",0,0,12,OrderId("slow"),1,ORDER_TYPE_TARGET);</v>
      </c>
      <c r="L94" s="173" t="str">
        <f t="shared" si="7"/>
        <v>SpellData.create(SID_TEAR_UP,"Tear Up",0,0,12,OrderId("slow"),1,ORDER_TYPE_TARGET);</v>
      </c>
      <c r="M94" s="178" t="s">
        <v>1707</v>
      </c>
      <c r="N94" s="178"/>
      <c r="O94" s="178"/>
      <c r="P94" s="178"/>
      <c r="Q94" s="178"/>
      <c r="R94" s="178"/>
      <c r="S94" s="178"/>
      <c r="T94" s="178"/>
      <c r="U94" s="178"/>
      <c r="V94" s="178"/>
      <c r="W94" s="178"/>
      <c r="X94" s="178"/>
    </row>
    <row r="95" spans="1:24">
      <c r="A95" s="178" t="s">
        <v>177</v>
      </c>
      <c r="B95" s="174" t="str">
        <f t="shared" si="10"/>
        <v>SID_LANCINATE</v>
      </c>
      <c r="C95" s="178" t="s">
        <v>176</v>
      </c>
      <c r="D95" s="178">
        <v>0</v>
      </c>
      <c r="E95" s="178">
        <v>0</v>
      </c>
      <c r="F95" s="178">
        <v>15</v>
      </c>
      <c r="G95" s="178" t="s">
        <v>610</v>
      </c>
      <c r="H95" s="178">
        <v>1</v>
      </c>
      <c r="I95" s="178" t="s">
        <v>735</v>
      </c>
      <c r="J95" s="178"/>
      <c r="K95" s="173" t="str">
        <f t="shared" si="9"/>
        <v>SpellData.create(SID_LANCINATE,"刺裂",0,0,15,OrderId("channel"),1,ORDER_TYPE_TARGET);</v>
      </c>
      <c r="L95" s="173" t="str">
        <f t="shared" si="7"/>
        <v>SpellData.create(SID_LANCINATE,"Lancinate",0,0,15,OrderId("channel"),1,ORDER_TYPE_TARGET);</v>
      </c>
      <c r="M95" s="178" t="s">
        <v>1707</v>
      </c>
      <c r="N95" s="178"/>
      <c r="O95" s="178"/>
      <c r="P95" s="178"/>
      <c r="Q95" s="178"/>
      <c r="R95" s="178"/>
      <c r="S95" s="178"/>
      <c r="T95" s="178"/>
      <c r="U95" s="178"/>
      <c r="V95" s="178"/>
      <c r="W95" s="178"/>
      <c r="X95" s="178"/>
    </row>
    <row r="96" spans="1:24">
      <c r="A96" s="178" t="s">
        <v>180</v>
      </c>
      <c r="B96" s="174" t="str">
        <f t="shared" si="10"/>
        <v>SID_RASPY_ROAR</v>
      </c>
      <c r="C96" s="178" t="s">
        <v>178</v>
      </c>
      <c r="D96" s="178">
        <v>0</v>
      </c>
      <c r="E96" s="178">
        <v>0</v>
      </c>
      <c r="F96" s="178">
        <v>25</v>
      </c>
      <c r="G96" s="178" t="s">
        <v>774</v>
      </c>
      <c r="H96" s="178">
        <v>1</v>
      </c>
      <c r="I96" s="178" t="s">
        <v>609</v>
      </c>
      <c r="J96" s="178"/>
      <c r="K96" s="173" t="str">
        <f t="shared" si="9"/>
        <v>SpellData.create(SID_RASPY_ROAR,"刺耳咆哮",0,0,25,OrderId("impale"),1,ORDER_TYPE_IMMEDIATE);</v>
      </c>
      <c r="L96" s="173" t="str">
        <f t="shared" si="7"/>
        <v>SpellData.create(SID_RASPY_ROAR,"Raspy Roar",0,0,25,OrderId("impale"),1,ORDER_TYPE_IMMEDIATE);</v>
      </c>
      <c r="M96" s="178" t="s">
        <v>1707</v>
      </c>
      <c r="N96" s="178"/>
      <c r="O96" s="178"/>
      <c r="P96" s="178"/>
      <c r="Q96" s="178"/>
      <c r="R96" s="178"/>
      <c r="S96" s="178"/>
      <c r="T96" s="178"/>
      <c r="U96" s="178"/>
      <c r="V96" s="178"/>
      <c r="W96" s="178"/>
      <c r="X96" s="178"/>
    </row>
    <row r="97" spans="1:24">
      <c r="A97" s="178" t="s">
        <v>1684</v>
      </c>
      <c r="B97" s="174" t="str">
        <f t="shared" si="10"/>
        <v>SID_RASPY_ROAR_DUMMY</v>
      </c>
      <c r="C97" s="178" t="s">
        <v>178</v>
      </c>
      <c r="D97" s="178">
        <v>0</v>
      </c>
      <c r="E97" s="178">
        <v>0</v>
      </c>
      <c r="F97" s="178">
        <v>1</v>
      </c>
      <c r="G97" s="178" t="s">
        <v>782</v>
      </c>
      <c r="H97" s="178">
        <v>1</v>
      </c>
      <c r="I97" s="178" t="s">
        <v>781</v>
      </c>
      <c r="J97" s="178"/>
      <c r="K97" s="173" t="str">
        <f t="shared" si="9"/>
        <v>SpellData.create(SID_RASPY_ROAR_DUMMY,"刺耳咆哮",0,0,1,OrderId("silence"),1,ORDER_TYPE_POINT);</v>
      </c>
      <c r="L97" s="173" t="str">
        <f t="shared" si="7"/>
        <v>SpellData.create(SID_RASPY_ROAR_DUMMY,"Raspy Roar DUMMY",0,0,1,OrderId("silence"),1,ORDER_TYPE_POINT);</v>
      </c>
      <c r="M97" s="178" t="s">
        <v>1707</v>
      </c>
      <c r="N97" s="178"/>
      <c r="O97" s="178"/>
      <c r="P97" s="178"/>
      <c r="Q97" s="178"/>
      <c r="R97" s="178"/>
      <c r="S97" s="178"/>
      <c r="T97" s="178"/>
      <c r="U97" s="178"/>
      <c r="V97" s="178"/>
      <c r="W97" s="178"/>
      <c r="X97" s="178"/>
    </row>
    <row r="98" spans="1:24">
      <c r="A98" s="182" t="s">
        <v>780</v>
      </c>
      <c r="B98" s="174" t="str">
        <f t="shared" si="10"/>
        <v>SID_FLAME_THROW</v>
      </c>
      <c r="C98" s="182" t="s">
        <v>184</v>
      </c>
      <c r="D98" s="182">
        <v>0</v>
      </c>
      <c r="E98" s="182">
        <v>100</v>
      </c>
      <c r="F98" s="182">
        <v>5</v>
      </c>
      <c r="G98" s="182" t="s">
        <v>740</v>
      </c>
      <c r="H98" s="182">
        <v>1</v>
      </c>
      <c r="I98" s="182" t="s">
        <v>735</v>
      </c>
      <c r="J98" s="182"/>
      <c r="K98" s="173" t="str">
        <f t="shared" si="9"/>
        <v>SpellData.create(SID_FLAME_THROW,"火焰喷射",100,0,5,OrderId("sleep"),1,ORDER_TYPE_TARGET);</v>
      </c>
      <c r="L98" s="173" t="str">
        <f t="shared" si="7"/>
        <v>SpellData.create(SID_FLAME_THROW,"Flame Throw",100,0,5,OrderId("sleep"),1,ORDER_TYPE_TARGET);</v>
      </c>
      <c r="M98" s="182" t="s">
        <v>1707</v>
      </c>
      <c r="N98" s="182"/>
      <c r="O98" s="182"/>
      <c r="P98" s="182"/>
      <c r="Q98" s="182"/>
      <c r="R98" s="182"/>
      <c r="S98" s="182"/>
      <c r="T98" s="182"/>
      <c r="U98" s="182"/>
      <c r="V98" s="182"/>
      <c r="W98" s="182"/>
      <c r="X98" s="182"/>
    </row>
    <row r="99" spans="1:24">
      <c r="A99" s="182" t="s">
        <v>779</v>
      </c>
      <c r="B99" s="174" t="str">
        <f t="shared" si="10"/>
        <v>SID_FLAME_BOMB</v>
      </c>
      <c r="C99" s="182" t="s">
        <v>185</v>
      </c>
      <c r="D99" s="182">
        <v>10</v>
      </c>
      <c r="E99" s="182">
        <v>100</v>
      </c>
      <c r="F99" s="182">
        <v>40</v>
      </c>
      <c r="G99" s="182" t="s">
        <v>738</v>
      </c>
      <c r="H99" s="182">
        <v>2</v>
      </c>
      <c r="I99" s="182" t="s">
        <v>609</v>
      </c>
      <c r="J99" s="182"/>
      <c r="K99" s="173" t="str">
        <f t="shared" si="9"/>
        <v>SpellData.create(SID_FLAME_BOMB,"火焰炸弹",100,10,40,OrderId("slow"),2,ORDER_TYPE_IMMEDIATE);</v>
      </c>
      <c r="L99" s="173" t="str">
        <f t="shared" si="7"/>
        <v>SpellData.create(SID_FLAME_BOMB,"Flame Bomb",100,10,40,OrderId("slow"),2,ORDER_TYPE_IMMEDIATE);</v>
      </c>
      <c r="M99" s="182" t="s">
        <v>1707</v>
      </c>
      <c r="N99" s="182"/>
      <c r="O99" s="182"/>
      <c r="P99" s="182"/>
      <c r="Q99" s="182"/>
      <c r="R99" s="182"/>
      <c r="S99" s="182"/>
      <c r="T99" s="182"/>
      <c r="U99" s="182"/>
      <c r="V99" s="182"/>
      <c r="W99" s="182"/>
      <c r="X99" s="182"/>
    </row>
    <row r="100" spans="1:24">
      <c r="A100" s="182" t="s">
        <v>778</v>
      </c>
      <c r="B100" s="174" t="str">
        <f t="shared" si="10"/>
        <v>SID_SUMMON_LAVA_SPAWN</v>
      </c>
      <c r="C100" s="182" t="s">
        <v>188</v>
      </c>
      <c r="D100" s="182">
        <v>10</v>
      </c>
      <c r="E100" s="182">
        <v>100</v>
      </c>
      <c r="F100" s="182">
        <v>30</v>
      </c>
      <c r="G100" s="182" t="s">
        <v>777</v>
      </c>
      <c r="H100" s="182">
        <v>1</v>
      </c>
      <c r="I100" s="182" t="s">
        <v>609</v>
      </c>
      <c r="J100" s="182"/>
      <c r="K100" s="173" t="str">
        <f t="shared" si="9"/>
        <v>SpellData.create(SID_SUMMON_LAVA_SPAWN,"召唤炎魔",100,10,30,OrderId("soulburn"),1,ORDER_TYPE_IMMEDIATE);</v>
      </c>
      <c r="L100" s="173" t="str">
        <f t="shared" si="7"/>
        <v>SpellData.create(SID_SUMMON_LAVA_SPAWN,"Summon Lava Spawn",100,10,30,OrderId("soulburn"),1,ORDER_TYPE_IMMEDIATE);</v>
      </c>
      <c r="M100" s="182" t="s">
        <v>1707</v>
      </c>
      <c r="N100" s="182"/>
      <c r="O100" s="182"/>
      <c r="P100" s="182"/>
      <c r="Q100" s="182"/>
      <c r="R100" s="182"/>
      <c r="S100" s="182"/>
      <c r="T100" s="182"/>
      <c r="U100" s="182"/>
      <c r="V100" s="182"/>
      <c r="W100" s="182"/>
      <c r="X100" s="182"/>
    </row>
    <row r="101" spans="1:24">
      <c r="A101" s="182" t="s">
        <v>204</v>
      </c>
      <c r="B101" s="174" t="str">
        <f t="shared" si="10"/>
        <v>SID_FRENZY_WARLOCK</v>
      </c>
      <c r="C101" s="182" t="s">
        <v>162</v>
      </c>
      <c r="D101" s="182">
        <v>0</v>
      </c>
      <c r="E101" s="182">
        <v>0</v>
      </c>
      <c r="F101" s="182">
        <v>200</v>
      </c>
      <c r="G101" s="182" t="s">
        <v>744</v>
      </c>
      <c r="H101" s="182">
        <v>1</v>
      </c>
      <c r="I101" s="182" t="s">
        <v>609</v>
      </c>
      <c r="J101" s="182"/>
      <c r="K101" s="173" t="str">
        <f t="shared" si="9"/>
        <v>SpellData.create(SID_FRENZY_WARLOCK,"激怒",0,0,200,OrderId("stomp"),1,ORDER_TYPE_IMMEDIATE);</v>
      </c>
      <c r="L101" s="173" t="str">
        <f t="shared" si="7"/>
        <v>SpellData.create(SID_FRENZY_WARLOCK,"Frenzy Warlock",0,0,200,OrderId("stomp"),1,ORDER_TYPE_IMMEDIATE);</v>
      </c>
      <c r="M101" s="182" t="s">
        <v>1707</v>
      </c>
      <c r="N101" s="182"/>
      <c r="O101" s="182"/>
      <c r="P101" s="182"/>
      <c r="Q101" s="182"/>
      <c r="R101" s="182"/>
      <c r="S101" s="182"/>
      <c r="T101" s="182"/>
      <c r="U101" s="182"/>
      <c r="V101" s="182"/>
      <c r="W101" s="182"/>
      <c r="X101" s="182"/>
    </row>
    <row r="102" spans="1:24">
      <c r="A102" s="180" t="s">
        <v>775</v>
      </c>
      <c r="B102" s="174" t="str">
        <f t="shared" si="10"/>
        <v>SID_IMPALE</v>
      </c>
      <c r="C102" s="180" t="s">
        <v>776</v>
      </c>
      <c r="D102" s="180">
        <v>0</v>
      </c>
      <c r="E102" s="180">
        <v>0</v>
      </c>
      <c r="F102" s="174">
        <f>BossAbilities!G31</f>
        <v>20</v>
      </c>
      <c r="G102" s="180" t="s">
        <v>774</v>
      </c>
      <c r="H102" s="180">
        <v>1</v>
      </c>
      <c r="I102" s="180" t="s">
        <v>735</v>
      </c>
      <c r="J102" s="180"/>
      <c r="K102" s="173" t="str">
        <f t="shared" si="9"/>
        <v>SpellData.create(SID_IMPALE,"穿刺",0,0,20,OrderId("impale"),1,ORDER_TYPE_TARGET);</v>
      </c>
      <c r="L102" s="173" t="str">
        <f t="shared" si="7"/>
        <v>SpellData.create(SID_IMPALE,"Impale",0,0,20,OrderId("impale"),1,ORDER_TYPE_TARGET);</v>
      </c>
      <c r="M102" s="180" t="s">
        <v>1707</v>
      </c>
      <c r="N102" s="180"/>
      <c r="O102" s="180"/>
      <c r="P102" s="180"/>
      <c r="Q102" s="180"/>
      <c r="R102" s="180"/>
      <c r="S102" s="180"/>
      <c r="T102" s="180"/>
      <c r="U102" s="180"/>
      <c r="V102" s="180"/>
      <c r="W102" s="180"/>
      <c r="X102" s="180"/>
    </row>
    <row r="103" spans="1:24">
      <c r="A103" s="180" t="s">
        <v>772</v>
      </c>
      <c r="B103" s="174" t="str">
        <f t="shared" si="10"/>
        <v>SID_SUMMON_POISONOUS_CRAWLER</v>
      </c>
      <c r="C103" s="180" t="s">
        <v>773</v>
      </c>
      <c r="D103" s="180">
        <v>0</v>
      </c>
      <c r="E103" s="180">
        <v>0</v>
      </c>
      <c r="F103" s="174">
        <f>BossAbilities!G32</f>
        <v>25</v>
      </c>
      <c r="G103" s="180" t="s">
        <v>738</v>
      </c>
      <c r="H103" s="180">
        <v>1</v>
      </c>
      <c r="I103" s="180" t="s">
        <v>609</v>
      </c>
      <c r="J103" s="180"/>
      <c r="K103" s="173" t="str">
        <f t="shared" si="9"/>
        <v>SpellData.create(SID_SUMMON_POISONOUS_CRAWLER,"召唤剧毒爬行者",0,0,25,OrderId("slow"),1,ORDER_TYPE_IMMEDIATE);</v>
      </c>
      <c r="L103" s="173" t="str">
        <f t="shared" si="7"/>
        <v>SpellData.create(SID_SUMMON_POISONOUS_CRAWLER,"Summon Poisonous Crawler",0,0,25,OrderId("slow"),1,ORDER_TYPE_IMMEDIATE);</v>
      </c>
      <c r="M103" s="180" t="s">
        <v>1707</v>
      </c>
      <c r="N103" s="180"/>
      <c r="O103" s="180"/>
      <c r="P103" s="180"/>
      <c r="Q103" s="180"/>
      <c r="R103" s="180"/>
      <c r="S103" s="180"/>
      <c r="T103" s="180"/>
      <c r="U103" s="180"/>
      <c r="V103" s="180"/>
      <c r="W103" s="180"/>
      <c r="X103" s="180"/>
    </row>
    <row r="104" spans="1:24">
      <c r="A104" s="180" t="s">
        <v>770</v>
      </c>
      <c r="B104" s="174" t="str">
        <f t="shared" si="10"/>
        <v>SID_SUMMON_ABOMINATION</v>
      </c>
      <c r="C104" s="180" t="s">
        <v>771</v>
      </c>
      <c r="D104" s="180">
        <v>0</v>
      </c>
      <c r="E104" s="180">
        <v>0</v>
      </c>
      <c r="F104" s="174">
        <f>BossAbilities!G34</f>
        <v>20</v>
      </c>
      <c r="G104" s="180" t="s">
        <v>769</v>
      </c>
      <c r="H104" s="180">
        <v>1</v>
      </c>
      <c r="I104" s="180" t="s">
        <v>609</v>
      </c>
      <c r="J104" s="180"/>
      <c r="K104" s="173" t="str">
        <f t="shared" si="9"/>
        <v>SpellData.create(SID_SUMMON_ABOMINATION,"召唤憎恶",0,0,20,OrderId("charm"),1,ORDER_TYPE_IMMEDIATE);</v>
      </c>
      <c r="L104" s="173" t="str">
        <f t="shared" si="7"/>
        <v>SpellData.create(SID_SUMMON_ABOMINATION,"Summon Abomination",0,0,20,OrderId("charm"),1,ORDER_TYPE_IMMEDIATE);</v>
      </c>
      <c r="M104" s="180" t="s">
        <v>1707</v>
      </c>
      <c r="N104" s="180"/>
      <c r="O104" s="180"/>
      <c r="P104" s="180"/>
      <c r="Q104" s="180"/>
      <c r="R104" s="180"/>
      <c r="S104" s="180"/>
      <c r="T104" s="180"/>
      <c r="U104" s="180"/>
      <c r="V104" s="180"/>
      <c r="W104" s="180"/>
      <c r="X104" s="180"/>
    </row>
    <row r="105" spans="1:24">
      <c r="A105" s="180" t="s">
        <v>767</v>
      </c>
      <c r="B105" s="174" t="str">
        <f t="shared" si="10"/>
        <v>SID_SUMMON_WRAITH</v>
      </c>
      <c r="C105" s="180" t="s">
        <v>768</v>
      </c>
      <c r="D105" s="180">
        <v>0</v>
      </c>
      <c r="E105" s="180">
        <v>0</v>
      </c>
      <c r="F105" s="174">
        <f>BossAbilities!G35</f>
        <v>20</v>
      </c>
      <c r="G105" s="180" t="s">
        <v>766</v>
      </c>
      <c r="H105" s="180">
        <v>1</v>
      </c>
      <c r="I105" s="180" t="s">
        <v>609</v>
      </c>
      <c r="J105" s="180"/>
      <c r="K105" s="173" t="str">
        <f t="shared" si="9"/>
        <v>SpellData.create(SID_SUMMON_WRAITH,"召唤怨灵",0,0,20,OrderId("invisibility"),1,ORDER_TYPE_IMMEDIATE);</v>
      </c>
      <c r="L105" s="173" t="str">
        <f t="shared" si="7"/>
        <v>SpellData.create(SID_SUMMON_WRAITH,"Summon Wraith",0,0,20,OrderId("invisibility"),1,ORDER_TYPE_IMMEDIATE);</v>
      </c>
      <c r="M105" s="180" t="s">
        <v>1707</v>
      </c>
      <c r="N105" s="180"/>
      <c r="O105" s="180"/>
      <c r="P105" s="180"/>
      <c r="Q105" s="180"/>
      <c r="R105" s="180"/>
      <c r="S105" s="180"/>
      <c r="T105" s="180"/>
      <c r="U105" s="180"/>
      <c r="V105" s="180"/>
      <c r="W105" s="180"/>
      <c r="X105" s="180"/>
    </row>
    <row r="106" spans="1:24">
      <c r="A106" s="180" t="s">
        <v>764</v>
      </c>
      <c r="B106" s="174" t="str">
        <f t="shared" si="10"/>
        <v>SID_LIFE_SIPHON</v>
      </c>
      <c r="C106" s="180" t="s">
        <v>765</v>
      </c>
      <c r="D106" s="180">
        <v>5</v>
      </c>
      <c r="E106" s="180">
        <v>0</v>
      </c>
      <c r="F106" s="174">
        <f>BossAbilities!G33</f>
        <v>30</v>
      </c>
      <c r="G106" s="180" t="s">
        <v>740</v>
      </c>
      <c r="H106" s="180">
        <v>2</v>
      </c>
      <c r="I106" s="180" t="s">
        <v>609</v>
      </c>
      <c r="J106" s="180"/>
      <c r="K106" s="173" t="str">
        <f t="shared" si="9"/>
        <v>SpellData.create(SID_LIFE_SIPHON,"生命虹吸",0,5,30,OrderId("sleep"),2,ORDER_TYPE_IMMEDIATE);</v>
      </c>
      <c r="L106" s="173" t="str">
        <f t="shared" si="7"/>
        <v>SpellData.create(SID_LIFE_SIPHON,"Life Siphon",0,5,30,OrderId("sleep"),2,ORDER_TYPE_IMMEDIATE);</v>
      </c>
      <c r="M106" s="180" t="s">
        <v>1707</v>
      </c>
      <c r="N106" s="180"/>
      <c r="O106" s="180"/>
      <c r="P106" s="180"/>
      <c r="Q106" s="180"/>
      <c r="R106" s="180"/>
      <c r="S106" s="180"/>
      <c r="T106" s="180"/>
      <c r="U106" s="180"/>
      <c r="V106" s="180"/>
      <c r="W106" s="180"/>
      <c r="X106" s="180"/>
    </row>
    <row r="107" spans="1:24">
      <c r="A107" s="183" t="s">
        <v>1770</v>
      </c>
      <c r="B107" s="174" t="str">
        <f t="shared" si="10"/>
        <v>SID_FEL_EXECUTION</v>
      </c>
      <c r="C107" s="183" t="s">
        <v>1775</v>
      </c>
      <c r="D107" s="183">
        <v>0</v>
      </c>
      <c r="E107" s="183">
        <v>0</v>
      </c>
      <c r="F107" s="183">
        <v>20</v>
      </c>
      <c r="G107" s="183" t="s">
        <v>740</v>
      </c>
      <c r="H107" s="183">
        <v>1</v>
      </c>
      <c r="I107" s="183" t="s">
        <v>735</v>
      </c>
      <c r="J107" s="183"/>
      <c r="K107" s="173" t="str">
        <f t="shared" ref="K107:K111" si="11">IF(C107="N/A","//",CONCATENATE("SpellData.create(",B107,",",CHAR(34),C107,CHAR(34),",",E107,",",D107,",",F107,",",G107,",",H107,",",I107,")",J107,";"))</f>
        <v>SpellData.create(SID_FEL_EXECUTION,"邪恶处决",0,0,20,OrderId("sleep"),1,ORDER_TYPE_TARGET);</v>
      </c>
      <c r="L107" s="173" t="str">
        <f t="shared" ref="L107:L111" si="12">IF(A107="N/A","//",CONCATENATE("SpellData.create(",B107,",",CHAR(34),A107,CHAR(34),",",E107,",",D107,",",F107,",",G107,",",H107,",",I107,")",J107,";"))</f>
        <v>SpellData.create(SID_FEL_EXECUTION,"Fel Execution",0,0,20,OrderId("sleep"),1,ORDER_TYPE_TARGET);</v>
      </c>
      <c r="M107" s="180" t="s">
        <v>1707</v>
      </c>
      <c r="N107" s="180"/>
      <c r="O107" s="180"/>
      <c r="P107" s="180"/>
      <c r="Q107" s="180"/>
      <c r="R107" s="180"/>
      <c r="S107" s="180"/>
      <c r="T107" s="180"/>
      <c r="U107" s="180"/>
      <c r="V107" s="180"/>
      <c r="W107" s="180"/>
      <c r="X107" s="180"/>
    </row>
    <row r="108" spans="1:24">
      <c r="A108" s="183" t="s">
        <v>1771</v>
      </c>
      <c r="B108" s="174" t="str">
        <f t="shared" si="10"/>
        <v>SID_POWER_SLASH</v>
      </c>
      <c r="C108" s="183" t="s">
        <v>1776</v>
      </c>
      <c r="D108" s="183">
        <v>0</v>
      </c>
      <c r="E108" s="183">
        <v>0</v>
      </c>
      <c r="F108" s="183">
        <v>10</v>
      </c>
      <c r="G108" s="183" t="s">
        <v>827</v>
      </c>
      <c r="H108" s="183">
        <v>1</v>
      </c>
      <c r="I108" s="183" t="s">
        <v>735</v>
      </c>
      <c r="J108" s="183"/>
      <c r="K108" s="173" t="str">
        <f t="shared" si="11"/>
        <v>SpellData.create(SID_POWER_SLASH,"猛力挥击",0,0,10,OrderId("purge"),1,ORDER_TYPE_TARGET);</v>
      </c>
      <c r="L108" s="173" t="str">
        <f t="shared" si="12"/>
        <v>SpellData.create(SID_POWER_SLASH,"Power Slash",0,0,10,OrderId("purge"),1,ORDER_TYPE_TARGET);</v>
      </c>
      <c r="M108" s="180" t="s">
        <v>1707</v>
      </c>
      <c r="N108" s="180"/>
      <c r="O108" s="180"/>
      <c r="P108" s="180"/>
      <c r="Q108" s="180"/>
      <c r="R108" s="180"/>
      <c r="S108" s="180"/>
      <c r="T108" s="180"/>
      <c r="U108" s="180"/>
      <c r="V108" s="180"/>
      <c r="W108" s="180"/>
      <c r="X108" s="180"/>
    </row>
    <row r="109" spans="1:24">
      <c r="A109" s="183" t="s">
        <v>1772</v>
      </c>
      <c r="B109" s="174" t="str">
        <f t="shared" si="10"/>
        <v>SID_FEL_FRENZY</v>
      </c>
      <c r="C109" s="183" t="s">
        <v>1777</v>
      </c>
      <c r="D109" s="183">
        <v>0</v>
      </c>
      <c r="E109" s="183">
        <v>0</v>
      </c>
      <c r="F109" s="183">
        <v>20</v>
      </c>
      <c r="G109" s="183" t="s">
        <v>1647</v>
      </c>
      <c r="H109" s="183">
        <v>1</v>
      </c>
      <c r="I109" s="183" t="s">
        <v>609</v>
      </c>
      <c r="J109" s="183"/>
      <c r="K109" s="173" t="str">
        <f t="shared" si="11"/>
        <v>SpellData.create(SID_FEL_FRENZY,"邪恶狂乱",0,0,20,OrderId("howlofterror"),1,ORDER_TYPE_IMMEDIATE);</v>
      </c>
      <c r="L109" s="173" t="str">
        <f t="shared" si="12"/>
        <v>SpellData.create(SID_FEL_FRENZY,"Fel Frenzy",0,0,20,OrderId("howlofterror"),1,ORDER_TYPE_IMMEDIATE);</v>
      </c>
      <c r="M109" s="180" t="s">
        <v>1707</v>
      </c>
      <c r="N109" s="180"/>
      <c r="O109" s="180"/>
      <c r="P109" s="180"/>
      <c r="Q109" s="180"/>
      <c r="R109" s="180"/>
      <c r="S109" s="180"/>
      <c r="T109" s="180"/>
      <c r="U109" s="180"/>
      <c r="V109" s="180"/>
      <c r="W109" s="180"/>
      <c r="X109" s="180"/>
    </row>
    <row r="110" spans="1:24">
      <c r="A110" s="183" t="s">
        <v>1773</v>
      </c>
      <c r="B110" s="174" t="str">
        <f t="shared" si="10"/>
        <v>SID_POWER_SHADOW_SHIFT</v>
      </c>
      <c r="C110" s="183" t="s">
        <v>1778</v>
      </c>
      <c r="D110" s="183">
        <v>4</v>
      </c>
      <c r="E110" s="183">
        <v>0</v>
      </c>
      <c r="F110" s="183">
        <v>8</v>
      </c>
      <c r="G110" s="183" t="s">
        <v>738</v>
      </c>
      <c r="H110" s="183">
        <v>1</v>
      </c>
      <c r="I110" s="183" t="s">
        <v>735</v>
      </c>
      <c r="J110" s="183"/>
      <c r="K110" s="173" t="str">
        <f t="shared" si="11"/>
        <v>SpellData.create(SID_POWER_SHADOW_SHIFT,"强化暗影转化",0,4,8,OrderId("slow"),1,ORDER_TYPE_TARGET);</v>
      </c>
      <c r="L110" s="173" t="str">
        <f t="shared" si="12"/>
        <v>SpellData.create(SID_POWER_SHADOW_SHIFT,"Power Shadow Shift",0,4,8,OrderId("slow"),1,ORDER_TYPE_TARGET);</v>
      </c>
      <c r="M110" s="180" t="s">
        <v>1707</v>
      </c>
      <c r="N110" s="180"/>
      <c r="O110" s="180"/>
      <c r="P110" s="180"/>
      <c r="Q110" s="180"/>
      <c r="R110" s="180"/>
      <c r="S110" s="180"/>
      <c r="T110" s="180"/>
      <c r="U110" s="180"/>
      <c r="V110" s="180"/>
      <c r="W110" s="180"/>
      <c r="X110" s="180"/>
    </row>
    <row r="111" spans="1:24">
      <c r="A111" s="183" t="s">
        <v>1774</v>
      </c>
      <c r="B111" s="174" t="str">
        <f t="shared" si="10"/>
        <v>SID_SHADOW_DETONATION</v>
      </c>
      <c r="C111" s="183" t="s">
        <v>1779</v>
      </c>
      <c r="D111" s="183">
        <v>0</v>
      </c>
      <c r="E111" s="183">
        <v>0</v>
      </c>
      <c r="F111" s="183">
        <v>15</v>
      </c>
      <c r="G111" s="183" t="s">
        <v>825</v>
      </c>
      <c r="H111" s="183">
        <v>1</v>
      </c>
      <c r="I111" s="183" t="s">
        <v>781</v>
      </c>
      <c r="J111" s="183"/>
      <c r="K111" s="173" t="str">
        <f t="shared" si="11"/>
        <v>SpellData.create(SID_SHADOW_DETONATION,"暗影引爆",0,0,15,OrderId("blizzard"),1,ORDER_TYPE_POINT);</v>
      </c>
      <c r="L111" s="173" t="str">
        <f t="shared" si="12"/>
        <v>SpellData.create(SID_SHADOW_DETONATION,"Shadow Detonation",0,0,15,OrderId("blizzard"),1,ORDER_TYPE_POINT);</v>
      </c>
      <c r="M111" s="180" t="s">
        <v>1707</v>
      </c>
      <c r="N111" s="180"/>
      <c r="O111" s="180"/>
      <c r="P111" s="180"/>
      <c r="Q111" s="180"/>
      <c r="R111" s="180"/>
      <c r="S111" s="180"/>
      <c r="T111" s="180"/>
      <c r="U111" s="180"/>
      <c r="V111" s="180"/>
      <c r="W111" s="180"/>
      <c r="X111" s="180"/>
    </row>
    <row r="112" spans="1:24">
      <c r="A112" s="183" t="s">
        <v>1782</v>
      </c>
      <c r="B112" s="174" t="str">
        <f t="shared" si="10"/>
        <v>SID_SOUL_LINK</v>
      </c>
      <c r="C112" s="183"/>
      <c r="D112" s="183">
        <v>0</v>
      </c>
      <c r="E112" s="183">
        <v>0</v>
      </c>
      <c r="F112" s="183">
        <v>1</v>
      </c>
      <c r="G112" s="183" t="s">
        <v>769</v>
      </c>
      <c r="H112" s="183">
        <v>1</v>
      </c>
      <c r="I112" s="183" t="s">
        <v>735</v>
      </c>
      <c r="J112" s="183"/>
      <c r="K112" s="173" t="str">
        <f t="shared" ref="K112" si="13">IF(C112="N/A","//",CONCATENATE("SpellData.create(",B112,",",CHAR(34),C112,CHAR(34),",",E112,",",D112,",",F112,",",G112,",",H112,",",I112,")",J112,";"))</f>
        <v>SpellData.create(SID_SOUL_LINK,"",0,0,1,OrderId("charm"),1,ORDER_TYPE_TARGET);</v>
      </c>
      <c r="L112" s="173" t="str">
        <f t="shared" ref="L112" si="14">IF(A112="N/A","//",CONCATENATE("SpellData.create(",B112,",",CHAR(34),A112,CHAR(34),",",E112,",",D112,",",F112,",",G112,",",H112,",",I112,")",J112,";"))</f>
        <v>SpellData.create(SID_SOUL_LINK,"Soul Link",0,0,1,OrderId("charm"),1,ORDER_TYPE_TARGET);</v>
      </c>
      <c r="M112" s="180" t="s">
        <v>1707</v>
      </c>
      <c r="N112" s="180"/>
      <c r="O112" s="180"/>
      <c r="P112" s="180"/>
      <c r="Q112" s="180"/>
      <c r="R112" s="180"/>
      <c r="S112" s="180"/>
      <c r="T112" s="180"/>
      <c r="U112" s="180"/>
      <c r="V112" s="180"/>
      <c r="W112" s="180"/>
      <c r="X112" s="180"/>
    </row>
    <row r="113" spans="1:24">
      <c r="A113" s="179" t="s">
        <v>763</v>
      </c>
      <c r="B113" s="174" t="str">
        <f t="shared" si="10"/>
        <v>SID_SPIRIT_BOLT</v>
      </c>
      <c r="C113" s="179" t="s">
        <v>374</v>
      </c>
      <c r="D113" s="179">
        <v>10</v>
      </c>
      <c r="E113" s="179">
        <v>50</v>
      </c>
      <c r="F113" s="179">
        <v>40</v>
      </c>
      <c r="G113" s="179" t="s">
        <v>737</v>
      </c>
      <c r="H113" s="179">
        <v>2</v>
      </c>
      <c r="I113" s="179" t="s">
        <v>609</v>
      </c>
      <c r="J113" s="179"/>
      <c r="K113" s="173" t="str">
        <f t="shared" si="9"/>
        <v>SpellData.create(SID_SPIRIT_BOLT,"灵魂之箭",50,10,40,OrderId("heal"),2,ORDER_TYPE_IMMEDIATE);</v>
      </c>
      <c r="L113" s="173" t="str">
        <f t="shared" si="7"/>
        <v>SpellData.create(SID_SPIRIT_BOLT,"Spirit Bolt",50,10,40,OrderId("heal"),2,ORDER_TYPE_IMMEDIATE);</v>
      </c>
      <c r="M113" s="179" t="s">
        <v>1707</v>
      </c>
      <c r="N113" s="179"/>
      <c r="O113" s="179"/>
      <c r="P113" s="179"/>
      <c r="Q113" s="179"/>
      <c r="R113" s="179"/>
      <c r="S113" s="179"/>
      <c r="T113" s="179"/>
      <c r="U113" s="179"/>
      <c r="V113" s="179"/>
      <c r="W113" s="179"/>
      <c r="X113" s="179"/>
    </row>
    <row r="114" spans="1:24">
      <c r="A114" s="179" t="s">
        <v>762</v>
      </c>
      <c r="B114" s="174" t="str">
        <f t="shared" si="10"/>
        <v>SID_SPIRIT_HARVEST</v>
      </c>
      <c r="C114" s="179" t="s">
        <v>376</v>
      </c>
      <c r="D114" s="179">
        <v>0</v>
      </c>
      <c r="E114" s="179">
        <v>0</v>
      </c>
      <c r="F114" s="179">
        <v>35</v>
      </c>
      <c r="G114" s="179" t="s">
        <v>761</v>
      </c>
      <c r="H114" s="179">
        <v>1</v>
      </c>
      <c r="I114" s="179" t="s">
        <v>609</v>
      </c>
      <c r="J114" s="179"/>
      <c r="K114" s="173" t="str">
        <f t="shared" si="9"/>
        <v>SpellData.create(SID_SPIRIT_HARVEST,"灵魂收割",0,0,35,OrderId("hex"),1,ORDER_TYPE_IMMEDIATE);</v>
      </c>
      <c r="L114" s="173" t="str">
        <f t="shared" si="7"/>
        <v>SpellData.create(SID_SPIRIT_HARVEST,"Spirit Harvest",0,0,35,OrderId("hex"),1,ORDER_TYPE_IMMEDIATE);</v>
      </c>
      <c r="M114" s="179" t="s">
        <v>1707</v>
      </c>
      <c r="N114" s="179"/>
      <c r="O114" s="179"/>
      <c r="P114" s="179"/>
      <c r="Q114" s="179"/>
      <c r="R114" s="179"/>
      <c r="S114" s="179"/>
      <c r="T114" s="179"/>
      <c r="U114" s="179"/>
      <c r="V114" s="179"/>
      <c r="W114" s="179"/>
      <c r="X114" s="179"/>
    </row>
    <row r="115" spans="1:24">
      <c r="A115" s="179" t="s">
        <v>1658</v>
      </c>
      <c r="B115" s="174" t="str">
        <f t="shared" si="10"/>
        <v>SID_SUN_FIRE_STORMHEX</v>
      </c>
      <c r="C115" s="179" t="s">
        <v>8</v>
      </c>
      <c r="D115" s="179">
        <v>0</v>
      </c>
      <c r="E115" s="179">
        <v>100</v>
      </c>
      <c r="F115" s="179">
        <v>10</v>
      </c>
      <c r="G115" s="179" t="s">
        <v>738</v>
      </c>
      <c r="H115" s="179">
        <v>1</v>
      </c>
      <c r="I115" s="179" t="s">
        <v>609</v>
      </c>
      <c r="J115" s="179"/>
      <c r="K115" s="173" t="str">
        <f t="shared" si="9"/>
        <v>SpellData.create(SID_SUN_FIRE_STORMHEX,"阳炎风暴",100,0,10,OrderId("slow"),1,ORDER_TYPE_IMMEDIATE);</v>
      </c>
      <c r="L115" s="173" t="str">
        <f t="shared" si="7"/>
        <v>SpellData.create(SID_SUN_FIRE_STORMHEX,"Sun fire Stormhex",100,0,10,OrderId("slow"),1,ORDER_TYPE_IMMEDIATE);</v>
      </c>
      <c r="M115" s="179" t="s">
        <v>1707</v>
      </c>
      <c r="N115" s="179"/>
      <c r="O115" s="179"/>
      <c r="P115" s="179"/>
      <c r="Q115" s="179"/>
      <c r="R115" s="179"/>
      <c r="S115" s="179"/>
      <c r="T115" s="179"/>
      <c r="U115" s="179"/>
      <c r="V115" s="179"/>
      <c r="W115" s="179"/>
      <c r="X115" s="179"/>
    </row>
    <row r="116" spans="1:24">
      <c r="A116" s="179" t="s">
        <v>1659</v>
      </c>
      <c r="B116" s="174" t="str">
        <f t="shared" si="10"/>
        <v>SID_SHIELD_OF_SINDOREIHEX</v>
      </c>
      <c r="C116" s="179" t="s">
        <v>15</v>
      </c>
      <c r="D116" s="179">
        <v>0</v>
      </c>
      <c r="E116" s="179">
        <v>0</v>
      </c>
      <c r="F116" s="179">
        <v>10</v>
      </c>
      <c r="G116" s="179" t="s">
        <v>740</v>
      </c>
      <c r="H116" s="179">
        <v>1</v>
      </c>
      <c r="I116" s="179" t="s">
        <v>609</v>
      </c>
      <c r="J116" s="179"/>
      <c r="K116" s="173" t="str">
        <f t="shared" si="9"/>
        <v>SpellData.create(SID_SHIELD_OF_SINDOREIHEX,"辛多雷之盾",0,0,10,OrderId("sleep"),1,ORDER_TYPE_IMMEDIATE);</v>
      </c>
      <c r="L116" s="173" t="str">
        <f t="shared" si="7"/>
        <v>SpellData.create(SID_SHIELD_OF_SINDOREIHEX,"Shield of Sindoreihex",0,0,10,OrderId("sleep"),1,ORDER_TYPE_IMMEDIATE);</v>
      </c>
      <c r="M116" s="179" t="s">
        <v>1707</v>
      </c>
      <c r="N116" s="179"/>
      <c r="O116" s="179"/>
      <c r="P116" s="179"/>
      <c r="Q116" s="179"/>
      <c r="R116" s="179"/>
      <c r="S116" s="179"/>
      <c r="T116" s="179"/>
      <c r="U116" s="179"/>
      <c r="V116" s="179"/>
      <c r="W116" s="179"/>
      <c r="X116" s="179"/>
    </row>
    <row r="117" spans="1:24">
      <c r="A117" s="179" t="s">
        <v>1660</v>
      </c>
      <c r="B117" s="174" t="str">
        <f t="shared" si="10"/>
        <v>SID_SAVAGE_ROAR_HEX</v>
      </c>
      <c r="C117" s="179" t="s">
        <v>20</v>
      </c>
      <c r="D117" s="179">
        <v>0</v>
      </c>
      <c r="E117" s="179">
        <v>0</v>
      </c>
      <c r="F117" s="179">
        <v>10</v>
      </c>
      <c r="G117" s="179" t="s">
        <v>740</v>
      </c>
      <c r="H117" s="179">
        <v>1</v>
      </c>
      <c r="I117" s="179" t="s">
        <v>609</v>
      </c>
      <c r="J117" s="179"/>
      <c r="K117" s="173" t="str">
        <f t="shared" si="9"/>
        <v>SpellData.create(SID_SAVAGE_ROAR_HEX,"野蛮咆哮",0,0,10,OrderId("sleep"),1,ORDER_TYPE_IMMEDIATE);</v>
      </c>
      <c r="L117" s="173" t="str">
        <f t="shared" si="7"/>
        <v>SpellData.create(SID_SAVAGE_ROAR_HEX,"Savage Roar hex",0,0,10,OrderId("sleep"),1,ORDER_TYPE_IMMEDIATE);</v>
      </c>
      <c r="M117" s="179" t="s">
        <v>1707</v>
      </c>
      <c r="N117" s="179"/>
      <c r="O117" s="179"/>
      <c r="P117" s="179"/>
      <c r="Q117" s="179"/>
      <c r="R117" s="179"/>
      <c r="S117" s="179"/>
      <c r="T117" s="179"/>
      <c r="U117" s="179"/>
      <c r="V117" s="179"/>
      <c r="W117" s="179"/>
      <c r="X117" s="179"/>
    </row>
    <row r="118" spans="1:24">
      <c r="A118" s="179" t="s">
        <v>1661</v>
      </c>
      <c r="B118" s="174" t="str">
        <f t="shared" si="10"/>
        <v>SID_NATURAL_REFLEX_HEX</v>
      </c>
      <c r="C118" s="179" t="s">
        <v>26</v>
      </c>
      <c r="D118" s="179">
        <v>0</v>
      </c>
      <c r="E118" s="179">
        <v>0</v>
      </c>
      <c r="F118" s="179">
        <v>12</v>
      </c>
      <c r="G118" s="179" t="s">
        <v>738</v>
      </c>
      <c r="H118" s="179">
        <v>1</v>
      </c>
      <c r="I118" s="179" t="s">
        <v>609</v>
      </c>
      <c r="J118" s="179"/>
      <c r="K118" s="173" t="str">
        <f t="shared" si="9"/>
        <v>SpellData.create(SID_NATURAL_REFLEX_HEX,"自然反射",0,0,12,OrderId("slow"),1,ORDER_TYPE_IMMEDIATE);</v>
      </c>
      <c r="L118" s="173" t="str">
        <f t="shared" si="7"/>
        <v>SpellData.create(SID_NATURAL_REFLEX_HEX,"Natural Reflex hex",0,0,12,OrderId("slow"),1,ORDER_TYPE_IMMEDIATE);</v>
      </c>
      <c r="M118" s="179" t="s">
        <v>1707</v>
      </c>
      <c r="N118" s="179"/>
      <c r="O118" s="179"/>
      <c r="P118" s="179"/>
      <c r="Q118" s="179"/>
      <c r="R118" s="179"/>
      <c r="S118" s="179"/>
      <c r="T118" s="179"/>
      <c r="U118" s="179"/>
      <c r="V118" s="179"/>
      <c r="W118" s="179"/>
      <c r="X118" s="179"/>
    </row>
    <row r="119" spans="1:24">
      <c r="A119" s="179" t="s">
        <v>1662</v>
      </c>
      <c r="B119" s="174" t="str">
        <f t="shared" si="10"/>
        <v>SID_TRANQUILITY_HEX</v>
      </c>
      <c r="C119" s="179" t="s">
        <v>46</v>
      </c>
      <c r="D119" s="179">
        <v>8</v>
      </c>
      <c r="E119" s="179">
        <v>100</v>
      </c>
      <c r="F119" s="179">
        <v>10</v>
      </c>
      <c r="G119" s="179" t="s">
        <v>738</v>
      </c>
      <c r="H119" s="179">
        <v>1</v>
      </c>
      <c r="I119" s="179" t="s">
        <v>609</v>
      </c>
      <c r="J119" s="179"/>
      <c r="K119" s="173" t="str">
        <f t="shared" si="9"/>
        <v>SpellData.create(SID_TRANQUILITY_HEX,"宁静",100,8,10,OrderId("slow"),1,ORDER_TYPE_IMMEDIATE);</v>
      </c>
      <c r="L119" s="173" t="str">
        <f t="shared" si="7"/>
        <v>SpellData.create(SID_TRANQUILITY_HEX,"Tranquility hex",100,8,10,OrderId("slow"),1,ORDER_TYPE_IMMEDIATE);</v>
      </c>
      <c r="M119" s="179" t="s">
        <v>1707</v>
      </c>
      <c r="N119" s="179"/>
      <c r="O119" s="179"/>
      <c r="P119" s="179"/>
      <c r="Q119" s="179"/>
      <c r="R119" s="179"/>
      <c r="S119" s="179"/>
      <c r="T119" s="179"/>
      <c r="U119" s="179"/>
      <c r="V119" s="179"/>
      <c r="W119" s="179"/>
      <c r="X119" s="179"/>
    </row>
    <row r="120" spans="1:24">
      <c r="A120" s="179" t="s">
        <v>1663</v>
      </c>
      <c r="B120" s="174" t="str">
        <f t="shared" si="10"/>
        <v>SID_LIFE_BLOOMHEX</v>
      </c>
      <c r="C120" s="179" t="s">
        <v>38</v>
      </c>
      <c r="D120" s="179">
        <v>0</v>
      </c>
      <c r="E120" s="179">
        <v>25</v>
      </c>
      <c r="F120" s="179">
        <v>10</v>
      </c>
      <c r="G120" s="179" t="s">
        <v>740</v>
      </c>
      <c r="H120" s="179">
        <v>1</v>
      </c>
      <c r="I120" s="179" t="s">
        <v>735</v>
      </c>
      <c r="J120" s="179"/>
      <c r="K120" s="173" t="str">
        <f t="shared" si="9"/>
        <v>SpellData.create(SID_LIFE_BLOOMHEX,"生命绽放",25,0,10,OrderId("sleep"),1,ORDER_TYPE_TARGET);</v>
      </c>
      <c r="L120" s="173" t="str">
        <f t="shared" si="7"/>
        <v>SpellData.create(SID_LIFE_BLOOMHEX,"Life Bloomhex",25,0,10,OrderId("sleep"),1,ORDER_TYPE_TARGET);</v>
      </c>
      <c r="M120" s="179" t="s">
        <v>1707</v>
      </c>
      <c r="N120" s="179"/>
      <c r="O120" s="179"/>
      <c r="P120" s="179"/>
      <c r="Q120" s="179"/>
      <c r="R120" s="179"/>
      <c r="S120" s="179"/>
      <c r="T120" s="179"/>
      <c r="U120" s="179"/>
      <c r="V120" s="179"/>
      <c r="W120" s="179"/>
      <c r="X120" s="179"/>
    </row>
    <row r="121" spans="1:24">
      <c r="A121" s="179" t="s">
        <v>1685</v>
      </c>
      <c r="B121" s="174" t="str">
        <f t="shared" si="10"/>
        <v>SID_HOLY_BOLT_HEX</v>
      </c>
      <c r="C121" s="179" t="s">
        <v>86</v>
      </c>
      <c r="D121" s="179">
        <v>4</v>
      </c>
      <c r="E121" s="179">
        <v>100</v>
      </c>
      <c r="F121" s="179">
        <v>10</v>
      </c>
      <c r="G121" s="179" t="s">
        <v>738</v>
      </c>
      <c r="H121" s="179">
        <v>1</v>
      </c>
      <c r="I121" s="179" t="s">
        <v>735</v>
      </c>
      <c r="J121" s="179"/>
      <c r="K121" s="173" t="str">
        <f t="shared" si="9"/>
        <v>SpellData.create(SID_HOLY_BOLT_HEX,"圣光术",100,4,10,OrderId("slow"),1,ORDER_TYPE_TARGET);</v>
      </c>
      <c r="L121" s="173" t="str">
        <f t="shared" si="7"/>
        <v>SpellData.create(SID_HOLY_BOLT_HEX,"Holy Bolt hex",100,4,10,OrderId("slow"),1,ORDER_TYPE_TARGET);</v>
      </c>
      <c r="M121" s="179" t="s">
        <v>1707</v>
      </c>
      <c r="N121" s="179"/>
      <c r="O121" s="179"/>
      <c r="P121" s="179"/>
      <c r="Q121" s="179"/>
      <c r="R121" s="179"/>
      <c r="S121" s="179"/>
      <c r="T121" s="179"/>
      <c r="U121" s="179"/>
      <c r="V121" s="179"/>
      <c r="W121" s="179"/>
      <c r="X121" s="179"/>
    </row>
    <row r="122" spans="1:24">
      <c r="A122" s="179" t="s">
        <v>1664</v>
      </c>
      <c r="B122" s="174" t="str">
        <f t="shared" si="10"/>
        <v>SID_HOLY_SHOCK_HEX</v>
      </c>
      <c r="C122" s="179" t="s">
        <v>91</v>
      </c>
      <c r="D122" s="179">
        <v>0</v>
      </c>
      <c r="E122" s="179">
        <v>50</v>
      </c>
      <c r="F122" s="179">
        <v>10</v>
      </c>
      <c r="G122" s="179" t="s">
        <v>740</v>
      </c>
      <c r="H122" s="179">
        <v>1</v>
      </c>
      <c r="I122" s="179" t="s">
        <v>735</v>
      </c>
      <c r="J122" s="179"/>
      <c r="K122" s="173" t="str">
        <f t="shared" si="9"/>
        <v>SpellData.create(SID_HOLY_SHOCK_HEX,"神圣震击",50,0,10,OrderId("sleep"),1,ORDER_TYPE_TARGET);</v>
      </c>
      <c r="L122" s="173" t="str">
        <f t="shared" si="7"/>
        <v>SpellData.create(SID_HOLY_SHOCK_HEX,"Holy Shock hex",50,0,10,OrderId("sleep"),1,ORDER_TYPE_TARGET);</v>
      </c>
      <c r="M122" s="179" t="s">
        <v>1707</v>
      </c>
      <c r="N122" s="179"/>
      <c r="O122" s="179"/>
      <c r="P122" s="179"/>
      <c r="Q122" s="179"/>
      <c r="R122" s="179"/>
      <c r="S122" s="179"/>
      <c r="T122" s="179"/>
      <c r="U122" s="179"/>
      <c r="V122" s="179"/>
      <c r="W122" s="179"/>
      <c r="X122" s="179"/>
    </row>
    <row r="123" spans="1:24">
      <c r="A123" s="179" t="s">
        <v>1665</v>
      </c>
      <c r="B123" s="174" t="str">
        <f>"SID_"&amp;UPPER(SUBSTITUTE(A123," ","_"))</f>
        <v>SID_HEAL_HEX</v>
      </c>
      <c r="C123" s="179" t="s">
        <v>106</v>
      </c>
      <c r="D123" s="179">
        <v>0</v>
      </c>
      <c r="E123" s="179">
        <v>50</v>
      </c>
      <c r="F123" s="179">
        <v>10</v>
      </c>
      <c r="G123" s="179" t="s">
        <v>738</v>
      </c>
      <c r="H123" s="179">
        <v>1</v>
      </c>
      <c r="I123" s="179" t="s">
        <v>735</v>
      </c>
      <c r="J123" s="179"/>
      <c r="K123" s="173" t="str">
        <f t="shared" si="9"/>
        <v>SpellData.create(SID_HEAL_HEX,"医疗术",50,0,10,OrderId("slow"),1,ORDER_TYPE_TARGET);</v>
      </c>
      <c r="L123" s="173" t="str">
        <f t="shared" si="7"/>
        <v>SpellData.create(SID_HEAL_HEX,"Heal hex",50,0,10,OrderId("slow"),1,ORDER_TYPE_TARGET);</v>
      </c>
      <c r="M123" s="179" t="s">
        <v>1707</v>
      </c>
      <c r="N123" s="179"/>
      <c r="O123" s="179"/>
      <c r="P123" s="179"/>
      <c r="Q123" s="179"/>
      <c r="R123" s="179"/>
      <c r="S123" s="179"/>
      <c r="T123" s="179"/>
      <c r="U123" s="179"/>
      <c r="V123" s="179"/>
      <c r="W123" s="179"/>
      <c r="X123" s="179"/>
    </row>
    <row r="124" spans="1:24">
      <c r="A124" s="179" t="s">
        <v>1666</v>
      </c>
      <c r="B124" s="174" t="str">
        <f t="shared" si="10"/>
        <v>SID_SHIELD_HEX</v>
      </c>
      <c r="C124" s="179" t="s">
        <v>115</v>
      </c>
      <c r="D124" s="179">
        <v>0</v>
      </c>
      <c r="E124" s="179">
        <v>100</v>
      </c>
      <c r="F124" s="179">
        <v>10</v>
      </c>
      <c r="G124" s="179" t="s">
        <v>740</v>
      </c>
      <c r="H124" s="179">
        <v>1</v>
      </c>
      <c r="I124" s="179" t="s">
        <v>735</v>
      </c>
      <c r="J124" s="179"/>
      <c r="K124" s="173" t="str">
        <f t="shared" si="9"/>
        <v>SpellData.create(SID_SHIELD_HEX,"护盾术",100,0,10,OrderId("sleep"),1,ORDER_TYPE_TARGET);</v>
      </c>
      <c r="L124" s="173" t="str">
        <f t="shared" si="7"/>
        <v>SpellData.create(SID_SHIELD_HEX,"Shield hex",100,0,10,OrderId("sleep"),1,ORDER_TYPE_TARGET);</v>
      </c>
      <c r="M124" s="179" t="s">
        <v>1707</v>
      </c>
      <c r="N124" s="179"/>
      <c r="O124" s="179"/>
      <c r="P124" s="179"/>
      <c r="Q124" s="179"/>
      <c r="R124" s="179"/>
      <c r="S124" s="179"/>
      <c r="T124" s="179"/>
      <c r="U124" s="179"/>
      <c r="V124" s="179"/>
      <c r="W124" s="179"/>
      <c r="X124" s="179"/>
    </row>
    <row r="125" spans="1:24">
      <c r="A125" s="179" t="s">
        <v>1667</v>
      </c>
      <c r="B125" s="174" t="str">
        <f t="shared" si="10"/>
        <v>SID_MORTAL_STRIKE_HEX</v>
      </c>
      <c r="C125" s="179" t="s">
        <v>189</v>
      </c>
      <c r="D125" s="179">
        <v>0</v>
      </c>
      <c r="E125" s="179">
        <v>0</v>
      </c>
      <c r="F125" s="179">
        <v>10</v>
      </c>
      <c r="G125" s="179" t="s">
        <v>738</v>
      </c>
      <c r="H125" s="179">
        <v>1</v>
      </c>
      <c r="I125" s="179" t="s">
        <v>735</v>
      </c>
      <c r="J125" s="179"/>
      <c r="K125" s="173" t="str">
        <f t="shared" si="9"/>
        <v>SpellData.create(SID_MORTAL_STRIKE_HEX,"致死打击",0,0,10,OrderId("slow"),1,ORDER_TYPE_TARGET);</v>
      </c>
      <c r="L125" s="173" t="str">
        <f t="shared" si="7"/>
        <v>SpellData.create(SID_MORTAL_STRIKE_HEX,"Mortal Strike hex",0,0,10,OrderId("slow"),1,ORDER_TYPE_TARGET);</v>
      </c>
      <c r="M125" s="179" t="s">
        <v>1707</v>
      </c>
      <c r="N125" s="179"/>
      <c r="O125" s="179"/>
      <c r="P125" s="179"/>
      <c r="Q125" s="179"/>
      <c r="R125" s="179"/>
      <c r="S125" s="179"/>
      <c r="T125" s="179"/>
      <c r="U125" s="179"/>
      <c r="V125" s="179"/>
      <c r="W125" s="179"/>
      <c r="X125" s="179"/>
    </row>
    <row r="126" spans="1:24">
      <c r="A126" s="179" t="s">
        <v>1668</v>
      </c>
      <c r="B126" s="174" t="str">
        <f>"SID_"&amp;UPPER(SUBSTITUTE(A126," ","_"))</f>
        <v>SID_OVER_POWER_HEX</v>
      </c>
      <c r="C126" s="179" t="s">
        <v>187</v>
      </c>
      <c r="D126" s="179">
        <v>0</v>
      </c>
      <c r="E126" s="179">
        <v>0</v>
      </c>
      <c r="F126" s="179">
        <v>7</v>
      </c>
      <c r="G126" s="179" t="s">
        <v>740</v>
      </c>
      <c r="H126" s="179">
        <v>1</v>
      </c>
      <c r="I126" s="179" t="s">
        <v>735</v>
      </c>
      <c r="J126" s="179"/>
      <c r="K126" s="173" t="str">
        <f t="shared" si="9"/>
        <v>SpellData.create(SID_OVER_POWER_HEX,"压制",0,0,7,OrderId("sleep"),1,ORDER_TYPE_TARGET);</v>
      </c>
      <c r="L126" s="173" t="str">
        <f t="shared" si="7"/>
        <v>SpellData.create(SID_OVER_POWER_HEX,"Over power hex",0,0,7,OrderId("sleep"),1,ORDER_TYPE_TARGET);</v>
      </c>
      <c r="M126" s="179" t="s">
        <v>1707</v>
      </c>
      <c r="N126" s="179"/>
      <c r="O126" s="179"/>
      <c r="P126" s="179"/>
      <c r="Q126" s="179"/>
      <c r="R126" s="179"/>
      <c r="S126" s="179"/>
      <c r="T126" s="179"/>
      <c r="U126" s="179"/>
      <c r="V126" s="179"/>
      <c r="W126" s="179"/>
      <c r="X126" s="179"/>
    </row>
    <row r="127" spans="1:24">
      <c r="A127" s="179" t="s">
        <v>1669</v>
      </c>
      <c r="B127" s="174" t="str">
        <f t="shared" ref="B127:B137" si="15">"SID_"&amp;UPPER(SUBSTITUTE(A127," ","_"))</f>
        <v>SID_DARK_ARROW_HEX</v>
      </c>
      <c r="C127" s="179" t="s">
        <v>139</v>
      </c>
      <c r="D127" s="179">
        <v>0</v>
      </c>
      <c r="E127" s="179">
        <v>0</v>
      </c>
      <c r="F127" s="179">
        <v>4</v>
      </c>
      <c r="G127" s="179" t="s">
        <v>738</v>
      </c>
      <c r="H127" s="179">
        <v>1</v>
      </c>
      <c r="I127" s="179" t="s">
        <v>735</v>
      </c>
      <c r="J127" s="179"/>
      <c r="K127" s="173" t="str">
        <f t="shared" si="9"/>
        <v>SpellData.create(SID_DARK_ARROW_HEX,"黑箭",0,0,4,OrderId("slow"),1,ORDER_TYPE_TARGET);</v>
      </c>
      <c r="L127" s="173" t="str">
        <f t="shared" si="7"/>
        <v>SpellData.create(SID_DARK_ARROW_HEX,"Dark Arrow hex",0,0,4,OrderId("slow"),1,ORDER_TYPE_TARGET);</v>
      </c>
      <c r="M127" s="179" t="s">
        <v>1707</v>
      </c>
      <c r="N127" s="179"/>
      <c r="O127" s="179"/>
      <c r="P127" s="179"/>
      <c r="Q127" s="179"/>
      <c r="R127" s="179"/>
      <c r="S127" s="179"/>
      <c r="T127" s="179"/>
      <c r="U127" s="179"/>
      <c r="V127" s="179"/>
      <c r="W127" s="179"/>
      <c r="X127" s="179"/>
    </row>
    <row r="128" spans="1:24">
      <c r="A128" s="179" t="s">
        <v>1671</v>
      </c>
      <c r="B128" s="174" t="str">
        <f t="shared" si="15"/>
        <v>SID_FREEZING_TRAP_HEX</v>
      </c>
      <c r="C128" s="179" t="s">
        <v>142</v>
      </c>
      <c r="D128" s="179">
        <v>0</v>
      </c>
      <c r="E128" s="179">
        <v>0</v>
      </c>
      <c r="F128" s="179">
        <v>10</v>
      </c>
      <c r="G128" s="179" t="s">
        <v>740</v>
      </c>
      <c r="H128" s="179">
        <v>1</v>
      </c>
      <c r="I128" s="179" t="s">
        <v>609</v>
      </c>
      <c r="J128" s="179"/>
      <c r="K128" s="173" t="str">
        <f t="shared" si="9"/>
        <v>SpellData.create(SID_FREEZING_TRAP_HEX,"冰冻陷阱",0,0,10,OrderId("sleep"),1,ORDER_TYPE_IMMEDIATE);</v>
      </c>
      <c r="L128" s="173" t="str">
        <f t="shared" si="7"/>
        <v>SpellData.create(SID_FREEZING_TRAP_HEX,"Freezing Trap hex",0,0,10,OrderId("sleep"),1,ORDER_TYPE_IMMEDIATE);</v>
      </c>
      <c r="M128" s="179" t="s">
        <v>1707</v>
      </c>
      <c r="N128" s="179"/>
      <c r="O128" s="179"/>
      <c r="P128" s="179"/>
      <c r="Q128" s="179"/>
      <c r="R128" s="179"/>
      <c r="S128" s="179"/>
      <c r="T128" s="179"/>
      <c r="U128" s="179"/>
      <c r="V128" s="179"/>
      <c r="W128" s="179"/>
      <c r="X128" s="179"/>
    </row>
    <row r="129" spans="1:24">
      <c r="A129" s="179" t="s">
        <v>1670</v>
      </c>
      <c r="B129" s="174" t="str">
        <f t="shared" si="15"/>
        <v>SID_FROST_BOLT_HEX</v>
      </c>
      <c r="C129" s="179" t="s">
        <v>205</v>
      </c>
      <c r="D129" s="179">
        <v>3</v>
      </c>
      <c r="E129" s="179">
        <v>50</v>
      </c>
      <c r="F129" s="179">
        <v>5</v>
      </c>
      <c r="G129" s="179" t="s">
        <v>738</v>
      </c>
      <c r="H129" s="179">
        <v>1</v>
      </c>
      <c r="I129" s="179" t="s">
        <v>735</v>
      </c>
      <c r="J129" s="179"/>
      <c r="K129" s="173" t="str">
        <f t="shared" si="9"/>
        <v>SpellData.create(SID_FROST_BOLT_HEX,"寒冰箭",50,3,5,OrderId("slow"),1,ORDER_TYPE_TARGET);</v>
      </c>
      <c r="L129" s="173" t="str">
        <f t="shared" ref="L129:L200" si="16">IF(A129="N/A","//",CONCATENATE("SpellData.create(",B129,",",CHAR(34),A129,CHAR(34),",",E129,",",D129,",",F129,",",G129,",",H129,",",I129,")",J129,";"))</f>
        <v>SpellData.create(SID_FROST_BOLT_HEX,"Frost Bolt hex",50,3,5,OrderId("slow"),1,ORDER_TYPE_TARGET);</v>
      </c>
      <c r="M129" s="179" t="s">
        <v>1707</v>
      </c>
      <c r="N129" s="179"/>
      <c r="O129" s="179"/>
      <c r="P129" s="179"/>
      <c r="Q129" s="179"/>
      <c r="R129" s="179"/>
      <c r="S129" s="179"/>
      <c r="T129" s="179"/>
      <c r="U129" s="179"/>
      <c r="V129" s="179"/>
      <c r="W129" s="179"/>
      <c r="X129" s="179"/>
    </row>
    <row r="130" spans="1:24">
      <c r="A130" s="179" t="s">
        <v>1672</v>
      </c>
      <c r="B130" s="174" t="str">
        <f t="shared" si="15"/>
        <v>SID_POLYMORPH_HEX</v>
      </c>
      <c r="C130" s="179" t="s">
        <v>226</v>
      </c>
      <c r="D130" s="179">
        <v>0</v>
      </c>
      <c r="E130" s="179">
        <v>50</v>
      </c>
      <c r="F130" s="179">
        <v>10</v>
      </c>
      <c r="G130" s="179" t="s">
        <v>740</v>
      </c>
      <c r="H130" s="179">
        <v>1</v>
      </c>
      <c r="I130" s="179" t="s">
        <v>735</v>
      </c>
      <c r="J130" s="179"/>
      <c r="K130" s="173" t="str">
        <f t="shared" si="9"/>
        <v>SpellData.create(SID_POLYMORPH_HEX,"变形术",50,0,10,OrderId("sleep"),1,ORDER_TYPE_TARGET);</v>
      </c>
      <c r="L130" s="173" t="str">
        <f t="shared" si="16"/>
        <v>SpellData.create(SID_POLYMORPH_HEX,"Polymorph hex",50,0,10,OrderId("sleep"),1,ORDER_TYPE_TARGET);</v>
      </c>
      <c r="M130" s="179" t="s">
        <v>1707</v>
      </c>
      <c r="N130" s="179"/>
      <c r="O130" s="179"/>
      <c r="P130" s="179"/>
      <c r="Q130" s="179"/>
      <c r="R130" s="179"/>
      <c r="S130" s="179"/>
      <c r="T130" s="179"/>
      <c r="U130" s="179"/>
      <c r="V130" s="179"/>
      <c r="W130" s="179"/>
      <c r="X130" s="179"/>
    </row>
    <row r="131" spans="1:24">
      <c r="A131" s="179" t="s">
        <v>1673</v>
      </c>
      <c r="B131" s="174" t="str">
        <f t="shared" si="15"/>
        <v>SID_LIGHTNING_TOTEM_HEX</v>
      </c>
      <c r="C131" s="179" t="s">
        <v>431</v>
      </c>
      <c r="D131" s="179">
        <v>0</v>
      </c>
      <c r="E131" s="179">
        <v>0</v>
      </c>
      <c r="F131" s="179">
        <v>10</v>
      </c>
      <c r="G131" s="179" t="s">
        <v>738</v>
      </c>
      <c r="H131" s="179">
        <v>1</v>
      </c>
      <c r="I131" s="179" t="s">
        <v>609</v>
      </c>
      <c r="J131" s="179"/>
      <c r="K131" s="173" t="str">
        <f t="shared" si="9"/>
        <v>SpellData.create(SID_LIGHTNING_TOTEM_HEX,"闪电图腾",0,0,10,OrderId("slow"),1,ORDER_TYPE_IMMEDIATE);</v>
      </c>
      <c r="L131" s="173" t="str">
        <f t="shared" si="16"/>
        <v>SpellData.create(SID_LIGHTNING_TOTEM_HEX,"Lightning Totem hex",0,0,10,OrderId("slow"),1,ORDER_TYPE_IMMEDIATE);</v>
      </c>
      <c r="M131" s="179" t="s">
        <v>1707</v>
      </c>
      <c r="N131" s="179"/>
      <c r="O131" s="179"/>
      <c r="P131" s="179"/>
      <c r="Q131" s="179"/>
      <c r="R131" s="179"/>
      <c r="S131" s="179"/>
      <c r="T131" s="179"/>
      <c r="U131" s="179"/>
      <c r="V131" s="179"/>
      <c r="W131" s="179"/>
      <c r="X131" s="179"/>
    </row>
    <row r="132" spans="1:24">
      <c r="A132" s="179" t="s">
        <v>1674</v>
      </c>
      <c r="B132" s="174" t="str">
        <f t="shared" si="15"/>
        <v>SID_CHARGE_HEX</v>
      </c>
      <c r="C132" s="179" t="s">
        <v>436</v>
      </c>
      <c r="D132" s="179">
        <v>0</v>
      </c>
      <c r="E132" s="179">
        <v>100</v>
      </c>
      <c r="F132" s="179">
        <v>15</v>
      </c>
      <c r="G132" s="179" t="s">
        <v>740</v>
      </c>
      <c r="H132" s="179">
        <v>1</v>
      </c>
      <c r="I132" s="179" t="s">
        <v>609</v>
      </c>
      <c r="J132" s="179"/>
      <c r="K132" s="173" t="str">
        <f t="shared" si="9"/>
        <v>SpellData.create(SID_CHARGE_HEX,"充能",100,0,15,OrderId("sleep"),1,ORDER_TYPE_IMMEDIATE);</v>
      </c>
      <c r="L132" s="173" t="str">
        <f t="shared" si="16"/>
        <v>SpellData.create(SID_CHARGE_HEX,"Charge hex",100,0,15,OrderId("sleep"),1,ORDER_TYPE_IMMEDIATE);</v>
      </c>
      <c r="M132" s="179" t="s">
        <v>1707</v>
      </c>
      <c r="N132" s="179"/>
      <c r="O132" s="179"/>
      <c r="P132" s="179"/>
      <c r="Q132" s="179"/>
      <c r="R132" s="179"/>
      <c r="S132" s="179"/>
      <c r="T132" s="179"/>
      <c r="U132" s="179"/>
      <c r="V132" s="179"/>
      <c r="W132" s="179"/>
      <c r="X132" s="179"/>
    </row>
    <row r="133" spans="1:24">
      <c r="A133" s="179" t="s">
        <v>1675</v>
      </c>
      <c r="B133" s="174" t="str">
        <f t="shared" si="15"/>
        <v>SID_STEALTH_HEX</v>
      </c>
      <c r="C133" s="179" t="s">
        <v>442</v>
      </c>
      <c r="D133" s="179">
        <v>0</v>
      </c>
      <c r="E133" s="179">
        <v>0</v>
      </c>
      <c r="F133" s="179">
        <v>15</v>
      </c>
      <c r="G133" s="179" t="s">
        <v>738</v>
      </c>
      <c r="H133" s="179">
        <v>1</v>
      </c>
      <c r="I133" s="179" t="s">
        <v>735</v>
      </c>
      <c r="J133" s="179"/>
      <c r="K133" s="173" t="str">
        <f t="shared" si="9"/>
        <v>SpellData.create(SID_STEALTH_HEX,"潜行",0,0,15,OrderId("slow"),1,ORDER_TYPE_TARGET);</v>
      </c>
      <c r="L133" s="173" t="str">
        <f t="shared" si="16"/>
        <v>SpellData.create(SID_STEALTH_HEX,"Stealth hex",0,0,15,OrderId("slow"),1,ORDER_TYPE_TARGET);</v>
      </c>
      <c r="M133" s="179" t="s">
        <v>1707</v>
      </c>
      <c r="N133" s="179"/>
      <c r="O133" s="179"/>
      <c r="P133" s="179"/>
      <c r="Q133" s="179"/>
      <c r="R133" s="179"/>
      <c r="S133" s="179"/>
      <c r="T133" s="179"/>
      <c r="U133" s="179"/>
      <c r="V133" s="179"/>
      <c r="W133" s="179"/>
      <c r="X133" s="179"/>
    </row>
    <row r="134" spans="1:24">
      <c r="A134" s="179" t="s">
        <v>1686</v>
      </c>
      <c r="B134" s="174" t="str">
        <f t="shared" si="15"/>
        <v>SID_STEALTH_AMBUSH_HEX</v>
      </c>
      <c r="C134" s="179" t="s">
        <v>746</v>
      </c>
      <c r="D134" s="179">
        <v>0</v>
      </c>
      <c r="E134" s="179">
        <v>0</v>
      </c>
      <c r="F134" s="179">
        <v>1</v>
      </c>
      <c r="G134" s="179" t="s">
        <v>744</v>
      </c>
      <c r="H134" s="179">
        <v>1</v>
      </c>
      <c r="I134" s="179" t="s">
        <v>735</v>
      </c>
      <c r="J134" s="179"/>
      <c r="K134" s="173" t="str">
        <f t="shared" si="9"/>
        <v>SpellData.create(SID_STEALTH_AMBUSH_HEX,"伏击",0,0,1,OrderId("stomp"),1,ORDER_TYPE_TARGET);</v>
      </c>
      <c r="L134" s="173" t="str">
        <f t="shared" si="16"/>
        <v>SpellData.create(SID_STEALTH_AMBUSH_HEX,"Stealth Ambush hex",0,0,1,OrderId("stomp"),1,ORDER_TYPE_TARGET);</v>
      </c>
      <c r="M134" s="179" t="s">
        <v>1707</v>
      </c>
      <c r="N134" s="179"/>
      <c r="O134" s="179"/>
      <c r="P134" s="179"/>
      <c r="Q134" s="179"/>
      <c r="R134" s="179"/>
      <c r="S134" s="179"/>
      <c r="T134" s="179"/>
      <c r="U134" s="179"/>
      <c r="V134" s="179"/>
      <c r="W134" s="179"/>
      <c r="X134" s="179"/>
    </row>
    <row r="135" spans="1:24">
      <c r="A135" s="179" t="s">
        <v>1676</v>
      </c>
      <c r="B135" s="174" t="str">
        <f t="shared" si="15"/>
        <v>SID_BLADE_FLURRY_HEX</v>
      </c>
      <c r="C135" s="179" t="s">
        <v>446</v>
      </c>
      <c r="D135" s="179">
        <v>0</v>
      </c>
      <c r="E135" s="179">
        <v>0</v>
      </c>
      <c r="F135" s="179">
        <v>10</v>
      </c>
      <c r="G135" s="179" t="s">
        <v>740</v>
      </c>
      <c r="H135" s="179">
        <v>1</v>
      </c>
      <c r="I135" s="179" t="s">
        <v>609</v>
      </c>
      <c r="J135" s="179"/>
      <c r="K135" s="173" t="str">
        <f t="shared" si="9"/>
        <v>SpellData.create(SID_BLADE_FLURRY_HEX,"剑舞",0,0,10,OrderId("sleep"),1,ORDER_TYPE_IMMEDIATE);</v>
      </c>
      <c r="L135" s="173" t="str">
        <f t="shared" si="16"/>
        <v>SpellData.create(SID_BLADE_FLURRY_HEX,"Blade Flurry hex",0,0,10,OrderId("sleep"),1,ORDER_TYPE_IMMEDIATE);</v>
      </c>
      <c r="M135" s="179" t="s">
        <v>1707</v>
      </c>
      <c r="N135" s="179"/>
      <c r="O135" s="179"/>
      <c r="P135" s="179"/>
      <c r="Q135" s="179"/>
      <c r="R135" s="179"/>
      <c r="S135" s="179"/>
      <c r="T135" s="179"/>
      <c r="U135" s="179"/>
      <c r="V135" s="179"/>
      <c r="W135" s="179"/>
      <c r="X135" s="179"/>
    </row>
    <row r="136" spans="1:24">
      <c r="A136" s="179" t="s">
        <v>1687</v>
      </c>
      <c r="B136" s="174" t="str">
        <f t="shared" si="15"/>
        <v>SID_PAIN_HEX</v>
      </c>
      <c r="C136" s="179" t="s">
        <v>494</v>
      </c>
      <c r="D136" s="179">
        <v>0</v>
      </c>
      <c r="E136" s="179">
        <v>100</v>
      </c>
      <c r="F136" s="179">
        <v>15</v>
      </c>
      <c r="G136" s="179" t="s">
        <v>738</v>
      </c>
      <c r="H136" s="179">
        <v>1</v>
      </c>
      <c r="I136" s="179" t="s">
        <v>735</v>
      </c>
      <c r="J136" s="179"/>
      <c r="K136" s="173" t="str">
        <f t="shared" si="9"/>
        <v>SpellData.create(SID_PAIN_HEX,"暗言字：痛",100,0,15,OrderId("slow"),1,ORDER_TYPE_TARGET);</v>
      </c>
      <c r="L136" s="173" t="str">
        <f t="shared" si="16"/>
        <v>SpellData.create(SID_PAIN_HEX,"Pain hex",100,0,15,OrderId("slow"),1,ORDER_TYPE_TARGET);</v>
      </c>
      <c r="M136" s="179" t="s">
        <v>1707</v>
      </c>
      <c r="N136" s="179"/>
      <c r="O136" s="179"/>
      <c r="P136" s="179"/>
      <c r="Q136" s="179"/>
      <c r="R136" s="179"/>
      <c r="S136" s="179"/>
      <c r="T136" s="179"/>
      <c r="U136" s="179"/>
      <c r="V136" s="179"/>
      <c r="W136" s="179"/>
      <c r="X136" s="179"/>
    </row>
    <row r="137" spans="1:24">
      <c r="A137" s="179" t="s">
        <v>1688</v>
      </c>
      <c r="B137" s="174" t="str">
        <f t="shared" si="15"/>
        <v>SID_TERROR_HEX</v>
      </c>
      <c r="C137" s="179" t="s">
        <v>507</v>
      </c>
      <c r="D137" s="179">
        <v>0</v>
      </c>
      <c r="E137" s="179">
        <v>100</v>
      </c>
      <c r="F137" s="179">
        <v>10</v>
      </c>
      <c r="G137" s="179" t="s">
        <v>740</v>
      </c>
      <c r="H137" s="179">
        <v>1</v>
      </c>
      <c r="I137" s="179" t="s">
        <v>609</v>
      </c>
      <c r="J137" s="179"/>
      <c r="K137" s="173" t="str">
        <f t="shared" si="9"/>
        <v>SpellData.create(SID_TERROR_HEX,"暗言字：惧",100,0,10,OrderId("sleep"),1,ORDER_TYPE_IMMEDIATE);</v>
      </c>
      <c r="L137" s="173" t="str">
        <f t="shared" si="16"/>
        <v>SpellData.create(SID_TERROR_HEX,"Terror hex",100,0,10,OrderId("sleep"),1,ORDER_TYPE_IMMEDIATE);</v>
      </c>
      <c r="M137" s="179" t="s">
        <v>1707</v>
      </c>
      <c r="N137" s="179"/>
      <c r="O137" s="179"/>
      <c r="P137" s="179"/>
      <c r="Q137" s="179"/>
      <c r="R137" s="179"/>
      <c r="S137" s="179"/>
      <c r="T137" s="179"/>
      <c r="U137" s="179"/>
      <c r="V137" s="179"/>
      <c r="W137" s="179"/>
      <c r="X137" s="179"/>
    </row>
    <row r="138" spans="1:24">
      <c r="A138" s="184" t="s">
        <v>287</v>
      </c>
      <c r="B138" s="174" t="str">
        <f>"SID_"&amp;UPPER(SUBSTITUTE(A138," ","_"))</f>
        <v>SID_STING</v>
      </c>
      <c r="C138" s="174" t="str">
        <f ca="1">OFFSET(CreepAbilities!$A$1,MATCH($A138,CreepAbilities!$F:$F,0)-1,MATCH("技能",CreepAbilities!$1:$1,0)-1)</f>
        <v>毒刺（被动）</v>
      </c>
      <c r="D138" s="174">
        <f ca="1">OFFSET(CreepAbilities!$A$1,MATCH($A138,CreepAbilities!$F:$F,0)-1,MATCH("施",CreepAbilities!$1:$1,0)-1)</f>
        <v>0</v>
      </c>
      <c r="E138" s="174">
        <f ca="1">OFFSET(CreepAbilities!$A$1,MATCH($A138,CreepAbilities!$F:$F,0)-1,MATCH("耗",CreepAbilities!$1:$1,0)-1)</f>
        <v>0</v>
      </c>
      <c r="F138" s="174">
        <f ca="1">OFFSET(CreepAbilities!$A$1,MATCH($A138,CreepAbilities!$F:$F,0)-1,MATCH("冷",CreepAbilities!$1:$1,0)-1)</f>
        <v>1</v>
      </c>
      <c r="G138" s="174">
        <f ca="1">IF(OFFSET(CreepAbilities!$A$1,MATCH($A138,CreepAbilities!$F:$F,0)-1,MATCH("OID",CreepAbilities!$1:$1,0)-1)=0,0,"OrderId("&amp;CHAR(34)&amp;OFFSET(CreepAbilities!$A$1,MATCH($A138,CreepAbilities!$F:$F,0)-1,MATCH("OID",CreepAbilities!$1:$1,0)-1)&amp;CHAR(34)&amp;")")</f>
        <v>0</v>
      </c>
      <c r="H138" s="180">
        <v>1</v>
      </c>
      <c r="I138" s="180" t="s">
        <v>609</v>
      </c>
      <c r="J138" s="180"/>
      <c r="K138" s="173" t="str">
        <f t="shared" ref="K138:K209" ca="1" si="17">IF(C138="N/A","//",CONCATENATE("SpellData.create(",B138,",",CHAR(34),C138,CHAR(34),",",E138,",",D138,",",F138,",",G138,",",H138,",",I138,")",J138,";"))</f>
        <v>SpellData.create(SID_STING,"毒刺（被动）",0,0,1,0,1,ORDER_TYPE_IMMEDIATE);</v>
      </c>
      <c r="L138" s="173" t="str">
        <f t="shared" ca="1" si="16"/>
        <v>SpellData.create(SID_STING,"Sting",0,0,1,0,1,ORDER_TYPE_IMMEDIATE);</v>
      </c>
      <c r="M138" s="180" t="s">
        <v>1707</v>
      </c>
      <c r="N138" s="180"/>
      <c r="O138" s="180"/>
      <c r="P138" s="180"/>
      <c r="Q138" s="180"/>
      <c r="R138" s="180"/>
      <c r="S138" s="180"/>
      <c r="T138" s="180"/>
      <c r="U138" s="180"/>
      <c r="V138" s="180"/>
      <c r="W138" s="180"/>
      <c r="X138" s="180"/>
    </row>
    <row r="139" spans="1:24">
      <c r="A139" s="184" t="s">
        <v>264</v>
      </c>
      <c r="B139" s="174" t="str">
        <f>"SID_"&amp;UPPER(SUBSTITUTE(A139," ","_"))</f>
        <v>SID_LIGHTNING_BOLT</v>
      </c>
      <c r="C139" s="174" t="str">
        <f ca="1">OFFSET(CreepAbilities!$A$1,MATCH($A139,CreepAbilities!$F:$F,0)-1,MATCH("技能",CreepAbilities!$1:$1,0)-1)</f>
        <v>闪电箭</v>
      </c>
      <c r="D139" s="174">
        <f ca="1">OFFSET(CreepAbilities!$A$1,MATCH($A139,CreepAbilities!$F:$F,0)-1,MATCH("施",CreepAbilities!$1:$1,0)-1)</f>
        <v>3</v>
      </c>
      <c r="E139" s="174">
        <f ca="1">OFFSET(CreepAbilities!$A$1,MATCH($A139,CreepAbilities!$F:$F,0)-1,MATCH("耗",CreepAbilities!$1:$1,0)-1)</f>
        <v>75</v>
      </c>
      <c r="F139" s="174">
        <f ca="1">OFFSET(CreepAbilities!$A$1,MATCH($A139,CreepAbilities!$F:$F,0)-1,MATCH("冷",CreepAbilities!$1:$1,0)-1)</f>
        <v>2</v>
      </c>
      <c r="G139" s="174" t="str">
        <f ca="1">IF(OFFSET(CreepAbilities!$A$1,MATCH($A139,CreepAbilities!$F:$F,0)-1,MATCH("OID",CreepAbilities!$1:$1,0)-1)=0,0,"OrderId("&amp;CHAR(34)&amp;OFFSET(CreepAbilities!$A$1,MATCH($A139,CreepAbilities!$F:$F,0)-1,MATCH("OID",CreepAbilities!$1:$1,0)-1)&amp;CHAR(34)&amp;")")</f>
        <v>OrderId("heal")</v>
      </c>
      <c r="H139" s="180">
        <v>1</v>
      </c>
      <c r="I139" s="180" t="s">
        <v>735</v>
      </c>
      <c r="J139" s="180"/>
      <c r="K139" s="173" t="str">
        <f t="shared" ca="1" si="17"/>
        <v>SpellData.create(SID_LIGHTNING_BOLT,"闪电箭",75,3,2,OrderId("heal"),1,ORDER_TYPE_TARGET);</v>
      </c>
      <c r="L139" s="173" t="str">
        <f t="shared" ca="1" si="16"/>
        <v>SpellData.create(SID_LIGHTNING_BOLT,"Lightning Bolt",75,3,2,OrderId("heal"),1,ORDER_TYPE_TARGET);</v>
      </c>
      <c r="M139" s="180" t="s">
        <v>1707</v>
      </c>
      <c r="N139" s="180"/>
      <c r="O139" s="180"/>
      <c r="P139" s="180"/>
      <c r="Q139" s="180"/>
      <c r="R139" s="180"/>
      <c r="S139" s="180"/>
      <c r="T139" s="180"/>
      <c r="U139" s="180"/>
      <c r="V139" s="180"/>
      <c r="W139" s="180"/>
      <c r="X139" s="180"/>
    </row>
    <row r="140" spans="1:24">
      <c r="A140" s="184" t="s">
        <v>266</v>
      </c>
      <c r="B140" s="174" t="str">
        <f t="shared" ref="B140:B213" si="18">"SID_"&amp;UPPER(SUBSTITUTE(A140," ","_"))</f>
        <v>SID_FROST_SHOCK</v>
      </c>
      <c r="C140" s="174" t="str">
        <f ca="1">OFFSET(CreepAbilities!$A$1,MATCH($A140,CreepAbilities!$F:$F,0)-1,MATCH("技能",CreepAbilities!$1:$1,0)-1)</f>
        <v>冰霜冲击</v>
      </c>
      <c r="D140" s="174">
        <f ca="1">OFFSET(CreepAbilities!$A$1,MATCH($A140,CreepAbilities!$F:$F,0)-1,MATCH("施",CreepAbilities!$1:$1,0)-1)</f>
        <v>0</v>
      </c>
      <c r="E140" s="174">
        <f ca="1">OFFSET(CreepAbilities!$A$1,MATCH($A140,CreepAbilities!$F:$F,0)-1,MATCH("耗",CreepAbilities!$1:$1,0)-1)</f>
        <v>0</v>
      </c>
      <c r="F140" s="174">
        <f ca="1">OFFSET(CreepAbilities!$A$1,MATCH($A140,CreepAbilities!$F:$F,0)-1,MATCH("冷",CreepAbilities!$1:$1,0)-1)</f>
        <v>8</v>
      </c>
      <c r="G140" s="174" t="str">
        <f ca="1">IF(OFFSET(CreepAbilities!$A$1,MATCH($A140,CreepAbilities!$F:$F,0)-1,MATCH("OID",CreepAbilities!$1:$1,0)-1)=0,0,"OrderId("&amp;CHAR(34)&amp;OFFSET(CreepAbilities!$A$1,MATCH($A140,CreepAbilities!$F:$F,0)-1,MATCH("OID",CreepAbilities!$1:$1,0)-1)&amp;CHAR(34)&amp;")")</f>
        <v>OrderId("freezingbreath")</v>
      </c>
      <c r="H140" s="180">
        <v>1</v>
      </c>
      <c r="I140" s="180" t="s">
        <v>735</v>
      </c>
      <c r="J140" s="180"/>
      <c r="K140" s="173" t="str">
        <f t="shared" ca="1" si="17"/>
        <v>SpellData.create(SID_FROST_SHOCK,"冰霜冲击",0,0,8,OrderId("freezingbreath"),1,ORDER_TYPE_TARGET);</v>
      </c>
      <c r="L140" s="173" t="str">
        <f t="shared" ca="1" si="16"/>
        <v>SpellData.create(SID_FROST_SHOCK,"Frost Shock",0,0,8,OrderId("freezingbreath"),1,ORDER_TYPE_TARGET);</v>
      </c>
      <c r="M140" s="180" t="s">
        <v>1707</v>
      </c>
      <c r="N140" s="180"/>
      <c r="O140" s="180"/>
      <c r="P140" s="180"/>
      <c r="Q140" s="180"/>
      <c r="R140" s="180"/>
      <c r="S140" s="180"/>
      <c r="T140" s="180"/>
      <c r="U140" s="180"/>
      <c r="V140" s="180"/>
      <c r="W140" s="180"/>
      <c r="X140" s="180"/>
    </row>
    <row r="141" spans="1:24">
      <c r="A141" s="184" t="s">
        <v>269</v>
      </c>
      <c r="B141" s="174" t="str">
        <f t="shared" si="18"/>
        <v>SID_CHAIN_HEALING</v>
      </c>
      <c r="C141" s="174" t="str">
        <f ca="1">OFFSET(CreepAbilities!$A$1,MATCH($A141,CreepAbilities!$F:$F,0)-1,MATCH("技能",CreepAbilities!$1:$1,0)-1)</f>
        <v>治疗链</v>
      </c>
      <c r="D141" s="174">
        <f ca="1">OFFSET(CreepAbilities!$A$1,MATCH($A141,CreepAbilities!$F:$F,0)-1,MATCH("施",CreepAbilities!$1:$1,0)-1)</f>
        <v>3</v>
      </c>
      <c r="E141" s="174">
        <f ca="1">OFFSET(CreepAbilities!$A$1,MATCH($A141,CreepAbilities!$F:$F,0)-1,MATCH("耗",CreepAbilities!$1:$1,0)-1)</f>
        <v>200</v>
      </c>
      <c r="F141" s="174">
        <f ca="1">OFFSET(CreepAbilities!$A$1,MATCH($A141,CreepAbilities!$F:$F,0)-1,MATCH("冷",CreepAbilities!$1:$1,0)-1)</f>
        <v>5</v>
      </c>
      <c r="G141" s="174" t="str">
        <f ca="1">IF(OFFSET(CreepAbilities!$A$1,MATCH($A141,CreepAbilities!$F:$F,0)-1,MATCH("OID",CreepAbilities!$1:$1,0)-1)=0,0,"OrderId("&amp;CHAR(34)&amp;OFFSET(CreepAbilities!$A$1,MATCH($A141,CreepAbilities!$F:$F,0)-1,MATCH("OID",CreepAbilities!$1:$1,0)-1)&amp;CHAR(34)&amp;")")</f>
        <v>OrderId("healingwave")</v>
      </c>
      <c r="H141" s="180">
        <v>1</v>
      </c>
      <c r="I141" s="180" t="s">
        <v>735</v>
      </c>
      <c r="J141" s="180"/>
      <c r="K141" s="173" t="str">
        <f t="shared" ca="1" si="17"/>
        <v>SpellData.create(SID_CHAIN_HEALING,"治疗链",200,3,5,OrderId("healingwave"),1,ORDER_TYPE_TARGET);</v>
      </c>
      <c r="L141" s="173" t="str">
        <f t="shared" ca="1" si="16"/>
        <v>SpellData.create(SID_CHAIN_HEALING,"Chain Healing",200,3,5,OrderId("healingwave"),1,ORDER_TYPE_TARGET);</v>
      </c>
      <c r="M141" s="180" t="s">
        <v>1707</v>
      </c>
      <c r="N141" s="180"/>
      <c r="O141" s="180"/>
      <c r="P141" s="180"/>
      <c r="Q141" s="180"/>
      <c r="R141" s="180"/>
      <c r="S141" s="180"/>
      <c r="T141" s="180"/>
      <c r="U141" s="180"/>
      <c r="V141" s="180"/>
      <c r="W141" s="180"/>
      <c r="X141" s="180"/>
    </row>
    <row r="142" spans="1:24">
      <c r="A142" s="184" t="s">
        <v>271</v>
      </c>
      <c r="B142" s="174" t="str">
        <f t="shared" si="18"/>
        <v>SID_HEALING_WARD</v>
      </c>
      <c r="C142" s="174" t="str">
        <f ca="1">OFFSET(CreepAbilities!$A$1,MATCH($A142,CreepAbilities!$F:$F,0)-1,MATCH("技能",CreepAbilities!$1:$1,0)-1)</f>
        <v>治疗守卫</v>
      </c>
      <c r="D142" s="174">
        <f ca="1">OFFSET(CreepAbilities!$A$1,MATCH($A142,CreepAbilities!$F:$F,0)-1,MATCH("施",CreepAbilities!$1:$1,0)-1)</f>
        <v>0</v>
      </c>
      <c r="E142" s="174">
        <f ca="1">OFFSET(CreepAbilities!$A$1,MATCH($A142,CreepAbilities!$F:$F,0)-1,MATCH("耗",CreepAbilities!$1:$1,0)-1)</f>
        <v>100</v>
      </c>
      <c r="F142" s="174">
        <f ca="1">OFFSET(CreepAbilities!$A$1,MATCH($A142,CreepAbilities!$F:$F,0)-1,MATCH("冷",CreepAbilities!$1:$1,0)-1)</f>
        <v>15</v>
      </c>
      <c r="G142" s="174" t="str">
        <f ca="1">IF(OFFSET(CreepAbilities!$A$1,MATCH($A142,CreepAbilities!$F:$F,0)-1,MATCH("OID",CreepAbilities!$1:$1,0)-1)=0,0,"OrderId("&amp;CHAR(34)&amp;OFFSET(CreepAbilities!$A$1,MATCH($A142,CreepAbilities!$F:$F,0)-1,MATCH("OID",CreepAbilities!$1:$1,0)-1)&amp;CHAR(34)&amp;")")</f>
        <v>OrderId("healingward")</v>
      </c>
      <c r="H142" s="180">
        <v>1</v>
      </c>
      <c r="I142" s="180" t="s">
        <v>609</v>
      </c>
      <c r="J142" s="180"/>
      <c r="K142" s="173" t="str">
        <f t="shared" ca="1" si="17"/>
        <v>SpellData.create(SID_HEALING_WARD,"治疗守卫",100,0,15,OrderId("healingward"),1,ORDER_TYPE_IMMEDIATE);</v>
      </c>
      <c r="L142" s="173" t="str">
        <f t="shared" ca="1" si="16"/>
        <v>SpellData.create(SID_HEALING_WARD,"Healing Ward",100,0,15,OrderId("healingward"),1,ORDER_TYPE_IMMEDIATE);</v>
      </c>
      <c r="M142" s="180" t="s">
        <v>1707</v>
      </c>
      <c r="N142" s="180"/>
      <c r="O142" s="180"/>
      <c r="P142" s="180"/>
      <c r="Q142" s="180"/>
      <c r="R142" s="180"/>
      <c r="S142" s="180"/>
      <c r="T142" s="180"/>
      <c r="U142" s="180"/>
      <c r="V142" s="180"/>
      <c r="W142" s="180"/>
      <c r="X142" s="180"/>
    </row>
    <row r="143" spans="1:24">
      <c r="A143" s="184" t="s">
        <v>273</v>
      </c>
      <c r="B143" s="174" t="str">
        <f t="shared" si="18"/>
        <v>SID_PROTECTION_WARD</v>
      </c>
      <c r="C143" s="174" t="str">
        <f ca="1">OFFSET(CreepAbilities!$A$1,MATCH($A143,CreepAbilities!$F:$F,0)-1,MATCH("技能",CreepAbilities!$1:$1,0)-1)</f>
        <v>防护守卫</v>
      </c>
      <c r="D143" s="174">
        <f ca="1">OFFSET(CreepAbilities!$A$1,MATCH($A143,CreepAbilities!$F:$F,0)-1,MATCH("施",CreepAbilities!$1:$1,0)-1)</f>
        <v>0</v>
      </c>
      <c r="E143" s="174">
        <f ca="1">OFFSET(CreepAbilities!$A$1,MATCH($A143,CreepAbilities!$F:$F,0)-1,MATCH("耗",CreepAbilities!$1:$1,0)-1)</f>
        <v>100</v>
      </c>
      <c r="F143" s="174">
        <f ca="1">OFFSET(CreepAbilities!$A$1,MATCH($A143,CreepAbilities!$F:$F,0)-1,MATCH("冷",CreepAbilities!$1:$1,0)-1)</f>
        <v>30</v>
      </c>
      <c r="G143" s="174" t="str">
        <f ca="1">IF(OFFSET(CreepAbilities!$A$1,MATCH($A143,CreepAbilities!$F:$F,0)-1,MATCH("OID",CreepAbilities!$1:$1,0)-1)=0,0,"OrderId("&amp;CHAR(34)&amp;OFFSET(CreepAbilities!$A$1,MATCH($A143,CreepAbilities!$F:$F,0)-1,MATCH("OID",CreepAbilities!$1:$1,0)-1)&amp;CHAR(34)&amp;")")</f>
        <v>OrderId("evileye")</v>
      </c>
      <c r="H143" s="180">
        <v>1</v>
      </c>
      <c r="I143" s="180" t="s">
        <v>609</v>
      </c>
      <c r="J143" s="180"/>
      <c r="K143" s="173" t="str">
        <f t="shared" ca="1" si="17"/>
        <v>SpellData.create(SID_PROTECTION_WARD,"防护守卫",100,0,30,OrderId("evileye"),1,ORDER_TYPE_IMMEDIATE);</v>
      </c>
      <c r="L143" s="173" t="str">
        <f t="shared" ca="1" si="16"/>
        <v>SpellData.create(SID_PROTECTION_WARD,"Protection Ward",100,0,30,OrderId("evileye"),1,ORDER_TYPE_IMMEDIATE);</v>
      </c>
      <c r="M143" s="180" t="s">
        <v>1707</v>
      </c>
      <c r="N143" s="180"/>
      <c r="O143" s="180"/>
      <c r="P143" s="180"/>
      <c r="Q143" s="180"/>
      <c r="R143" s="180"/>
      <c r="S143" s="180"/>
      <c r="T143" s="180"/>
      <c r="U143" s="180"/>
      <c r="V143" s="180"/>
      <c r="W143" s="180"/>
      <c r="X143" s="180"/>
    </row>
    <row r="144" spans="1:24">
      <c r="A144" s="184" t="s">
        <v>290</v>
      </c>
      <c r="B144" s="174" t="str">
        <f t="shared" si="18"/>
        <v>SID_CHARGED_BREATH</v>
      </c>
      <c r="C144" s="174" t="str">
        <f ca="1">OFFSET(CreepAbilities!$A$1,MATCH($A144,CreepAbilities!$F:$F,0)-1,MATCH("技能",CreepAbilities!$1:$1,0)-1)</f>
        <v>充能之息</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5</v>
      </c>
      <c r="G144" s="174" t="str">
        <f ca="1">IF(OFFSET(CreepAbilities!$A$1,MATCH($A144,CreepAbilities!$F:$F,0)-1,MATCH("OID",CreepAbilities!$1:$1,0)-1)=0,0,"OrderId("&amp;CHAR(34)&amp;OFFSET(CreepAbilities!$A$1,MATCH($A144,CreepAbilities!$F:$F,0)-1,MATCH("OID",CreepAbilities!$1:$1,0)-1)&amp;CHAR(34)&amp;")")</f>
        <v>OrderId("heal")</v>
      </c>
      <c r="H144" s="180">
        <v>1</v>
      </c>
      <c r="I144" s="180" t="s">
        <v>609</v>
      </c>
      <c r="J144" s="180"/>
      <c r="K144" s="173" t="str">
        <f t="shared" ca="1" si="17"/>
        <v>SpellData.create(SID_CHARGED_BREATH,"充能之息",0,0,5,OrderId("heal"),1,ORDER_TYPE_IMMEDIATE);</v>
      </c>
      <c r="L144" s="173" t="str">
        <f t="shared" ca="1" si="16"/>
        <v>SpellData.create(SID_CHARGED_BREATH,"Charged Breath",0,0,5,OrderId("heal"),1,ORDER_TYPE_IMMEDIATE);</v>
      </c>
      <c r="M144" s="180" t="s">
        <v>1707</v>
      </c>
      <c r="N144" s="180"/>
      <c r="O144" s="180"/>
      <c r="P144" s="180"/>
      <c r="Q144" s="180"/>
      <c r="R144" s="180"/>
      <c r="S144" s="180"/>
      <c r="T144" s="180"/>
      <c r="U144" s="180"/>
      <c r="V144" s="180"/>
      <c r="W144" s="180"/>
      <c r="X144" s="180"/>
    </row>
    <row r="145" spans="1:24">
      <c r="A145" s="184" t="s">
        <v>291</v>
      </c>
      <c r="B145" s="174" t="str">
        <f t="shared" si="18"/>
        <v>SID_MANA_LEECH</v>
      </c>
      <c r="C145" s="174" t="str">
        <f ca="1">OFFSET(CreepAbilities!$A$1,MATCH($A145,CreepAbilities!$F:$F,0)-1,MATCH("技能",CreepAbilities!$1:$1,0)-1)</f>
        <v>法力汲取</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5</v>
      </c>
      <c r="G145" s="174" t="str">
        <f ca="1">IF(OFFSET(CreepAbilities!$A$1,MATCH($A145,CreepAbilities!$F:$F,0)-1,MATCH("OID",CreepAbilities!$1:$1,0)-1)=0,0,"OrderId("&amp;CHAR(34)&amp;OFFSET(CreepAbilities!$A$1,MATCH($A145,CreepAbilities!$F:$F,0)-1,MATCH("OID",CreepAbilities!$1:$1,0)-1)&amp;CHAR(34)&amp;")")</f>
        <v>OrderId("healingwave")</v>
      </c>
      <c r="H145" s="180">
        <v>1</v>
      </c>
      <c r="I145" s="180" t="s">
        <v>735</v>
      </c>
      <c r="J145" s="180"/>
      <c r="K145" s="173" t="str">
        <f t="shared" ca="1" si="17"/>
        <v>SpellData.create(SID_MANA_LEECH,"法力汲取",0,0,5,OrderId("healingwave"),1,ORDER_TYPE_TARGET);</v>
      </c>
      <c r="L145" s="173" t="str">
        <f t="shared" ca="1" si="16"/>
        <v>SpellData.create(SID_MANA_LEECH,"Mana Leech",0,0,5,OrderId("healingwave"),1,ORDER_TYPE_TARGET);</v>
      </c>
      <c r="M145" s="180" t="s">
        <v>1707</v>
      </c>
      <c r="N145" s="180"/>
      <c r="O145" s="180"/>
      <c r="P145" s="180"/>
      <c r="Q145" s="180"/>
      <c r="R145" s="180"/>
      <c r="S145" s="180"/>
      <c r="T145" s="180"/>
      <c r="U145" s="180"/>
      <c r="V145" s="180"/>
      <c r="W145" s="180"/>
      <c r="X145" s="180"/>
    </row>
    <row r="146" spans="1:24">
      <c r="A146" s="184" t="s">
        <v>276</v>
      </c>
      <c r="B146" s="174" t="str">
        <f t="shared" si="18"/>
        <v>SID_NAGA_FRENZY</v>
      </c>
      <c r="C146" s="174" t="str">
        <f ca="1">OFFSET(CreepAbilities!$A$1,MATCH($A146,CreepAbilities!$F:$F,0)-1,MATCH("技能",CreepAbilities!$1:$1,0)-1)</f>
        <v>狂乱</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20</v>
      </c>
      <c r="G146" s="174" t="str">
        <f ca="1">IF(OFFSET(CreepAbilities!$A$1,MATCH($A146,CreepAbilities!$F:$F,0)-1,MATCH("OID",CreepAbilities!$1:$1,0)-1)=0,0,"OrderId("&amp;CHAR(34)&amp;OFFSET(CreepAbilities!$A$1,MATCH($A146,CreepAbilities!$F:$F,0)-1,MATCH("OID",CreepAbilities!$1:$1,0)-1)&amp;CHAR(34)&amp;")")</f>
        <v>OrderId("unholyfrenzy")</v>
      </c>
      <c r="H146" s="180">
        <v>1</v>
      </c>
      <c r="I146" s="180" t="s">
        <v>609</v>
      </c>
      <c r="J146" s="180"/>
      <c r="K146" s="173" t="str">
        <f t="shared" ca="1" si="17"/>
        <v>SpellData.create(SID_NAGA_FRENZY,"狂乱",0,0,20,OrderId("unholyfrenzy"),1,ORDER_TYPE_IMMEDIATE);</v>
      </c>
      <c r="L146" s="173" t="str">
        <f t="shared" ca="1" si="16"/>
        <v>SpellData.create(SID_NAGA_FRENZY,"Naga Frenzy",0,0,20,OrderId("unholyfrenzy"),1,ORDER_TYPE_IMMEDIATE);</v>
      </c>
      <c r="M146" s="180" t="s">
        <v>1707</v>
      </c>
      <c r="N146" s="180"/>
      <c r="O146" s="180"/>
      <c r="P146" s="180"/>
      <c r="Q146" s="180"/>
      <c r="R146" s="180"/>
      <c r="S146" s="180"/>
      <c r="T146" s="180"/>
      <c r="U146" s="180"/>
      <c r="V146" s="180"/>
      <c r="W146" s="180"/>
      <c r="X146" s="180"/>
    </row>
    <row r="147" spans="1:24">
      <c r="A147" s="184" t="s">
        <v>278</v>
      </c>
      <c r="B147" s="174" t="str">
        <f t="shared" si="18"/>
        <v>SID_ARMOR_CRUSHING</v>
      </c>
      <c r="C147" s="174" t="str">
        <f ca="1">OFFSET(CreepAbilities!$A$1,MATCH($A147,CreepAbilities!$F:$F,0)-1,MATCH("技能",CreepAbilities!$1:$1,0)-1)</f>
        <v>压碎护甲</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20</v>
      </c>
      <c r="G147" s="174" t="str">
        <f ca="1">IF(OFFSET(CreepAbilities!$A$1,MATCH($A147,CreepAbilities!$F:$F,0)-1,MATCH("OID",CreepAbilities!$1:$1,0)-1)=0,0,"OrderId("&amp;CHAR(34)&amp;OFFSET(CreepAbilities!$A$1,MATCH($A147,CreepAbilities!$F:$F,0)-1,MATCH("OID",CreepAbilities!$1:$1,0)-1)&amp;CHAR(34)&amp;")")</f>
        <v>OrderId("sleep")</v>
      </c>
      <c r="H147" s="180">
        <v>1</v>
      </c>
      <c r="I147" s="180" t="s">
        <v>735</v>
      </c>
      <c r="J147" s="180"/>
      <c r="K147" s="173" t="str">
        <f t="shared" ca="1" si="17"/>
        <v>SpellData.create(SID_ARMOR_CRUSHING,"压碎护甲",0,0,20,OrderId("sleep"),1,ORDER_TYPE_TARGET);</v>
      </c>
      <c r="L147" s="173" t="str">
        <f t="shared" ca="1" si="16"/>
        <v>SpellData.create(SID_ARMOR_CRUSHING,"Armor Crushing",0,0,20,OrderId("sleep"),1,ORDER_TYPE_TARGET);</v>
      </c>
      <c r="M147" s="180" t="s">
        <v>1707</v>
      </c>
      <c r="N147" s="180"/>
      <c r="O147" s="180"/>
      <c r="P147" s="180"/>
      <c r="Q147" s="180"/>
      <c r="R147" s="180"/>
      <c r="S147" s="180"/>
      <c r="T147" s="180"/>
      <c r="U147" s="180"/>
      <c r="V147" s="180"/>
      <c r="W147" s="180"/>
      <c r="X147" s="180"/>
    </row>
    <row r="148" spans="1:24">
      <c r="A148" s="184" t="s">
        <v>282</v>
      </c>
      <c r="B148" s="174" t="str">
        <f t="shared" si="18"/>
        <v>SID_THUNDER_CLAP</v>
      </c>
      <c r="C148" s="174" t="str">
        <f ca="1">OFFSET(CreepAbilities!$A$1,MATCH($A148,CreepAbilities!$F:$F,0)-1,MATCH("技能",CreepAbilities!$1:$1,0)-1)</f>
        <v>雷霆一击</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12</v>
      </c>
      <c r="G148" s="174" t="str">
        <f ca="1">IF(OFFSET(CreepAbilities!$A$1,MATCH($A148,CreepAbilities!$F:$F,0)-1,MATCH("OID",CreepAbilities!$1:$1,0)-1)=0,0,"OrderId("&amp;CHAR(34)&amp;OFFSET(CreepAbilities!$A$1,MATCH($A148,CreepAbilities!$F:$F,0)-1,MATCH("OID",CreepAbilities!$1:$1,0)-1)&amp;CHAR(34)&amp;")")</f>
        <v>OrderId("thunderclap")</v>
      </c>
      <c r="H148" s="180">
        <v>1</v>
      </c>
      <c r="I148" s="180" t="s">
        <v>609</v>
      </c>
      <c r="J148" s="180"/>
      <c r="K148" s="173" t="str">
        <f t="shared" ca="1" si="17"/>
        <v>SpellData.create(SID_THUNDER_CLAP,"雷霆一击",0,0,12,OrderId("thunderclap"),1,ORDER_TYPE_IMMEDIATE);</v>
      </c>
      <c r="L148" s="173" t="str">
        <f t="shared" ca="1" si="16"/>
        <v>SpellData.create(SID_THUNDER_CLAP,"Thunder Clap",0,0,12,OrderId("thunderclap"),1,ORDER_TYPE_IMMEDIATE);</v>
      </c>
      <c r="M148" s="180" t="s">
        <v>1707</v>
      </c>
      <c r="N148" s="180"/>
      <c r="O148" s="180"/>
      <c r="P148" s="180"/>
      <c r="Q148" s="180"/>
      <c r="R148" s="180"/>
      <c r="S148" s="180"/>
      <c r="T148" s="180"/>
      <c r="U148" s="180"/>
      <c r="V148" s="180"/>
      <c r="W148" s="180"/>
      <c r="X148" s="180"/>
    </row>
    <row r="149" spans="1:24">
      <c r="A149" s="184" t="s">
        <v>284</v>
      </c>
      <c r="B149" s="174" t="str">
        <f t="shared" si="18"/>
        <v>SID_RAGE_ROAR</v>
      </c>
      <c r="C149" s="174" t="str">
        <f ca="1">OFFSET(CreepAbilities!$A$1,MATCH($A149,CreepAbilities!$F:$F,0)-1,MATCH("技能",CreepAbilities!$1:$1,0)-1)</f>
        <v>狂怒咆哮</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20</v>
      </c>
      <c r="G149" s="174" t="str">
        <f ca="1">IF(OFFSET(CreepAbilities!$A$1,MATCH($A149,CreepAbilities!$F:$F,0)-1,MATCH("OID",CreepAbilities!$1:$1,0)-1)=0,0,"OrderId("&amp;CHAR(34)&amp;OFFSET(CreepAbilities!$A$1,MATCH($A149,CreepAbilities!$F:$F,0)-1,MATCH("OID",CreepAbilities!$1:$1,0)-1)&amp;CHAR(34)&amp;")")</f>
        <v>OrderId("slow")</v>
      </c>
      <c r="H149" s="180">
        <v>1</v>
      </c>
      <c r="I149" s="180" t="s">
        <v>609</v>
      </c>
      <c r="J149" s="180"/>
      <c r="K149" s="173" t="str">
        <f t="shared" ca="1" si="17"/>
        <v>SpellData.create(SID_RAGE_ROAR,"狂怒咆哮",0,0,20,OrderId("slow"),1,ORDER_TYPE_IMMEDIATE);</v>
      </c>
      <c r="L149" s="173" t="str">
        <f t="shared" ca="1" si="16"/>
        <v>SpellData.create(SID_RAGE_ROAR,"Rage Roar",0,0,20,OrderId("slow"),1,ORDER_TYPE_IMMEDIATE);</v>
      </c>
      <c r="M149" s="180" t="s">
        <v>1707</v>
      </c>
      <c r="N149" s="180"/>
      <c r="O149" s="180"/>
      <c r="P149" s="180"/>
      <c r="Q149" s="180"/>
      <c r="R149" s="180"/>
      <c r="S149" s="180"/>
      <c r="T149" s="180"/>
      <c r="U149" s="180"/>
      <c r="V149" s="180"/>
      <c r="W149" s="180"/>
      <c r="X149" s="180"/>
    </row>
    <row r="150" spans="1:24">
      <c r="A150" s="185" t="s">
        <v>1696</v>
      </c>
      <c r="B150" s="174" t="str">
        <f t="shared" si="18"/>
        <v>SID_BLOOD_BOIL</v>
      </c>
      <c r="C150" s="174" t="str">
        <f ca="1">OFFSET(CreepAbilities!$A$1,MATCH($A150,CreepAbilities!$F:$F,0)-1,MATCH("技能",CreepAbilities!$1:$1,0)-1)</f>
        <v>沸血</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20</v>
      </c>
      <c r="G150" s="174" t="str">
        <f ca="1">IF(OFFSET(CreepAbilities!$A$1,MATCH($A150,CreepAbilities!$F:$F,0)-1,MATCH("OID",CreepAbilities!$1:$1,0)-1)=0,0,"OrderId("&amp;CHAR(34)&amp;OFFSET(CreepAbilities!$A$1,MATCH($A150,CreepAbilities!$F:$F,0)-1,MATCH("OID",CreepAbilities!$1:$1,0)-1)&amp;CHAR(34)&amp;")")</f>
        <v>OrderId("howlofterror")</v>
      </c>
      <c r="H150" s="180">
        <v>1</v>
      </c>
      <c r="I150" s="180" t="s">
        <v>609</v>
      </c>
      <c r="J150" s="180"/>
      <c r="K150" s="173" t="str">
        <f t="shared" ca="1" si="17"/>
        <v>SpellData.create(SID_BLOOD_BOIL,"沸血",0,0,20,OrderId("howlofterror"),1,ORDER_TYPE_IMMEDIATE);</v>
      </c>
      <c r="L150" s="173" t="str">
        <f t="shared" ca="1" si="16"/>
        <v>SpellData.create(SID_BLOOD_BOIL,"Blood Boil",0,0,20,OrderId("howlofterror"),1,ORDER_TYPE_IMMEDIATE);</v>
      </c>
      <c r="M150" s="180" t="s">
        <v>1707</v>
      </c>
      <c r="N150" s="180"/>
      <c r="O150" s="180"/>
      <c r="P150" s="180"/>
      <c r="Q150" s="180"/>
      <c r="R150" s="180"/>
      <c r="S150" s="180"/>
      <c r="T150" s="180"/>
      <c r="U150" s="180"/>
      <c r="V150" s="180"/>
      <c r="W150" s="180"/>
      <c r="X150" s="180"/>
    </row>
    <row r="151" spans="1:24">
      <c r="A151" s="185" t="s">
        <v>294</v>
      </c>
      <c r="B151" s="174" t="str">
        <f t="shared" si="18"/>
        <v>SID_UNHOLY_FRENZY</v>
      </c>
      <c r="C151" s="174" t="str">
        <f ca="1">OFFSET(CreepAbilities!$A$1,MATCH($A151,CreepAbilities!$F:$F,0)-1,MATCH("技能",CreepAbilities!$1:$1,0)-1)</f>
        <v>邪恶狂热</v>
      </c>
      <c r="D151" s="174">
        <f ca="1">OFFSET(CreepAbilities!$A$1,MATCH($A151,CreepAbilities!$F:$F,0)-1,MATCH("施",CreepAbilities!$1:$1,0)-1)</f>
        <v>0</v>
      </c>
      <c r="E151" s="174">
        <f ca="1">OFFSET(CreepAbilities!$A$1,MATCH($A151,CreepAbilities!$F:$F,0)-1,MATCH("耗",CreepAbilities!$1:$1,0)-1)</f>
        <v>0</v>
      </c>
      <c r="F151" s="174">
        <f ca="1">OFFSET(CreepAbilities!$A$1,MATCH($A151,CreepAbilities!$F:$F,0)-1,MATCH("冷",CreepAbilities!$1:$1,0)-1)</f>
        <v>12</v>
      </c>
      <c r="G151" s="174" t="str">
        <f ca="1">IF(OFFSET(CreepAbilities!$A$1,MATCH($A151,CreepAbilities!$F:$F,0)-1,MATCH("OID",CreepAbilities!$1:$1,0)-1)=0,0,"OrderId("&amp;CHAR(34)&amp;OFFSET(CreepAbilities!$A$1,MATCH($A151,CreepAbilities!$F:$F,0)-1,MATCH("OID",CreepAbilities!$1:$1,0)-1)&amp;CHAR(34)&amp;")")</f>
        <v>OrderId("sleep")</v>
      </c>
      <c r="H151" s="180">
        <v>1</v>
      </c>
      <c r="I151" s="180" t="s">
        <v>609</v>
      </c>
      <c r="J151" s="180"/>
      <c r="K151" s="173" t="str">
        <f t="shared" ca="1" si="17"/>
        <v>SpellData.create(SID_UNHOLY_FRENZY,"邪恶狂热",0,0,12,OrderId("sleep"),1,ORDER_TYPE_IMMEDIATE);</v>
      </c>
      <c r="L151" s="173" t="str">
        <f t="shared" ca="1" si="16"/>
        <v>SpellData.create(SID_UNHOLY_FRENZY,"Unholy Frenzy",0,0,12,OrderId("sleep"),1,ORDER_TYPE_IMMEDIATE);</v>
      </c>
      <c r="M151" s="180" t="s">
        <v>1707</v>
      </c>
      <c r="N151" s="180"/>
      <c r="O151" s="180"/>
      <c r="P151" s="180"/>
      <c r="Q151" s="180"/>
      <c r="R151" s="180"/>
      <c r="S151" s="180"/>
      <c r="T151" s="180"/>
      <c r="U151" s="180"/>
      <c r="V151" s="180"/>
      <c r="W151" s="180"/>
      <c r="X151" s="180"/>
    </row>
    <row r="152" spans="1:24">
      <c r="A152" s="185" t="s">
        <v>300</v>
      </c>
      <c r="B152" s="174" t="str">
        <f t="shared" si="18"/>
        <v>SID_CHAOS_LEAP</v>
      </c>
      <c r="C152" s="174" t="str">
        <f ca="1">OFFSET(CreepAbilities!$A$1,MATCH($A152,CreepAbilities!$F:$F,0)-1,MATCH("技能",CreepAbilities!$1:$1,0)-1)</f>
        <v>混乱跳跃</v>
      </c>
      <c r="D152" s="174">
        <f ca="1">OFFSET(CreepAbilities!$A$1,MATCH($A152,CreepAbilities!$F:$F,0)-1,MATCH("施",CreepAbilities!$1:$1,0)-1)</f>
        <v>0</v>
      </c>
      <c r="E152" s="174">
        <f ca="1">OFFSET(CreepAbilities!$A$1,MATCH($A152,CreepAbilities!$F:$F,0)-1,MATCH("耗",CreepAbilities!$1:$1,0)-1)</f>
        <v>0</v>
      </c>
      <c r="F152" s="174">
        <f ca="1">OFFSET(CreepAbilities!$A$1,MATCH($A152,CreepAbilities!$F:$F,0)-1,MATCH("冷",CreepAbilities!$1:$1,0)-1)</f>
        <v>20</v>
      </c>
      <c r="G152" s="174" t="str">
        <f ca="1">IF(OFFSET(CreepAbilities!$A$1,MATCH($A152,CreepAbilities!$F:$F,0)-1,MATCH("OID",CreepAbilities!$1:$1,0)-1)=0,0,"OrderId("&amp;CHAR(34)&amp;OFFSET(CreepAbilities!$A$1,MATCH($A152,CreepAbilities!$F:$F,0)-1,MATCH("OID",CreepAbilities!$1:$1,0)-1)&amp;CHAR(34)&amp;")")</f>
        <v>OrderId("sleep")</v>
      </c>
      <c r="H152" s="180">
        <v>1</v>
      </c>
      <c r="I152" s="180" t="s">
        <v>735</v>
      </c>
      <c r="J152" s="180"/>
      <c r="K152" s="173" t="str">
        <f t="shared" ca="1" si="17"/>
        <v>SpellData.create(SID_CHAOS_LEAP,"混乱跳跃",0,0,20,OrderId("sleep"),1,ORDER_TYPE_TARGET);</v>
      </c>
      <c r="L152" s="173" t="str">
        <f t="shared" ca="1" si="16"/>
        <v>SpellData.create(SID_CHAOS_LEAP,"Chaos Leap",0,0,20,OrderId("sleep"),1,ORDER_TYPE_TARGET);</v>
      </c>
      <c r="M152" s="180" t="s">
        <v>1707</v>
      </c>
      <c r="N152" s="180"/>
      <c r="O152" s="180"/>
      <c r="P152" s="180"/>
      <c r="Q152" s="180"/>
      <c r="R152" s="180"/>
      <c r="S152" s="180"/>
      <c r="T152" s="180"/>
      <c r="U152" s="180"/>
      <c r="V152" s="180"/>
      <c r="W152" s="180"/>
      <c r="X152" s="180"/>
    </row>
    <row r="153" spans="1:24">
      <c r="A153" s="185" t="s">
        <v>302</v>
      </c>
      <c r="B153" s="174" t="str">
        <f t="shared" si="18"/>
        <v>SID_WAR_STOMP</v>
      </c>
      <c r="C153" s="174" t="str">
        <f ca="1">OFFSET(CreepAbilities!$A$1,MATCH($A153,CreepAbilities!$F:$F,0)-1,MATCH("技能",CreepAbilities!$1:$1,0)-1)</f>
        <v>战争践踏</v>
      </c>
      <c r="D153" s="174">
        <f ca="1">OFFSET(CreepAbilities!$A$1,MATCH($A153,CreepAbilities!$F:$F,0)-1,MATCH("施",CreepAbilities!$1:$1,0)-1)</f>
        <v>4</v>
      </c>
      <c r="E153" s="174">
        <f ca="1">OFFSET(CreepAbilities!$A$1,MATCH($A153,CreepAbilities!$F:$F,0)-1,MATCH("耗",CreepAbilities!$1:$1,0)-1)</f>
        <v>0</v>
      </c>
      <c r="F153" s="174">
        <f ca="1">OFFSET(CreepAbilities!$A$1,MATCH($A153,CreepAbilities!$F:$F,0)-1,MATCH("冷",CreepAbilities!$1:$1,0)-1)</f>
        <v>8</v>
      </c>
      <c r="G153" s="174" t="str">
        <f ca="1">IF(OFFSET(CreepAbilities!$A$1,MATCH($A153,CreepAbilities!$F:$F,0)-1,MATCH("OID",CreepAbilities!$1:$1,0)-1)=0,0,"OrderId("&amp;CHAR(34)&amp;OFFSET(CreepAbilities!$A$1,MATCH($A153,CreepAbilities!$F:$F,0)-1,MATCH("OID",CreepAbilities!$1:$1,0)-1)&amp;CHAR(34)&amp;")")</f>
        <v>OrderId("sleep")</v>
      </c>
      <c r="H153" s="180">
        <v>1</v>
      </c>
      <c r="I153" s="180" t="s">
        <v>609</v>
      </c>
      <c r="J153" s="180"/>
      <c r="K153" s="173" t="str">
        <f t="shared" ca="1" si="17"/>
        <v>SpellData.create(SID_WAR_STOMP,"战争践踏",0,4,8,OrderId("sleep"),1,ORDER_TYPE_IMMEDIATE);</v>
      </c>
      <c r="L153" s="173" t="str">
        <f t="shared" ca="1" si="16"/>
        <v>SpellData.create(SID_WAR_STOMP,"War Stomp",0,4,8,OrderId("sleep"),1,ORDER_TYPE_IMMEDIATE);</v>
      </c>
      <c r="M153" s="180" t="s">
        <v>1707</v>
      </c>
      <c r="N153" s="180"/>
      <c r="O153" s="180"/>
      <c r="P153" s="180"/>
      <c r="Q153" s="180"/>
      <c r="R153" s="180"/>
      <c r="S153" s="180"/>
      <c r="T153" s="180"/>
      <c r="U153" s="180"/>
      <c r="V153" s="180"/>
      <c r="W153" s="180"/>
      <c r="X153" s="180"/>
    </row>
    <row r="154" spans="1:24">
      <c r="A154" s="185" t="s">
        <v>303</v>
      </c>
      <c r="B154" s="174" t="str">
        <f t="shared" si="18"/>
        <v>SID_BATTLE_COMMAND</v>
      </c>
      <c r="C154" s="174" t="str">
        <f ca="1">OFFSET(CreepAbilities!$A$1,MATCH($A154,CreepAbilities!$F:$F,0)-1,MATCH("技能",CreepAbilities!$1:$1,0)-1)</f>
        <v>战斗命令</v>
      </c>
      <c r="D154" s="174">
        <f ca="1">OFFSET(CreepAbilities!$A$1,MATCH($A154,CreepAbilities!$F:$F,0)-1,MATCH("施",CreepAbilities!$1:$1,0)-1)</f>
        <v>0</v>
      </c>
      <c r="E154" s="174">
        <f ca="1">OFFSET(CreepAbilities!$A$1,MATCH($A154,CreepAbilities!$F:$F,0)-1,MATCH("耗",CreepAbilities!$1:$1,0)-1)</f>
        <v>0</v>
      </c>
      <c r="F154" s="174">
        <f ca="1">OFFSET(CreepAbilities!$A$1,MATCH($A154,CreepAbilities!$F:$F,0)-1,MATCH("冷",CreepAbilities!$1:$1,0)-1)</f>
        <v>6</v>
      </c>
      <c r="G154" s="174" t="str">
        <f ca="1">IF(OFFSET(CreepAbilities!$A$1,MATCH($A154,CreepAbilities!$F:$F,0)-1,MATCH("OID",CreepAbilities!$1:$1,0)-1)=0,0,"OrderId("&amp;CHAR(34)&amp;OFFSET(CreepAbilities!$A$1,MATCH($A154,CreepAbilities!$F:$F,0)-1,MATCH("OID",CreepAbilities!$1:$1,0)-1)&amp;CHAR(34)&amp;")")</f>
        <v>OrderId("slow")</v>
      </c>
      <c r="H154" s="180">
        <v>1</v>
      </c>
      <c r="I154" s="180" t="s">
        <v>735</v>
      </c>
      <c r="J154" s="180"/>
      <c r="K154" s="173" t="str">
        <f t="shared" ca="1" si="17"/>
        <v>SpellData.create(SID_BATTLE_COMMAND,"战斗命令",0,0,6,OrderId("slow"),1,ORDER_TYPE_TARGET);</v>
      </c>
      <c r="L154" s="173" t="str">
        <f t="shared" ca="1" si="16"/>
        <v>SpellData.create(SID_BATTLE_COMMAND,"Battle Command",0,0,6,OrderId("slow"),1,ORDER_TYPE_TARGET);</v>
      </c>
      <c r="M154" s="180" t="s">
        <v>1707</v>
      </c>
      <c r="N154" s="180"/>
      <c r="O154" s="180"/>
      <c r="P154" s="180"/>
      <c r="Q154" s="180"/>
      <c r="R154" s="180"/>
      <c r="S154" s="180"/>
      <c r="T154" s="180"/>
      <c r="U154" s="180"/>
      <c r="V154" s="180"/>
      <c r="W154" s="180"/>
      <c r="X154" s="180"/>
    </row>
    <row r="155" spans="1:24" s="187" customFormat="1">
      <c r="A155" s="185" t="s">
        <v>306</v>
      </c>
      <c r="B155" s="174" t="str">
        <f t="shared" si="18"/>
        <v>SID_BLAZING_HASTE</v>
      </c>
      <c r="C155" s="174" t="str">
        <f ca="1">OFFSET(CreepAbilities!$A$1,MATCH($A155,CreepAbilities!$F:$F,0)-1,MATCH("技能",CreepAbilities!$1:$1,0)-1)</f>
        <v>炽热疾速</v>
      </c>
      <c r="D155" s="174">
        <f ca="1">OFFSET(CreepAbilities!$A$1,MATCH($A155,CreepAbilities!$F:$F,0)-1,MATCH("施",CreepAbilities!$1:$1,0)-1)</f>
        <v>0</v>
      </c>
      <c r="E155" s="174">
        <f ca="1">OFFSET(CreepAbilities!$A$1,MATCH($A155,CreepAbilities!$F:$F,0)-1,MATCH("耗",CreepAbilities!$1:$1,0)-1)</f>
        <v>75</v>
      </c>
      <c r="F155" s="174">
        <f ca="1">OFFSET(CreepAbilities!$A$1,MATCH($A155,CreepAbilities!$F:$F,0)-1,MATCH("冷",CreepAbilities!$1:$1,0)-1)</f>
        <v>5</v>
      </c>
      <c r="G155" s="174" t="str">
        <f ca="1">IF(OFFSET(CreepAbilities!$A$1,MATCH($A155,CreepAbilities!$F:$F,0)-1,MATCH("OID",CreepAbilities!$1:$1,0)-1)=0,0,"OrderId("&amp;CHAR(34)&amp;OFFSET(CreepAbilities!$A$1,MATCH($A155,CreepAbilities!$F:$F,0)-1,MATCH("OID",CreepAbilities!$1:$1,0)-1)&amp;CHAR(34)&amp;")")</f>
        <v>OrderId("heal")</v>
      </c>
      <c r="H155" s="186">
        <v>1</v>
      </c>
      <c r="I155" s="186" t="s">
        <v>735</v>
      </c>
      <c r="J155" s="186"/>
      <c r="K155" s="173" t="str">
        <f t="shared" ca="1" si="17"/>
        <v>SpellData.create(SID_BLAZING_HASTE,"炽热疾速",75,0,5,OrderId("heal"),1,ORDER_TYPE_TARGET);</v>
      </c>
      <c r="L155" s="173" t="str">
        <f t="shared" ca="1" si="16"/>
        <v>SpellData.create(SID_BLAZING_HASTE,"Blazing Haste",75,0,5,OrderId("heal"),1,ORDER_TYPE_TARGET);</v>
      </c>
      <c r="M155" s="186" t="s">
        <v>1707</v>
      </c>
      <c r="N155" s="186"/>
      <c r="O155" s="186"/>
      <c r="P155" s="186"/>
      <c r="Q155" s="186"/>
      <c r="R155" s="186"/>
      <c r="S155" s="186"/>
      <c r="T155" s="186"/>
      <c r="U155" s="186"/>
      <c r="V155" s="186"/>
      <c r="W155" s="186"/>
      <c r="X155" s="186"/>
    </row>
    <row r="156" spans="1:24" s="187" customFormat="1">
      <c r="A156" s="185" t="s">
        <v>1014</v>
      </c>
      <c r="B156" s="174" t="str">
        <f t="shared" si="18"/>
        <v>SID_FIRE_BALL</v>
      </c>
      <c r="C156" s="174" t="str">
        <f ca="1">OFFSET(CreepAbilities!$A$1,MATCH($A156,CreepAbilities!$F:$F,0)-1,MATCH("技能",CreepAbilities!$1:$1,0)-1)</f>
        <v>连珠火球</v>
      </c>
      <c r="D156" s="174">
        <f ca="1">OFFSET(CreepAbilities!$A$1,MATCH($A156,CreepAbilities!$F:$F,0)-1,MATCH("施",CreepAbilities!$1:$1,0)-1)</f>
        <v>3</v>
      </c>
      <c r="E156" s="174">
        <f ca="1">OFFSET(CreepAbilities!$A$1,MATCH($A156,CreepAbilities!$F:$F,0)-1,MATCH("耗",CreepAbilities!$1:$1,0)-1)</f>
        <v>100</v>
      </c>
      <c r="F156" s="174">
        <f ca="1">OFFSET(CreepAbilities!$A$1,MATCH($A156,CreepAbilities!$F:$F,0)-1,MATCH("冷",CreepAbilities!$1:$1,0)-1)</f>
        <v>1</v>
      </c>
      <c r="G156" s="174" t="str">
        <f ca="1">IF(OFFSET(CreepAbilities!$A$1,MATCH($A156,CreepAbilities!$F:$F,0)-1,MATCH("OID",CreepAbilities!$1:$1,0)-1)=0,0,"OrderId("&amp;CHAR(34)&amp;OFFSET(CreepAbilities!$A$1,MATCH($A156,CreepAbilities!$F:$F,0)-1,MATCH("OID",CreepAbilities!$1:$1,0)-1)&amp;CHAR(34)&amp;")")</f>
        <v>OrderId("sleep")</v>
      </c>
      <c r="H156" s="186">
        <v>1</v>
      </c>
      <c r="I156" s="180" t="s">
        <v>609</v>
      </c>
      <c r="J156" s="186"/>
      <c r="K156" s="173" t="str">
        <f t="shared" ca="1" si="17"/>
        <v>SpellData.create(SID_FIRE_BALL,"连珠火球",100,3,1,OrderId("sleep"),1,ORDER_TYPE_IMMEDIATE);</v>
      </c>
      <c r="L156" s="173" t="str">
        <f t="shared" ca="1" si="16"/>
        <v>SpellData.create(SID_FIRE_BALL,"Fire Ball",100,3,1,OrderId("sleep"),1,ORDER_TYPE_IMMEDIATE);</v>
      </c>
      <c r="M156" s="186" t="s">
        <v>1707</v>
      </c>
      <c r="N156" s="186"/>
      <c r="O156" s="186"/>
      <c r="P156" s="186"/>
      <c r="Q156" s="186"/>
      <c r="R156" s="186"/>
      <c r="S156" s="186"/>
      <c r="T156" s="186"/>
      <c r="U156" s="186"/>
      <c r="V156" s="186"/>
      <c r="W156" s="186"/>
      <c r="X156" s="186"/>
    </row>
    <row r="157" spans="1:24" s="187" customFormat="1">
      <c r="A157" s="185" t="s">
        <v>307</v>
      </c>
      <c r="B157" s="174" t="str">
        <f t="shared" si="18"/>
        <v>SID_FLAME_SHOCK</v>
      </c>
      <c r="C157" s="174" t="str">
        <f ca="1">OFFSET(CreepAbilities!$A$1,MATCH($A157,CreepAbilities!$F:$F,0)-1,MATCH("技能",CreepAbilities!$1:$1,0)-1)</f>
        <v>烈焰震击</v>
      </c>
      <c r="D157" s="174">
        <f ca="1">OFFSET(CreepAbilities!$A$1,MATCH($A157,CreepAbilities!$F:$F,0)-1,MATCH("施",CreepAbilities!$1:$1,0)-1)</f>
        <v>0</v>
      </c>
      <c r="E157" s="174">
        <f ca="1">OFFSET(CreepAbilities!$A$1,MATCH($A157,CreepAbilities!$F:$F,0)-1,MATCH("耗",CreepAbilities!$1:$1,0)-1)</f>
        <v>50</v>
      </c>
      <c r="F157" s="174">
        <f ca="1">OFFSET(CreepAbilities!$A$1,MATCH($A157,CreepAbilities!$F:$F,0)-1,MATCH("冷",CreepAbilities!$1:$1,0)-1)</f>
        <v>5</v>
      </c>
      <c r="G157" s="174" t="str">
        <f ca="1">IF(OFFSET(CreepAbilities!$A$1,MATCH($A157,CreepAbilities!$F:$F,0)-1,MATCH("OID",CreepAbilities!$1:$1,0)-1)=0,0,"OrderId("&amp;CHAR(34)&amp;OFFSET(CreepAbilities!$A$1,MATCH($A157,CreepAbilities!$F:$F,0)-1,MATCH("OID",CreepAbilities!$1:$1,0)-1)&amp;CHAR(34)&amp;")")</f>
        <v>OrderId("slow")</v>
      </c>
      <c r="H157" s="186">
        <v>1</v>
      </c>
      <c r="I157" s="186" t="s">
        <v>735</v>
      </c>
      <c r="J157" s="186"/>
      <c r="K157" s="173" t="str">
        <f t="shared" ca="1" si="17"/>
        <v>SpellData.create(SID_FLAME_SHOCK,"烈焰震击",50,0,5,OrderId("slow"),1,ORDER_TYPE_TARGET);</v>
      </c>
      <c r="L157" s="173" t="str">
        <f t="shared" ca="1" si="16"/>
        <v>SpellData.create(SID_FLAME_SHOCK,"Flame Shock",50,0,5,OrderId("slow"),1,ORDER_TYPE_TARGET);</v>
      </c>
      <c r="M157" s="186" t="s">
        <v>1707</v>
      </c>
      <c r="N157" s="186"/>
      <c r="O157" s="186"/>
      <c r="P157" s="186"/>
      <c r="Q157" s="186"/>
      <c r="R157" s="186"/>
      <c r="S157" s="186"/>
      <c r="T157" s="186"/>
      <c r="U157" s="186"/>
      <c r="V157" s="186"/>
      <c r="W157" s="186"/>
      <c r="X157" s="186"/>
    </row>
    <row r="158" spans="1:24" s="187" customFormat="1">
      <c r="A158" s="185" t="s">
        <v>1633</v>
      </c>
      <c r="B158" s="174" t="str">
        <f t="shared" si="18"/>
        <v>SID_SMOLDER</v>
      </c>
      <c r="C158" s="174" t="str">
        <f ca="1">OFFSET(CreepAbilities!$A$1,MATCH($A158,CreepAbilities!$F:$F,0)-1,MATCH("技能",CreepAbilities!$1:$1,0)-1)</f>
        <v>阴燃</v>
      </c>
      <c r="D158" s="174">
        <f ca="1">OFFSET(CreepAbilities!$A$1,MATCH($A158,CreepAbilities!$F:$F,0)-1,MATCH("施",CreepAbilities!$1:$1,0)-1)</f>
        <v>1</v>
      </c>
      <c r="E158" s="174">
        <f ca="1">OFFSET(CreepAbilities!$A$1,MATCH($A158,CreepAbilities!$F:$F,0)-1,MATCH("耗",CreepAbilities!$1:$1,0)-1)</f>
        <v>0</v>
      </c>
      <c r="F158" s="174">
        <f ca="1">OFFSET(CreepAbilities!$A$1,MATCH($A158,CreepAbilities!$F:$F,0)-1,MATCH("冷",CreepAbilities!$1:$1,0)-1)</f>
        <v>0</v>
      </c>
      <c r="G158" s="174" t="str">
        <f ca="1">IF(OFFSET(CreepAbilities!$A$1,MATCH($A158,CreepAbilities!$F:$F,0)-1,MATCH("OID",CreepAbilities!$1:$1,0)-1)=0,0,"OrderId("&amp;CHAR(34)&amp;OFFSET(CreepAbilities!$A$1,MATCH($A158,CreepAbilities!$F:$F,0)-1,MATCH("OID",CreepAbilities!$1:$1,0)-1)&amp;CHAR(34)&amp;")")</f>
        <v>OrderId("howlofterror")</v>
      </c>
      <c r="H158" s="186">
        <v>1</v>
      </c>
      <c r="I158" s="180" t="s">
        <v>609</v>
      </c>
      <c r="J158" s="186"/>
      <c r="K158" s="173" t="str">
        <f t="shared" ca="1" si="17"/>
        <v>SpellData.create(SID_SMOLDER,"阴燃",0,1,0,OrderId("howlofterror"),1,ORDER_TYPE_IMMEDIATE);</v>
      </c>
      <c r="L158" s="173" t="str">
        <f t="shared" ca="1" si="16"/>
        <v>SpellData.create(SID_SMOLDER,"Smolder",0,1,0,OrderId("howlofterror"),1,ORDER_TYPE_IMMEDIATE);</v>
      </c>
      <c r="M158" s="186" t="s">
        <v>1707</v>
      </c>
      <c r="N158" s="186"/>
      <c r="O158" s="186"/>
      <c r="P158" s="186"/>
      <c r="Q158" s="186"/>
      <c r="R158" s="186"/>
      <c r="S158" s="186"/>
      <c r="T158" s="186"/>
      <c r="U158" s="186"/>
      <c r="V158" s="186"/>
      <c r="W158" s="186"/>
      <c r="X158" s="186"/>
    </row>
    <row r="159" spans="1:24" s="187" customFormat="1">
      <c r="A159" s="188" t="s">
        <v>1711</v>
      </c>
      <c r="B159" s="174" t="str">
        <f t="shared" si="18"/>
        <v>SID_SUMMON_PARASITICAL_ROACH</v>
      </c>
      <c r="C159" s="174" t="str">
        <f ca="1">OFFSET(CreepAbilities!$A$1,MATCH($A159,CreepAbilities!$F:$F,0)-1,MATCH("技能",CreepAbilities!$1:$1,0)-1)</f>
        <v>召唤寄生蟑螂</v>
      </c>
      <c r="D159" s="174">
        <f ca="1">OFFSET(CreepAbilities!$A$1,MATCH($A159,CreepAbilities!$F:$F,0)-1,MATCH("施",CreepAbilities!$1:$1,0)-1)</f>
        <v>0</v>
      </c>
      <c r="E159" s="174">
        <f ca="1">OFFSET(CreepAbilities!$A$1,MATCH($A159,CreepAbilities!$F:$F,0)-1,MATCH("耗",CreepAbilities!$1:$1,0)-1)</f>
        <v>0</v>
      </c>
      <c r="F159" s="174">
        <f ca="1">OFFSET(CreepAbilities!$A$1,MATCH($A159,CreepAbilities!$F:$F,0)-1,MATCH("冷",CreepAbilities!$1:$1,0)-1)</f>
        <v>15</v>
      </c>
      <c r="G159" s="174" t="str">
        <f ca="1">IF(OFFSET(CreepAbilities!$A$1,MATCH($A159,CreepAbilities!$F:$F,0)-1,MATCH("OID",CreepAbilities!$1:$1,0)-1)=0,0,"OrderId("&amp;CHAR(34)&amp;OFFSET(CreepAbilities!$A$1,MATCH($A159,CreepAbilities!$F:$F,0)-1,MATCH("OID",CreepAbilities!$1:$1,0)-1)&amp;CHAR(34)&amp;")")</f>
        <v>OrderId("howlofterror")</v>
      </c>
      <c r="H159" s="186">
        <v>1</v>
      </c>
      <c r="I159" s="180" t="s">
        <v>609</v>
      </c>
      <c r="J159" s="186"/>
      <c r="K159" s="173" t="str">
        <f t="shared" ref="K159" ca="1" si="19">IF(C159="N/A","//",CONCATENATE("SpellData.create(",B159,",",CHAR(34),C159,CHAR(34),",",E159,",",D159,",",F159,",",G159,",",H159,",",I159,")",J159,";"))</f>
        <v>SpellData.create(SID_SUMMON_PARASITICAL_ROACH,"召唤寄生蟑螂",0,0,15,OrderId("howlofterror"),1,ORDER_TYPE_IMMEDIATE);</v>
      </c>
      <c r="L159" s="173" t="str">
        <f t="shared" ref="L159" ca="1" si="20">IF(A159="N/A","//",CONCATENATE("SpellData.create(",B159,",",CHAR(34),A159,CHAR(34),",",E159,",",D159,",",F159,",",G159,",",H159,",",I159,")",J159,";"))</f>
        <v>SpellData.create(SID_SUMMON_PARASITICAL_ROACH,"Summon Parasitical Roach",0,0,15,OrderId("howlofterror"),1,ORDER_TYPE_IMMEDIATE);</v>
      </c>
      <c r="M159" s="186" t="s">
        <v>1707</v>
      </c>
      <c r="N159" s="186"/>
      <c r="O159" s="186"/>
      <c r="P159" s="186"/>
      <c r="Q159" s="186"/>
      <c r="R159" s="186"/>
      <c r="S159" s="186"/>
      <c r="T159" s="186"/>
      <c r="U159" s="186"/>
      <c r="V159" s="186"/>
      <c r="W159" s="186"/>
      <c r="X159" s="186"/>
    </row>
    <row r="160" spans="1:24" s="187" customFormat="1">
      <c r="A160" s="188" t="s">
        <v>1019</v>
      </c>
      <c r="B160" s="174" t="str">
        <f t="shared" si="18"/>
        <v>SID_PARASITE</v>
      </c>
      <c r="C160" s="174" t="str">
        <f ca="1">OFFSET(CreepAbilities!$A$1,MATCH($A160,CreepAbilities!$F:$F,0)-1,MATCH("技能",CreepAbilities!$1:$1,0)-1)</f>
        <v>寄生</v>
      </c>
      <c r="D160" s="174">
        <f ca="1">OFFSET(CreepAbilities!$A$1,MATCH($A160,CreepAbilities!$F:$F,0)-1,MATCH("施",CreepAbilities!$1:$1,0)-1)</f>
        <v>0</v>
      </c>
      <c r="E160" s="174">
        <f ca="1">OFFSET(CreepAbilities!$A$1,MATCH($A160,CreepAbilities!$F:$F,0)-1,MATCH("耗",CreepAbilities!$1:$1,0)-1)</f>
        <v>0</v>
      </c>
      <c r="F160" s="174">
        <f ca="1">OFFSET(CreepAbilities!$A$1,MATCH($A160,CreepAbilities!$F:$F,0)-1,MATCH("冷",CreepAbilities!$1:$1,0)-1)</f>
        <v>0</v>
      </c>
      <c r="G160" s="174">
        <f ca="1">IF(OFFSET(CreepAbilities!$A$1,MATCH($A160,CreepAbilities!$F:$F,0)-1,MATCH("OID",CreepAbilities!$1:$1,0)-1)=0,0,"OrderId("&amp;CHAR(34)&amp;OFFSET(CreepAbilities!$A$1,MATCH($A160,CreepAbilities!$F:$F,0)-1,MATCH("OID",CreepAbilities!$1:$1,0)-1)&amp;CHAR(34)&amp;")")</f>
        <v>0</v>
      </c>
      <c r="H160" s="186">
        <v>1</v>
      </c>
      <c r="I160" s="186" t="s">
        <v>735</v>
      </c>
      <c r="J160" s="186"/>
      <c r="K160" s="173" t="str">
        <f t="shared" ca="1" si="17"/>
        <v>SpellData.create(SID_PARASITE,"寄生",0,0,0,0,1,ORDER_TYPE_TARGET);</v>
      </c>
      <c r="L160" s="173" t="str">
        <f t="shared" ca="1" si="16"/>
        <v>SpellData.create(SID_PARASITE,"Parasite",0,0,0,0,1,ORDER_TYPE_TARGET);</v>
      </c>
      <c r="M160" s="186" t="s">
        <v>1707</v>
      </c>
      <c r="N160" s="186"/>
      <c r="O160" s="186"/>
      <c r="P160" s="186"/>
      <c r="Q160" s="186"/>
      <c r="R160" s="186"/>
      <c r="S160" s="186"/>
      <c r="T160" s="186"/>
      <c r="U160" s="186"/>
      <c r="V160" s="186"/>
      <c r="W160" s="186"/>
      <c r="X160" s="186"/>
    </row>
    <row r="161" spans="1:24" s="187" customFormat="1">
      <c r="A161" s="188" t="s">
        <v>1021</v>
      </c>
      <c r="B161" s="174" t="str">
        <f t="shared" si="18"/>
        <v>SID_GNAW</v>
      </c>
      <c r="C161" s="174" t="str">
        <f ca="1">OFFSET(CreepAbilities!$A$1,MATCH($A161,CreepAbilities!$F:$F,0)-1,MATCH("技能",CreepAbilities!$1:$1,0)-1)</f>
        <v>啃食</v>
      </c>
      <c r="D161" s="174">
        <f ca="1">OFFSET(CreepAbilities!$A$1,MATCH($A161,CreepAbilities!$F:$F,0)-1,MATCH("施",CreepAbilities!$1:$1,0)-1)</f>
        <v>5</v>
      </c>
      <c r="E161" s="174">
        <f ca="1">OFFSET(CreepAbilities!$A$1,MATCH($A161,CreepAbilities!$F:$F,0)-1,MATCH("耗",CreepAbilities!$1:$1,0)-1)</f>
        <v>0</v>
      </c>
      <c r="F161" s="174">
        <f ca="1">OFFSET(CreepAbilities!$A$1,MATCH($A161,CreepAbilities!$F:$F,0)-1,MATCH("冷",CreepAbilities!$1:$1,0)-1)</f>
        <v>0</v>
      </c>
      <c r="G161" s="174" t="str">
        <f ca="1">IF(OFFSET(CreepAbilities!$A$1,MATCH($A161,CreepAbilities!$F:$F,0)-1,MATCH("OID",CreepAbilities!$1:$1,0)-1)=0,0,"OrderId("&amp;CHAR(34)&amp;OFFSET(CreepAbilities!$A$1,MATCH($A161,CreepAbilities!$F:$F,0)-1,MATCH("OID",CreepAbilities!$1:$1,0)-1)&amp;CHAR(34)&amp;")")</f>
        <v>OrderId("sleep")</v>
      </c>
      <c r="H161" s="186">
        <v>2</v>
      </c>
      <c r="I161" s="186" t="s">
        <v>735</v>
      </c>
      <c r="J161" s="186"/>
      <c r="K161" s="173" t="str">
        <f t="shared" ca="1" si="17"/>
        <v>SpellData.create(SID_GNAW,"啃食",0,5,0,OrderId("sleep"),2,ORDER_TYPE_TARGET);</v>
      </c>
      <c r="L161" s="173" t="str">
        <f t="shared" ca="1" si="16"/>
        <v>SpellData.create(SID_GNAW,"Gnaw",0,5,0,OrderId("sleep"),2,ORDER_TYPE_TARGET);</v>
      </c>
      <c r="M161" s="186" t="s">
        <v>1707</v>
      </c>
      <c r="N161" s="186"/>
      <c r="O161" s="186"/>
      <c r="P161" s="186"/>
      <c r="Q161" s="186"/>
      <c r="R161" s="186"/>
      <c r="S161" s="186"/>
      <c r="T161" s="186"/>
      <c r="U161" s="186"/>
      <c r="V161" s="186"/>
      <c r="W161" s="186"/>
      <c r="X161" s="186"/>
    </row>
    <row r="162" spans="1:24" s="187" customFormat="1">
      <c r="A162" s="188" t="s">
        <v>1714</v>
      </c>
      <c r="B162" s="174" t="str">
        <f t="shared" si="18"/>
        <v>SID_CURSE_OF_THE_DEAD</v>
      </c>
      <c r="C162" s="174" t="str">
        <f ca="1">OFFSET(CreepAbilities!$A$1,MATCH($A162,CreepAbilities!$F:$F,0)-1,MATCH("技能",CreepAbilities!$1:$1,0)-1)</f>
        <v>亡者诅咒</v>
      </c>
      <c r="D162" s="174">
        <f ca="1">OFFSET(CreepAbilities!$A$1,MATCH($A162,CreepAbilities!$F:$F,0)-1,MATCH("施",CreepAbilities!$1:$1,0)-1)</f>
        <v>0</v>
      </c>
      <c r="E162" s="174">
        <f ca="1">OFFSET(CreepAbilities!$A$1,MATCH($A162,CreepAbilities!$F:$F,0)-1,MATCH("耗",CreepAbilities!$1:$1,0)-1)</f>
        <v>0</v>
      </c>
      <c r="F162" s="174">
        <f ca="1">OFFSET(CreepAbilities!$A$1,MATCH($A162,CreepAbilities!$F:$F,0)-1,MATCH("冷",CreepAbilities!$1:$1,0)-1)</f>
        <v>15</v>
      </c>
      <c r="G162" s="174" t="str">
        <f ca="1">IF(OFFSET(CreepAbilities!$A$1,MATCH($A162,CreepAbilities!$F:$F,0)-1,MATCH("OID",CreepAbilities!$1:$1,0)-1)=0,0,"OrderId("&amp;CHAR(34)&amp;OFFSET(CreepAbilities!$A$1,MATCH($A162,CreepAbilities!$F:$F,0)-1,MATCH("OID",CreepAbilities!$1:$1,0)-1)&amp;CHAR(34)&amp;")")</f>
        <v>OrderId("sleep")</v>
      </c>
      <c r="H162" s="186">
        <v>1</v>
      </c>
      <c r="I162" s="186" t="s">
        <v>735</v>
      </c>
      <c r="J162" s="186"/>
      <c r="K162" s="173" t="str">
        <f t="shared" ca="1" si="17"/>
        <v>SpellData.create(SID_CURSE_OF_THE_DEAD,"亡者诅咒",0,0,15,OrderId("sleep"),1,ORDER_TYPE_TARGET);</v>
      </c>
      <c r="L162" s="173" t="str">
        <f t="shared" ref="L162:L163" ca="1" si="21">IF(A162="N/A","//",CONCATENATE("SpellData.create(",B162,",",CHAR(34),A162,CHAR(34),",",E162,",",D162,",",F162,",",G162,",",H162,",",I162,")",J162,";"))</f>
        <v>SpellData.create(SID_CURSE_OF_THE_DEAD,"Curse of the Dead",0,0,15,OrderId("sleep"),1,ORDER_TYPE_TARGET);</v>
      </c>
      <c r="M162" s="186" t="s">
        <v>1707</v>
      </c>
      <c r="N162" s="186"/>
      <c r="O162" s="186"/>
      <c r="P162" s="186"/>
      <c r="Q162" s="186"/>
      <c r="R162" s="186"/>
      <c r="S162" s="186"/>
      <c r="T162" s="186"/>
      <c r="U162" s="186"/>
      <c r="V162" s="186"/>
      <c r="W162" s="186"/>
      <c r="X162" s="186"/>
    </row>
    <row r="163" spans="1:24" s="187" customFormat="1">
      <c r="A163" s="188" t="s">
        <v>1718</v>
      </c>
      <c r="B163" s="174" t="str">
        <f t="shared" si="18"/>
        <v>SID_DEATH_ORB</v>
      </c>
      <c r="C163" s="174" t="str">
        <f ca="1">OFFSET(CreepAbilities!$A$1,MATCH($A163,CreepAbilities!$F:$F,0)-1,MATCH("技能",CreepAbilities!$1:$1,0)-1)</f>
        <v>死亡法球</v>
      </c>
      <c r="D163" s="174">
        <f ca="1">OFFSET(CreepAbilities!$A$1,MATCH($A163,CreepAbilities!$F:$F,0)-1,MATCH("施",CreepAbilities!$1:$1,0)-1)</f>
        <v>3</v>
      </c>
      <c r="E163" s="174">
        <f ca="1">OFFSET(CreepAbilities!$A$1,MATCH($A163,CreepAbilities!$F:$F,0)-1,MATCH("耗",CreepAbilities!$1:$1,0)-1)</f>
        <v>0</v>
      </c>
      <c r="F163" s="174">
        <f ca="1">OFFSET(CreepAbilities!$A$1,MATCH($A163,CreepAbilities!$F:$F,0)-1,MATCH("冷",CreepAbilities!$1:$1,0)-1)</f>
        <v>0</v>
      </c>
      <c r="G163" s="174" t="str">
        <f ca="1">IF(OFFSET(CreepAbilities!$A$1,MATCH($A163,CreepAbilities!$F:$F,0)-1,MATCH("OID",CreepAbilities!$1:$1,0)-1)=0,0,"OrderId("&amp;CHAR(34)&amp;OFFSET(CreepAbilities!$A$1,MATCH($A163,CreepAbilities!$F:$F,0)-1,MATCH("OID",CreepAbilities!$1:$1,0)-1)&amp;CHAR(34)&amp;")")</f>
        <v>OrderId("slow")</v>
      </c>
      <c r="H163" s="186">
        <v>1</v>
      </c>
      <c r="I163" s="186" t="s">
        <v>735</v>
      </c>
      <c r="J163" s="186"/>
      <c r="K163" s="173" t="str">
        <f t="shared" ca="1" si="17"/>
        <v>SpellData.create(SID_DEATH_ORB,"死亡法球",0,3,0,OrderId("slow"),1,ORDER_TYPE_TARGET);</v>
      </c>
      <c r="L163" s="173" t="str">
        <f t="shared" ca="1" si="21"/>
        <v>SpellData.create(SID_DEATH_ORB,"Death Orb",0,3,0,OrderId("slow"),1,ORDER_TYPE_TARGET);</v>
      </c>
      <c r="M163" s="186" t="s">
        <v>1707</v>
      </c>
      <c r="N163" s="186"/>
      <c r="O163" s="186"/>
      <c r="P163" s="186"/>
      <c r="Q163" s="186"/>
      <c r="R163" s="186"/>
      <c r="S163" s="186"/>
      <c r="T163" s="186"/>
      <c r="U163" s="186"/>
      <c r="V163" s="186"/>
      <c r="W163" s="186"/>
      <c r="X163" s="186"/>
    </row>
    <row r="164" spans="1:24" s="187" customFormat="1">
      <c r="A164" s="188" t="s">
        <v>1024</v>
      </c>
      <c r="B164" s="174" t="str">
        <f t="shared" si="18"/>
        <v>SID_MANA_TAP</v>
      </c>
      <c r="C164" s="174" t="str">
        <f ca="1">OFFSET(CreepAbilities!$A$1,MATCH($A164,CreepAbilities!$F:$F,0)-1,MATCH("技能",CreepAbilities!$1:$1,0)-1)</f>
        <v>法力流失</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13</v>
      </c>
      <c r="G164" s="174" t="str">
        <f ca="1">IF(OFFSET(CreepAbilities!$A$1,MATCH($A164,CreepAbilities!$F:$F,0)-1,MATCH("OID",CreepAbilities!$1:$1,0)-1)=0,0,"OrderId("&amp;CHAR(34)&amp;OFFSET(CreepAbilities!$A$1,MATCH($A164,CreepAbilities!$F:$F,0)-1,MATCH("OID",CreepAbilities!$1:$1,0)-1)&amp;CHAR(34)&amp;")")</f>
        <v>OrderId("sleep")</v>
      </c>
      <c r="H164" s="186">
        <v>1</v>
      </c>
      <c r="I164" s="186" t="s">
        <v>781</v>
      </c>
      <c r="J164" s="186"/>
      <c r="K164" s="173" t="str">
        <f t="shared" ca="1" si="17"/>
        <v>SpellData.create(SID_MANA_TAP,"法力流失",0,0,13,OrderId("sleep"),1,ORDER_TYPE_POINT);</v>
      </c>
      <c r="L164" s="173" t="str">
        <f t="shared" ca="1" si="16"/>
        <v>SpellData.create(SID_MANA_TAP,"Mana Tap",0,0,13,OrderId("sleep"),1,ORDER_TYPE_POINT);</v>
      </c>
      <c r="M164" s="186" t="s">
        <v>1707</v>
      </c>
      <c r="N164" s="186"/>
      <c r="O164" s="186"/>
      <c r="P164" s="186"/>
      <c r="Q164" s="186"/>
      <c r="R164" s="186"/>
      <c r="S164" s="186"/>
      <c r="T164" s="186"/>
      <c r="U164" s="186"/>
      <c r="V164" s="186"/>
      <c r="W164" s="186"/>
      <c r="X164" s="186"/>
    </row>
    <row r="165" spans="1:24" s="187" customFormat="1">
      <c r="A165" s="188" t="s">
        <v>1026</v>
      </c>
      <c r="B165" s="174" t="str">
        <f t="shared" si="18"/>
        <v>SID_FROST_GRAVE</v>
      </c>
      <c r="C165" s="174" t="str">
        <f ca="1">OFFSET(CreepAbilities!$A$1,MATCH($A165,CreepAbilities!$F:$F,0)-1,MATCH("技能",CreepAbilities!$1:$1,0)-1)</f>
        <v>冰冻坟墓</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8</v>
      </c>
      <c r="G165" s="174" t="str">
        <f ca="1">IF(OFFSET(CreepAbilities!$A$1,MATCH($A165,CreepAbilities!$F:$F,0)-1,MATCH("OID",CreepAbilities!$1:$1,0)-1)=0,0,"OrderId("&amp;CHAR(34)&amp;OFFSET(CreepAbilities!$A$1,MATCH($A165,CreepAbilities!$F:$F,0)-1,MATCH("OID",CreepAbilities!$1:$1,0)-1)&amp;CHAR(34)&amp;")")</f>
        <v>OrderId("sleep")</v>
      </c>
      <c r="H165" s="186">
        <v>1</v>
      </c>
      <c r="I165" s="186" t="s">
        <v>735</v>
      </c>
      <c r="J165" s="186"/>
      <c r="K165" s="173" t="str">
        <f t="shared" ca="1" si="17"/>
        <v>SpellData.create(SID_FROST_GRAVE,"冰冻坟墓",0,0,8,OrderId("sleep"),1,ORDER_TYPE_TARGET);</v>
      </c>
      <c r="L165" s="173" t="str">
        <f t="shared" ca="1" si="16"/>
        <v>SpellData.create(SID_FROST_GRAVE,"Frost Grave",0,0,8,OrderId("sleep"),1,ORDER_TYPE_TARGET);</v>
      </c>
      <c r="M165" s="186" t="s">
        <v>1707</v>
      </c>
      <c r="N165" s="186"/>
      <c r="O165" s="186"/>
      <c r="P165" s="186"/>
      <c r="Q165" s="186"/>
      <c r="R165" s="186"/>
      <c r="S165" s="186"/>
      <c r="T165" s="186"/>
      <c r="U165" s="186"/>
      <c r="V165" s="186"/>
      <c r="W165" s="186"/>
      <c r="X165" s="186"/>
    </row>
    <row r="166" spans="1:24" s="187" customFormat="1">
      <c r="A166" s="188" t="s">
        <v>1027</v>
      </c>
      <c r="B166" s="174" t="str">
        <f t="shared" si="18"/>
        <v>SID_DEATH_AND_DECAY</v>
      </c>
      <c r="C166" s="174" t="str">
        <f ca="1">OFFSET(CreepAbilities!$A$1,MATCH($A166,CreepAbilities!$F:$F,0)-1,MATCH("技能",CreepAbilities!$1:$1,0)-1)</f>
        <v>死亡凋零</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8</v>
      </c>
      <c r="G166" s="174" t="str">
        <f ca="1">IF(OFFSET(CreepAbilities!$A$1,MATCH($A166,CreepAbilities!$F:$F,0)-1,MATCH("OID",CreepAbilities!$1:$1,0)-1)=0,0,"OrderId("&amp;CHAR(34)&amp;OFFSET(CreepAbilities!$A$1,MATCH($A166,CreepAbilities!$F:$F,0)-1,MATCH("OID",CreepAbilities!$1:$1,0)-1)&amp;CHAR(34)&amp;")")</f>
        <v>OrderId("heal")</v>
      </c>
      <c r="H166" s="186">
        <v>1</v>
      </c>
      <c r="I166" s="186" t="s">
        <v>735</v>
      </c>
      <c r="J166" s="186"/>
      <c r="K166" s="173" t="str">
        <f t="shared" ca="1" si="17"/>
        <v>SpellData.create(SID_DEATH_AND_DECAY,"死亡凋零",0,0,8,OrderId("heal"),1,ORDER_TYPE_TARGET);</v>
      </c>
      <c r="L166" s="173" t="str">
        <f t="shared" ca="1" si="16"/>
        <v>SpellData.create(SID_DEATH_AND_DECAY,"Death and Decay",0,0,8,OrderId("heal"),1,ORDER_TYPE_TARGET);</v>
      </c>
      <c r="M166" s="186" t="s">
        <v>1707</v>
      </c>
      <c r="N166" s="186"/>
      <c r="O166" s="186"/>
      <c r="P166" s="186"/>
      <c r="Q166" s="186"/>
      <c r="R166" s="186"/>
      <c r="S166" s="186"/>
      <c r="T166" s="186"/>
      <c r="U166" s="186"/>
      <c r="V166" s="186"/>
      <c r="W166" s="186"/>
      <c r="X166" s="186"/>
    </row>
    <row r="167" spans="1:24" s="187" customFormat="1">
      <c r="A167" s="189" t="s">
        <v>310</v>
      </c>
      <c r="B167" s="174" t="str">
        <f t="shared" si="18"/>
        <v>SID_NETHER_BOLT</v>
      </c>
      <c r="C167" s="174" t="str">
        <f ca="1">OFFSET(CreepAbilities!$A$1,MATCH($A167,CreepAbilities!$F:$F,0)-1,MATCH("技能",CreepAbilities!$1:$1,0)-1)</f>
        <v>虚空之箭</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7</v>
      </c>
      <c r="G167" s="174" t="str">
        <f ca="1">IF(OFFSET(CreepAbilities!$A$1,MATCH($A167,CreepAbilities!$F:$F,0)-1,MATCH("OID",CreepAbilities!$1:$1,0)-1)=0,0,"OrderId("&amp;CHAR(34)&amp;OFFSET(CreepAbilities!$A$1,MATCH($A167,CreepAbilities!$F:$F,0)-1,MATCH("OID",CreepAbilities!$1:$1,0)-1)&amp;CHAR(34)&amp;")")</f>
        <v>OrderId("sleep")</v>
      </c>
      <c r="H167" s="186">
        <v>1</v>
      </c>
      <c r="I167" s="186" t="s">
        <v>735</v>
      </c>
      <c r="J167" s="186"/>
      <c r="K167" s="173" t="str">
        <f t="shared" ca="1" si="17"/>
        <v>SpellData.create(SID_NETHER_BOLT,"虚空之箭",0,0,7,OrderId("sleep"),1,ORDER_TYPE_TARGET);</v>
      </c>
      <c r="L167" s="173" t="str">
        <f t="shared" ca="1" si="16"/>
        <v>SpellData.create(SID_NETHER_BOLT,"Nether Bolt",0,0,7,OrderId("sleep"),1,ORDER_TYPE_TARGET);</v>
      </c>
      <c r="M167" s="186" t="s">
        <v>1707</v>
      </c>
      <c r="N167" s="186"/>
      <c r="O167" s="186"/>
      <c r="P167" s="186"/>
      <c r="Q167" s="186"/>
      <c r="R167" s="186"/>
      <c r="S167" s="186"/>
      <c r="T167" s="186"/>
      <c r="U167" s="186"/>
      <c r="V167" s="186"/>
      <c r="W167" s="186"/>
      <c r="X167" s="186"/>
    </row>
    <row r="168" spans="1:24" s="187" customFormat="1">
      <c r="A168" s="189" t="s">
        <v>311</v>
      </c>
      <c r="B168" s="174" t="str">
        <f t="shared" si="18"/>
        <v>SID_SHADOW_SHIFT</v>
      </c>
      <c r="C168" s="174" t="str">
        <f ca="1">OFFSET(CreepAbilities!$A$1,MATCH($A168,CreepAbilities!$F:$F,0)-1,MATCH("技能",CreepAbilities!$1:$1,0)-1)</f>
        <v>暗影转换</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5</v>
      </c>
      <c r="G168" s="174" t="str">
        <f ca="1">IF(OFFSET(CreepAbilities!$A$1,MATCH($A168,CreepAbilities!$F:$F,0)-1,MATCH("OID",CreepAbilities!$1:$1,0)-1)=0,0,"OrderId("&amp;CHAR(34)&amp;OFFSET(CreepAbilities!$A$1,MATCH($A168,CreepAbilities!$F:$F,0)-1,MATCH("OID",CreepAbilities!$1:$1,0)-1)&amp;CHAR(34)&amp;")")</f>
        <v>OrderId("slow")</v>
      </c>
      <c r="H168" s="186">
        <v>1</v>
      </c>
      <c r="I168" s="186" t="s">
        <v>735</v>
      </c>
      <c r="J168" s="186"/>
      <c r="K168" s="173" t="str">
        <f t="shared" ca="1" si="17"/>
        <v>SpellData.create(SID_SHADOW_SHIFT,"暗影转换",0,0,5,OrderId("slow"),1,ORDER_TYPE_TARGET);</v>
      </c>
      <c r="L168" s="173" t="str">
        <f t="shared" ca="1" si="16"/>
        <v>SpellData.create(SID_SHADOW_SHIFT,"Shadow Shift",0,0,5,OrderId("slow"),1,ORDER_TYPE_TARGET);</v>
      </c>
      <c r="M168" s="186" t="s">
        <v>1707</v>
      </c>
      <c r="N168" s="186"/>
      <c r="O168" s="186"/>
      <c r="P168" s="186"/>
      <c r="Q168" s="186"/>
      <c r="R168" s="186"/>
      <c r="S168" s="186"/>
      <c r="T168" s="186"/>
      <c r="U168" s="186"/>
      <c r="V168" s="186"/>
      <c r="W168" s="186"/>
      <c r="X168" s="186"/>
    </row>
    <row r="169" spans="1:24" s="187" customFormat="1">
      <c r="A169" s="189" t="s">
        <v>313</v>
      </c>
      <c r="B169" s="174" t="str">
        <f t="shared" si="18"/>
        <v>SID_MANA_BURN</v>
      </c>
      <c r="C169" s="174" t="str">
        <f ca="1">OFFSET(CreepAbilities!$A$1,MATCH($A169,CreepAbilities!$F:$F,0)-1,MATCH("技能",CreepAbilities!$1:$1,0)-1)</f>
        <v>法力燃烧</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7</v>
      </c>
      <c r="G169" s="174" t="str">
        <f ca="1">IF(OFFSET(CreepAbilities!$A$1,MATCH($A169,CreepAbilities!$F:$F,0)-1,MATCH("OID",CreepAbilities!$1:$1,0)-1)=0,0,"OrderId("&amp;CHAR(34)&amp;OFFSET(CreepAbilities!$A$1,MATCH($A169,CreepAbilities!$F:$F,0)-1,MATCH("OID",CreepAbilities!$1:$1,0)-1)&amp;CHAR(34)&amp;")")</f>
        <v>OrderId("sleep")</v>
      </c>
      <c r="H169" s="186">
        <v>1</v>
      </c>
      <c r="I169" s="186" t="s">
        <v>735</v>
      </c>
      <c r="J169" s="186"/>
      <c r="K169" s="173" t="str">
        <f t="shared" ca="1" si="17"/>
        <v>SpellData.create(SID_MANA_BURN,"法力燃烧",0,0,7,OrderId("sleep"),1,ORDER_TYPE_TARGET);</v>
      </c>
      <c r="L169" s="173" t="str">
        <f t="shared" ca="1" si="16"/>
        <v>SpellData.create(SID_MANA_BURN,"Mana Burn",0,0,7,OrderId("sleep"),1,ORDER_TYPE_TARGET);</v>
      </c>
      <c r="M169" s="186" t="s">
        <v>1707</v>
      </c>
      <c r="N169" s="186"/>
      <c r="O169" s="186"/>
      <c r="P169" s="186"/>
      <c r="Q169" s="186"/>
      <c r="R169" s="186"/>
      <c r="S169" s="186"/>
      <c r="T169" s="186"/>
      <c r="U169" s="186"/>
      <c r="V169" s="186"/>
      <c r="W169" s="186"/>
      <c r="X169" s="186"/>
    </row>
    <row r="170" spans="1:24" s="187" customFormat="1">
      <c r="A170" s="189" t="s">
        <v>315</v>
      </c>
      <c r="B170" s="174" t="str">
        <f t="shared" si="18"/>
        <v>SID_SHADOW_SPIKE</v>
      </c>
      <c r="C170" s="174" t="str">
        <f ca="1">OFFSET(CreepAbilities!$A$1,MATCH($A170,CreepAbilities!$F:$F,0)-1,MATCH("技能",CreepAbilities!$1:$1,0)-1)</f>
        <v>暗影之刺</v>
      </c>
      <c r="D170" s="174">
        <f ca="1">OFFSET(CreepAbilities!$A$1,MATCH($A170,CreepAbilities!$F:$F,0)-1,MATCH("施",CreepAbilities!$1:$1,0)-1)</f>
        <v>0</v>
      </c>
      <c r="E170" s="174">
        <f ca="1">OFFSET(CreepAbilities!$A$1,MATCH($A170,CreepAbilities!$F:$F,0)-1,MATCH("耗",CreepAbilities!$1:$1,0)-1)</f>
        <v>0</v>
      </c>
      <c r="F170" s="174">
        <f ca="1">OFFSET(CreepAbilities!$A$1,MATCH($A170,CreepAbilities!$F:$F,0)-1,MATCH("冷",CreepAbilities!$1:$1,0)-1)</f>
        <v>5</v>
      </c>
      <c r="G170" s="174" t="str">
        <f ca="1">IF(OFFSET(CreepAbilities!$A$1,MATCH($A170,CreepAbilities!$F:$F,0)-1,MATCH("OID",CreepAbilities!$1:$1,0)-1)=0,0,"OrderId("&amp;CHAR(34)&amp;OFFSET(CreepAbilities!$A$1,MATCH($A170,CreepAbilities!$F:$F,0)-1,MATCH("OID",CreepAbilities!$1:$1,0)-1)&amp;CHAR(34)&amp;")")</f>
        <v>OrderId("sleep")</v>
      </c>
      <c r="H170" s="186">
        <v>1</v>
      </c>
      <c r="I170" s="186" t="s">
        <v>735</v>
      </c>
      <c r="J170" s="186"/>
      <c r="K170" s="173" t="str">
        <f t="shared" ca="1" si="17"/>
        <v>SpellData.create(SID_SHADOW_SPIKE,"暗影之刺",0,0,5,OrderId("sleep"),1,ORDER_TYPE_TARGET);</v>
      </c>
      <c r="L170" s="173" t="str">
        <f t="shared" ca="1" si="16"/>
        <v>SpellData.create(SID_SHADOW_SPIKE,"Shadow Spike",0,0,5,OrderId("sleep"),1,ORDER_TYPE_TARGET);</v>
      </c>
      <c r="M170" s="186" t="s">
        <v>1707</v>
      </c>
      <c r="N170" s="186"/>
      <c r="O170" s="186"/>
      <c r="P170" s="186"/>
      <c r="Q170" s="186"/>
      <c r="R170" s="186"/>
      <c r="S170" s="186"/>
      <c r="T170" s="186"/>
      <c r="U170" s="186"/>
      <c r="V170" s="186"/>
      <c r="W170" s="186"/>
      <c r="X170" s="186"/>
    </row>
    <row r="171" spans="1:24" s="187" customFormat="1">
      <c r="A171" s="189" t="s">
        <v>317</v>
      </c>
      <c r="B171" s="174" t="str">
        <f t="shared" si="18"/>
        <v>SID_MARK_OF_AGONY</v>
      </c>
      <c r="C171" s="174" t="str">
        <f ca="1">OFFSET(CreepAbilities!$A$1,MATCH($A171,CreepAbilities!$F:$F,0)-1,MATCH("技能",CreepAbilities!$1:$1,0)-1)</f>
        <v>痛苦标记</v>
      </c>
      <c r="D171" s="174">
        <f ca="1">OFFSET(CreepAbilities!$A$1,MATCH($A171,CreepAbilities!$F:$F,0)-1,MATCH("施",CreepAbilities!$1:$1,0)-1)</f>
        <v>0</v>
      </c>
      <c r="E171" s="174">
        <f ca="1">OFFSET(CreepAbilities!$A$1,MATCH($A171,CreepAbilities!$F:$F,0)-1,MATCH("耗",CreepAbilities!$1:$1,0)-1)</f>
        <v>0</v>
      </c>
      <c r="F171" s="174">
        <f ca="1">OFFSET(CreepAbilities!$A$1,MATCH($A171,CreepAbilities!$F:$F,0)-1,MATCH("冷",CreepAbilities!$1:$1,0)-1)</f>
        <v>15</v>
      </c>
      <c r="G171" s="174" t="str">
        <f ca="1">IF(OFFSET(CreepAbilities!$A$1,MATCH($A171,CreepAbilities!$F:$F,0)-1,MATCH("OID",CreepAbilities!$1:$1,0)-1)=0,0,"OrderId("&amp;CHAR(34)&amp;OFFSET(CreepAbilities!$A$1,MATCH($A171,CreepAbilities!$F:$F,0)-1,MATCH("OID",CreepAbilities!$1:$1,0)-1)&amp;CHAR(34)&amp;")")</f>
        <v>OrderId("slow")</v>
      </c>
      <c r="H171" s="186">
        <v>1</v>
      </c>
      <c r="I171" s="186" t="s">
        <v>735</v>
      </c>
      <c r="J171" s="186"/>
      <c r="K171" s="173" t="str">
        <f t="shared" ca="1" si="17"/>
        <v>SpellData.create(SID_MARK_OF_AGONY,"痛苦标记",0,0,15,OrderId("slow"),1,ORDER_TYPE_TARGET);</v>
      </c>
      <c r="L171" s="173" t="str">
        <f t="shared" ca="1" si="16"/>
        <v>SpellData.create(SID_MARK_OF_AGONY,"Mark of Agony",0,0,15,OrderId("slow"),1,ORDER_TYPE_TARGET);</v>
      </c>
      <c r="M171" s="186" t="s">
        <v>1707</v>
      </c>
      <c r="N171" s="186"/>
      <c r="O171" s="186"/>
      <c r="P171" s="186"/>
      <c r="Q171" s="186"/>
      <c r="R171" s="186"/>
      <c r="S171" s="186"/>
      <c r="T171" s="186"/>
      <c r="U171" s="186"/>
      <c r="V171" s="186"/>
      <c r="W171" s="186"/>
      <c r="X171" s="186"/>
    </row>
    <row r="172" spans="1:24" s="187" customFormat="1">
      <c r="A172" s="189" t="s">
        <v>321</v>
      </c>
      <c r="B172" s="174" t="str">
        <f t="shared" si="18"/>
        <v>SID_NETHER_IMPLOSION</v>
      </c>
      <c r="C172" s="174" t="str">
        <f ca="1">OFFSET(CreepAbilities!$A$1,MATCH($A172,CreepAbilities!$F:$F,0)-1,MATCH("技能",CreepAbilities!$1:$1,0)-1)</f>
        <v>虚空爆裂</v>
      </c>
      <c r="D172" s="174">
        <f ca="1">OFFSET(CreepAbilities!$A$1,MATCH($A172,CreepAbilities!$F:$F,0)-1,MATCH("施",CreepAbilities!$1:$1,0)-1)</f>
        <v>4</v>
      </c>
      <c r="E172" s="174">
        <f ca="1">OFFSET(CreepAbilities!$A$1,MATCH($A172,CreepAbilities!$F:$F,0)-1,MATCH("耗",CreepAbilities!$1:$1,0)-1)</f>
        <v>0</v>
      </c>
      <c r="F172" s="174">
        <f ca="1">OFFSET(CreepAbilities!$A$1,MATCH($A172,CreepAbilities!$F:$F,0)-1,MATCH("冷",CreepAbilities!$1:$1,0)-1)</f>
        <v>12</v>
      </c>
      <c r="G172" s="174" t="str">
        <f ca="1">IF(OFFSET(CreepAbilities!$A$1,MATCH($A172,CreepAbilities!$F:$F,0)-1,MATCH("OID",CreepAbilities!$1:$1,0)-1)=0,0,"OrderId("&amp;CHAR(34)&amp;OFFSET(CreepAbilities!$A$1,MATCH($A172,CreepAbilities!$F:$F,0)-1,MATCH("OID",CreepAbilities!$1:$1,0)-1)&amp;CHAR(34)&amp;")")</f>
        <v>OrderId("roar")</v>
      </c>
      <c r="H172" s="186">
        <v>1</v>
      </c>
      <c r="I172" s="180" t="s">
        <v>609</v>
      </c>
      <c r="J172" s="186"/>
      <c r="K172" s="173" t="str">
        <f t="shared" ca="1" si="17"/>
        <v>SpellData.create(SID_NETHER_IMPLOSION,"虚空爆裂",0,4,12,OrderId("roar"),1,ORDER_TYPE_IMMEDIATE);</v>
      </c>
      <c r="L172" s="173" t="str">
        <f t="shared" ca="1" si="16"/>
        <v>SpellData.create(SID_NETHER_IMPLOSION,"Nether Implosion",0,4,12,OrderId("roar"),1,ORDER_TYPE_IMMEDIATE);</v>
      </c>
      <c r="M172" s="186" t="s">
        <v>1707</v>
      </c>
      <c r="N172" s="186"/>
      <c r="O172" s="186"/>
      <c r="P172" s="186"/>
      <c r="Q172" s="186"/>
      <c r="R172" s="186"/>
      <c r="S172" s="186"/>
      <c r="T172" s="186"/>
      <c r="U172" s="186"/>
      <c r="V172" s="186"/>
      <c r="W172" s="186"/>
      <c r="X172" s="186"/>
    </row>
    <row r="173" spans="1:24" s="187" customFormat="1">
      <c r="A173" s="189" t="s">
        <v>322</v>
      </c>
      <c r="B173" s="174" t="str">
        <f t="shared" si="18"/>
        <v>SID_NETHER_BREATH</v>
      </c>
      <c r="C173" s="174" t="str">
        <f ca="1">OFFSET(CreepAbilities!$A$1,MATCH($A173,CreepAbilities!$F:$F,0)-1,MATCH("技能",CreepAbilities!$1:$1,0)-1)</f>
        <v>虚空吐息</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9</v>
      </c>
      <c r="G173" s="174" t="str">
        <f ca="1">IF(OFFSET(CreepAbilities!$A$1,MATCH($A173,CreepAbilities!$F:$F,0)-1,MATCH("OID",CreepAbilities!$1:$1,0)-1)=0,0,"OrderId("&amp;CHAR(34)&amp;OFFSET(CreepAbilities!$A$1,MATCH($A173,CreepAbilities!$F:$F,0)-1,MATCH("OID",CreepAbilities!$1:$1,0)-1)&amp;CHAR(34)&amp;")")</f>
        <v>OrderId("howlofterror")</v>
      </c>
      <c r="H173" s="186">
        <v>1</v>
      </c>
      <c r="I173" s="180" t="s">
        <v>609</v>
      </c>
      <c r="J173" s="186"/>
      <c r="K173" s="173" t="str">
        <f t="shared" ca="1" si="17"/>
        <v>SpellData.create(SID_NETHER_BREATH,"虚空吐息",0,0,9,OrderId("howlofterror"),1,ORDER_TYPE_IMMEDIATE);</v>
      </c>
      <c r="L173" s="173" t="str">
        <f t="shared" ca="1" si="16"/>
        <v>SpellData.create(SID_NETHER_BREATH,"Nether Breath",0,0,9,OrderId("howlofterror"),1,ORDER_TYPE_IMMEDIATE);</v>
      </c>
      <c r="M173" s="186" t="s">
        <v>1707</v>
      </c>
      <c r="N173" s="186"/>
      <c r="O173" s="186"/>
      <c r="P173" s="186"/>
      <c r="Q173" s="186"/>
      <c r="R173" s="186"/>
      <c r="S173" s="186"/>
      <c r="T173" s="186"/>
      <c r="U173" s="186"/>
      <c r="V173" s="186"/>
      <c r="W173" s="186"/>
      <c r="X173" s="186"/>
    </row>
    <row r="174" spans="1:24" s="187" customFormat="1">
      <c r="A174" s="189" t="s">
        <v>324</v>
      </c>
      <c r="B174" s="174" t="str">
        <f t="shared" si="18"/>
        <v>SID_NETHER_SLOW</v>
      </c>
      <c r="C174" s="174" t="str">
        <f ca="1">OFFSET(CreepAbilities!$A$1,MATCH($A174,CreepAbilities!$F:$F,0)-1,MATCH("技能",CreepAbilities!$1:$1,0)-1)</f>
        <v>迟缓</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7</v>
      </c>
      <c r="G174" s="174" t="str">
        <f ca="1">IF(OFFSET(CreepAbilities!$A$1,MATCH($A174,CreepAbilities!$F:$F,0)-1,MATCH("OID",CreepAbilities!$1:$1,0)-1)=0,0,"OrderId("&amp;CHAR(34)&amp;OFFSET(CreepAbilities!$A$1,MATCH($A174,CreepAbilities!$F:$F,0)-1,MATCH("OID",CreepAbilities!$1:$1,0)-1)&amp;CHAR(34)&amp;")")</f>
        <v>OrderId("slow")</v>
      </c>
      <c r="H174" s="186">
        <v>1</v>
      </c>
      <c r="I174" s="186" t="s">
        <v>735</v>
      </c>
      <c r="J174" s="186"/>
      <c r="K174" s="173" t="str">
        <f t="shared" ca="1" si="17"/>
        <v>SpellData.create(SID_NETHER_SLOW,"迟缓",0,0,7,OrderId("slow"),1,ORDER_TYPE_TARGET);</v>
      </c>
      <c r="L174" s="173" t="str">
        <f t="shared" ca="1" si="16"/>
        <v>SpellData.create(SID_NETHER_SLOW,"Nether Slow",0,0,7,OrderId("slow"),1,ORDER_TYPE_TARGET);</v>
      </c>
      <c r="M174" s="186" t="s">
        <v>1707</v>
      </c>
      <c r="N174" s="186"/>
      <c r="O174" s="186"/>
      <c r="P174" s="186"/>
      <c r="Q174" s="186"/>
      <c r="R174" s="186"/>
      <c r="S174" s="186"/>
      <c r="T174" s="186"/>
      <c r="U174" s="186"/>
      <c r="V174" s="186"/>
      <c r="W174" s="186"/>
      <c r="X174" s="186"/>
    </row>
    <row r="175" spans="1:24" s="187" customFormat="1">
      <c r="A175" s="189" t="s">
        <v>1029</v>
      </c>
      <c r="B175" s="174" t="str">
        <f t="shared" si="18"/>
        <v>SID_METEOR</v>
      </c>
      <c r="C175" s="174" t="str">
        <f ca="1">OFFSET(CreepAbilities!$A$1,MATCH($A175,CreepAbilities!$F:$F,0)-1,MATCH("技能",CreepAbilities!$1:$1,0)-1)</f>
        <v>陨石</v>
      </c>
      <c r="D175" s="174">
        <f ca="1">OFFSET(CreepAbilities!$A$1,MATCH($A175,CreepAbilities!$F:$F,0)-1,MATCH("施",CreepAbilities!$1:$1,0)-1)</f>
        <v>0</v>
      </c>
      <c r="E175" s="174">
        <f ca="1">OFFSET(CreepAbilities!$A$1,MATCH($A175,CreepAbilities!$F:$F,0)-1,MATCH("耗",CreepAbilities!$1:$1,0)-1)</f>
        <v>0</v>
      </c>
      <c r="F175" s="174">
        <f ca="1">OFFSET(CreepAbilities!$A$1,MATCH($A175,CreepAbilities!$F:$F,0)-1,MATCH("冷",CreepAbilities!$1:$1,0)-1)</f>
        <v>7</v>
      </c>
      <c r="G175" s="174" t="str">
        <f ca="1">IF(OFFSET(CreepAbilities!$A$1,MATCH($A175,CreepAbilities!$F:$F,0)-1,MATCH("OID",CreepAbilities!$1:$1,0)-1)=0,0,"OrderId("&amp;CHAR(34)&amp;OFFSET(CreepAbilities!$A$1,MATCH($A175,CreepAbilities!$F:$F,0)-1,MATCH("OID",CreepAbilities!$1:$1,0)-1)&amp;CHAR(34)&amp;")")</f>
        <v>OrderId("blizzard")</v>
      </c>
      <c r="H175" s="186">
        <v>1</v>
      </c>
      <c r="I175" s="186" t="s">
        <v>781</v>
      </c>
      <c r="J175" s="186"/>
      <c r="K175" s="173" t="str">
        <f t="shared" ca="1" si="17"/>
        <v>SpellData.create(SID_METEOR,"陨石",0,0,7,OrderId("blizzard"),1,ORDER_TYPE_POINT);</v>
      </c>
      <c r="L175" s="173" t="str">
        <f t="shared" ca="1" si="16"/>
        <v>SpellData.create(SID_METEOR,"Meteor",0,0,7,OrderId("blizzard"),1,ORDER_TYPE_POINT);</v>
      </c>
      <c r="M175" s="186" t="s">
        <v>1707</v>
      </c>
      <c r="N175" s="186"/>
      <c r="O175" s="186"/>
      <c r="P175" s="186"/>
      <c r="Q175" s="186"/>
      <c r="R175" s="186"/>
      <c r="S175" s="186"/>
      <c r="T175" s="186"/>
      <c r="U175" s="186"/>
      <c r="V175" s="186"/>
      <c r="W175" s="186"/>
      <c r="X175" s="186"/>
    </row>
    <row r="176" spans="1:24" s="187" customFormat="1">
      <c r="A176" s="189" t="s">
        <v>1030</v>
      </c>
      <c r="B176" s="174" t="str">
        <f t="shared" si="18"/>
        <v>SID_BURNING</v>
      </c>
      <c r="C176" s="174" t="str">
        <f ca="1">OFFSET(CreepAbilities!$A$1,MATCH($A176,CreepAbilities!$F:$F,0)-1,MATCH("技能",CreepAbilities!$1:$1,0)-1)</f>
        <v>燃烧</v>
      </c>
      <c r="D176" s="174">
        <f ca="1">OFFSET(CreepAbilities!$A$1,MATCH($A176,CreepAbilities!$F:$F,0)-1,MATCH("施",CreepAbilities!$1:$1,0)-1)</f>
        <v>0</v>
      </c>
      <c r="E176" s="174">
        <f ca="1">OFFSET(CreepAbilities!$A$1,MATCH($A176,CreepAbilities!$F:$F,0)-1,MATCH("耗",CreepAbilities!$1:$1,0)-1)</f>
        <v>0</v>
      </c>
      <c r="F176" s="174">
        <f ca="1">OFFSET(CreepAbilities!$A$1,MATCH($A176,CreepAbilities!$F:$F,0)-1,MATCH("冷",CreepAbilities!$1:$1,0)-1)</f>
        <v>20</v>
      </c>
      <c r="G176" s="174" t="str">
        <f ca="1">IF(OFFSET(CreepAbilities!$A$1,MATCH($A176,CreepAbilities!$F:$F,0)-1,MATCH("OID",CreepAbilities!$1:$1,0)-1)=0,0,"OrderId("&amp;CHAR(34)&amp;OFFSET(CreepAbilities!$A$1,MATCH($A176,CreepAbilities!$F:$F,0)-1,MATCH("OID",CreepAbilities!$1:$1,0)-1)&amp;CHAR(34)&amp;")")</f>
        <v>OrderId("roar")</v>
      </c>
      <c r="H176" s="186">
        <v>1</v>
      </c>
      <c r="I176" s="180" t="s">
        <v>609</v>
      </c>
      <c r="J176" s="186"/>
      <c r="K176" s="173" t="str">
        <f t="shared" ca="1" si="17"/>
        <v>SpellData.create(SID_BURNING,"燃烧",0,0,20,OrderId("roar"),1,ORDER_TYPE_IMMEDIATE);</v>
      </c>
      <c r="L176" s="173" t="str">
        <f t="shared" ca="1" si="16"/>
        <v>SpellData.create(SID_BURNING,"Burning",0,0,20,OrderId("roar"),1,ORDER_TYPE_IMMEDIATE);</v>
      </c>
      <c r="M176" s="186" t="s">
        <v>1707</v>
      </c>
      <c r="N176" s="186"/>
      <c r="O176" s="186"/>
      <c r="P176" s="186"/>
      <c r="Q176" s="186"/>
      <c r="R176" s="186"/>
      <c r="S176" s="186"/>
      <c r="T176" s="186"/>
      <c r="U176" s="186"/>
      <c r="V176" s="186"/>
      <c r="W176" s="186"/>
      <c r="X176" s="186"/>
    </row>
    <row r="177" spans="1:24" s="187" customFormat="1">
      <c r="A177" s="180" t="s">
        <v>326</v>
      </c>
      <c r="B177" s="174" t="str">
        <f t="shared" si="18"/>
        <v>SID_CRUSHING_BLOW</v>
      </c>
      <c r="C177" s="174" t="str">
        <f ca="1">OFFSET(CreepAbilities!$A$1,MATCH($A177,CreepAbilities!$F:$F,0)-1,MATCH("技能",CreepAbilities!$1:$1,0)-1)</f>
        <v>重拳</v>
      </c>
      <c r="D177" s="174">
        <f ca="1">OFFSET(CreepAbilities!$A$1,MATCH($A177,CreepAbilities!$F:$F,0)-1,MATCH("施",CreepAbilities!$1:$1,0)-1)</f>
        <v>2</v>
      </c>
      <c r="E177" s="174">
        <f ca="1">OFFSET(CreepAbilities!$A$1,MATCH($A177,CreepAbilities!$F:$F,0)-1,MATCH("耗",CreepAbilities!$1:$1,0)-1)</f>
        <v>0</v>
      </c>
      <c r="F177" s="174">
        <f ca="1">OFFSET(CreepAbilities!$A$1,MATCH($A177,CreepAbilities!$F:$F,0)-1,MATCH("冷",CreepAbilities!$1:$1,0)-1)</f>
        <v>6</v>
      </c>
      <c r="G177" s="174" t="str">
        <f ca="1">IF(OFFSET(CreepAbilities!$A$1,MATCH($A177,CreepAbilities!$F:$F,0)-1,MATCH("OID",CreepAbilities!$1:$1,0)-1)=0,0,"OrderId("&amp;CHAR(34)&amp;OFFSET(CreepAbilities!$A$1,MATCH($A177,CreepAbilities!$F:$F,0)-1,MATCH("OID",CreepAbilities!$1:$1,0)-1)&amp;CHAR(34)&amp;")")</f>
        <v>OrderId("sleep")</v>
      </c>
      <c r="H177" s="186">
        <v>1</v>
      </c>
      <c r="I177" s="186" t="s">
        <v>735</v>
      </c>
      <c r="J177" s="186"/>
      <c r="K177" s="173" t="str">
        <f t="shared" ca="1" si="17"/>
        <v>SpellData.create(SID_CRUSHING_BLOW,"重拳",0,2,6,OrderId("sleep"),1,ORDER_TYPE_TARGET);</v>
      </c>
      <c r="L177" s="173" t="str">
        <f t="shared" ca="1" si="16"/>
        <v>SpellData.create(SID_CRUSHING_BLOW,"Crushing Blow",0,2,6,OrderId("sleep"),1,ORDER_TYPE_TARGET);</v>
      </c>
      <c r="M177" s="186" t="s">
        <v>1707</v>
      </c>
      <c r="N177" s="186"/>
      <c r="O177" s="186"/>
      <c r="P177" s="186"/>
      <c r="Q177" s="186"/>
      <c r="R177" s="186"/>
      <c r="S177" s="186"/>
      <c r="T177" s="186"/>
      <c r="U177" s="186"/>
      <c r="V177" s="186"/>
      <c r="W177" s="186"/>
      <c r="X177" s="186"/>
    </row>
    <row r="178" spans="1:24" s="187" customFormat="1">
      <c r="A178" s="180" t="s">
        <v>327</v>
      </c>
      <c r="B178" s="174" t="str">
        <f t="shared" si="18"/>
        <v>SID_FOREST_STOMP</v>
      </c>
      <c r="C178" s="174" t="str">
        <f ca="1">OFFSET(CreepAbilities!$A$1,MATCH($A178,CreepAbilities!$F:$F,0)-1,MATCH("技能",CreepAbilities!$1:$1,0)-1)</f>
        <v>震地</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12</v>
      </c>
      <c r="G178" s="174" t="str">
        <f ca="1">IF(OFFSET(CreepAbilities!$A$1,MATCH($A178,CreepAbilities!$F:$F,0)-1,MATCH("OID",CreepAbilities!$1:$1,0)-1)=0,0,"OrderId("&amp;CHAR(34)&amp;OFFSET(CreepAbilities!$A$1,MATCH($A178,CreepAbilities!$F:$F,0)-1,MATCH("OID",CreepAbilities!$1:$1,0)-1)&amp;CHAR(34)&amp;")")</f>
        <v>OrderId("roar")</v>
      </c>
      <c r="H178" s="186">
        <v>1</v>
      </c>
      <c r="I178" s="180" t="s">
        <v>609</v>
      </c>
      <c r="J178" s="186"/>
      <c r="K178" s="173" t="str">
        <f t="shared" ca="1" si="17"/>
        <v>SpellData.create(SID_FOREST_STOMP,"震地",0,0,12,OrderId("roar"),1,ORDER_TYPE_IMMEDIATE);</v>
      </c>
      <c r="L178" s="173" t="str">
        <f t="shared" ca="1" si="16"/>
        <v>SpellData.create(SID_FOREST_STOMP,"Forest Stomp",0,0,12,OrderId("roar"),1,ORDER_TYPE_IMMEDIATE);</v>
      </c>
      <c r="M178" s="186" t="s">
        <v>1707</v>
      </c>
      <c r="N178" s="186"/>
      <c r="O178" s="186"/>
      <c r="P178" s="186"/>
      <c r="Q178" s="186"/>
      <c r="R178" s="186"/>
      <c r="S178" s="186"/>
      <c r="T178" s="186"/>
      <c r="U178" s="186"/>
      <c r="V178" s="186"/>
      <c r="W178" s="186"/>
      <c r="X178" s="186"/>
    </row>
    <row r="179" spans="1:24" s="187" customFormat="1">
      <c r="A179" s="180" t="s">
        <v>1034</v>
      </c>
      <c r="B179" s="174" t="str">
        <f t="shared" si="18"/>
        <v>SID_CORPSE_RAIN</v>
      </c>
      <c r="C179" s="174" t="str">
        <f ca="1">OFFSET(CreepAbilities!$A$1,MATCH($A179,CreepAbilities!$F:$F,0)-1,MATCH("技能",CreepAbilities!$1:$1,0)-1)</f>
        <v>尸雨</v>
      </c>
      <c r="D179" s="174">
        <f ca="1">OFFSET(CreepAbilities!$A$1,MATCH($A179,CreepAbilities!$F:$F,0)-1,MATCH("施",CreepAbilities!$1:$1,0)-1)</f>
        <v>0</v>
      </c>
      <c r="E179" s="174">
        <f ca="1">OFFSET(CreepAbilities!$A$1,MATCH($A179,CreepAbilities!$F:$F,0)-1,MATCH("耗",CreepAbilities!$1:$1,0)-1)</f>
        <v>0</v>
      </c>
      <c r="F179" s="174">
        <f ca="1">OFFSET(CreepAbilities!$A$1,MATCH($A179,CreepAbilities!$F:$F,0)-1,MATCH("冷",CreepAbilities!$1:$1,0)-1)</f>
        <v>12</v>
      </c>
      <c r="G179" s="174" t="str">
        <f ca="1">IF(OFFSET(CreepAbilities!$A$1,MATCH($A179,CreepAbilities!$F:$F,0)-1,MATCH("OID",CreepAbilities!$1:$1,0)-1)=0,0,"OrderId("&amp;CHAR(34)&amp;OFFSET(CreepAbilities!$A$1,MATCH($A179,CreepAbilities!$F:$F,0)-1,MATCH("OID",CreepAbilities!$1:$1,0)-1)&amp;CHAR(34)&amp;")")</f>
        <v>OrderId("slow")</v>
      </c>
      <c r="H179" s="186">
        <v>1</v>
      </c>
      <c r="I179" s="186" t="s">
        <v>735</v>
      </c>
      <c r="J179" s="186"/>
      <c r="K179" s="173" t="str">
        <f t="shared" ca="1" si="17"/>
        <v>SpellData.create(SID_CORPSE_RAIN,"尸雨",0,0,12,OrderId("slow"),1,ORDER_TYPE_TARGET);</v>
      </c>
      <c r="L179" s="173" t="str">
        <f t="shared" ca="1" si="16"/>
        <v>SpellData.create(SID_CORPSE_RAIN,"Corpse Rain",0,0,12,OrderId("slow"),1,ORDER_TYPE_TARGET);</v>
      </c>
      <c r="M179" s="186" t="s">
        <v>1707</v>
      </c>
      <c r="N179" s="186"/>
      <c r="O179" s="186"/>
      <c r="P179" s="186"/>
      <c r="Q179" s="186"/>
      <c r="R179" s="186"/>
      <c r="S179" s="186"/>
      <c r="T179" s="186"/>
      <c r="U179" s="186"/>
      <c r="V179" s="186"/>
      <c r="W179" s="186"/>
      <c r="X179" s="186"/>
    </row>
    <row r="180" spans="1:24" s="187" customFormat="1">
      <c r="A180" s="180" t="s">
        <v>1035</v>
      </c>
      <c r="B180" s="174" t="str">
        <f t="shared" si="18"/>
        <v>SID_VOODOO_DOLL</v>
      </c>
      <c r="C180" s="174" t="str">
        <f ca="1">OFFSET(CreepAbilities!$A$1,MATCH($A180,CreepAbilities!$F:$F,0)-1,MATCH("技能",CreepAbilities!$1:$1,0)-1)</f>
        <v>巫毒娃娃</v>
      </c>
      <c r="D180" s="174">
        <f ca="1">OFFSET(CreepAbilities!$A$1,MATCH($A180,CreepAbilities!$F:$F,0)-1,MATCH("施",CreepAbilities!$1:$1,0)-1)</f>
        <v>0</v>
      </c>
      <c r="E180" s="174">
        <f ca="1">OFFSET(CreepAbilities!$A$1,MATCH($A180,CreepAbilities!$F:$F,0)-1,MATCH("耗",CreepAbilities!$1:$1,0)-1)</f>
        <v>0</v>
      </c>
      <c r="F180" s="174">
        <f ca="1">OFFSET(CreepAbilities!$A$1,MATCH($A180,CreepAbilities!$F:$F,0)-1,MATCH("冷",CreepAbilities!$1:$1,0)-1)</f>
        <v>20</v>
      </c>
      <c r="G180" s="174" t="str">
        <f ca="1">IF(OFFSET(CreepAbilities!$A$1,MATCH($A180,CreepAbilities!$F:$F,0)-1,MATCH("OID",CreepAbilities!$1:$1,0)-1)=0,0,"OrderId("&amp;CHAR(34)&amp;OFFSET(CreepAbilities!$A$1,MATCH($A180,CreepAbilities!$F:$F,0)-1,MATCH("OID",CreepAbilities!$1:$1,0)-1)&amp;CHAR(34)&amp;")")</f>
        <v>OrderId("sleep")</v>
      </c>
      <c r="H180" s="186">
        <v>1</v>
      </c>
      <c r="I180" s="186" t="s">
        <v>735</v>
      </c>
      <c r="J180" s="186"/>
      <c r="K180" s="173" t="str">
        <f t="shared" ca="1" si="17"/>
        <v>SpellData.create(SID_VOODOO_DOLL,"巫毒娃娃",0,0,20,OrderId("sleep"),1,ORDER_TYPE_TARGET);</v>
      </c>
      <c r="L180" s="173" t="str">
        <f t="shared" ca="1" si="16"/>
        <v>SpellData.create(SID_VOODOO_DOLL,"Voodoo Doll",0,0,20,OrderId("sleep"),1,ORDER_TYPE_TARGET);</v>
      </c>
      <c r="M180" s="186" t="s">
        <v>1707</v>
      </c>
      <c r="N180" s="186"/>
      <c r="O180" s="186"/>
      <c r="P180" s="186"/>
      <c r="Q180" s="186"/>
      <c r="R180" s="186"/>
      <c r="S180" s="186"/>
      <c r="T180" s="186"/>
      <c r="U180" s="186"/>
      <c r="V180" s="186"/>
      <c r="W180" s="186"/>
      <c r="X180" s="186"/>
    </row>
    <row r="181" spans="1:24" s="187" customFormat="1">
      <c r="A181" s="180" t="s">
        <v>1611</v>
      </c>
      <c r="B181" s="174" t="str">
        <f t="shared" si="18"/>
        <v>SID_VOODOO_DOLL_ILLUSION</v>
      </c>
      <c r="C181" s="174" t="s">
        <v>1612</v>
      </c>
      <c r="D181" s="174">
        <v>0</v>
      </c>
      <c r="E181" s="174">
        <v>0</v>
      </c>
      <c r="F181" s="174">
        <v>0</v>
      </c>
      <c r="G181" s="174">
        <v>852274</v>
      </c>
      <c r="H181" s="186">
        <v>1</v>
      </c>
      <c r="I181" s="186" t="s">
        <v>735</v>
      </c>
      <c r="J181" s="186"/>
      <c r="K181" s="173" t="str">
        <f t="shared" si="17"/>
        <v>SpellData.create(SID_VOODOO_DOLL_ILLUSION,"DUMMY",0,0,0,852274,1,ORDER_TYPE_TARGET);</v>
      </c>
      <c r="L181" s="173" t="str">
        <f t="shared" si="16"/>
        <v>SpellData.create(SID_VOODOO_DOLL_ILLUSION,"Voodoo Doll illusion",0,0,0,852274,1,ORDER_TYPE_TARGET);</v>
      </c>
      <c r="M181" s="186" t="s">
        <v>1707</v>
      </c>
      <c r="N181" s="186"/>
      <c r="O181" s="186"/>
      <c r="P181" s="186"/>
      <c r="Q181" s="186"/>
      <c r="R181" s="186"/>
      <c r="S181" s="186"/>
      <c r="T181" s="186"/>
      <c r="U181" s="186"/>
      <c r="V181" s="186"/>
      <c r="W181" s="186"/>
      <c r="X181" s="186"/>
    </row>
    <row r="182" spans="1:24" s="187" customFormat="1">
      <c r="A182" s="180" t="s">
        <v>1037</v>
      </c>
      <c r="B182" s="174" t="str">
        <f t="shared" si="18"/>
        <v>SID_SLAM_STRIKE</v>
      </c>
      <c r="C182" s="174" t="str">
        <f ca="1">OFFSET(CreepAbilities!$A$1,MATCH($A182,CreepAbilities!$F:$F,0)-1,MATCH("技能",CreepAbilities!$1:$1,0)-1)</f>
        <v>分裂攻击（被动）</v>
      </c>
      <c r="D182" s="174">
        <f ca="1">OFFSET(CreepAbilities!$A$1,MATCH($A182,CreepAbilities!$F:$F,0)-1,MATCH("施",CreepAbilities!$1:$1,0)-1)</f>
        <v>0</v>
      </c>
      <c r="E182" s="174">
        <f ca="1">OFFSET(CreepAbilities!$A$1,MATCH($A182,CreepAbilities!$F:$F,0)-1,MATCH("耗",CreepAbilities!$1:$1,0)-1)</f>
        <v>0</v>
      </c>
      <c r="F182" s="174">
        <f ca="1">OFFSET(CreepAbilities!$A$1,MATCH($A182,CreepAbilities!$F:$F,0)-1,MATCH("冷",CreepAbilities!$1:$1,0)-1)</f>
        <v>0</v>
      </c>
      <c r="G182" s="174" t="str">
        <f ca="1">IF(OFFSET(CreepAbilities!$A$1,MATCH($A182,CreepAbilities!$F:$F,0)-1,MATCH("OID",CreepAbilities!$1:$1,0)-1)=0,0,"OrderId("&amp;CHAR(34)&amp;OFFSET(CreepAbilities!$A$1,MATCH($A182,CreepAbilities!$F:$F,0)-1,MATCH("OID",CreepAbilities!$1:$1,0)-1)&amp;CHAR(34)&amp;")")</f>
        <v>OrderId("roar")</v>
      </c>
      <c r="H182" s="186">
        <v>1</v>
      </c>
      <c r="I182" s="180" t="s">
        <v>609</v>
      </c>
      <c r="J182" s="186"/>
      <c r="K182" s="173" t="str">
        <f t="shared" ca="1" si="17"/>
        <v>SpellData.create(SID_SLAM_STRIKE,"分裂攻击（被动）",0,0,0,OrderId("roar"),1,ORDER_TYPE_IMMEDIATE);</v>
      </c>
      <c r="L182" s="173" t="str">
        <f t="shared" ca="1" si="16"/>
        <v>SpellData.create(SID_SLAM_STRIKE,"Slam Strike",0,0,0,OrderId("roar"),1,ORDER_TYPE_IMMEDIATE);</v>
      </c>
      <c r="M182" s="186" t="s">
        <v>1707</v>
      </c>
      <c r="N182" s="186"/>
      <c r="O182" s="186"/>
      <c r="P182" s="186"/>
      <c r="Q182" s="186"/>
      <c r="R182" s="186"/>
      <c r="S182" s="186"/>
      <c r="T182" s="186"/>
      <c r="U182" s="186"/>
      <c r="V182" s="186"/>
      <c r="W182" s="186"/>
      <c r="X182" s="186"/>
    </row>
    <row r="183" spans="1:24" s="187" customFormat="1">
      <c r="A183" s="180" t="s">
        <v>1038</v>
      </c>
      <c r="B183" s="174" t="str">
        <f t="shared" si="18"/>
        <v>SID_VOMIT</v>
      </c>
      <c r="C183" s="174" t="str">
        <f ca="1">OFFSET(CreepAbilities!$A$1,MATCH($A183,CreepAbilities!$F:$F,0)-1,MATCH("技能",CreepAbilities!$1:$1,0)-1)</f>
        <v>呕吐</v>
      </c>
      <c r="D183" s="174">
        <f ca="1">OFFSET(CreepAbilities!$A$1,MATCH($A183,CreepAbilities!$F:$F,0)-1,MATCH("施",CreepAbilities!$1:$1,0)-1)</f>
        <v>4</v>
      </c>
      <c r="E183" s="174">
        <f ca="1">OFFSET(CreepAbilities!$A$1,MATCH($A183,CreepAbilities!$F:$F,0)-1,MATCH("耗",CreepAbilities!$1:$1,0)-1)</f>
        <v>0</v>
      </c>
      <c r="F183" s="174">
        <f ca="1">OFFSET(CreepAbilities!$A$1,MATCH($A183,CreepAbilities!$F:$F,0)-1,MATCH("冷",CreepAbilities!$1:$1,0)-1)</f>
        <v>0</v>
      </c>
      <c r="G183" s="174" t="str">
        <f ca="1">IF(OFFSET(CreepAbilities!$A$1,MATCH($A183,CreepAbilities!$F:$F,0)-1,MATCH("OID",CreepAbilities!$1:$1,0)-1)=0,0,"OrderId("&amp;CHAR(34)&amp;OFFSET(CreepAbilities!$A$1,MATCH($A183,CreepAbilities!$F:$F,0)-1,MATCH("OID",CreepAbilities!$1:$1,0)-1)&amp;CHAR(34)&amp;")")</f>
        <v>OrderId("howlofterror")</v>
      </c>
      <c r="H183" s="186">
        <v>1</v>
      </c>
      <c r="I183" s="180" t="s">
        <v>609</v>
      </c>
      <c r="J183" s="186"/>
      <c r="K183" s="173" t="str">
        <f t="shared" ca="1" si="17"/>
        <v>SpellData.create(SID_VOMIT,"呕吐",0,4,0,OrderId("howlofterror"),1,ORDER_TYPE_IMMEDIATE);</v>
      </c>
      <c r="L183" s="173" t="str">
        <f t="shared" ca="1" si="16"/>
        <v>SpellData.create(SID_VOMIT,"Vomit",0,4,0,OrderId("howlofterror"),1,ORDER_TYPE_IMMEDIATE);</v>
      </c>
      <c r="M183" s="186" t="s">
        <v>1707</v>
      </c>
      <c r="N183" s="186"/>
      <c r="O183" s="186"/>
      <c r="P183" s="186"/>
      <c r="Q183" s="186"/>
      <c r="R183" s="186"/>
      <c r="S183" s="186"/>
      <c r="T183" s="186"/>
      <c r="U183" s="186"/>
      <c r="V183" s="186"/>
      <c r="W183" s="186"/>
      <c r="X183" s="186"/>
    </row>
    <row r="184" spans="1:24" s="187" customFormat="1">
      <c r="A184" s="180" t="s">
        <v>1041</v>
      </c>
      <c r="B184" s="174" t="str">
        <f t="shared" si="18"/>
        <v>SID_POISON_DART</v>
      </c>
      <c r="C184" s="174" t="str">
        <f ca="1">OFFSET(CreepAbilities!$A$1,MATCH($A184,CreepAbilities!$F:$F,0)-1,MATCH("技能",CreepAbilities!$1:$1,0)-1)</f>
        <v>毒液箭</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4</v>
      </c>
      <c r="G184" s="174" t="str">
        <f ca="1">IF(OFFSET(CreepAbilities!$A$1,MATCH($A184,CreepAbilities!$F:$F,0)-1,MATCH("OID",CreepAbilities!$1:$1,0)-1)=0,0,"OrderId("&amp;CHAR(34)&amp;OFFSET(CreepAbilities!$A$1,MATCH($A184,CreepAbilities!$F:$F,0)-1,MATCH("OID",CreepAbilities!$1:$1,0)-1)&amp;CHAR(34)&amp;")")</f>
        <v>OrderId("sleep")</v>
      </c>
      <c r="H184" s="186">
        <v>1</v>
      </c>
      <c r="I184" s="186" t="s">
        <v>735</v>
      </c>
      <c r="J184" s="186"/>
      <c r="K184" s="173" t="str">
        <f t="shared" ca="1" si="17"/>
        <v>SpellData.create(SID_POISON_DART,"毒液箭",0,0,4,OrderId("sleep"),1,ORDER_TYPE_TARGET);</v>
      </c>
      <c r="L184" s="173" t="str">
        <f t="shared" ca="1" si="16"/>
        <v>SpellData.create(SID_POISON_DART,"Poison Dart",0,0,4,OrderId("sleep"),1,ORDER_TYPE_TARGET);</v>
      </c>
      <c r="M184" s="186" t="s">
        <v>1707</v>
      </c>
      <c r="N184" s="186"/>
      <c r="O184" s="186"/>
      <c r="P184" s="186"/>
      <c r="Q184" s="186"/>
      <c r="R184" s="186"/>
      <c r="S184" s="186"/>
      <c r="T184" s="186"/>
      <c r="U184" s="186"/>
      <c r="V184" s="186"/>
      <c r="W184" s="186"/>
      <c r="X184" s="186"/>
    </row>
    <row r="185" spans="1:24" s="187" customFormat="1">
      <c r="A185" s="180" t="s">
        <v>1042</v>
      </c>
      <c r="B185" s="174" t="str">
        <f t="shared" si="18"/>
        <v>SID_GRIM_TOTEM</v>
      </c>
      <c r="C185" s="174" t="str">
        <f ca="1">OFFSET(CreepAbilities!$A$1,MATCH($A185,CreepAbilities!$F:$F,0)-1,MATCH("技能",CreepAbilities!$1:$1,0)-1)</f>
        <v>恐怖图腾</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8</v>
      </c>
      <c r="G185" s="174" t="str">
        <f ca="1">IF(OFFSET(CreepAbilities!$A$1,MATCH($A185,CreepAbilities!$F:$F,0)-1,MATCH("OID",CreepAbilities!$1:$1,0)-1)=0,0,"OrderId("&amp;CHAR(34)&amp;OFFSET(CreepAbilities!$A$1,MATCH($A185,CreepAbilities!$F:$F,0)-1,MATCH("OID",CreepAbilities!$1:$1,0)-1)&amp;CHAR(34)&amp;")")</f>
        <v>OrderId("healingward")</v>
      </c>
      <c r="H185" s="186">
        <v>1</v>
      </c>
      <c r="I185" s="180" t="s">
        <v>609</v>
      </c>
      <c r="J185" s="186"/>
      <c r="K185" s="173" t="str">
        <f t="shared" ca="1" si="17"/>
        <v>SpellData.create(SID_GRIM_TOTEM,"恐怖图腾",0,0,8,OrderId("healingward"),1,ORDER_TYPE_IMMEDIATE);</v>
      </c>
      <c r="L185" s="173" t="str">
        <f t="shared" ca="1" si="16"/>
        <v>SpellData.create(SID_GRIM_TOTEM,"Grim Totem",0,0,8,OrderId("healingward"),1,ORDER_TYPE_IMMEDIATE);</v>
      </c>
      <c r="M185" s="186" t="s">
        <v>1707</v>
      </c>
      <c r="N185" s="186"/>
      <c r="O185" s="186"/>
      <c r="P185" s="186"/>
      <c r="Q185" s="186"/>
      <c r="R185" s="186"/>
      <c r="S185" s="186"/>
      <c r="T185" s="186"/>
      <c r="U185" s="186"/>
      <c r="V185" s="186"/>
      <c r="W185" s="186"/>
      <c r="X185" s="186"/>
    </row>
    <row r="186" spans="1:24" s="187" customFormat="1">
      <c r="A186" s="180" t="s">
        <v>1044</v>
      </c>
      <c r="B186" s="174" t="str">
        <f t="shared" si="18"/>
        <v>SID_VICIOUS_STRIKE</v>
      </c>
      <c r="C186" s="174" t="str">
        <f ca="1">OFFSET(CreepAbilities!$A$1,MATCH($A186,CreepAbilities!$F:$F,0)-1,MATCH("技能",CreepAbilities!$1:$1,0)-1)</f>
        <v>险恶打击</v>
      </c>
      <c r="D186" s="174">
        <f ca="1">OFFSET(CreepAbilities!$A$1,MATCH($A186,CreepAbilities!$F:$F,0)-1,MATCH("施",CreepAbilities!$1:$1,0)-1)</f>
        <v>0</v>
      </c>
      <c r="E186" s="174">
        <f ca="1">OFFSET(CreepAbilities!$A$1,MATCH($A186,CreepAbilities!$F:$F,0)-1,MATCH("耗",CreepAbilities!$1:$1,0)-1)</f>
        <v>0</v>
      </c>
      <c r="F186" s="174">
        <f ca="1">OFFSET(CreepAbilities!$A$1,MATCH($A186,CreepAbilities!$F:$F,0)-1,MATCH("冷",CreepAbilities!$1:$1,0)-1)</f>
        <v>12</v>
      </c>
      <c r="G186" s="174" t="str">
        <f ca="1">IF(OFFSET(CreepAbilities!$A$1,MATCH($A186,CreepAbilities!$F:$F,0)-1,MATCH("OID",CreepAbilities!$1:$1,0)-1)=0,0,"OrderId("&amp;CHAR(34)&amp;OFFSET(CreepAbilities!$A$1,MATCH($A186,CreepAbilities!$F:$F,0)-1,MATCH("OID",CreepAbilities!$1:$1,0)-1)&amp;CHAR(34)&amp;")")</f>
        <v>OrderId("sleep")</v>
      </c>
      <c r="H186" s="186">
        <v>1</v>
      </c>
      <c r="I186" s="186" t="s">
        <v>735</v>
      </c>
      <c r="J186" s="186"/>
      <c r="K186" s="173" t="str">
        <f t="shared" ca="1" si="17"/>
        <v>SpellData.create(SID_VICIOUS_STRIKE,"险恶打击",0,0,12,OrderId("sleep"),1,ORDER_TYPE_TARGET);</v>
      </c>
      <c r="L186" s="173" t="str">
        <f t="shared" ca="1" si="16"/>
        <v>SpellData.create(SID_VICIOUS_STRIKE,"Vicious Strike",0,0,12,OrderId("sleep"),1,ORDER_TYPE_TARGET);</v>
      </c>
      <c r="M186" s="186" t="s">
        <v>1707</v>
      </c>
      <c r="N186" s="186"/>
      <c r="O186" s="186"/>
      <c r="P186" s="186"/>
      <c r="Q186" s="186"/>
      <c r="R186" s="186"/>
      <c r="S186" s="186"/>
      <c r="T186" s="186"/>
      <c r="U186" s="186"/>
      <c r="V186" s="186"/>
      <c r="W186" s="186"/>
      <c r="X186" s="186"/>
    </row>
    <row r="187" spans="1:24" s="187" customFormat="1">
      <c r="A187" s="180" t="s">
        <v>1045</v>
      </c>
      <c r="B187" s="174" t="str">
        <f t="shared" si="18"/>
        <v>SID_FILTHY_LAND</v>
      </c>
      <c r="C187" s="174" t="str">
        <f ca="1">OFFSET(CreepAbilities!$A$1,MATCH($A187,CreepAbilities!$F:$F,0)-1,MATCH("技能",CreepAbilities!$1:$1,0)-1)</f>
        <v>污秽之地</v>
      </c>
      <c r="D187" s="174">
        <f ca="1">OFFSET(CreepAbilities!$A$1,MATCH($A187,CreepAbilities!$F:$F,0)-1,MATCH("施",CreepAbilities!$1:$1,0)-1)</f>
        <v>0</v>
      </c>
      <c r="E187" s="174">
        <f ca="1">OFFSET(CreepAbilities!$A$1,MATCH($A187,CreepAbilities!$F:$F,0)-1,MATCH("耗",CreepAbilities!$1:$1,0)-1)</f>
        <v>0</v>
      </c>
      <c r="F187" s="174">
        <f ca="1">OFFSET(CreepAbilities!$A$1,MATCH($A187,CreepAbilities!$F:$F,0)-1,MATCH("冷",CreepAbilities!$1:$1,0)-1)</f>
        <v>18</v>
      </c>
      <c r="G187" s="174" t="str">
        <f ca="1">IF(OFFSET(CreepAbilities!$A$1,MATCH($A187,CreepAbilities!$F:$F,0)-1,MATCH("OID",CreepAbilities!$1:$1,0)-1)=0,0,"OrderId("&amp;CHAR(34)&amp;OFFSET(CreepAbilities!$A$1,MATCH($A187,CreepAbilities!$F:$F,0)-1,MATCH("OID",CreepAbilities!$1:$1,0)-1)&amp;CHAR(34)&amp;")")</f>
        <v>OrderId("roar")</v>
      </c>
      <c r="H187" s="186">
        <v>1</v>
      </c>
      <c r="I187" s="186" t="s">
        <v>781</v>
      </c>
      <c r="J187" s="186"/>
      <c r="K187" s="173" t="str">
        <f t="shared" ca="1" si="17"/>
        <v>SpellData.create(SID_FILTHY_LAND,"污秽之地",0,0,18,OrderId("roar"),1,ORDER_TYPE_POINT);</v>
      </c>
      <c r="L187" s="173" t="str">
        <f t="shared" ca="1" si="16"/>
        <v>SpellData.create(SID_FILTHY_LAND,"Filthy Land",0,0,18,OrderId("roar"),1,ORDER_TYPE_POINT);</v>
      </c>
      <c r="M187" s="186" t="s">
        <v>1707</v>
      </c>
      <c r="N187" s="186"/>
      <c r="O187" s="186"/>
      <c r="P187" s="186"/>
      <c r="Q187" s="186"/>
      <c r="R187" s="186"/>
      <c r="S187" s="186"/>
      <c r="T187" s="186"/>
      <c r="U187" s="186"/>
      <c r="V187" s="186"/>
      <c r="W187" s="186"/>
      <c r="X187" s="186"/>
    </row>
    <row r="188" spans="1:24" s="190" customFormat="1">
      <c r="A188" s="188" t="s">
        <v>733</v>
      </c>
      <c r="B188" s="174" t="str">
        <f t="shared" si="18"/>
        <v>SID_CALL_TO_ARMS</v>
      </c>
      <c r="C188" s="188" t="s">
        <v>734</v>
      </c>
      <c r="D188" s="188">
        <v>0</v>
      </c>
      <c r="E188" s="188">
        <v>0</v>
      </c>
      <c r="F188" s="188">
        <v>1</v>
      </c>
      <c r="G188" s="188" t="s">
        <v>610</v>
      </c>
      <c r="H188" s="188">
        <v>1</v>
      </c>
      <c r="I188" s="188" t="s">
        <v>609</v>
      </c>
      <c r="J188" s="188"/>
      <c r="K188" s="173" t="str">
        <f t="shared" si="17"/>
        <v>SpellData.create(SID_CALL_TO_ARMS,"战斗召唤",0,0,1,OrderId("channel"),1,ORDER_TYPE_IMMEDIATE);</v>
      </c>
      <c r="L188" s="173" t="str">
        <f t="shared" si="16"/>
        <v>SpellData.create(SID_CALL_TO_ARMS,"Call To Arms",0,0,1,OrderId("channel"),1,ORDER_TYPE_IMMEDIATE);</v>
      </c>
      <c r="M188" s="188" t="s">
        <v>1707</v>
      </c>
      <c r="N188" s="188"/>
      <c r="O188" s="188"/>
      <c r="P188" s="188"/>
      <c r="Q188" s="188"/>
      <c r="R188" s="188"/>
      <c r="S188" s="188"/>
      <c r="T188" s="188"/>
      <c r="U188" s="188"/>
      <c r="V188" s="188"/>
      <c r="W188" s="188"/>
      <c r="X188" s="188"/>
    </row>
    <row r="189" spans="1:24" s="190" customFormat="1">
      <c r="A189" s="188" t="s">
        <v>731</v>
      </c>
      <c r="B189" s="174" t="str">
        <f t="shared" si="18"/>
        <v>SID_CTHUNS_DERANGEMENT</v>
      </c>
      <c r="C189" s="188" t="s">
        <v>732</v>
      </c>
      <c r="D189" s="188">
        <v>0</v>
      </c>
      <c r="E189" s="188">
        <v>0</v>
      </c>
      <c r="F189" s="188">
        <v>1</v>
      </c>
      <c r="G189" s="188" t="s">
        <v>610</v>
      </c>
      <c r="H189" s="188">
        <v>1</v>
      </c>
      <c r="I189" s="188" t="s">
        <v>609</v>
      </c>
      <c r="J189" s="188"/>
      <c r="K189" s="173" t="str">
        <f t="shared" si="17"/>
        <v>SpellData.create(SID_CTHUNS_DERANGEMENT,"上古狂乱",0,0,1,OrderId("channel"),1,ORDER_TYPE_IMMEDIATE);</v>
      </c>
      <c r="L189" s="173" t="str">
        <f t="shared" si="16"/>
        <v>SpellData.create(SID_CTHUNS_DERANGEMENT,"Cthuns Derangement",0,0,1,OrderId("channel"),1,ORDER_TYPE_IMMEDIATE);</v>
      </c>
      <c r="M189" s="188" t="s">
        <v>1707</v>
      </c>
      <c r="N189" s="188"/>
      <c r="O189" s="188"/>
      <c r="P189" s="188"/>
      <c r="Q189" s="188"/>
      <c r="R189" s="188"/>
      <c r="S189" s="188"/>
      <c r="T189" s="188"/>
      <c r="U189" s="188"/>
      <c r="V189" s="188"/>
      <c r="W189" s="188"/>
      <c r="X189" s="188"/>
    </row>
    <row r="190" spans="1:24" s="190" customFormat="1">
      <c r="A190" s="188" t="s">
        <v>1724</v>
      </c>
      <c r="B190" s="188" t="s">
        <v>1726</v>
      </c>
      <c r="C190" s="188" t="s">
        <v>1725</v>
      </c>
      <c r="D190" s="188">
        <v>0</v>
      </c>
      <c r="E190" s="188">
        <v>0</v>
      </c>
      <c r="F190" s="188">
        <v>1</v>
      </c>
      <c r="G190" s="188" t="s">
        <v>610</v>
      </c>
      <c r="H190" s="188">
        <v>1</v>
      </c>
      <c r="I190" s="188" t="s">
        <v>609</v>
      </c>
      <c r="J190" s="188"/>
      <c r="K190" s="173" t="str">
        <f t="shared" ref="K190" si="22">IF(C190="N/A","//",CONCATENATE("SpellData.create(",B190,",",CHAR(34),C190,CHAR(34),",",E190,",",D190,",",F190,",",G190,",",H190,",",I190,")",J190,";"))</f>
        <v>SpellData.create(BID_BREATH_OF_THE_DYING,"死亡呼吸",0,0,1,OrderId("channel"),1,ORDER_TYPE_IMMEDIATE);</v>
      </c>
      <c r="L190" s="173" t="str">
        <f t="shared" ref="L190" si="23">IF(A190="N/A","//",CONCATENATE("SpellData.create(",B190,",",CHAR(34),A190,CHAR(34),",",E190,",",D190,",",F190,",",G190,",",H190,",",I190,")",J190,";"))</f>
        <v>SpellData.create(BID_BREATH_OF_THE_DYING,"Breath of the Dying",0,0,1,OrderId("channel"),1,ORDER_TYPE_IMMEDIATE);</v>
      </c>
      <c r="M190" s="188" t="s">
        <v>1707</v>
      </c>
      <c r="N190" s="188"/>
      <c r="O190" s="188"/>
      <c r="P190" s="188"/>
      <c r="Q190" s="188"/>
      <c r="R190" s="188"/>
      <c r="S190" s="188"/>
      <c r="T190" s="188"/>
      <c r="U190" s="188"/>
      <c r="V190" s="188"/>
      <c r="W190" s="188"/>
      <c r="X190" s="188"/>
    </row>
    <row r="191" spans="1:24" s="190" customFormat="1">
      <c r="A191" s="188" t="s">
        <v>1753</v>
      </c>
      <c r="B191" s="174" t="str">
        <f t="shared" si="18"/>
        <v>SID_INFINITY</v>
      </c>
      <c r="C191" s="188" t="s">
        <v>1754</v>
      </c>
      <c r="D191" s="188">
        <v>0</v>
      </c>
      <c r="E191" s="188">
        <v>0</v>
      </c>
      <c r="F191" s="188">
        <v>1</v>
      </c>
      <c r="G191" s="188" t="s">
        <v>610</v>
      </c>
      <c r="H191" s="188">
        <v>1</v>
      </c>
      <c r="I191" s="188" t="s">
        <v>609</v>
      </c>
      <c r="J191" s="188"/>
      <c r="K191" s="173" t="str">
        <f t="shared" ref="K191" si="24">IF(C191="N/A","//",CONCATENATE("SpellData.create(",B191,",",CHAR(34),C191,CHAR(34),",",E191,",",D191,",",F191,",",G191,",",H191,",",I191,")",J191,";"))</f>
        <v>SpellData.create(SID_INFINITY,"无限",0,0,1,OrderId("channel"),1,ORDER_TYPE_IMMEDIATE);</v>
      </c>
      <c r="L191" s="173" t="str">
        <f t="shared" ref="L191" si="25">IF(A191="N/A","//",CONCATENATE("SpellData.create(",B191,",",CHAR(34),A191,CHAR(34),",",E191,",",D191,",",F191,",",G191,",",H191,",",I191,")",J191,";"))</f>
        <v>SpellData.create(SID_INFINITY,"Infinity",0,0,1,OrderId("channel"),1,ORDER_TYPE_IMMEDIATE);</v>
      </c>
      <c r="M191" s="188" t="s">
        <v>1707</v>
      </c>
      <c r="N191" s="188"/>
      <c r="O191" s="188"/>
      <c r="P191" s="188"/>
      <c r="Q191" s="188"/>
      <c r="R191" s="188"/>
      <c r="S191" s="188"/>
      <c r="T191" s="188"/>
      <c r="U191" s="188"/>
      <c r="V191" s="188"/>
      <c r="W191" s="188"/>
      <c r="X191" s="188"/>
    </row>
    <row r="192" spans="1:24" s="190" customFormat="1">
      <c r="A192" s="188" t="s">
        <v>729</v>
      </c>
      <c r="B192" s="174" t="str">
        <f t="shared" si="18"/>
        <v>SID_ENIGMA</v>
      </c>
      <c r="C192" s="188" t="s">
        <v>730</v>
      </c>
      <c r="D192" s="188">
        <v>0</v>
      </c>
      <c r="E192" s="188">
        <v>0</v>
      </c>
      <c r="F192" s="188">
        <v>1</v>
      </c>
      <c r="G192" s="188" t="s">
        <v>610</v>
      </c>
      <c r="H192" s="188">
        <v>1</v>
      </c>
      <c r="I192" s="188" t="s">
        <v>609</v>
      </c>
      <c r="J192" s="188"/>
      <c r="K192" s="173" t="str">
        <f t="shared" si="17"/>
        <v>SpellData.create(SID_ENIGMA,"谜团",0,0,1,OrderId("channel"),1,ORDER_TYPE_IMMEDIATE);</v>
      </c>
      <c r="L192" s="173" t="str">
        <f t="shared" si="16"/>
        <v>SpellData.create(SID_ENIGMA,"Enigma",0,0,1,OrderId("channel"),1,ORDER_TYPE_IMMEDIATE);</v>
      </c>
      <c r="M192" s="188" t="s">
        <v>1707</v>
      </c>
      <c r="N192" s="188"/>
      <c r="O192" s="188"/>
      <c r="P192" s="188"/>
      <c r="Q192" s="188"/>
      <c r="R192" s="188"/>
      <c r="S192" s="188"/>
      <c r="T192" s="188"/>
      <c r="U192" s="188"/>
      <c r="V192" s="188"/>
      <c r="W192" s="188"/>
      <c r="X192" s="188"/>
    </row>
    <row r="193" spans="1:24" s="190" customFormat="1">
      <c r="A193" s="188" t="s">
        <v>1757</v>
      </c>
      <c r="B193" s="174" t="str">
        <f t="shared" si="18"/>
        <v>SID_PURE_ARCANE</v>
      </c>
      <c r="C193" s="188" t="s">
        <v>1758</v>
      </c>
      <c r="D193" s="188">
        <v>0</v>
      </c>
      <c r="E193" s="188">
        <v>0</v>
      </c>
      <c r="F193" s="188">
        <v>1</v>
      </c>
      <c r="G193" s="188" t="s">
        <v>610</v>
      </c>
      <c r="H193" s="188">
        <v>1</v>
      </c>
      <c r="I193" s="188" t="s">
        <v>609</v>
      </c>
      <c r="J193" s="188"/>
      <c r="K193" s="173" t="str">
        <f t="shared" si="17"/>
        <v>SpellData.create(SID_PURE_ARCANE,"纯净秘法",0,0,1,OrderId("channel"),1,ORDER_TYPE_IMMEDIATE);</v>
      </c>
      <c r="L193" s="173" t="str">
        <f t="shared" si="16"/>
        <v>SpellData.create(SID_PURE_ARCANE,"Pure Arcane",0,0,1,OrderId("channel"),1,ORDER_TYPE_IMMEDIATE);</v>
      </c>
      <c r="M193" s="188" t="s">
        <v>1707</v>
      </c>
      <c r="N193" s="188"/>
      <c r="O193" s="188"/>
      <c r="P193" s="188"/>
      <c r="Q193" s="188"/>
      <c r="R193" s="188"/>
      <c r="S193" s="188"/>
      <c r="T193" s="188"/>
      <c r="U193" s="188"/>
      <c r="V193" s="188"/>
      <c r="W193" s="188"/>
      <c r="X193" s="188"/>
    </row>
    <row r="194" spans="1:24" s="190" customFormat="1">
      <c r="A194" s="188" t="s">
        <v>1677</v>
      </c>
      <c r="B194" s="174" t="str">
        <f t="shared" si="18"/>
        <v>SID_GOBLIN_ROCKET_BOOTS_LIMITED_EDITION</v>
      </c>
      <c r="C194" s="188" t="s">
        <v>728</v>
      </c>
      <c r="D194" s="188">
        <v>0</v>
      </c>
      <c r="E194" s="188">
        <v>0</v>
      </c>
      <c r="F194" s="188">
        <v>1</v>
      </c>
      <c r="G194" s="188" t="s">
        <v>610</v>
      </c>
      <c r="H194" s="188">
        <v>1</v>
      </c>
      <c r="I194" s="188" t="s">
        <v>609</v>
      </c>
      <c r="J194" s="188"/>
      <c r="K194" s="173" t="str">
        <f t="shared" si="17"/>
        <v>SpellData.create(SID_GOBLIN_ROCKET_BOOTS_LIMITED_EDITION,"地精火箭靴",0,0,1,OrderId("channel"),1,ORDER_TYPE_IMMEDIATE);</v>
      </c>
      <c r="L194" s="173" t="str">
        <f t="shared" si="16"/>
        <v>SpellData.create(SID_GOBLIN_ROCKET_BOOTS_LIMITED_EDITION,"Goblin Rocket Boots LIMITED EDITION",0,0,1,OrderId("channel"),1,ORDER_TYPE_IMMEDIATE);</v>
      </c>
      <c r="M194" s="188" t="s">
        <v>1707</v>
      </c>
      <c r="N194" s="188"/>
      <c r="O194" s="188"/>
      <c r="P194" s="188"/>
      <c r="Q194" s="188"/>
      <c r="R194" s="188"/>
      <c r="S194" s="188"/>
      <c r="T194" s="188"/>
      <c r="U194" s="188"/>
      <c r="V194" s="188"/>
      <c r="W194" s="188"/>
      <c r="X194" s="188"/>
    </row>
    <row r="195" spans="1:24" s="190" customFormat="1">
      <c r="A195" s="188" t="s">
        <v>726</v>
      </c>
      <c r="B195" s="174" t="str">
        <f t="shared" si="18"/>
        <v>SID_HEALTH_STONE</v>
      </c>
      <c r="C195" s="188" t="s">
        <v>727</v>
      </c>
      <c r="D195" s="188">
        <v>0</v>
      </c>
      <c r="E195" s="188">
        <v>0</v>
      </c>
      <c r="F195" s="188">
        <v>1</v>
      </c>
      <c r="G195" s="188" t="s">
        <v>610</v>
      </c>
      <c r="H195" s="188">
        <v>1</v>
      </c>
      <c r="I195" s="188" t="s">
        <v>609</v>
      </c>
      <c r="J195" s="188"/>
      <c r="K195" s="173" t="str">
        <f t="shared" si="17"/>
        <v>SpellData.create(SID_HEALTH_STONE,"医疗石",0,0,1,OrderId("channel"),1,ORDER_TYPE_IMMEDIATE);</v>
      </c>
      <c r="L195" s="173" t="str">
        <f t="shared" si="16"/>
        <v>SpellData.create(SID_HEALTH_STONE,"Health Stone",0,0,1,OrderId("channel"),1,ORDER_TYPE_IMMEDIATE);</v>
      </c>
      <c r="M195" s="188" t="s">
        <v>1707</v>
      </c>
      <c r="N195" s="188"/>
      <c r="O195" s="188"/>
      <c r="P195" s="188"/>
      <c r="Q195" s="188"/>
      <c r="R195" s="188"/>
      <c r="S195" s="188"/>
      <c r="T195" s="188"/>
      <c r="U195" s="188"/>
      <c r="V195" s="188"/>
      <c r="W195" s="188"/>
      <c r="X195" s="188"/>
    </row>
    <row r="196" spans="1:24" s="190" customFormat="1">
      <c r="A196" s="188" t="s">
        <v>724</v>
      </c>
      <c r="B196" s="174" t="str">
        <f t="shared" si="18"/>
        <v>SID_MANA_STONE</v>
      </c>
      <c r="C196" s="188" t="s">
        <v>725</v>
      </c>
      <c r="D196" s="188">
        <v>0</v>
      </c>
      <c r="E196" s="188">
        <v>0</v>
      </c>
      <c r="F196" s="188">
        <v>1</v>
      </c>
      <c r="G196" s="188" t="s">
        <v>610</v>
      </c>
      <c r="H196" s="188">
        <v>1</v>
      </c>
      <c r="I196" s="188" t="s">
        <v>609</v>
      </c>
      <c r="J196" s="188"/>
      <c r="K196" s="173" t="str">
        <f t="shared" si="17"/>
        <v>SpellData.create(SID_MANA_STONE,"魔法石",0,0,1,OrderId("channel"),1,ORDER_TYPE_IMMEDIATE);</v>
      </c>
      <c r="L196" s="173" t="str">
        <f t="shared" si="16"/>
        <v>SpellData.create(SID_MANA_STONE,"Mana Stone",0,0,1,OrderId("channel"),1,ORDER_TYPE_IMMEDIATE);</v>
      </c>
      <c r="M196" s="188" t="s">
        <v>1707</v>
      </c>
      <c r="N196" s="188"/>
      <c r="O196" s="188"/>
      <c r="P196" s="188"/>
      <c r="Q196" s="188"/>
      <c r="R196" s="188"/>
      <c r="S196" s="188"/>
      <c r="T196" s="188"/>
      <c r="U196" s="188"/>
      <c r="V196" s="188"/>
      <c r="W196" s="188"/>
      <c r="X196" s="188"/>
    </row>
    <row r="197" spans="1:24" s="190" customFormat="1">
      <c r="A197" s="188" t="s">
        <v>722</v>
      </c>
      <c r="B197" s="174" t="str">
        <f t="shared" si="18"/>
        <v>SID_HEX_SHRUNKEN_HEAD</v>
      </c>
      <c r="C197" s="188" t="s">
        <v>723</v>
      </c>
      <c r="D197" s="188">
        <v>0</v>
      </c>
      <c r="E197" s="188">
        <v>0</v>
      </c>
      <c r="F197" s="188">
        <v>1</v>
      </c>
      <c r="G197" s="188" t="s">
        <v>610</v>
      </c>
      <c r="H197" s="188">
        <v>1</v>
      </c>
      <c r="I197" s="188" t="s">
        <v>609</v>
      </c>
      <c r="J197" s="188"/>
      <c r="K197" s="173" t="str">
        <f t="shared" si="17"/>
        <v>SpellData.create(SID_HEX_SHRUNKEN_HEAD,"妖术之颅",0,0,1,OrderId("channel"),1,ORDER_TYPE_IMMEDIATE);</v>
      </c>
      <c r="L197" s="173" t="str">
        <f t="shared" si="16"/>
        <v>SpellData.create(SID_HEX_SHRUNKEN_HEAD,"Hex Shrunken Head",0,0,1,OrderId("channel"),1,ORDER_TYPE_IMMEDIATE);</v>
      </c>
      <c r="M197" s="188" t="s">
        <v>1707</v>
      </c>
      <c r="N197" s="188"/>
      <c r="O197" s="188"/>
      <c r="P197" s="188"/>
      <c r="Q197" s="188"/>
      <c r="R197" s="188"/>
      <c r="S197" s="188"/>
      <c r="T197" s="188"/>
      <c r="U197" s="188"/>
      <c r="V197" s="188"/>
      <c r="W197" s="188"/>
      <c r="X197" s="188"/>
    </row>
    <row r="198" spans="1:24" s="190" customFormat="1">
      <c r="A198" s="188" t="s">
        <v>720</v>
      </c>
      <c r="B198" s="174" t="str">
        <f t="shared" si="18"/>
        <v>SID_ICON_OF_THE_UNGLAZED_CRESCENT</v>
      </c>
      <c r="C198" s="188" t="s">
        <v>721</v>
      </c>
      <c r="D198" s="188">
        <v>0</v>
      </c>
      <c r="E198" s="188">
        <v>0</v>
      </c>
      <c r="F198" s="188">
        <v>1</v>
      </c>
      <c r="G198" s="188" t="s">
        <v>610</v>
      </c>
      <c r="H198" s="188">
        <v>1</v>
      </c>
      <c r="I198" s="188" t="s">
        <v>609</v>
      </c>
      <c r="J198" s="188"/>
      <c r="K198" s="173" t="str">
        <f t="shared" si="17"/>
        <v>SpellData.create(SID_ICON_OF_THE_UNGLAZED_CRESCENT,"无光的新月徽记",0,0,1,OrderId("channel"),1,ORDER_TYPE_IMMEDIATE);</v>
      </c>
      <c r="L198" s="173" t="str">
        <f t="shared" si="16"/>
        <v>SpellData.create(SID_ICON_OF_THE_UNGLAZED_CRESCENT,"Icon of the Unglazed Crescent",0,0,1,OrderId("channel"),1,ORDER_TYPE_IMMEDIATE);</v>
      </c>
      <c r="M198" s="188" t="s">
        <v>1707</v>
      </c>
      <c r="N198" s="188"/>
      <c r="O198" s="188"/>
      <c r="P198" s="188"/>
      <c r="Q198" s="188"/>
      <c r="R198" s="188"/>
      <c r="S198" s="188"/>
      <c r="T198" s="188"/>
      <c r="U198" s="188"/>
      <c r="V198" s="188"/>
      <c r="W198" s="188"/>
      <c r="X198" s="188"/>
    </row>
    <row r="199" spans="1:24" s="190" customFormat="1">
      <c r="A199" s="188" t="s">
        <v>718</v>
      </c>
      <c r="B199" s="174" t="str">
        <f t="shared" si="18"/>
        <v>SID_LIGHTS_JUSTICE</v>
      </c>
      <c r="C199" s="188" t="s">
        <v>719</v>
      </c>
      <c r="D199" s="188">
        <v>0</v>
      </c>
      <c r="E199" s="188">
        <v>0</v>
      </c>
      <c r="F199" s="188">
        <v>1</v>
      </c>
      <c r="G199" s="188" t="s">
        <v>610</v>
      </c>
      <c r="H199" s="188">
        <v>1</v>
      </c>
      <c r="I199" s="188" t="s">
        <v>609</v>
      </c>
      <c r="J199" s="188"/>
      <c r="K199" s="173" t="str">
        <f t="shared" si="17"/>
        <v>SpellData.create(SID_LIGHTS_JUSTICE,"圣光的正义",0,0,1,OrderId("channel"),1,ORDER_TYPE_IMMEDIATE);</v>
      </c>
      <c r="L199" s="173" t="str">
        <f t="shared" si="16"/>
        <v>SpellData.create(SID_LIGHTS_JUSTICE,"Lights Justice",0,0,1,OrderId("channel"),1,ORDER_TYPE_IMMEDIATE);</v>
      </c>
      <c r="M199" s="188" t="s">
        <v>1707</v>
      </c>
      <c r="N199" s="188"/>
      <c r="O199" s="188"/>
      <c r="P199" s="188"/>
      <c r="Q199" s="188"/>
      <c r="R199" s="188"/>
      <c r="S199" s="188"/>
      <c r="T199" s="188"/>
      <c r="U199" s="188"/>
      <c r="V199" s="188"/>
      <c r="W199" s="188"/>
      <c r="X199" s="188"/>
    </row>
    <row r="200" spans="1:24" s="190" customFormat="1">
      <c r="A200" s="188" t="s">
        <v>1755</v>
      </c>
      <c r="B200" s="174" t="str">
        <f t="shared" si="18"/>
        <v>SID_ROMULOS_EXPIRED_POISION</v>
      </c>
      <c r="C200" s="188" t="s">
        <v>1756</v>
      </c>
      <c r="D200" s="188">
        <v>0</v>
      </c>
      <c r="E200" s="188">
        <v>0</v>
      </c>
      <c r="F200" s="188">
        <v>1</v>
      </c>
      <c r="G200" s="188" t="s">
        <v>610</v>
      </c>
      <c r="H200" s="188">
        <v>1</v>
      </c>
      <c r="I200" s="188" t="s">
        <v>609</v>
      </c>
      <c r="J200" s="188"/>
      <c r="K200" s="173" t="str">
        <f t="shared" si="17"/>
        <v>SpellData.create(SID_ROMULOS_EXPIRED_POISION,"罗密欧的过期毒药",0,0,1,OrderId("channel"),1,ORDER_TYPE_IMMEDIATE);</v>
      </c>
      <c r="L200" s="173" t="str">
        <f t="shared" si="16"/>
        <v>SpellData.create(SID_ROMULOS_EXPIRED_POISION,"Romulos Expired Poision",0,0,1,OrderId("channel"),1,ORDER_TYPE_IMMEDIATE);</v>
      </c>
      <c r="M200" s="188" t="s">
        <v>1707</v>
      </c>
      <c r="N200" s="188"/>
      <c r="O200" s="188"/>
      <c r="P200" s="188"/>
      <c r="Q200" s="188"/>
      <c r="R200" s="188"/>
      <c r="S200" s="188"/>
      <c r="T200" s="188"/>
      <c r="U200" s="188"/>
      <c r="V200" s="188"/>
      <c r="W200" s="188"/>
      <c r="X200" s="188"/>
    </row>
    <row r="201" spans="1:24" s="190" customFormat="1">
      <c r="A201" s="188" t="s">
        <v>716</v>
      </c>
      <c r="B201" s="174" t="str">
        <f t="shared" si="18"/>
        <v>SID_MOROES_LUCKY_GEAR</v>
      </c>
      <c r="C201" s="188" t="s">
        <v>717</v>
      </c>
      <c r="D201" s="188">
        <v>0</v>
      </c>
      <c r="E201" s="188">
        <v>0</v>
      </c>
      <c r="F201" s="188">
        <v>1</v>
      </c>
      <c r="G201" s="188" t="s">
        <v>610</v>
      </c>
      <c r="H201" s="188">
        <v>1</v>
      </c>
      <c r="I201" s="188" t="s">
        <v>609</v>
      </c>
      <c r="J201" s="188"/>
      <c r="K201" s="173" t="str">
        <f t="shared" si="17"/>
        <v>SpellData.create(SID_MOROES_LUCKY_GEAR,"莫罗斯的幸运怀表",0,0,1,OrderId("channel"),1,ORDER_TYPE_IMMEDIATE);</v>
      </c>
      <c r="L201" s="173" t="str">
        <f t="shared" ref="L201:L256" si="26">IF(A201="N/A","//",CONCATENATE("SpellData.create(",B201,",",CHAR(34),A201,CHAR(34),",",E201,",",D201,",",F201,",",G201,",",H201,",",I201,")",J201,";"))</f>
        <v>SpellData.create(SID_MOROES_LUCKY_GEAR,"Moroes Lucky Gear",0,0,1,OrderId("channel"),1,ORDER_TYPE_IMMEDIATE);</v>
      </c>
      <c r="M201" s="188" t="s">
        <v>1707</v>
      </c>
      <c r="N201" s="188"/>
      <c r="O201" s="188"/>
      <c r="P201" s="188"/>
      <c r="Q201" s="188"/>
      <c r="R201" s="188"/>
      <c r="S201" s="188"/>
      <c r="T201" s="188"/>
      <c r="U201" s="188"/>
      <c r="V201" s="188"/>
      <c r="W201" s="188"/>
      <c r="X201" s="188"/>
    </row>
    <row r="202" spans="1:24" s="190" customFormat="1">
      <c r="A202" s="188" t="s">
        <v>714</v>
      </c>
      <c r="B202" s="174" t="str">
        <f t="shared" si="18"/>
        <v>SID_REFORGED_BADGE_OF_TENACITY</v>
      </c>
      <c r="C202" s="188" t="s">
        <v>715</v>
      </c>
      <c r="D202" s="188">
        <v>0</v>
      </c>
      <c r="E202" s="188">
        <v>0</v>
      </c>
      <c r="F202" s="188">
        <v>1</v>
      </c>
      <c r="G202" s="188" t="s">
        <v>610</v>
      </c>
      <c r="H202" s="188">
        <v>1</v>
      </c>
      <c r="I202" s="188" t="s">
        <v>609</v>
      </c>
      <c r="J202" s="188"/>
      <c r="K202" s="173" t="str">
        <f t="shared" si="17"/>
        <v>SpellData.create(SID_REFORGED_BADGE_OF_TENACITY,"重铸的坚韧徽章",0,0,1,OrderId("channel"),1,ORDER_TYPE_IMMEDIATE);</v>
      </c>
      <c r="L202" s="173" t="str">
        <f t="shared" si="26"/>
        <v>SpellData.create(SID_REFORGED_BADGE_OF_TENACITY,"Reforged Badge of Tenacity",0,0,1,OrderId("channel"),1,ORDER_TYPE_IMMEDIATE);</v>
      </c>
      <c r="M202" s="188" t="s">
        <v>1707</v>
      </c>
      <c r="N202" s="188"/>
      <c r="O202" s="188"/>
      <c r="P202" s="188"/>
      <c r="Q202" s="188"/>
      <c r="R202" s="188"/>
      <c r="S202" s="188"/>
      <c r="T202" s="188"/>
      <c r="U202" s="188"/>
      <c r="V202" s="188"/>
      <c r="W202" s="188"/>
      <c r="X202" s="188"/>
    </row>
    <row r="203" spans="1:24" s="190" customFormat="1">
      <c r="A203" s="188" t="s">
        <v>712</v>
      </c>
      <c r="B203" s="174" t="str">
        <f t="shared" si="18"/>
        <v>SID_TYRAELS_MIGHT</v>
      </c>
      <c r="C203" s="188" t="s">
        <v>713</v>
      </c>
      <c r="D203" s="188">
        <v>0</v>
      </c>
      <c r="E203" s="188">
        <v>0</v>
      </c>
      <c r="F203" s="188">
        <v>1</v>
      </c>
      <c r="G203" s="188" t="s">
        <v>610</v>
      </c>
      <c r="H203" s="188">
        <v>1</v>
      </c>
      <c r="I203" s="188" t="s">
        <v>609</v>
      </c>
      <c r="J203" s="188"/>
      <c r="K203" s="173" t="str">
        <f t="shared" si="17"/>
        <v>SpellData.create(SID_TYRAELS_MIGHT,"正义天使之力",0,0,1,OrderId("channel"),1,ORDER_TYPE_IMMEDIATE);</v>
      </c>
      <c r="L203" s="173" t="str">
        <f t="shared" si="26"/>
        <v>SpellData.create(SID_TYRAELS_MIGHT,"Tyraels Might",0,0,1,OrderId("channel"),1,ORDER_TYPE_IMMEDIATE);</v>
      </c>
      <c r="M203" s="188" t="s">
        <v>1707</v>
      </c>
      <c r="N203" s="188"/>
      <c r="O203" s="188"/>
      <c r="P203" s="188"/>
      <c r="Q203" s="188"/>
      <c r="R203" s="188"/>
      <c r="S203" s="188"/>
      <c r="T203" s="188"/>
      <c r="U203" s="188"/>
      <c r="V203" s="188"/>
      <c r="W203" s="188"/>
      <c r="X203" s="188"/>
    </row>
    <row r="204" spans="1:24" s="190" customFormat="1">
      <c r="A204" s="188" t="s">
        <v>1727</v>
      </c>
      <c r="B204" s="174" t="str">
        <f t="shared" si="18"/>
        <v>SID_VOODOO_VIALS</v>
      </c>
      <c r="C204" s="188" t="s">
        <v>711</v>
      </c>
      <c r="D204" s="188">
        <v>0</v>
      </c>
      <c r="E204" s="188">
        <v>0</v>
      </c>
      <c r="F204" s="188">
        <v>1</v>
      </c>
      <c r="G204" s="188" t="s">
        <v>610</v>
      </c>
      <c r="H204" s="188">
        <v>1</v>
      </c>
      <c r="I204" s="188" t="s">
        <v>609</v>
      </c>
      <c r="J204" s="188"/>
      <c r="K204" s="173" t="str">
        <f t="shared" si="17"/>
        <v>SpellData.create(SID_VOODOO_VIALS,"巫毒瓶",0,0,1,OrderId("channel"),1,ORDER_TYPE_IMMEDIATE);</v>
      </c>
      <c r="L204" s="173" t="str">
        <f t="shared" si="26"/>
        <v>SpellData.create(SID_VOODOO_VIALS,"Voodoo Vials",0,0,1,OrderId("channel"),1,ORDER_TYPE_IMMEDIATE);</v>
      </c>
      <c r="M204" s="188" t="s">
        <v>1707</v>
      </c>
      <c r="N204" s="188"/>
      <c r="O204" s="188"/>
      <c r="P204" s="188"/>
      <c r="Q204" s="188"/>
      <c r="R204" s="188"/>
      <c r="S204" s="188"/>
      <c r="T204" s="188"/>
      <c r="U204" s="188"/>
      <c r="V204" s="188"/>
      <c r="W204" s="188"/>
      <c r="X204" s="188"/>
    </row>
    <row r="205" spans="1:24">
      <c r="A205" s="179" t="s">
        <v>709</v>
      </c>
      <c r="B205" s="174" t="str">
        <f t="shared" si="18"/>
        <v>SID_ARMAGEDDON_SCROLL</v>
      </c>
      <c r="C205" s="179" t="s">
        <v>710</v>
      </c>
      <c r="D205" s="179">
        <v>0</v>
      </c>
      <c r="E205" s="179">
        <v>0</v>
      </c>
      <c r="F205" s="179">
        <v>1</v>
      </c>
      <c r="G205" s="179" t="s">
        <v>610</v>
      </c>
      <c r="H205" s="179">
        <v>1</v>
      </c>
      <c r="I205" s="179" t="s">
        <v>609</v>
      </c>
      <c r="J205" s="179"/>
      <c r="K205" s="173" t="str">
        <f t="shared" si="17"/>
        <v>SpellData.create(SID_ARMAGEDDON_SCROLL,"末日审判",0,0,1,OrderId("channel"),1,ORDER_TYPE_IMMEDIATE);</v>
      </c>
      <c r="L205" s="173" t="str">
        <f t="shared" si="26"/>
        <v>SpellData.create(SID_ARMAGEDDON_SCROLL,"Armageddon Scroll",0,0,1,OrderId("channel"),1,ORDER_TYPE_IMMEDIATE);</v>
      </c>
      <c r="M205" s="179" t="s">
        <v>1707</v>
      </c>
      <c r="N205" s="179"/>
      <c r="O205" s="179"/>
      <c r="P205" s="179"/>
      <c r="Q205" s="179"/>
      <c r="R205" s="179"/>
      <c r="S205" s="179"/>
      <c r="T205" s="179"/>
      <c r="U205" s="179"/>
      <c r="V205" s="179"/>
      <c r="W205" s="179"/>
      <c r="X205" s="179"/>
    </row>
    <row r="206" spans="1:24">
      <c r="A206" s="179" t="s">
        <v>707</v>
      </c>
      <c r="B206" s="174" t="str">
        <f t="shared" si="18"/>
        <v>SID_ARANS_COUNTER_SPELL_SCROLL</v>
      </c>
      <c r="C206" s="179" t="s">
        <v>708</v>
      </c>
      <c r="D206" s="179">
        <v>0</v>
      </c>
      <c r="E206" s="179">
        <v>0</v>
      </c>
      <c r="F206" s="179">
        <v>1</v>
      </c>
      <c r="G206" s="179" t="s">
        <v>610</v>
      </c>
      <c r="H206" s="179">
        <v>1</v>
      </c>
      <c r="I206" s="179" t="s">
        <v>609</v>
      </c>
      <c r="J206" s="179"/>
      <c r="K206" s="173" t="str">
        <f t="shared" si="17"/>
        <v>SpellData.create(SID_ARANS_COUNTER_SPELL_SCROLL,"埃兰的反制卷轴",0,0,1,OrderId("channel"),1,ORDER_TYPE_IMMEDIATE);</v>
      </c>
      <c r="L206" s="173" t="str">
        <f t="shared" si="26"/>
        <v>SpellData.create(SID_ARANS_COUNTER_SPELL_SCROLL,"Arans Counter Spell Scroll",0,0,1,OrderId("channel"),1,ORDER_TYPE_IMMEDIATE);</v>
      </c>
      <c r="M206" s="179" t="s">
        <v>1707</v>
      </c>
      <c r="N206" s="179"/>
      <c r="O206" s="179"/>
      <c r="P206" s="179"/>
      <c r="Q206" s="179"/>
      <c r="R206" s="179"/>
      <c r="S206" s="179"/>
      <c r="T206" s="179"/>
      <c r="U206" s="179"/>
      <c r="V206" s="179"/>
      <c r="W206" s="179"/>
      <c r="X206" s="179"/>
    </row>
    <row r="207" spans="1:24">
      <c r="A207" s="179" t="s">
        <v>705</v>
      </c>
      <c r="B207" s="174" t="str">
        <f t="shared" si="18"/>
        <v>SID_BANSHEE_SCROLL</v>
      </c>
      <c r="C207" s="179" t="s">
        <v>706</v>
      </c>
      <c r="D207" s="179">
        <v>0</v>
      </c>
      <c r="E207" s="179">
        <v>0</v>
      </c>
      <c r="F207" s="179">
        <v>1</v>
      </c>
      <c r="G207" s="179" t="s">
        <v>610</v>
      </c>
      <c r="H207" s="179">
        <v>1</v>
      </c>
      <c r="I207" s="179" t="s">
        <v>609</v>
      </c>
      <c r="J207" s="179"/>
      <c r="K207" s="173" t="str">
        <f t="shared" si="17"/>
        <v>SpellData.create(SID_BANSHEE_SCROLL,"女妖之嚎卷轴",0,0,1,OrderId("channel"),1,ORDER_TYPE_IMMEDIATE);</v>
      </c>
      <c r="L207" s="173" t="str">
        <f t="shared" si="26"/>
        <v>SpellData.create(SID_BANSHEE_SCROLL,"Banshee Scroll",0,0,1,OrderId("channel"),1,ORDER_TYPE_IMMEDIATE);</v>
      </c>
      <c r="M207" s="179" t="s">
        <v>1707</v>
      </c>
      <c r="N207" s="179"/>
      <c r="O207" s="179"/>
      <c r="P207" s="179"/>
      <c r="Q207" s="179"/>
      <c r="R207" s="179"/>
      <c r="S207" s="179"/>
      <c r="T207" s="179"/>
      <c r="U207" s="179"/>
      <c r="V207" s="179"/>
      <c r="W207" s="179"/>
      <c r="X207" s="179"/>
    </row>
    <row r="208" spans="1:24">
      <c r="A208" s="179" t="s">
        <v>703</v>
      </c>
      <c r="B208" s="174" t="str">
        <f t="shared" si="18"/>
        <v>SID_CORRUPTION_SCROLL</v>
      </c>
      <c r="C208" s="179" t="s">
        <v>704</v>
      </c>
      <c r="D208" s="179">
        <v>0</v>
      </c>
      <c r="E208" s="179">
        <v>0</v>
      </c>
      <c r="F208" s="179">
        <v>1</v>
      </c>
      <c r="G208" s="179" t="s">
        <v>610</v>
      </c>
      <c r="H208" s="179">
        <v>1</v>
      </c>
      <c r="I208" s="179" t="s">
        <v>609</v>
      </c>
      <c r="J208" s="179"/>
      <c r="K208" s="173" t="str">
        <f t="shared" si="17"/>
        <v>SpellData.create(SID_CORRUPTION_SCROLL,"腐蚀卷轴",0,0,1,OrderId("channel"),1,ORDER_TYPE_IMMEDIATE);</v>
      </c>
      <c r="L208" s="173" t="str">
        <f t="shared" si="26"/>
        <v>SpellData.create(SID_CORRUPTION_SCROLL,"Corruption Scroll",0,0,1,OrderId("channel"),1,ORDER_TYPE_IMMEDIATE);</v>
      </c>
      <c r="M208" s="179" t="s">
        <v>1707</v>
      </c>
      <c r="N208" s="179"/>
      <c r="O208" s="179"/>
      <c r="P208" s="179"/>
      <c r="Q208" s="179"/>
      <c r="R208" s="179"/>
      <c r="S208" s="179"/>
      <c r="T208" s="179"/>
      <c r="U208" s="179"/>
      <c r="V208" s="179"/>
      <c r="W208" s="179"/>
      <c r="X208" s="179"/>
    </row>
    <row r="209" spans="1:24">
      <c r="A209" s="179" t="s">
        <v>701</v>
      </c>
      <c r="B209" s="174" t="str">
        <f t="shared" si="18"/>
        <v>SID_DEFEND_SCROLL</v>
      </c>
      <c r="C209" s="179" t="s">
        <v>702</v>
      </c>
      <c r="D209" s="179">
        <v>0</v>
      </c>
      <c r="E209" s="179">
        <v>0</v>
      </c>
      <c r="F209" s="179">
        <v>1</v>
      </c>
      <c r="G209" s="179" t="s">
        <v>610</v>
      </c>
      <c r="H209" s="179">
        <v>1</v>
      </c>
      <c r="I209" s="179" t="s">
        <v>609</v>
      </c>
      <c r="J209" s="179"/>
      <c r="K209" s="173" t="str">
        <f t="shared" si="17"/>
        <v>SpellData.create(SID_DEFEND_SCROLL,"守护卷轴",0,0,1,OrderId("channel"),1,ORDER_TYPE_IMMEDIATE);</v>
      </c>
      <c r="L209" s="173" t="str">
        <f t="shared" si="26"/>
        <v>SpellData.create(SID_DEFEND_SCROLL,"Defend Scroll",0,0,1,OrderId("channel"),1,ORDER_TYPE_IMMEDIATE);</v>
      </c>
      <c r="M209" s="179" t="s">
        <v>1707</v>
      </c>
      <c r="N209" s="179"/>
      <c r="O209" s="179"/>
      <c r="P209" s="179"/>
      <c r="Q209" s="179"/>
      <c r="R209" s="179"/>
      <c r="S209" s="179"/>
      <c r="T209" s="179"/>
      <c r="U209" s="179"/>
      <c r="V209" s="179"/>
      <c r="W209" s="179"/>
      <c r="X209" s="179"/>
    </row>
    <row r="210" spans="1:24">
      <c r="A210" s="179" t="s">
        <v>699</v>
      </c>
      <c r="B210" s="174" t="str">
        <f t="shared" si="18"/>
        <v>SID_FRENZY_SCROLL</v>
      </c>
      <c r="C210" s="179" t="s">
        <v>700</v>
      </c>
      <c r="D210" s="179">
        <v>0</v>
      </c>
      <c r="E210" s="179">
        <v>0</v>
      </c>
      <c r="F210" s="179">
        <v>1</v>
      </c>
      <c r="G210" s="179" t="s">
        <v>610</v>
      </c>
      <c r="H210" s="179">
        <v>1</v>
      </c>
      <c r="I210" s="179" t="s">
        <v>609</v>
      </c>
      <c r="J210" s="179"/>
      <c r="K210" s="173" t="str">
        <f t="shared" ref="K210:K256" si="27">IF(C210="N/A","//",CONCATENATE("SpellData.create(",B210,",",CHAR(34),C210,CHAR(34),",",E210,",",D210,",",F210,",",G210,",",H210,",",I210,")",J210,";"))</f>
        <v>SpellData.create(SID_FRENZY_SCROLL,"狂热卷轴",0,0,1,OrderId("channel"),1,ORDER_TYPE_IMMEDIATE);</v>
      </c>
      <c r="L210" s="173" t="str">
        <f t="shared" si="26"/>
        <v>SpellData.create(SID_FRENZY_SCROLL,"Frenzy Scroll",0,0,1,OrderId("channel"),1,ORDER_TYPE_IMMEDIATE);</v>
      </c>
      <c r="M210" s="179" t="s">
        <v>1707</v>
      </c>
      <c r="N210" s="179"/>
      <c r="O210" s="179"/>
      <c r="P210" s="179"/>
      <c r="Q210" s="179"/>
      <c r="R210" s="179"/>
      <c r="S210" s="179"/>
      <c r="T210" s="179"/>
      <c r="U210" s="179"/>
      <c r="V210" s="179"/>
      <c r="W210" s="179"/>
      <c r="X210" s="179"/>
    </row>
    <row r="211" spans="1:24">
      <c r="A211" s="179" t="s">
        <v>697</v>
      </c>
      <c r="B211" s="174" t="str">
        <f t="shared" si="18"/>
        <v>SID_HEAL_SCROLL</v>
      </c>
      <c r="C211" s="179" t="s">
        <v>698</v>
      </c>
      <c r="D211" s="179">
        <v>0</v>
      </c>
      <c r="E211" s="179">
        <v>0</v>
      </c>
      <c r="F211" s="179">
        <v>1</v>
      </c>
      <c r="G211" s="179" t="s">
        <v>610</v>
      </c>
      <c r="H211" s="179">
        <v>1</v>
      </c>
      <c r="I211" s="179" t="s">
        <v>609</v>
      </c>
      <c r="J211" s="179"/>
      <c r="K211" s="173" t="str">
        <f t="shared" si="27"/>
        <v>SpellData.create(SID_HEAL_SCROLL,"医疗卷轴",0,0,1,OrderId("channel"),1,ORDER_TYPE_IMMEDIATE);</v>
      </c>
      <c r="L211" s="173" t="str">
        <f t="shared" si="26"/>
        <v>SpellData.create(SID_HEAL_SCROLL,"Heal Scroll",0,0,1,OrderId("channel"),1,ORDER_TYPE_IMMEDIATE);</v>
      </c>
      <c r="M211" s="179" t="s">
        <v>1707</v>
      </c>
      <c r="N211" s="179"/>
      <c r="O211" s="179"/>
      <c r="P211" s="179"/>
      <c r="Q211" s="179"/>
      <c r="R211" s="179"/>
      <c r="S211" s="179"/>
      <c r="T211" s="179"/>
      <c r="U211" s="179"/>
      <c r="V211" s="179"/>
      <c r="W211" s="179"/>
      <c r="X211" s="179"/>
    </row>
    <row r="212" spans="1:24">
      <c r="A212" s="179" t="s">
        <v>695</v>
      </c>
      <c r="B212" s="174" t="str">
        <f t="shared" ref="B212" si="28">"SID_"&amp;UPPER(SUBSTITUTE(A212," ","_"))</f>
        <v>SID_MANA_SCROLL</v>
      </c>
      <c r="C212" s="179" t="s">
        <v>696</v>
      </c>
      <c r="D212" s="179">
        <v>0</v>
      </c>
      <c r="E212" s="179">
        <v>0</v>
      </c>
      <c r="F212" s="179">
        <v>1</v>
      </c>
      <c r="G212" s="179" t="s">
        <v>610</v>
      </c>
      <c r="H212" s="179">
        <v>1</v>
      </c>
      <c r="I212" s="179" t="s">
        <v>609</v>
      </c>
      <c r="J212" s="179"/>
      <c r="K212" s="173" t="str">
        <f t="shared" si="27"/>
        <v>SpellData.create(SID_MANA_SCROLL,"魔法卷轴",0,0,1,OrderId("channel"),1,ORDER_TYPE_IMMEDIATE);</v>
      </c>
      <c r="L212" s="173" t="str">
        <f t="shared" si="26"/>
        <v>SpellData.create(SID_MANA_SCROLL,"Mana Scroll",0,0,1,OrderId("channel"),1,ORDER_TYPE_IMMEDIATE);</v>
      </c>
      <c r="M212" s="179" t="s">
        <v>1707</v>
      </c>
      <c r="N212" s="179"/>
      <c r="O212" s="179"/>
      <c r="P212" s="179"/>
      <c r="Q212" s="179"/>
      <c r="R212" s="179"/>
      <c r="S212" s="179"/>
      <c r="T212" s="179"/>
      <c r="U212" s="179"/>
      <c r="V212" s="179"/>
      <c r="W212" s="179"/>
      <c r="X212" s="179"/>
    </row>
    <row r="213" spans="1:24">
      <c r="A213" s="179" t="s">
        <v>693</v>
      </c>
      <c r="B213" s="174" t="str">
        <f t="shared" si="18"/>
        <v>SID_MASS_DISPEL_SCROLL</v>
      </c>
      <c r="C213" s="179" t="s">
        <v>694</v>
      </c>
      <c r="D213" s="179">
        <v>0</v>
      </c>
      <c r="E213" s="179">
        <v>0</v>
      </c>
      <c r="F213" s="179">
        <v>1</v>
      </c>
      <c r="G213" s="179" t="s">
        <v>610</v>
      </c>
      <c r="H213" s="179">
        <v>1</v>
      </c>
      <c r="I213" s="179" t="s">
        <v>609</v>
      </c>
      <c r="J213" s="179"/>
      <c r="K213" s="173" t="str">
        <f t="shared" si="27"/>
        <v>SpellData.create(SID_MASS_DISPEL_SCROLL,"大型驱魔卷轴",0,0,1,OrderId("channel"),1,ORDER_TYPE_IMMEDIATE);</v>
      </c>
      <c r="L213" s="173" t="str">
        <f t="shared" si="26"/>
        <v>SpellData.create(SID_MASS_DISPEL_SCROLL,"Mass Dispel Scroll",0,0,1,OrderId("channel"),1,ORDER_TYPE_IMMEDIATE);</v>
      </c>
      <c r="M213" s="179" t="s">
        <v>1707</v>
      </c>
      <c r="N213" s="179"/>
      <c r="O213" s="179"/>
      <c r="P213" s="179"/>
      <c r="Q213" s="179"/>
      <c r="R213" s="179"/>
      <c r="S213" s="179"/>
      <c r="T213" s="179"/>
      <c r="U213" s="179"/>
      <c r="V213" s="179"/>
      <c r="W213" s="179"/>
      <c r="X213" s="179"/>
    </row>
    <row r="214" spans="1:24">
      <c r="A214" s="179" t="s">
        <v>691</v>
      </c>
      <c r="B214" s="174" t="str">
        <f t="shared" ref="B214:B256" si="29">"SID_"&amp;UPPER(SUBSTITUTE(A214," ","_"))</f>
        <v>SID_MASS_TELEPORT_SCROLL</v>
      </c>
      <c r="C214" s="179" t="s">
        <v>692</v>
      </c>
      <c r="D214" s="179">
        <v>0</v>
      </c>
      <c r="E214" s="179">
        <v>0</v>
      </c>
      <c r="F214" s="179">
        <v>1</v>
      </c>
      <c r="G214" s="179" t="s">
        <v>610</v>
      </c>
      <c r="H214" s="179">
        <v>1</v>
      </c>
      <c r="I214" s="179" t="s">
        <v>609</v>
      </c>
      <c r="J214" s="179"/>
      <c r="K214" s="173" t="str">
        <f t="shared" si="27"/>
        <v>SpellData.create(SID_MASS_TELEPORT_SCROLL,"群体传送卷轴",0,0,1,OrderId("channel"),1,ORDER_TYPE_IMMEDIATE);</v>
      </c>
      <c r="L214" s="173" t="str">
        <f t="shared" si="26"/>
        <v>SpellData.create(SID_MASS_TELEPORT_SCROLL,"Mass Teleport Scroll",0,0,1,OrderId("channel"),1,ORDER_TYPE_IMMEDIATE);</v>
      </c>
      <c r="M214" s="179" t="s">
        <v>1707</v>
      </c>
      <c r="N214" s="179"/>
      <c r="O214" s="179"/>
      <c r="P214" s="179"/>
      <c r="Q214" s="179"/>
      <c r="R214" s="179"/>
      <c r="S214" s="179"/>
      <c r="T214" s="179"/>
      <c r="U214" s="179"/>
      <c r="V214" s="179"/>
      <c r="W214" s="179"/>
      <c r="X214" s="179"/>
    </row>
    <row r="215" spans="1:24">
      <c r="A215" s="179" t="s">
        <v>689</v>
      </c>
      <c r="B215" s="174" t="str">
        <f t="shared" si="29"/>
        <v>SID_ROAR_SCROLL</v>
      </c>
      <c r="C215" s="179" t="s">
        <v>690</v>
      </c>
      <c r="D215" s="179">
        <v>0</v>
      </c>
      <c r="E215" s="179">
        <v>0</v>
      </c>
      <c r="F215" s="179">
        <v>1</v>
      </c>
      <c r="G215" s="179" t="s">
        <v>610</v>
      </c>
      <c r="H215" s="179">
        <v>1</v>
      </c>
      <c r="I215" s="179" t="s">
        <v>609</v>
      </c>
      <c r="J215" s="179"/>
      <c r="K215" s="173" t="str">
        <f t="shared" si="27"/>
        <v>SpellData.create(SID_ROAR_SCROLL,"野兽卷轴",0,0,1,OrderId("channel"),1,ORDER_TYPE_IMMEDIATE);</v>
      </c>
      <c r="L215" s="173" t="str">
        <f t="shared" si="26"/>
        <v>SpellData.create(SID_ROAR_SCROLL,"Roar Scroll",0,0,1,OrderId("channel"),1,ORDER_TYPE_IMMEDIATE);</v>
      </c>
      <c r="M215" s="179" t="s">
        <v>1707</v>
      </c>
      <c r="N215" s="179"/>
      <c r="O215" s="179"/>
      <c r="P215" s="179"/>
      <c r="Q215" s="179"/>
      <c r="R215" s="179"/>
      <c r="S215" s="179"/>
      <c r="T215" s="179"/>
      <c r="U215" s="179"/>
      <c r="V215" s="179"/>
      <c r="W215" s="179"/>
      <c r="X215" s="179"/>
    </row>
    <row r="216" spans="1:24">
      <c r="A216" s="179" t="s">
        <v>1678</v>
      </c>
      <c r="B216" s="174" t="str">
        <f t="shared" si="29"/>
        <v>SID_SANCTUARY_SCROLL</v>
      </c>
      <c r="C216" s="179" t="s">
        <v>688</v>
      </c>
      <c r="D216" s="179">
        <v>0</v>
      </c>
      <c r="E216" s="179">
        <v>0</v>
      </c>
      <c r="F216" s="179">
        <v>1</v>
      </c>
      <c r="G216" s="179" t="s">
        <v>610</v>
      </c>
      <c r="H216" s="179">
        <v>1</v>
      </c>
      <c r="I216" s="179" t="s">
        <v>609</v>
      </c>
      <c r="J216" s="179"/>
      <c r="K216" s="173" t="str">
        <f t="shared" si="27"/>
        <v>SpellData.create(SID_SANCTUARY_SCROLL,"庇护所卷轴",0,0,1,OrderId("channel"),1,ORDER_TYPE_IMMEDIATE);</v>
      </c>
      <c r="L216" s="173" t="str">
        <f t="shared" si="26"/>
        <v>SpellData.create(SID_SANCTUARY_SCROLL,"Sanctuary Scroll",0,0,1,OrderId("channel"),1,ORDER_TYPE_IMMEDIATE);</v>
      </c>
      <c r="M216" s="179" t="s">
        <v>1707</v>
      </c>
      <c r="N216" s="179"/>
      <c r="O216" s="179"/>
      <c r="P216" s="179"/>
      <c r="Q216" s="179"/>
      <c r="R216" s="179"/>
      <c r="S216" s="179"/>
      <c r="T216" s="179"/>
      <c r="U216" s="179"/>
      <c r="V216" s="179"/>
      <c r="W216" s="179"/>
      <c r="X216" s="179"/>
    </row>
    <row r="217" spans="1:24">
      <c r="A217" s="179" t="s">
        <v>686</v>
      </c>
      <c r="B217" s="174" t="str">
        <f t="shared" si="29"/>
        <v>SID_SLAYER_SCROLL</v>
      </c>
      <c r="C217" s="179" t="s">
        <v>687</v>
      </c>
      <c r="D217" s="179">
        <v>0</v>
      </c>
      <c r="E217" s="179">
        <v>0</v>
      </c>
      <c r="F217" s="179">
        <v>1</v>
      </c>
      <c r="G217" s="179" t="s">
        <v>610</v>
      </c>
      <c r="H217" s="179">
        <v>1</v>
      </c>
      <c r="I217" s="179" t="s">
        <v>609</v>
      </c>
      <c r="J217" s="179"/>
      <c r="K217" s="173" t="str">
        <f t="shared" si="27"/>
        <v>SpellData.create(SID_SLAYER_SCROLL,"杀戮卷轴",0,0,1,OrderId("channel"),1,ORDER_TYPE_IMMEDIATE);</v>
      </c>
      <c r="L217" s="173" t="str">
        <f t="shared" si="26"/>
        <v>SpellData.create(SID_SLAYER_SCROLL,"Slayer Scroll",0,0,1,OrderId("channel"),1,ORDER_TYPE_IMMEDIATE);</v>
      </c>
      <c r="M217" s="179" t="s">
        <v>1707</v>
      </c>
      <c r="N217" s="179"/>
      <c r="O217" s="179"/>
      <c r="P217" s="179"/>
      <c r="Q217" s="179"/>
      <c r="R217" s="179"/>
      <c r="S217" s="179"/>
      <c r="T217" s="179"/>
      <c r="U217" s="179"/>
      <c r="V217" s="179"/>
      <c r="W217" s="179"/>
      <c r="X217" s="179"/>
    </row>
    <row r="218" spans="1:24">
      <c r="A218" s="179" t="s">
        <v>684</v>
      </c>
      <c r="B218" s="174" t="str">
        <f t="shared" si="29"/>
        <v>SID_SPEED_SCROLL</v>
      </c>
      <c r="C218" s="179" t="s">
        <v>685</v>
      </c>
      <c r="D218" s="179">
        <v>0</v>
      </c>
      <c r="E218" s="179">
        <v>0</v>
      </c>
      <c r="F218" s="179">
        <v>1</v>
      </c>
      <c r="G218" s="179" t="s">
        <v>610</v>
      </c>
      <c r="H218" s="179">
        <v>1</v>
      </c>
      <c r="I218" s="179" t="s">
        <v>609</v>
      </c>
      <c r="J218" s="179"/>
      <c r="K218" s="173" t="str">
        <f t="shared" si="27"/>
        <v>SpellData.create(SID_SPEED_SCROLL,"加速卷轴",0,0,1,OrderId("channel"),1,ORDER_TYPE_IMMEDIATE);</v>
      </c>
      <c r="L218" s="173" t="str">
        <f t="shared" si="26"/>
        <v>SpellData.create(SID_SPEED_SCROLL,"Speed Scroll",0,0,1,OrderId("channel"),1,ORDER_TYPE_IMMEDIATE);</v>
      </c>
      <c r="M218" s="179" t="s">
        <v>1707</v>
      </c>
      <c r="N218" s="179"/>
      <c r="O218" s="179"/>
      <c r="P218" s="179"/>
      <c r="Q218" s="179"/>
      <c r="R218" s="179"/>
      <c r="S218" s="179"/>
      <c r="T218" s="179"/>
      <c r="U218" s="179"/>
      <c r="V218" s="179"/>
      <c r="W218" s="179"/>
      <c r="X218" s="179"/>
    </row>
    <row r="219" spans="1:24">
      <c r="A219" s="179" t="s">
        <v>682</v>
      </c>
      <c r="B219" s="174" t="str">
        <f t="shared" si="29"/>
        <v>SID_SPELL_REFLECTION_SCROLL</v>
      </c>
      <c r="C219" s="179" t="s">
        <v>683</v>
      </c>
      <c r="D219" s="179">
        <v>0</v>
      </c>
      <c r="E219" s="179">
        <v>0</v>
      </c>
      <c r="F219" s="179">
        <v>1</v>
      </c>
      <c r="G219" s="179" t="s">
        <v>610</v>
      </c>
      <c r="H219" s="179">
        <v>1</v>
      </c>
      <c r="I219" s="179" t="s">
        <v>609</v>
      </c>
      <c r="J219" s="179"/>
      <c r="K219" s="173" t="str">
        <f t="shared" si="27"/>
        <v>SpellData.create(SID_SPELL_REFLECTION_SCROLL,"绝缘卷轴",0,0,1,OrderId("channel"),1,ORDER_TYPE_IMMEDIATE);</v>
      </c>
      <c r="L219" s="173" t="str">
        <f t="shared" si="26"/>
        <v>SpellData.create(SID_SPELL_REFLECTION_SCROLL,"Spell Reflection Scroll",0,0,1,OrderId("channel"),1,ORDER_TYPE_IMMEDIATE);</v>
      </c>
      <c r="M219" s="179" t="s">
        <v>1707</v>
      </c>
      <c r="N219" s="179"/>
      <c r="O219" s="179"/>
      <c r="P219" s="179"/>
      <c r="Q219" s="179"/>
      <c r="R219" s="179"/>
      <c r="S219" s="179"/>
      <c r="T219" s="179"/>
      <c r="U219" s="179"/>
      <c r="V219" s="179"/>
      <c r="W219" s="179"/>
      <c r="X219" s="179"/>
    </row>
    <row r="220" spans="1:24">
      <c r="A220" s="179" t="s">
        <v>680</v>
      </c>
      <c r="B220" s="174" t="str">
        <f t="shared" si="29"/>
        <v>SID_WEAKEN_CURSE_SCROLL</v>
      </c>
      <c r="C220" s="179" t="s">
        <v>681</v>
      </c>
      <c r="D220" s="179">
        <v>0</v>
      </c>
      <c r="E220" s="179">
        <v>0</v>
      </c>
      <c r="F220" s="179">
        <v>1</v>
      </c>
      <c r="G220" s="179" t="s">
        <v>610</v>
      </c>
      <c r="H220" s="179">
        <v>1</v>
      </c>
      <c r="I220" s="179" t="s">
        <v>609</v>
      </c>
      <c r="J220" s="179"/>
      <c r="K220" s="173" t="str">
        <f t="shared" si="27"/>
        <v>SpellData.create(SID_WEAKEN_CURSE_SCROLL,"虚弱诅咒卷轴",0,0,1,OrderId("channel"),1,ORDER_TYPE_IMMEDIATE);</v>
      </c>
      <c r="L220" s="173" t="str">
        <f t="shared" si="26"/>
        <v>SpellData.create(SID_WEAKEN_CURSE_SCROLL,"Weaken Curse Scroll",0,0,1,OrderId("channel"),1,ORDER_TYPE_IMMEDIATE);</v>
      </c>
      <c r="M220" s="179" t="s">
        <v>1707</v>
      </c>
      <c r="N220" s="179"/>
      <c r="O220" s="179"/>
      <c r="P220" s="179"/>
      <c r="Q220" s="179"/>
      <c r="R220" s="179"/>
      <c r="S220" s="179"/>
      <c r="T220" s="179"/>
      <c r="U220" s="179"/>
      <c r="V220" s="179"/>
      <c r="W220" s="179"/>
      <c r="X220" s="179"/>
    </row>
    <row r="221" spans="1:24">
      <c r="A221" s="180" t="s">
        <v>678</v>
      </c>
      <c r="B221" s="174" t="str">
        <f t="shared" si="29"/>
        <v>SID_LIFE_POTION</v>
      </c>
      <c r="C221" s="180" t="s">
        <v>679</v>
      </c>
      <c r="D221" s="180">
        <v>0</v>
      </c>
      <c r="E221" s="180">
        <v>0</v>
      </c>
      <c r="F221" s="180">
        <v>1</v>
      </c>
      <c r="G221" s="180" t="s">
        <v>610</v>
      </c>
      <c r="H221" s="180">
        <v>1</v>
      </c>
      <c r="I221" s="180" t="s">
        <v>609</v>
      </c>
      <c r="J221" s="180"/>
      <c r="K221" s="173" t="str">
        <f t="shared" si="27"/>
        <v>SpellData.create(SID_LIFE_POTION,"生命药水",0,0,1,OrderId("channel"),1,ORDER_TYPE_IMMEDIATE);</v>
      </c>
      <c r="L221" s="173" t="str">
        <f t="shared" si="26"/>
        <v>SpellData.create(SID_LIFE_POTION,"Life Potion",0,0,1,OrderId("channel"),1,ORDER_TYPE_IMMEDIATE);</v>
      </c>
      <c r="M221" s="180" t="s">
        <v>1707</v>
      </c>
      <c r="N221" s="180"/>
      <c r="O221" s="180"/>
      <c r="P221" s="180"/>
      <c r="Q221" s="180"/>
      <c r="R221" s="180"/>
      <c r="S221" s="180"/>
      <c r="T221" s="180"/>
      <c r="U221" s="180"/>
      <c r="V221" s="180"/>
      <c r="W221" s="180"/>
      <c r="X221" s="180"/>
    </row>
    <row r="222" spans="1:24">
      <c r="A222" s="180" t="s">
        <v>676</v>
      </c>
      <c r="B222" s="174" t="str">
        <f t="shared" si="29"/>
        <v>SID_MANA_POTION</v>
      </c>
      <c r="C222" s="180" t="s">
        <v>677</v>
      </c>
      <c r="D222" s="180">
        <v>0</v>
      </c>
      <c r="E222" s="180">
        <v>0</v>
      </c>
      <c r="F222" s="180">
        <v>1</v>
      </c>
      <c r="G222" s="180" t="s">
        <v>610</v>
      </c>
      <c r="H222" s="180">
        <v>1</v>
      </c>
      <c r="I222" s="180" t="s">
        <v>609</v>
      </c>
      <c r="J222" s="180"/>
      <c r="K222" s="173" t="str">
        <f t="shared" si="27"/>
        <v>SpellData.create(SID_MANA_POTION,"魔法药水",0,0,1,OrderId("channel"),1,ORDER_TYPE_IMMEDIATE);</v>
      </c>
      <c r="L222" s="173" t="str">
        <f t="shared" si="26"/>
        <v>SpellData.create(SID_MANA_POTION,"Mana Potion",0,0,1,OrderId("channel"),1,ORDER_TYPE_IMMEDIATE);</v>
      </c>
      <c r="M222" s="180" t="s">
        <v>1707</v>
      </c>
      <c r="N222" s="180"/>
      <c r="O222" s="180"/>
      <c r="P222" s="180"/>
      <c r="Q222" s="180"/>
      <c r="R222" s="180"/>
      <c r="S222" s="180"/>
      <c r="T222" s="180"/>
      <c r="U222" s="180"/>
      <c r="V222" s="180"/>
      <c r="W222" s="180"/>
      <c r="X222" s="180"/>
    </row>
    <row r="223" spans="1:24">
      <c r="A223" s="180" t="s">
        <v>674</v>
      </c>
      <c r="B223" s="174" t="str">
        <f t="shared" si="29"/>
        <v>SID_LEECH_POTION</v>
      </c>
      <c r="C223" s="180" t="s">
        <v>675</v>
      </c>
      <c r="D223" s="180">
        <v>0</v>
      </c>
      <c r="E223" s="180">
        <v>0</v>
      </c>
      <c r="F223" s="180">
        <v>1</v>
      </c>
      <c r="G223" s="180" t="s">
        <v>610</v>
      </c>
      <c r="H223" s="180">
        <v>1</v>
      </c>
      <c r="I223" s="180" t="s">
        <v>609</v>
      </c>
      <c r="J223" s="180"/>
      <c r="K223" s="173" t="str">
        <f t="shared" si="27"/>
        <v>SpellData.create(SID_LEECH_POTION,"吸血药水",0,0,1,OrderId("channel"),1,ORDER_TYPE_IMMEDIATE);</v>
      </c>
      <c r="L223" s="173" t="str">
        <f t="shared" si="26"/>
        <v>SpellData.create(SID_LEECH_POTION,"Leech Potion",0,0,1,OrderId("channel"),1,ORDER_TYPE_IMMEDIATE);</v>
      </c>
      <c r="M223" s="180" t="s">
        <v>1707</v>
      </c>
      <c r="N223" s="180"/>
      <c r="O223" s="180"/>
      <c r="P223" s="180"/>
      <c r="Q223" s="180"/>
      <c r="R223" s="180"/>
      <c r="S223" s="180"/>
      <c r="T223" s="180"/>
      <c r="U223" s="180"/>
      <c r="V223" s="180"/>
      <c r="W223" s="180"/>
      <c r="X223" s="180"/>
    </row>
    <row r="224" spans="1:24">
      <c r="A224" s="180" t="s">
        <v>672</v>
      </c>
      <c r="B224" s="174" t="str">
        <f t="shared" si="29"/>
        <v>SID_LIFE_REGEN_POTION</v>
      </c>
      <c r="C224" s="180" t="s">
        <v>673</v>
      </c>
      <c r="D224" s="180">
        <v>0</v>
      </c>
      <c r="E224" s="180">
        <v>0</v>
      </c>
      <c r="F224" s="180">
        <v>1</v>
      </c>
      <c r="G224" s="180" t="s">
        <v>610</v>
      </c>
      <c r="H224" s="180">
        <v>1</v>
      </c>
      <c r="I224" s="180" t="s">
        <v>609</v>
      </c>
      <c r="J224" s="180"/>
      <c r="K224" s="173" t="str">
        <f t="shared" si="27"/>
        <v>SpellData.create(SID_LIFE_REGEN_POTION,"再生药水",0,0,1,OrderId("channel"),1,ORDER_TYPE_IMMEDIATE);</v>
      </c>
      <c r="L224" s="173" t="str">
        <f t="shared" si="26"/>
        <v>SpellData.create(SID_LIFE_REGEN_POTION,"Life Regen Potion",0,0,1,OrderId("channel"),1,ORDER_TYPE_IMMEDIATE);</v>
      </c>
      <c r="M224" s="180" t="s">
        <v>1707</v>
      </c>
      <c r="N224" s="180"/>
      <c r="O224" s="180"/>
      <c r="P224" s="180"/>
      <c r="Q224" s="180"/>
      <c r="R224" s="180"/>
      <c r="S224" s="180"/>
      <c r="T224" s="180"/>
      <c r="U224" s="180"/>
      <c r="V224" s="180"/>
      <c r="W224" s="180"/>
      <c r="X224" s="180"/>
    </row>
    <row r="225" spans="1:24">
      <c r="A225" s="180" t="s">
        <v>670</v>
      </c>
      <c r="B225" s="174" t="str">
        <f t="shared" si="29"/>
        <v>SID_MANA_REGEN_POTION</v>
      </c>
      <c r="C225" s="180" t="s">
        <v>671</v>
      </c>
      <c r="D225" s="180">
        <v>0</v>
      </c>
      <c r="E225" s="180">
        <v>0</v>
      </c>
      <c r="F225" s="180">
        <v>1</v>
      </c>
      <c r="G225" s="180" t="s">
        <v>610</v>
      </c>
      <c r="H225" s="180">
        <v>1</v>
      </c>
      <c r="I225" s="180" t="s">
        <v>609</v>
      </c>
      <c r="J225" s="180"/>
      <c r="K225" s="173" t="str">
        <f t="shared" si="27"/>
        <v>SpellData.create(SID_MANA_REGEN_POTION,"清晰预兆药水",0,0,1,OrderId("channel"),1,ORDER_TYPE_IMMEDIATE);</v>
      </c>
      <c r="L225" s="173" t="str">
        <f t="shared" si="26"/>
        <v>SpellData.create(SID_MANA_REGEN_POTION,"Mana Regen Potion",0,0,1,OrderId("channel"),1,ORDER_TYPE_IMMEDIATE);</v>
      </c>
      <c r="M225" s="180" t="s">
        <v>1707</v>
      </c>
      <c r="N225" s="180"/>
      <c r="O225" s="180"/>
      <c r="P225" s="180"/>
      <c r="Q225" s="180"/>
      <c r="R225" s="180"/>
      <c r="S225" s="180"/>
      <c r="T225" s="180"/>
      <c r="U225" s="180"/>
      <c r="V225" s="180"/>
      <c r="W225" s="180"/>
      <c r="X225" s="180"/>
    </row>
    <row r="226" spans="1:24">
      <c r="A226" s="180" t="s">
        <v>668</v>
      </c>
      <c r="B226" s="174" t="str">
        <f t="shared" si="29"/>
        <v>SID_MANA_SOURCE_POTION</v>
      </c>
      <c r="C226" s="180" t="s">
        <v>669</v>
      </c>
      <c r="D226" s="180">
        <v>0</v>
      </c>
      <c r="E226" s="180">
        <v>0</v>
      </c>
      <c r="F226" s="180">
        <v>1</v>
      </c>
      <c r="G226" s="180" t="s">
        <v>610</v>
      </c>
      <c r="H226" s="180">
        <v>1</v>
      </c>
      <c r="I226" s="180" t="s">
        <v>609</v>
      </c>
      <c r="J226" s="180"/>
      <c r="K226" s="173" t="str">
        <f t="shared" si="27"/>
        <v>SpellData.create(SID_MANA_SOURCE_POTION,"魔力之源",0,0,1,OrderId("channel"),1,ORDER_TYPE_IMMEDIATE);</v>
      </c>
      <c r="L226" s="173" t="str">
        <f t="shared" si="26"/>
        <v>SpellData.create(SID_MANA_SOURCE_POTION,"Mana Source Potion",0,0,1,OrderId("channel"),1,ORDER_TYPE_IMMEDIATE);</v>
      </c>
      <c r="M226" s="180" t="s">
        <v>1707</v>
      </c>
      <c r="N226" s="180"/>
      <c r="O226" s="180"/>
      <c r="P226" s="180"/>
      <c r="Q226" s="180"/>
      <c r="R226" s="180"/>
      <c r="S226" s="180"/>
      <c r="T226" s="180"/>
      <c r="U226" s="180"/>
      <c r="V226" s="180"/>
      <c r="W226" s="180"/>
      <c r="X226" s="180"/>
    </row>
    <row r="227" spans="1:24">
      <c r="A227" s="180" t="s">
        <v>666</v>
      </c>
      <c r="B227" s="174" t="str">
        <f t="shared" si="29"/>
        <v>SID_TRANQUILITY_POTION</v>
      </c>
      <c r="C227" s="180" t="s">
        <v>667</v>
      </c>
      <c r="D227" s="180">
        <v>0</v>
      </c>
      <c r="E227" s="180">
        <v>0</v>
      </c>
      <c r="F227" s="180">
        <v>1</v>
      </c>
      <c r="G227" s="180" t="s">
        <v>610</v>
      </c>
      <c r="H227" s="180">
        <v>1</v>
      </c>
      <c r="I227" s="180" t="s">
        <v>609</v>
      </c>
      <c r="J227" s="180"/>
      <c r="K227" s="173" t="str">
        <f t="shared" si="27"/>
        <v>SpellData.create(SID_TRANQUILITY_POTION,"宁静药水",0,0,1,OrderId("channel"),1,ORDER_TYPE_IMMEDIATE);</v>
      </c>
      <c r="L227" s="173" t="str">
        <f t="shared" si="26"/>
        <v>SpellData.create(SID_TRANQUILITY_POTION,"Tranquility Potion",0,0,1,OrderId("channel"),1,ORDER_TYPE_IMMEDIATE);</v>
      </c>
      <c r="M227" s="180" t="s">
        <v>1707</v>
      </c>
      <c r="N227" s="180"/>
      <c r="O227" s="180"/>
      <c r="P227" s="180"/>
      <c r="Q227" s="180"/>
      <c r="R227" s="180"/>
      <c r="S227" s="180"/>
      <c r="T227" s="180"/>
      <c r="U227" s="180"/>
      <c r="V227" s="180"/>
      <c r="W227" s="180"/>
      <c r="X227" s="180"/>
    </row>
    <row r="228" spans="1:24">
      <c r="A228" s="180" t="s">
        <v>664</v>
      </c>
      <c r="B228" s="174" t="str">
        <f t="shared" si="29"/>
        <v>SID_BIG_LIFE_POTION</v>
      </c>
      <c r="C228" s="180" t="s">
        <v>665</v>
      </c>
      <c r="D228" s="180">
        <v>0</v>
      </c>
      <c r="E228" s="180">
        <v>0</v>
      </c>
      <c r="F228" s="180">
        <v>1</v>
      </c>
      <c r="G228" s="180" t="s">
        <v>610</v>
      </c>
      <c r="H228" s="180">
        <v>1</v>
      </c>
      <c r="I228" s="180" t="s">
        <v>609</v>
      </c>
      <c r="J228" s="180"/>
      <c r="K228" s="173" t="str">
        <f t="shared" si="27"/>
        <v>SpellData.create(SID_BIG_LIFE_POTION,"大生命药水",0,0,1,OrderId("channel"),1,ORDER_TYPE_IMMEDIATE);</v>
      </c>
      <c r="L228" s="173" t="str">
        <f t="shared" si="26"/>
        <v>SpellData.create(SID_BIG_LIFE_POTION,"Big Life Potion",0,0,1,OrderId("channel"),1,ORDER_TYPE_IMMEDIATE);</v>
      </c>
      <c r="M228" s="180" t="s">
        <v>1707</v>
      </c>
      <c r="N228" s="180"/>
      <c r="O228" s="180"/>
      <c r="P228" s="180"/>
      <c r="Q228" s="180"/>
      <c r="R228" s="180"/>
      <c r="S228" s="180"/>
      <c r="T228" s="180"/>
      <c r="U228" s="180"/>
      <c r="V228" s="180"/>
      <c r="W228" s="180"/>
      <c r="X228" s="180"/>
    </row>
    <row r="229" spans="1:24">
      <c r="A229" s="180" t="s">
        <v>662</v>
      </c>
      <c r="B229" s="174" t="str">
        <f t="shared" si="29"/>
        <v>SID_ARCH_MAGE_POTION</v>
      </c>
      <c r="C229" s="180" t="s">
        <v>663</v>
      </c>
      <c r="D229" s="180">
        <v>0</v>
      </c>
      <c r="E229" s="180">
        <v>0</v>
      </c>
      <c r="F229" s="180">
        <v>1</v>
      </c>
      <c r="G229" s="180" t="s">
        <v>610</v>
      </c>
      <c r="H229" s="180">
        <v>1</v>
      </c>
      <c r="I229" s="180" t="s">
        <v>609</v>
      </c>
      <c r="J229" s="180"/>
      <c r="K229" s="173" t="str">
        <f t="shared" si="27"/>
        <v>SpellData.create(SID_ARCH_MAGE_POTION,"魔导师药水",0,0,1,OrderId("channel"),1,ORDER_TYPE_IMMEDIATE);</v>
      </c>
      <c r="L229" s="173" t="str">
        <f t="shared" si="26"/>
        <v>SpellData.create(SID_ARCH_MAGE_POTION,"Arch Mage Potion",0,0,1,OrderId("channel"),1,ORDER_TYPE_IMMEDIATE);</v>
      </c>
      <c r="M229" s="180" t="s">
        <v>1707</v>
      </c>
      <c r="N229" s="180"/>
      <c r="O229" s="180"/>
      <c r="P229" s="180"/>
      <c r="Q229" s="180"/>
      <c r="R229" s="180"/>
      <c r="S229" s="180"/>
      <c r="T229" s="180"/>
      <c r="U229" s="180"/>
      <c r="V229" s="180"/>
      <c r="W229" s="180"/>
      <c r="X229" s="180"/>
    </row>
    <row r="230" spans="1:24">
      <c r="A230" s="180" t="s">
        <v>660</v>
      </c>
      <c r="B230" s="174" t="str">
        <f t="shared" si="29"/>
        <v>SID_COMBAT_MASTER_POTION</v>
      </c>
      <c r="C230" s="180" t="s">
        <v>661</v>
      </c>
      <c r="D230" s="180">
        <v>0</v>
      </c>
      <c r="E230" s="180">
        <v>0</v>
      </c>
      <c r="F230" s="180">
        <v>1</v>
      </c>
      <c r="G230" s="180" t="s">
        <v>610</v>
      </c>
      <c r="H230" s="180">
        <v>1</v>
      </c>
      <c r="I230" s="180" t="s">
        <v>609</v>
      </c>
      <c r="J230" s="180"/>
      <c r="K230" s="173" t="str">
        <f t="shared" si="27"/>
        <v>SpellData.create(SID_COMBAT_MASTER_POTION,"战斗大师药水",0,0,1,OrderId("channel"),1,ORDER_TYPE_IMMEDIATE);</v>
      </c>
      <c r="L230" s="173" t="str">
        <f t="shared" si="26"/>
        <v>SpellData.create(SID_COMBAT_MASTER_POTION,"Combat Master Potion",0,0,1,OrderId("channel"),1,ORDER_TYPE_IMMEDIATE);</v>
      </c>
      <c r="M230" s="180" t="s">
        <v>1707</v>
      </c>
      <c r="N230" s="180"/>
      <c r="O230" s="180"/>
      <c r="P230" s="180"/>
      <c r="Q230" s="180"/>
      <c r="R230" s="180"/>
      <c r="S230" s="180"/>
      <c r="T230" s="180"/>
      <c r="U230" s="180"/>
      <c r="V230" s="180"/>
      <c r="W230" s="180"/>
      <c r="X230" s="180"/>
    </row>
    <row r="231" spans="1:24">
      <c r="A231" s="180" t="s">
        <v>658</v>
      </c>
      <c r="B231" s="174" t="str">
        <f t="shared" si="29"/>
        <v>SID_EMPERORS_NEW_POTION</v>
      </c>
      <c r="C231" s="180" t="s">
        <v>659</v>
      </c>
      <c r="D231" s="180">
        <v>0</v>
      </c>
      <c r="E231" s="180">
        <v>0</v>
      </c>
      <c r="F231" s="180">
        <v>1</v>
      </c>
      <c r="G231" s="180" t="s">
        <v>610</v>
      </c>
      <c r="H231" s="180">
        <v>1</v>
      </c>
      <c r="I231" s="180" t="s">
        <v>609</v>
      </c>
      <c r="J231" s="180"/>
      <c r="K231" s="173" t="str">
        <f t="shared" si="27"/>
        <v>SpellData.create(SID_EMPERORS_NEW_POTION,"皇帝的新药",0,0,1,OrderId("channel"),1,ORDER_TYPE_IMMEDIATE);</v>
      </c>
      <c r="L231" s="173" t="str">
        <f t="shared" si="26"/>
        <v>SpellData.create(SID_EMPERORS_NEW_POTION,"Emperors New Potion",0,0,1,OrderId("channel"),1,ORDER_TYPE_IMMEDIATE);</v>
      </c>
      <c r="M231" s="180" t="s">
        <v>1707</v>
      </c>
      <c r="N231" s="180"/>
      <c r="O231" s="180"/>
      <c r="P231" s="180"/>
      <c r="Q231" s="180"/>
      <c r="R231" s="180"/>
      <c r="S231" s="180"/>
      <c r="T231" s="180"/>
      <c r="U231" s="180"/>
      <c r="V231" s="180"/>
      <c r="W231" s="180"/>
      <c r="X231" s="180"/>
    </row>
    <row r="232" spans="1:24">
      <c r="A232" s="180" t="s">
        <v>656</v>
      </c>
      <c r="B232" s="174" t="str">
        <f t="shared" si="29"/>
        <v>SID_TRANSFER_POTION</v>
      </c>
      <c r="C232" s="180" t="s">
        <v>657</v>
      </c>
      <c r="D232" s="180">
        <v>0</v>
      </c>
      <c r="E232" s="180">
        <v>0</v>
      </c>
      <c r="F232" s="180">
        <v>1</v>
      </c>
      <c r="G232" s="180" t="s">
        <v>610</v>
      </c>
      <c r="H232" s="180">
        <v>1</v>
      </c>
      <c r="I232" s="180" t="s">
        <v>609</v>
      </c>
      <c r="J232" s="180"/>
      <c r="K232" s="173" t="str">
        <f t="shared" si="27"/>
        <v>SpellData.create(SID_TRANSFER_POTION,"转换药水",0,0,1,OrderId("channel"),1,ORDER_TYPE_IMMEDIATE);</v>
      </c>
      <c r="L232" s="173" t="str">
        <f t="shared" si="26"/>
        <v>SpellData.create(SID_TRANSFER_POTION,"Transfer Potion",0,0,1,OrderId("channel"),1,ORDER_TYPE_IMMEDIATE);</v>
      </c>
      <c r="M232" s="180" t="s">
        <v>1707</v>
      </c>
      <c r="N232" s="180"/>
      <c r="O232" s="180"/>
      <c r="P232" s="180"/>
      <c r="Q232" s="180"/>
      <c r="R232" s="180"/>
      <c r="S232" s="180"/>
      <c r="T232" s="180"/>
      <c r="U232" s="180"/>
      <c r="V232" s="180"/>
      <c r="W232" s="180"/>
      <c r="X232" s="180"/>
    </row>
    <row r="233" spans="1:24">
      <c r="A233" s="180" t="s">
        <v>654</v>
      </c>
      <c r="B233" s="174" t="str">
        <f t="shared" si="29"/>
        <v>SID_SHIELD_POTION</v>
      </c>
      <c r="C233" s="180" t="s">
        <v>655</v>
      </c>
      <c r="D233" s="180">
        <v>0</v>
      </c>
      <c r="E233" s="180">
        <v>0</v>
      </c>
      <c r="F233" s="180">
        <v>1</v>
      </c>
      <c r="G233" s="180" t="s">
        <v>610</v>
      </c>
      <c r="H233" s="180">
        <v>1</v>
      </c>
      <c r="I233" s="180" t="s">
        <v>609</v>
      </c>
      <c r="J233" s="180"/>
      <c r="K233" s="173" t="str">
        <f t="shared" si="27"/>
        <v>SpellData.create(SID_SHIELD_POTION,"护盾药水",0,0,1,OrderId("channel"),1,ORDER_TYPE_IMMEDIATE);</v>
      </c>
      <c r="L233" s="173" t="str">
        <f t="shared" si="26"/>
        <v>SpellData.create(SID_SHIELD_POTION,"Shield Potion",0,0,1,OrderId("channel"),1,ORDER_TYPE_IMMEDIATE);</v>
      </c>
      <c r="M233" s="180" t="s">
        <v>1707</v>
      </c>
      <c r="N233" s="180"/>
      <c r="O233" s="180"/>
      <c r="P233" s="180"/>
      <c r="Q233" s="180"/>
      <c r="R233" s="180"/>
      <c r="S233" s="180"/>
      <c r="T233" s="180"/>
      <c r="U233" s="180"/>
      <c r="V233" s="180"/>
      <c r="W233" s="180"/>
      <c r="X233" s="180"/>
    </row>
    <row r="234" spans="1:24">
      <c r="A234" s="180" t="s">
        <v>652</v>
      </c>
      <c r="B234" s="174" t="str">
        <f t="shared" si="29"/>
        <v>SID_FORTRESS_POTION</v>
      </c>
      <c r="C234" s="180" t="s">
        <v>653</v>
      </c>
      <c r="D234" s="180">
        <v>0</v>
      </c>
      <c r="E234" s="180">
        <v>0</v>
      </c>
      <c r="F234" s="180">
        <v>1</v>
      </c>
      <c r="G234" s="180" t="s">
        <v>610</v>
      </c>
      <c r="H234" s="180">
        <v>1</v>
      </c>
      <c r="I234" s="180" t="s">
        <v>609</v>
      </c>
      <c r="J234" s="180"/>
      <c r="K234" s="173" t="str">
        <f t="shared" si="27"/>
        <v>SpellData.create(SID_FORTRESS_POTION,"壁垒药水",0,0,1,OrderId("channel"),1,ORDER_TYPE_IMMEDIATE);</v>
      </c>
      <c r="L234" s="173" t="str">
        <f t="shared" si="26"/>
        <v>SpellData.create(SID_FORTRESS_POTION,"Fortress Potion",0,0,1,OrderId("channel"),1,ORDER_TYPE_IMMEDIATE);</v>
      </c>
      <c r="M234" s="180" t="s">
        <v>1707</v>
      </c>
      <c r="N234" s="180"/>
      <c r="O234" s="180"/>
      <c r="P234" s="180"/>
      <c r="Q234" s="180"/>
      <c r="R234" s="180"/>
      <c r="S234" s="180"/>
      <c r="T234" s="180"/>
      <c r="U234" s="180"/>
      <c r="V234" s="180"/>
      <c r="W234" s="180"/>
      <c r="X234" s="180"/>
    </row>
    <row r="235" spans="1:24">
      <c r="A235" s="180" t="s">
        <v>650</v>
      </c>
      <c r="B235" s="174" t="str">
        <f t="shared" si="29"/>
        <v>SID_DODGE_POTION</v>
      </c>
      <c r="C235" s="180" t="s">
        <v>651</v>
      </c>
      <c r="D235" s="180">
        <v>0</v>
      </c>
      <c r="E235" s="180">
        <v>0</v>
      </c>
      <c r="F235" s="180">
        <v>1</v>
      </c>
      <c r="G235" s="180" t="s">
        <v>610</v>
      </c>
      <c r="H235" s="180">
        <v>1</v>
      </c>
      <c r="I235" s="180" t="s">
        <v>609</v>
      </c>
      <c r="J235" s="180"/>
      <c r="K235" s="173" t="str">
        <f t="shared" si="27"/>
        <v>SpellData.create(SID_DODGE_POTION,"闪避药水",0,0,1,OrderId("channel"),1,ORDER_TYPE_IMMEDIATE);</v>
      </c>
      <c r="L235" s="173" t="str">
        <f t="shared" si="26"/>
        <v>SpellData.create(SID_DODGE_POTION,"Dodge Potion",0,0,1,OrderId("channel"),1,ORDER_TYPE_IMMEDIATE);</v>
      </c>
      <c r="M235" s="180" t="s">
        <v>1707</v>
      </c>
      <c r="N235" s="180"/>
      <c r="O235" s="180"/>
      <c r="P235" s="180"/>
      <c r="Q235" s="180"/>
      <c r="R235" s="180"/>
      <c r="S235" s="180"/>
      <c r="T235" s="180"/>
      <c r="U235" s="180"/>
      <c r="V235" s="180"/>
      <c r="W235" s="180"/>
      <c r="X235" s="180"/>
    </row>
    <row r="236" spans="1:24">
      <c r="A236" s="180" t="s">
        <v>1679</v>
      </c>
      <c r="B236" s="174" t="str">
        <f t="shared" si="29"/>
        <v>SID_SMALL_INVUL_POTION</v>
      </c>
      <c r="C236" s="180" t="s">
        <v>649</v>
      </c>
      <c r="D236" s="180">
        <v>0</v>
      </c>
      <c r="E236" s="180">
        <v>0</v>
      </c>
      <c r="F236" s="180">
        <v>1</v>
      </c>
      <c r="G236" s="180" t="s">
        <v>610</v>
      </c>
      <c r="H236" s="180">
        <v>1</v>
      </c>
      <c r="I236" s="180" t="s">
        <v>609</v>
      </c>
      <c r="J236" s="180"/>
      <c r="K236" s="173" t="str">
        <f t="shared" si="27"/>
        <v>SpellData.create(SID_SMALL_INVUL_POTION,"小无敌药水",0,0,1,OrderId("channel"),1,ORDER_TYPE_IMMEDIATE);</v>
      </c>
      <c r="L236" s="173" t="str">
        <f t="shared" si="26"/>
        <v>SpellData.create(SID_SMALL_INVUL_POTION,"Small Invul Potion",0,0,1,OrderId("channel"),1,ORDER_TYPE_IMMEDIATE);</v>
      </c>
      <c r="M236" s="180" t="s">
        <v>1707</v>
      </c>
      <c r="N236" s="180"/>
      <c r="O236" s="180"/>
      <c r="P236" s="180"/>
      <c r="Q236" s="180"/>
      <c r="R236" s="180"/>
      <c r="S236" s="180"/>
      <c r="T236" s="180"/>
      <c r="U236" s="180"/>
      <c r="V236" s="180"/>
      <c r="W236" s="180"/>
      <c r="X236" s="180"/>
    </row>
    <row r="237" spans="1:24">
      <c r="A237" s="180" t="s">
        <v>1680</v>
      </c>
      <c r="B237" s="174" t="str">
        <f t="shared" si="29"/>
        <v>SID_INVUL_POTION</v>
      </c>
      <c r="C237" s="180" t="s">
        <v>648</v>
      </c>
      <c r="D237" s="180">
        <v>0</v>
      </c>
      <c r="E237" s="180">
        <v>0</v>
      </c>
      <c r="F237" s="180">
        <v>1</v>
      </c>
      <c r="G237" s="180" t="s">
        <v>610</v>
      </c>
      <c r="H237" s="180">
        <v>1</v>
      </c>
      <c r="I237" s="180" t="s">
        <v>609</v>
      </c>
      <c r="J237" s="180"/>
      <c r="K237" s="173" t="str">
        <f t="shared" si="27"/>
        <v>SpellData.create(SID_INVUL_POTION,"无敌药水",0,0,1,OrderId("channel"),1,ORDER_TYPE_IMMEDIATE);</v>
      </c>
      <c r="L237" s="173" t="str">
        <f t="shared" si="26"/>
        <v>SpellData.create(SID_INVUL_POTION,"Invul Potion",0,0,1,OrderId("channel"),1,ORDER_TYPE_IMMEDIATE);</v>
      </c>
      <c r="M237" s="180" t="s">
        <v>1707</v>
      </c>
      <c r="N237" s="180"/>
      <c r="O237" s="180"/>
      <c r="P237" s="180"/>
      <c r="Q237" s="180"/>
      <c r="R237" s="180"/>
      <c r="S237" s="180"/>
      <c r="T237" s="180"/>
      <c r="U237" s="180"/>
      <c r="V237" s="180"/>
      <c r="W237" s="180"/>
      <c r="X237" s="180"/>
    </row>
    <row r="238" spans="1:24">
      <c r="A238" s="180" t="s">
        <v>646</v>
      </c>
      <c r="B238" s="174" t="str">
        <f t="shared" si="29"/>
        <v>SID_STONE_SKIN_POTION</v>
      </c>
      <c r="C238" s="180" t="s">
        <v>647</v>
      </c>
      <c r="D238" s="180">
        <v>0</v>
      </c>
      <c r="E238" s="180">
        <v>0</v>
      </c>
      <c r="F238" s="180">
        <v>1</v>
      </c>
      <c r="G238" s="180" t="s">
        <v>610</v>
      </c>
      <c r="H238" s="180">
        <v>1</v>
      </c>
      <c r="I238" s="180" t="s">
        <v>609</v>
      </c>
      <c r="J238" s="180"/>
      <c r="K238" s="173" t="str">
        <f t="shared" si="27"/>
        <v>SpellData.create(SID_STONE_SKIN_POTION,"石皮药水",0,0,1,OrderId("channel"),1,ORDER_TYPE_IMMEDIATE);</v>
      </c>
      <c r="L238" s="173" t="str">
        <f t="shared" si="26"/>
        <v>SpellData.create(SID_STONE_SKIN_POTION,"Stone Skin Potion",0,0,1,OrderId("channel"),1,ORDER_TYPE_IMMEDIATE);</v>
      </c>
      <c r="M238" s="180" t="s">
        <v>1707</v>
      </c>
      <c r="N238" s="180"/>
      <c r="O238" s="180"/>
      <c r="P238" s="180"/>
      <c r="Q238" s="180"/>
      <c r="R238" s="180"/>
      <c r="S238" s="180"/>
      <c r="T238" s="180"/>
      <c r="U238" s="180"/>
      <c r="V238" s="180"/>
      <c r="W238" s="180"/>
      <c r="X238" s="180"/>
    </row>
    <row r="239" spans="1:24">
      <c r="A239" s="180" t="s">
        <v>644</v>
      </c>
      <c r="B239" s="174" t="str">
        <f t="shared" si="29"/>
        <v>SID_SPELL_POWER_POTION</v>
      </c>
      <c r="C239" s="180" t="s">
        <v>645</v>
      </c>
      <c r="D239" s="180">
        <v>0</v>
      </c>
      <c r="E239" s="180">
        <v>0</v>
      </c>
      <c r="F239" s="180">
        <v>1</v>
      </c>
      <c r="G239" s="180" t="s">
        <v>610</v>
      </c>
      <c r="H239" s="180">
        <v>1</v>
      </c>
      <c r="I239" s="180" t="s">
        <v>609</v>
      </c>
      <c r="J239" s="180"/>
      <c r="K239" s="173" t="str">
        <f t="shared" si="27"/>
        <v>SpellData.create(SID_SPELL_POWER_POTION,"法能药水",0,0,1,OrderId("channel"),1,ORDER_TYPE_IMMEDIATE);</v>
      </c>
      <c r="L239" s="173" t="str">
        <f t="shared" si="26"/>
        <v>SpellData.create(SID_SPELL_POWER_POTION,"Spell Power Potion",0,0,1,OrderId("channel"),1,ORDER_TYPE_IMMEDIATE);</v>
      </c>
      <c r="M239" s="180" t="s">
        <v>1707</v>
      </c>
      <c r="N239" s="180"/>
      <c r="O239" s="180"/>
      <c r="P239" s="180"/>
      <c r="Q239" s="180"/>
      <c r="R239" s="180"/>
      <c r="S239" s="180"/>
      <c r="T239" s="180"/>
      <c r="U239" s="180"/>
      <c r="V239" s="180"/>
      <c r="W239" s="180"/>
      <c r="X239" s="180"/>
    </row>
    <row r="240" spans="1:24">
      <c r="A240" s="180" t="s">
        <v>642</v>
      </c>
      <c r="B240" s="174" t="str">
        <f t="shared" si="29"/>
        <v>SID_SPELL_MASTER_POTION</v>
      </c>
      <c r="C240" s="180" t="s">
        <v>643</v>
      </c>
      <c r="D240" s="180">
        <v>0</v>
      </c>
      <c r="E240" s="180">
        <v>0</v>
      </c>
      <c r="F240" s="180">
        <v>1</v>
      </c>
      <c r="G240" s="180" t="s">
        <v>610</v>
      </c>
      <c r="H240" s="180">
        <v>1</v>
      </c>
      <c r="I240" s="180" t="s">
        <v>609</v>
      </c>
      <c r="J240" s="180"/>
      <c r="K240" s="173" t="str">
        <f t="shared" si="27"/>
        <v>SpellData.create(SID_SPELL_MASTER_POTION,"法术掌控药水",0,0,1,OrderId("channel"),1,ORDER_TYPE_IMMEDIATE);</v>
      </c>
      <c r="L240" s="173" t="str">
        <f t="shared" si="26"/>
        <v>SpellData.create(SID_SPELL_MASTER_POTION,"Spell Master Potion",0,0,1,OrderId("channel"),1,ORDER_TYPE_IMMEDIATE);</v>
      </c>
      <c r="M240" s="180" t="s">
        <v>1707</v>
      </c>
      <c r="N240" s="180"/>
      <c r="O240" s="180"/>
      <c r="P240" s="180"/>
      <c r="Q240" s="180"/>
      <c r="R240" s="180"/>
      <c r="S240" s="180"/>
      <c r="T240" s="180"/>
      <c r="U240" s="180"/>
      <c r="V240" s="180"/>
      <c r="W240" s="180"/>
      <c r="X240" s="180"/>
    </row>
    <row r="241" spans="1:24">
      <c r="A241" s="180" t="s">
        <v>640</v>
      </c>
      <c r="B241" s="174" t="str">
        <f t="shared" si="29"/>
        <v>SID_ARCANE_POTION</v>
      </c>
      <c r="C241" s="180" t="s">
        <v>641</v>
      </c>
      <c r="D241" s="180">
        <v>0</v>
      </c>
      <c r="E241" s="180">
        <v>0</v>
      </c>
      <c r="F241" s="180">
        <v>1</v>
      </c>
      <c r="G241" s="180" t="s">
        <v>610</v>
      </c>
      <c r="H241" s="180">
        <v>1</v>
      </c>
      <c r="I241" s="180" t="s">
        <v>609</v>
      </c>
      <c r="J241" s="180"/>
      <c r="K241" s="173" t="str">
        <f t="shared" si="27"/>
        <v>SpellData.create(SID_ARCANE_POTION,"秘法药剂",0,0,1,OrderId("channel"),1,ORDER_TYPE_IMMEDIATE);</v>
      </c>
      <c r="L241" s="173" t="str">
        <f t="shared" si="26"/>
        <v>SpellData.create(SID_ARCANE_POTION,"Arcane Potion",0,0,1,OrderId("channel"),1,ORDER_TYPE_IMMEDIATE);</v>
      </c>
      <c r="M241" s="180" t="s">
        <v>1707</v>
      </c>
      <c r="N241" s="180"/>
      <c r="O241" s="180"/>
      <c r="P241" s="180"/>
      <c r="Q241" s="180"/>
      <c r="R241" s="180"/>
      <c r="S241" s="180"/>
      <c r="T241" s="180"/>
      <c r="U241" s="180"/>
      <c r="V241" s="180"/>
      <c r="W241" s="180"/>
      <c r="X241" s="180"/>
    </row>
    <row r="242" spans="1:24">
      <c r="A242" s="180" t="s">
        <v>1689</v>
      </c>
      <c r="B242" s="174" t="str">
        <f t="shared" si="29"/>
        <v>SID_ANGRY_CAST_POTION</v>
      </c>
      <c r="C242" s="180" t="s">
        <v>639</v>
      </c>
      <c r="D242" s="180">
        <v>0</v>
      </c>
      <c r="E242" s="180">
        <v>0</v>
      </c>
      <c r="F242" s="180">
        <v>1</v>
      </c>
      <c r="G242" s="180" t="s">
        <v>610</v>
      </c>
      <c r="H242" s="180">
        <v>1</v>
      </c>
      <c r="I242" s="180" t="s">
        <v>609</v>
      </c>
      <c r="J242" s="180"/>
      <c r="K242" s="173" t="str">
        <f t="shared" si="27"/>
        <v>SpellData.create(SID_ANGRY_CAST_POTION,"愤怒施法药水",0,0,1,OrderId("channel"),1,ORDER_TYPE_IMMEDIATE);</v>
      </c>
      <c r="L242" s="173" t="str">
        <f t="shared" si="26"/>
        <v>SpellData.create(SID_ANGRY_CAST_POTION,"Angry Cast Potion",0,0,1,OrderId("channel"),1,ORDER_TYPE_IMMEDIATE);</v>
      </c>
      <c r="M242" s="180" t="s">
        <v>1707</v>
      </c>
      <c r="N242" s="180"/>
      <c r="O242" s="180"/>
      <c r="P242" s="180"/>
      <c r="Q242" s="180"/>
      <c r="R242" s="180"/>
      <c r="S242" s="180"/>
      <c r="T242" s="180"/>
      <c r="U242" s="180"/>
      <c r="V242" s="180"/>
      <c r="W242" s="180"/>
      <c r="X242" s="180"/>
    </row>
    <row r="243" spans="1:24">
      <c r="A243" s="180" t="s">
        <v>637</v>
      </c>
      <c r="B243" s="174" t="str">
        <f t="shared" si="29"/>
        <v>SID_SPELL_PIERCE_POTION</v>
      </c>
      <c r="C243" s="180" t="s">
        <v>638</v>
      </c>
      <c r="D243" s="180">
        <v>0</v>
      </c>
      <c r="E243" s="180">
        <v>0</v>
      </c>
      <c r="F243" s="180">
        <v>1</v>
      </c>
      <c r="G243" s="180" t="s">
        <v>610</v>
      </c>
      <c r="H243" s="180">
        <v>1</v>
      </c>
      <c r="I243" s="180" t="s">
        <v>609</v>
      </c>
      <c r="J243" s="180"/>
      <c r="K243" s="173" t="str">
        <f t="shared" si="27"/>
        <v>SpellData.create(SID_SPELL_PIERCE_POTION,"法术穿透药水",0,0,1,OrderId("channel"),1,ORDER_TYPE_IMMEDIATE);</v>
      </c>
      <c r="L243" s="173" t="str">
        <f t="shared" si="26"/>
        <v>SpellData.create(SID_SPELL_PIERCE_POTION,"Spell Pierce Potion",0,0,1,OrderId("channel"),1,ORDER_TYPE_IMMEDIATE);</v>
      </c>
      <c r="M243" s="180" t="s">
        <v>1707</v>
      </c>
      <c r="N243" s="180"/>
      <c r="O243" s="180"/>
      <c r="P243" s="180"/>
      <c r="Q243" s="180"/>
      <c r="R243" s="180"/>
      <c r="S243" s="180"/>
      <c r="T243" s="180"/>
      <c r="U243" s="180"/>
      <c r="V243" s="180"/>
      <c r="W243" s="180"/>
      <c r="X243" s="180"/>
    </row>
    <row r="244" spans="1:24">
      <c r="A244" s="180" t="s">
        <v>635</v>
      </c>
      <c r="B244" s="174" t="str">
        <f t="shared" si="29"/>
        <v>SID_UNSTABLE_POTION</v>
      </c>
      <c r="C244" s="180" t="s">
        <v>636</v>
      </c>
      <c r="D244" s="180">
        <v>0</v>
      </c>
      <c r="E244" s="180">
        <v>0</v>
      </c>
      <c r="F244" s="180">
        <v>1</v>
      </c>
      <c r="G244" s="180" t="s">
        <v>610</v>
      </c>
      <c r="H244" s="180">
        <v>1</v>
      </c>
      <c r="I244" s="180" t="s">
        <v>609</v>
      </c>
      <c r="J244" s="180"/>
      <c r="K244" s="173" t="str">
        <f t="shared" si="27"/>
        <v>SpellData.create(SID_UNSTABLE_POTION,"不稳定的药水",0,0,1,OrderId("channel"),1,ORDER_TYPE_IMMEDIATE);</v>
      </c>
      <c r="L244" s="173" t="str">
        <f t="shared" si="26"/>
        <v>SpellData.create(SID_UNSTABLE_POTION,"Unstable Potion",0,0,1,OrderId("channel"),1,ORDER_TYPE_IMMEDIATE);</v>
      </c>
      <c r="M244" s="180" t="s">
        <v>1707</v>
      </c>
      <c r="N244" s="180"/>
      <c r="O244" s="180"/>
      <c r="P244" s="180"/>
      <c r="Q244" s="180"/>
      <c r="R244" s="180"/>
      <c r="S244" s="180"/>
      <c r="T244" s="180"/>
      <c r="U244" s="180"/>
      <c r="V244" s="180"/>
      <c r="W244" s="180"/>
      <c r="X244" s="180"/>
    </row>
    <row r="245" spans="1:24">
      <c r="A245" s="180" t="s">
        <v>633</v>
      </c>
      <c r="B245" s="174" t="str">
        <f t="shared" si="29"/>
        <v>SID_AGILITY_POTION</v>
      </c>
      <c r="C245" s="180" t="s">
        <v>634</v>
      </c>
      <c r="D245" s="180">
        <v>0</v>
      </c>
      <c r="E245" s="180">
        <v>0</v>
      </c>
      <c r="F245" s="180">
        <v>1</v>
      </c>
      <c r="G245" s="180" t="s">
        <v>610</v>
      </c>
      <c r="H245" s="180">
        <v>1</v>
      </c>
      <c r="I245" s="180" t="s">
        <v>609</v>
      </c>
      <c r="J245" s="180"/>
      <c r="K245" s="173" t="str">
        <f t="shared" si="27"/>
        <v>SpellData.create(SID_AGILITY_POTION,"敏捷药水",0,0,1,OrderId("channel"),1,ORDER_TYPE_IMMEDIATE);</v>
      </c>
      <c r="L245" s="173" t="str">
        <f t="shared" si="26"/>
        <v>SpellData.create(SID_AGILITY_POTION,"Agility Potion",0,0,1,OrderId("channel"),1,ORDER_TYPE_IMMEDIATE);</v>
      </c>
      <c r="M245" s="180" t="s">
        <v>1707</v>
      </c>
      <c r="N245" s="180"/>
      <c r="O245" s="180"/>
      <c r="P245" s="180"/>
      <c r="Q245" s="180"/>
      <c r="R245" s="180"/>
      <c r="S245" s="180"/>
      <c r="T245" s="180"/>
      <c r="U245" s="180"/>
      <c r="V245" s="180"/>
      <c r="W245" s="180"/>
      <c r="X245" s="180"/>
    </row>
    <row r="246" spans="1:24">
      <c r="A246" s="180" t="s">
        <v>631</v>
      </c>
      <c r="B246" s="174" t="str">
        <f t="shared" si="29"/>
        <v>SID_ACUTE_POTION</v>
      </c>
      <c r="C246" s="180" t="s">
        <v>632</v>
      </c>
      <c r="D246" s="180">
        <v>0</v>
      </c>
      <c r="E246" s="180">
        <v>0</v>
      </c>
      <c r="F246" s="180">
        <v>1</v>
      </c>
      <c r="G246" s="180" t="s">
        <v>610</v>
      </c>
      <c r="H246" s="180">
        <v>1</v>
      </c>
      <c r="I246" s="180" t="s">
        <v>609</v>
      </c>
      <c r="J246" s="180"/>
      <c r="K246" s="173" t="str">
        <f t="shared" si="27"/>
        <v>SpellData.create(SID_ACUTE_POTION,"敏锐药水",0,0,1,OrderId("channel"),1,ORDER_TYPE_IMMEDIATE);</v>
      </c>
      <c r="L246" s="173" t="str">
        <f t="shared" si="26"/>
        <v>SpellData.create(SID_ACUTE_POTION,"Acute Potion",0,0,1,OrderId("channel"),1,ORDER_TYPE_IMMEDIATE);</v>
      </c>
      <c r="M246" s="180" t="s">
        <v>1707</v>
      </c>
      <c r="N246" s="180"/>
      <c r="O246" s="180"/>
      <c r="P246" s="180"/>
      <c r="Q246" s="180"/>
      <c r="R246" s="180"/>
      <c r="S246" s="180"/>
      <c r="T246" s="180"/>
      <c r="U246" s="180"/>
      <c r="V246" s="180"/>
      <c r="W246" s="180"/>
      <c r="X246" s="180"/>
    </row>
    <row r="247" spans="1:24">
      <c r="A247" s="180" t="s">
        <v>629</v>
      </c>
      <c r="B247" s="174" t="str">
        <f t="shared" si="29"/>
        <v>SID_DEXTERITY_POTION</v>
      </c>
      <c r="C247" s="180" t="s">
        <v>630</v>
      </c>
      <c r="D247" s="180">
        <v>0</v>
      </c>
      <c r="E247" s="180">
        <v>0</v>
      </c>
      <c r="F247" s="180">
        <v>1</v>
      </c>
      <c r="G247" s="180" t="s">
        <v>610</v>
      </c>
      <c r="H247" s="180">
        <v>1</v>
      </c>
      <c r="I247" s="180" t="s">
        <v>609</v>
      </c>
      <c r="J247" s="180"/>
      <c r="K247" s="173" t="str">
        <f t="shared" si="27"/>
        <v>SpellData.create(SID_DEXTERITY_POTION,"迅捷药水",0,0,1,OrderId("channel"),1,ORDER_TYPE_IMMEDIATE);</v>
      </c>
      <c r="L247" s="173" t="str">
        <f t="shared" si="26"/>
        <v>SpellData.create(SID_DEXTERITY_POTION,"Dexterity Potion",0,0,1,OrderId("channel"),1,ORDER_TYPE_IMMEDIATE);</v>
      </c>
      <c r="M247" s="180" t="s">
        <v>1707</v>
      </c>
      <c r="N247" s="180"/>
      <c r="O247" s="180"/>
      <c r="P247" s="180"/>
      <c r="Q247" s="180"/>
      <c r="R247" s="180"/>
      <c r="S247" s="180"/>
      <c r="T247" s="180"/>
      <c r="U247" s="180"/>
      <c r="V247" s="180"/>
      <c r="W247" s="180"/>
      <c r="X247" s="180"/>
    </row>
    <row r="248" spans="1:24">
      <c r="A248" s="179" t="s">
        <v>627</v>
      </c>
      <c r="B248" s="174" t="str">
        <f t="shared" si="29"/>
        <v>SID_CHARM_OF_SIMPLE_HEAL</v>
      </c>
      <c r="C248" s="179" t="s">
        <v>628</v>
      </c>
      <c r="D248" s="179">
        <v>0</v>
      </c>
      <c r="E248" s="179">
        <v>0</v>
      </c>
      <c r="F248" s="179">
        <v>1</v>
      </c>
      <c r="G248" s="179" t="s">
        <v>610</v>
      </c>
      <c r="H248" s="179">
        <v>1</v>
      </c>
      <c r="I248" s="179" t="s">
        <v>609</v>
      </c>
      <c r="J248" s="179"/>
      <c r="K248" s="173" t="str">
        <f t="shared" si="27"/>
        <v>SpellData.create(SID_CHARM_OF_SIMPLE_HEAL,"简易治疗符咒",0,0,1,OrderId("channel"),1,ORDER_TYPE_IMMEDIATE);</v>
      </c>
      <c r="L248" s="173" t="str">
        <f t="shared" si="26"/>
        <v>SpellData.create(SID_CHARM_OF_SIMPLE_HEAL,"Charm of Simple Heal",0,0,1,OrderId("channel"),1,ORDER_TYPE_IMMEDIATE);</v>
      </c>
      <c r="M248" s="179" t="s">
        <v>1707</v>
      </c>
      <c r="N248" s="179"/>
      <c r="O248" s="179"/>
      <c r="P248" s="179"/>
      <c r="Q248" s="179"/>
      <c r="R248" s="179"/>
      <c r="S248" s="179"/>
      <c r="T248" s="179"/>
      <c r="U248" s="179"/>
      <c r="V248" s="179"/>
      <c r="W248" s="179"/>
      <c r="X248" s="179"/>
    </row>
    <row r="249" spans="1:24">
      <c r="A249" s="179" t="s">
        <v>625</v>
      </c>
      <c r="B249" s="174" t="str">
        <f t="shared" si="29"/>
        <v>SID_CHARM_OF_DISPEL</v>
      </c>
      <c r="C249" s="179" t="s">
        <v>626</v>
      </c>
      <c r="D249" s="179">
        <v>0</v>
      </c>
      <c r="E249" s="179">
        <v>0</v>
      </c>
      <c r="F249" s="179">
        <v>1</v>
      </c>
      <c r="G249" s="179" t="s">
        <v>610</v>
      </c>
      <c r="H249" s="179">
        <v>1</v>
      </c>
      <c r="I249" s="179" t="s">
        <v>609</v>
      </c>
      <c r="J249" s="179"/>
      <c r="K249" s="173" t="str">
        <f t="shared" si="27"/>
        <v>SpellData.create(SID_CHARM_OF_DISPEL,"驱散术符咒",0,0,1,OrderId("channel"),1,ORDER_TYPE_IMMEDIATE);</v>
      </c>
      <c r="L249" s="173" t="str">
        <f t="shared" si="26"/>
        <v>SpellData.create(SID_CHARM_OF_DISPEL,"Charm of Dispel",0,0,1,OrderId("channel"),1,ORDER_TYPE_IMMEDIATE);</v>
      </c>
      <c r="M249" s="179" t="s">
        <v>1707</v>
      </c>
      <c r="N249" s="179"/>
      <c r="O249" s="179"/>
      <c r="P249" s="179"/>
      <c r="Q249" s="179"/>
      <c r="R249" s="179"/>
      <c r="S249" s="179"/>
      <c r="T249" s="179"/>
      <c r="U249" s="179"/>
      <c r="V249" s="179"/>
      <c r="W249" s="179"/>
      <c r="X249" s="179"/>
    </row>
    <row r="250" spans="1:24">
      <c r="A250" s="179" t="s">
        <v>623</v>
      </c>
      <c r="B250" s="174" t="str">
        <f t="shared" si="29"/>
        <v>SID_CHARM_OF_HEALING_WARD</v>
      </c>
      <c r="C250" s="179" t="s">
        <v>624</v>
      </c>
      <c r="D250" s="179">
        <v>0</v>
      </c>
      <c r="E250" s="179">
        <v>0</v>
      </c>
      <c r="F250" s="179">
        <v>1</v>
      </c>
      <c r="G250" s="179" t="s">
        <v>610</v>
      </c>
      <c r="H250" s="179">
        <v>1</v>
      </c>
      <c r="I250" s="179" t="s">
        <v>609</v>
      </c>
      <c r="J250" s="179"/>
      <c r="K250" s="173" t="str">
        <f t="shared" si="27"/>
        <v>SpellData.create(SID_CHARM_OF_HEALING_WARD,"治疗结界符咒",0,0,1,OrderId("channel"),1,ORDER_TYPE_IMMEDIATE);</v>
      </c>
      <c r="L250" s="173" t="str">
        <f t="shared" si="26"/>
        <v>SpellData.create(SID_CHARM_OF_HEALING_WARD,"Charm of Healing Ward",0,0,1,OrderId("channel"),1,ORDER_TYPE_IMMEDIATE);</v>
      </c>
      <c r="M250" s="179" t="s">
        <v>1707</v>
      </c>
      <c r="N250" s="179"/>
      <c r="O250" s="179"/>
      <c r="P250" s="179"/>
      <c r="Q250" s="179"/>
      <c r="R250" s="179"/>
      <c r="S250" s="179"/>
      <c r="T250" s="179"/>
      <c r="U250" s="179"/>
      <c r="V250" s="179"/>
      <c r="W250" s="179"/>
      <c r="X250" s="179"/>
    </row>
    <row r="251" spans="1:24">
      <c r="A251" s="179" t="s">
        <v>621</v>
      </c>
      <c r="B251" s="174" t="str">
        <f t="shared" si="29"/>
        <v>SID_CHARM_OF_INNER_FIRE</v>
      </c>
      <c r="C251" s="179" t="s">
        <v>622</v>
      </c>
      <c r="D251" s="179">
        <v>0</v>
      </c>
      <c r="E251" s="179">
        <v>0</v>
      </c>
      <c r="F251" s="179">
        <v>1</v>
      </c>
      <c r="G251" s="179" t="s">
        <v>610</v>
      </c>
      <c r="H251" s="179">
        <v>1</v>
      </c>
      <c r="I251" s="179" t="s">
        <v>609</v>
      </c>
      <c r="J251" s="179"/>
      <c r="K251" s="173" t="str">
        <f t="shared" si="27"/>
        <v>SpellData.create(SID_CHARM_OF_INNER_FIRE,"心灵之火符咒",0,0,1,OrderId("channel"),1,ORDER_TYPE_IMMEDIATE);</v>
      </c>
      <c r="L251" s="173" t="str">
        <f t="shared" si="26"/>
        <v>SpellData.create(SID_CHARM_OF_INNER_FIRE,"Charm of Inner Fire",0,0,1,OrderId("channel"),1,ORDER_TYPE_IMMEDIATE);</v>
      </c>
      <c r="M251" s="179" t="s">
        <v>1707</v>
      </c>
      <c r="N251" s="179"/>
      <c r="O251" s="179"/>
      <c r="P251" s="179"/>
      <c r="Q251" s="179"/>
      <c r="R251" s="179"/>
      <c r="S251" s="179"/>
      <c r="T251" s="179"/>
      <c r="U251" s="179"/>
      <c r="V251" s="179"/>
      <c r="W251" s="179"/>
      <c r="X251" s="179"/>
    </row>
    <row r="252" spans="1:24">
      <c r="A252" s="179" t="s">
        <v>619</v>
      </c>
      <c r="B252" s="174" t="str">
        <f t="shared" si="29"/>
        <v>SID_CHARM_OF_CHAIN_LIGHTNING</v>
      </c>
      <c r="C252" s="179" t="s">
        <v>620</v>
      </c>
      <c r="D252" s="179">
        <v>0</v>
      </c>
      <c r="E252" s="179">
        <v>0</v>
      </c>
      <c r="F252" s="179">
        <v>1</v>
      </c>
      <c r="G252" s="179" t="s">
        <v>610</v>
      </c>
      <c r="H252" s="179">
        <v>1</v>
      </c>
      <c r="I252" s="179" t="s">
        <v>609</v>
      </c>
      <c r="J252" s="179"/>
      <c r="K252" s="173" t="str">
        <f t="shared" si="27"/>
        <v>SpellData.create(SID_CHARM_OF_CHAIN_LIGHTNING,"闪电链符咒",0,0,1,OrderId("channel"),1,ORDER_TYPE_IMMEDIATE);</v>
      </c>
      <c r="L252" s="173" t="str">
        <f t="shared" si="26"/>
        <v>SpellData.create(SID_CHARM_OF_CHAIN_LIGHTNING,"Charm of Chain Lightning",0,0,1,OrderId("channel"),1,ORDER_TYPE_IMMEDIATE);</v>
      </c>
      <c r="M252" s="179" t="s">
        <v>1707</v>
      </c>
      <c r="N252" s="179"/>
      <c r="O252" s="179"/>
      <c r="P252" s="179"/>
      <c r="Q252" s="179"/>
      <c r="R252" s="179"/>
      <c r="S252" s="179"/>
      <c r="T252" s="179"/>
      <c r="U252" s="179"/>
      <c r="V252" s="179"/>
      <c r="W252" s="179"/>
      <c r="X252" s="179"/>
    </row>
    <row r="253" spans="1:24">
      <c r="A253" s="179" t="s">
        <v>617</v>
      </c>
      <c r="B253" s="174" t="str">
        <f t="shared" si="29"/>
        <v>SID_CHARM_OF_DEATH_FINGER</v>
      </c>
      <c r="C253" s="179" t="s">
        <v>618</v>
      </c>
      <c r="D253" s="179">
        <v>0</v>
      </c>
      <c r="E253" s="179">
        <v>0</v>
      </c>
      <c r="F253" s="179">
        <v>1</v>
      </c>
      <c r="G253" s="179" t="s">
        <v>610</v>
      </c>
      <c r="H253" s="179">
        <v>1</v>
      </c>
      <c r="I253" s="179" t="s">
        <v>609</v>
      </c>
      <c r="J253" s="179"/>
      <c r="K253" s="173" t="str">
        <f t="shared" si="27"/>
        <v>SpellData.create(SID_CHARM_OF_DEATH_FINGER,"死亡之指符咒",0,0,1,OrderId("channel"),1,ORDER_TYPE_IMMEDIATE);</v>
      </c>
      <c r="L253" s="173" t="str">
        <f t="shared" si="26"/>
        <v>SpellData.create(SID_CHARM_OF_DEATH_FINGER,"Charm of Death Finger",0,0,1,OrderId("channel"),1,ORDER_TYPE_IMMEDIATE);</v>
      </c>
      <c r="M253" s="179" t="s">
        <v>1707</v>
      </c>
      <c r="N253" s="179"/>
      <c r="O253" s="179"/>
      <c r="P253" s="179"/>
      <c r="Q253" s="179"/>
      <c r="R253" s="179"/>
      <c r="S253" s="179"/>
      <c r="T253" s="179"/>
      <c r="U253" s="179"/>
      <c r="V253" s="179"/>
      <c r="W253" s="179"/>
      <c r="X253" s="179"/>
    </row>
    <row r="254" spans="1:24">
      <c r="A254" s="179" t="s">
        <v>615</v>
      </c>
      <c r="B254" s="174" t="str">
        <f t="shared" si="29"/>
        <v>SID_CHARM_OF_SIPHON_LIFE</v>
      </c>
      <c r="C254" s="179" t="s">
        <v>616</v>
      </c>
      <c r="D254" s="179">
        <v>0</v>
      </c>
      <c r="E254" s="179">
        <v>0</v>
      </c>
      <c r="F254" s="179">
        <v>1</v>
      </c>
      <c r="G254" s="179" t="s">
        <v>610</v>
      </c>
      <c r="H254" s="179">
        <v>1</v>
      </c>
      <c r="I254" s="179" t="s">
        <v>609</v>
      </c>
      <c r="J254" s="179"/>
      <c r="K254" s="173" t="str">
        <f t="shared" si="27"/>
        <v>SpellData.create(SID_CHARM_OF_SIPHON_LIFE,"生命虹吸符咒",0,0,1,OrderId("channel"),1,ORDER_TYPE_IMMEDIATE);</v>
      </c>
      <c r="L254" s="173" t="str">
        <f t="shared" si="26"/>
        <v>SpellData.create(SID_CHARM_OF_SIPHON_LIFE,"Charm of Siphon Life",0,0,1,OrderId("channel"),1,ORDER_TYPE_IMMEDIATE);</v>
      </c>
      <c r="M254" s="179" t="s">
        <v>1707</v>
      </c>
      <c r="N254" s="179"/>
      <c r="O254" s="179"/>
      <c r="P254" s="179"/>
      <c r="Q254" s="179"/>
      <c r="R254" s="179"/>
      <c r="S254" s="179"/>
      <c r="T254" s="179"/>
      <c r="U254" s="179"/>
      <c r="V254" s="179"/>
      <c r="W254" s="179"/>
      <c r="X254" s="179"/>
    </row>
    <row r="255" spans="1:24">
      <c r="A255" s="179" t="s">
        <v>613</v>
      </c>
      <c r="B255" s="174" t="str">
        <f t="shared" si="29"/>
        <v>SID_DEMONIC_RUNE</v>
      </c>
      <c r="C255" s="179" t="s">
        <v>614</v>
      </c>
      <c r="D255" s="179">
        <v>0</v>
      </c>
      <c r="E255" s="179">
        <v>0</v>
      </c>
      <c r="F255" s="179">
        <v>1</v>
      </c>
      <c r="G255" s="179" t="s">
        <v>610</v>
      </c>
      <c r="H255" s="179">
        <v>1</v>
      </c>
      <c r="I255" s="179" t="s">
        <v>609</v>
      </c>
      <c r="J255" s="179"/>
      <c r="K255" s="173" t="str">
        <f t="shared" si="27"/>
        <v>SpellData.create(SID_DEMONIC_RUNE,"恶魔符文",0,0,1,OrderId("channel"),1,ORDER_TYPE_IMMEDIATE);</v>
      </c>
      <c r="L255" s="173" t="str">
        <f t="shared" si="26"/>
        <v>SpellData.create(SID_DEMONIC_RUNE,"Demonic Rune",0,0,1,OrderId("channel"),1,ORDER_TYPE_IMMEDIATE);</v>
      </c>
      <c r="M255" s="179" t="s">
        <v>1707</v>
      </c>
      <c r="N255" s="179"/>
      <c r="O255" s="179"/>
      <c r="P255" s="179"/>
      <c r="Q255" s="179"/>
      <c r="R255" s="179"/>
      <c r="S255" s="179"/>
      <c r="T255" s="179"/>
      <c r="U255" s="179"/>
      <c r="V255" s="179"/>
      <c r="W255" s="179"/>
      <c r="X255" s="179"/>
    </row>
    <row r="256" spans="1:24">
      <c r="A256" s="179" t="s">
        <v>611</v>
      </c>
      <c r="B256" s="174" t="str">
        <f t="shared" si="29"/>
        <v>SID_STRANGE_WAND</v>
      </c>
      <c r="C256" s="179" t="s">
        <v>612</v>
      </c>
      <c r="D256" s="179">
        <v>0</v>
      </c>
      <c r="E256" s="179">
        <v>0</v>
      </c>
      <c r="F256" s="179">
        <v>1</v>
      </c>
      <c r="G256" s="179" t="s">
        <v>610</v>
      </c>
      <c r="H256" s="179">
        <v>1</v>
      </c>
      <c r="I256" s="179" t="s">
        <v>609</v>
      </c>
      <c r="J256" s="179"/>
      <c r="K256" s="173" t="str">
        <f t="shared" si="27"/>
        <v>SpellData.create(SID_STRANGE_WAND,"奇异的魔杖",0,0,1,OrderId("channel"),1,ORDER_TYPE_IMMEDIATE);</v>
      </c>
      <c r="L256" s="173" t="str">
        <f t="shared" si="26"/>
        <v>SpellData.create(SID_STRANGE_WAND,"Strange Wand",0,0,1,OrderId("channel"),1,ORDER_TYPE_IMMEDIATE);</v>
      </c>
      <c r="M256" s="179" t="s">
        <v>1707</v>
      </c>
      <c r="N256" s="179"/>
      <c r="O256" s="179"/>
      <c r="P256" s="179"/>
      <c r="Q256" s="179"/>
      <c r="R256" s="179"/>
      <c r="S256" s="179"/>
      <c r="T256" s="179"/>
      <c r="U256" s="179"/>
      <c r="V256" s="179"/>
      <c r="W256" s="179"/>
      <c r="X256" s="179"/>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row r="1006" spans="11:12">
      <c r="K1006" s="173"/>
      <c r="L1006" s="173"/>
    </row>
    <row r="1007" spans="11:12">
      <c r="K1007" s="173"/>
      <c r="L1007" s="173"/>
    </row>
  </sheetData>
  <phoneticPr fontId="7"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2185</v>
      </c>
      <c r="B14" s="195"/>
      <c r="C14" s="195"/>
      <c r="D14" s="195"/>
      <c r="E14" s="195"/>
      <c r="F14" s="195"/>
      <c r="G14" s="195"/>
      <c r="H14" s="195"/>
      <c r="I14" s="195"/>
      <c r="J14" s="195"/>
      <c r="K14" s="195"/>
    </row>
    <row r="15" spans="1:11">
      <c r="A15" s="171" t="s">
        <v>2186</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2187</v>
      </c>
      <c r="B17" s="195"/>
      <c r="C17" s="195"/>
      <c r="D17" s="195"/>
      <c r="E17" s="195"/>
      <c r="F17" s="195"/>
      <c r="G17" s="195"/>
      <c r="H17" s="195"/>
      <c r="I17" s="195"/>
      <c r="J17" s="195"/>
      <c r="K17" s="195"/>
    </row>
    <row r="18" spans="1:11">
      <c r="A18" s="171" t="s">
        <v>2188</v>
      </c>
      <c r="B18" s="195"/>
      <c r="C18" s="195"/>
      <c r="D18" s="195"/>
      <c r="E18" s="195"/>
      <c r="F18" s="195"/>
      <c r="G18" s="195"/>
      <c r="H18" s="195"/>
      <c r="I18" s="195"/>
      <c r="J18" s="195"/>
      <c r="K18" s="195"/>
    </row>
    <row r="19" spans="1:11">
      <c r="A19" s="171" t="s">
        <v>2189</v>
      </c>
      <c r="B19" s="195"/>
      <c r="C19" s="195"/>
      <c r="D19" s="195"/>
      <c r="E19" s="195"/>
      <c r="F19" s="195"/>
      <c r="G19" s="195"/>
      <c r="H19" s="195"/>
      <c r="I19" s="195"/>
      <c r="J19" s="195"/>
      <c r="K19" s="195"/>
    </row>
    <row r="20" spans="1:11">
      <c r="A20" s="171" t="s">
        <v>2190</v>
      </c>
      <c r="B20" s="195"/>
      <c r="C20" s="195"/>
      <c r="D20" s="195"/>
      <c r="E20" s="195"/>
      <c r="F20" s="195"/>
      <c r="G20" s="195"/>
      <c r="H20" s="195"/>
      <c r="I20" s="195"/>
      <c r="J20" s="195"/>
      <c r="K20" s="195"/>
    </row>
    <row r="21" spans="1:11">
      <c r="A21" s="171" t="s">
        <v>2191</v>
      </c>
    </row>
    <row r="22" spans="1:11">
      <c r="A22" s="171"/>
    </row>
    <row r="23" spans="1:11">
      <c r="A23" s="171" t="s">
        <v>2185</v>
      </c>
    </row>
    <row r="24" spans="1:11">
      <c r="A24" s="171" t="s">
        <v>2192</v>
      </c>
    </row>
    <row r="25" spans="1:11">
      <c r="A25" s="171"/>
    </row>
    <row r="26" spans="1:11">
      <c r="A26" s="171" t="s">
        <v>2193</v>
      </c>
    </row>
    <row r="27" spans="1:11">
      <c r="A27" s="171" t="s">
        <v>2194</v>
      </c>
    </row>
    <row r="28" spans="1:11">
      <c r="A28" s="171" t="s">
        <v>2195</v>
      </c>
    </row>
    <row r="29" spans="1:11">
      <c r="A29" s="171" t="s">
        <v>2196</v>
      </c>
    </row>
    <row r="30" spans="1:11">
      <c r="A30" s="171" t="s">
        <v>2197</v>
      </c>
    </row>
    <row r="31" spans="1:11">
      <c r="A31" s="171"/>
    </row>
    <row r="32" spans="1:11">
      <c r="A32" s="171" t="s">
        <v>2198</v>
      </c>
    </row>
    <row r="33" spans="1:1">
      <c r="A33" s="171" t="s">
        <v>2199</v>
      </c>
    </row>
    <row r="34" spans="1:1">
      <c r="A34" s="171"/>
    </row>
    <row r="35" spans="1:1">
      <c r="A35" s="171" t="s">
        <v>2200</v>
      </c>
    </row>
    <row r="36" spans="1:1">
      <c r="A36" s="171" t="s">
        <v>2201</v>
      </c>
    </row>
    <row r="37" spans="1:1">
      <c r="A37" s="171" t="s">
        <v>2202</v>
      </c>
    </row>
    <row r="38" spans="1:1">
      <c r="A38" s="171" t="s">
        <v>2203</v>
      </c>
    </row>
    <row r="39" spans="1:1">
      <c r="A39" s="171" t="s">
        <v>2204</v>
      </c>
    </row>
    <row r="40" spans="1:1">
      <c r="A40" s="171"/>
    </row>
    <row r="41" spans="1:1">
      <c r="A41" s="171" t="s">
        <v>2198</v>
      </c>
    </row>
    <row r="42" spans="1:1">
      <c r="A42" s="171" t="s">
        <v>2205</v>
      </c>
    </row>
    <row r="43" spans="1:1">
      <c r="A43" s="171"/>
    </row>
    <row r="44" spans="1:1">
      <c r="A44" s="171" t="s">
        <v>2206</v>
      </c>
    </row>
    <row r="45" spans="1:1">
      <c r="A45" s="171" t="s">
        <v>2207</v>
      </c>
    </row>
    <row r="46" spans="1:1">
      <c r="A46" s="171" t="s">
        <v>2208</v>
      </c>
    </row>
    <row r="47" spans="1:1">
      <c r="A47" s="171" t="s">
        <v>2209</v>
      </c>
    </row>
    <row r="48" spans="1:1">
      <c r="A48" s="171" t="s">
        <v>2210</v>
      </c>
    </row>
    <row r="49" spans="1:1">
      <c r="A49" s="171"/>
    </row>
    <row r="50" spans="1:1">
      <c r="A50" s="171" t="s">
        <v>2198</v>
      </c>
    </row>
    <row r="51" spans="1:1">
      <c r="A51" s="171" t="s">
        <v>2211</v>
      </c>
    </row>
    <row r="52" spans="1:1">
      <c r="A52" s="171"/>
    </row>
    <row r="53" spans="1:1">
      <c r="A53" s="171" t="s">
        <v>2212</v>
      </c>
    </row>
    <row r="54" spans="1:1">
      <c r="A54" s="171" t="s">
        <v>2213</v>
      </c>
    </row>
    <row r="55" spans="1:1">
      <c r="A55" s="171" t="s">
        <v>2214</v>
      </c>
    </row>
    <row r="56" spans="1:1">
      <c r="A56" s="171" t="s">
        <v>2215</v>
      </c>
    </row>
    <row r="57" spans="1:1">
      <c r="A57" s="171" t="s">
        <v>2216</v>
      </c>
    </row>
    <row r="58" spans="1:1">
      <c r="A58" s="171"/>
    </row>
    <row r="59" spans="1:1">
      <c r="A59" s="171" t="s">
        <v>2217</v>
      </c>
    </row>
    <row r="60" spans="1:1">
      <c r="A60" s="171" t="s">
        <v>2218</v>
      </c>
    </row>
    <row r="61" spans="1:1">
      <c r="A61" s="171"/>
    </row>
    <row r="62" spans="1:1">
      <c r="A62" s="171" t="s">
        <v>2219</v>
      </c>
    </row>
    <row r="63" spans="1:1">
      <c r="A63" s="171" t="s">
        <v>2220</v>
      </c>
    </row>
    <row r="64" spans="1:1">
      <c r="A64" s="171" t="s">
        <v>2221</v>
      </c>
    </row>
    <row r="65" spans="1:1">
      <c r="A65" s="171" t="s">
        <v>2222</v>
      </c>
    </row>
    <row r="66" spans="1:1">
      <c r="A66" s="171" t="s">
        <v>2223</v>
      </c>
    </row>
    <row r="67" spans="1:1">
      <c r="A67" s="171"/>
    </row>
    <row r="68" spans="1:1">
      <c r="A68" s="171" t="s">
        <v>2224</v>
      </c>
    </row>
    <row r="69" spans="1:1">
      <c r="A69" s="171" t="s">
        <v>2225</v>
      </c>
    </row>
    <row r="70" spans="1:1">
      <c r="A70" s="171"/>
    </row>
    <row r="71" spans="1:1">
      <c r="A71" s="171" t="s">
        <v>2226</v>
      </c>
    </row>
    <row r="72" spans="1:1">
      <c r="A72" s="171" t="s">
        <v>2227</v>
      </c>
    </row>
    <row r="73" spans="1:1">
      <c r="A73" s="171" t="s">
        <v>2228</v>
      </c>
    </row>
    <row r="74" spans="1:1">
      <c r="A74" s="171" t="s">
        <v>2229</v>
      </c>
    </row>
    <row r="75" spans="1:1">
      <c r="A75" s="171" t="s">
        <v>2230</v>
      </c>
    </row>
    <row r="76" spans="1:1">
      <c r="A76" s="171"/>
    </row>
    <row r="77" spans="1:1">
      <c r="A77" s="171" t="s">
        <v>2231</v>
      </c>
    </row>
    <row r="78" spans="1:1">
      <c r="A78" s="171" t="s">
        <v>2232</v>
      </c>
    </row>
    <row r="79" spans="1:1">
      <c r="A79" s="171"/>
    </row>
    <row r="80" spans="1:1">
      <c r="A80" s="171" t="s">
        <v>2233</v>
      </c>
    </row>
    <row r="81" spans="1:1">
      <c r="A81" s="171" t="s">
        <v>2234</v>
      </c>
    </row>
    <row r="82" spans="1:1">
      <c r="A82" s="171" t="s">
        <v>2235</v>
      </c>
    </row>
    <row r="83" spans="1:1">
      <c r="A83" s="171" t="s">
        <v>2236</v>
      </c>
    </row>
    <row r="84" spans="1:1">
      <c r="A84" s="171" t="s">
        <v>2237</v>
      </c>
    </row>
    <row r="85" spans="1:1">
      <c r="A85" s="171"/>
    </row>
    <row r="86" spans="1:1">
      <c r="A86" s="171" t="s">
        <v>2231</v>
      </c>
    </row>
    <row r="87" spans="1:1">
      <c r="A87" s="171" t="s">
        <v>2238</v>
      </c>
    </row>
    <row r="88" spans="1:1">
      <c r="A88" s="171"/>
    </row>
    <row r="89" spans="1:1">
      <c r="A89" s="171" t="s">
        <v>2239</v>
      </c>
    </row>
    <row r="90" spans="1:1">
      <c r="A90" s="171" t="s">
        <v>2240</v>
      </c>
    </row>
    <row r="91" spans="1:1">
      <c r="A91" s="171" t="s">
        <v>2241</v>
      </c>
    </row>
    <row r="92" spans="1:1">
      <c r="A92" s="171" t="s">
        <v>2242</v>
      </c>
    </row>
    <row r="93" spans="1:1">
      <c r="A93" s="171" t="s">
        <v>2243</v>
      </c>
    </row>
    <row r="94" spans="1:1">
      <c r="A94" s="171"/>
    </row>
    <row r="95" spans="1:1">
      <c r="A95" s="171" t="s">
        <v>2224</v>
      </c>
    </row>
    <row r="96" spans="1:1">
      <c r="A96" s="171" t="s">
        <v>2244</v>
      </c>
    </row>
    <row r="97" spans="1:1">
      <c r="A97" s="171"/>
    </row>
    <row r="98" spans="1:1">
      <c r="A98" s="171" t="s">
        <v>2245</v>
      </c>
    </row>
    <row r="99" spans="1:1">
      <c r="A99" s="171" t="s">
        <v>2246</v>
      </c>
    </row>
    <row r="100" spans="1:1">
      <c r="A100" s="171" t="s">
        <v>2247</v>
      </c>
    </row>
    <row r="101" spans="1:1">
      <c r="A101" s="171" t="s">
        <v>2248</v>
      </c>
    </row>
    <row r="102" spans="1:1">
      <c r="A102" s="171" t="s">
        <v>2249</v>
      </c>
    </row>
    <row r="103" spans="1:1">
      <c r="A103" s="171"/>
    </row>
    <row r="104" spans="1:1">
      <c r="A104" s="171" t="s">
        <v>2231</v>
      </c>
    </row>
    <row r="105" spans="1:1">
      <c r="A105" s="171" t="s">
        <v>2250</v>
      </c>
    </row>
    <row r="106" spans="1:1">
      <c r="A106" s="171"/>
    </row>
    <row r="107" spans="1:1">
      <c r="A107" s="171" t="s">
        <v>2251</v>
      </c>
    </row>
    <row r="108" spans="1:1">
      <c r="A108" s="171" t="s">
        <v>2252</v>
      </c>
    </row>
    <row r="109" spans="1:1">
      <c r="A109" s="171" t="s">
        <v>2253</v>
      </c>
    </row>
    <row r="110" spans="1:1">
      <c r="A110" s="171" t="s">
        <v>2254</v>
      </c>
    </row>
    <row r="111" spans="1:1">
      <c r="A111" s="171" t="s">
        <v>2255</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2018-06-14T06:11:59Z</dcterms:modified>
</cp:coreProperties>
</file>